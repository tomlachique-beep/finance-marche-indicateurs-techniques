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omla\Desktop\"/>
    </mc:Choice>
  </mc:AlternateContent>
  <xr:revisionPtr revIDLastSave="0" documentId="13_ncr:1_{6B6BE0FD-12DE-4D10-9298-DE65658CD081}" xr6:coauthVersionLast="47" xr6:coauthVersionMax="47" xr10:uidLastSave="{00000000-0000-0000-0000-000000000000}"/>
  <bookViews>
    <workbookView xWindow="1035" yWindow="1050" windowWidth="21600" windowHeight="11385" activeTab="4" xr2:uid="{BEA0A7C5-BA2D-451E-91F9-2AF2FBF89C00}"/>
  </bookViews>
  <sheets>
    <sheet name="BMW" sheetId="1" r:id="rId1"/>
    <sheet name="Deutch bank" sheetId="3" r:id="rId2"/>
    <sheet name="Mercedes" sheetId="4" r:id="rId3"/>
    <sheet name="Bayer" sheetId="6" r:id="rId4"/>
    <sheet name="Simens Energ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5" l="1"/>
  <c r="AM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39" i="5"/>
  <c r="AM140" i="5"/>
  <c r="AM141" i="5"/>
  <c r="AM142" i="5"/>
  <c r="AM143" i="5"/>
  <c r="AM144" i="5"/>
  <c r="AM145" i="5"/>
  <c r="AM146" i="5"/>
  <c r="AM147" i="5"/>
  <c r="AM148" i="5"/>
  <c r="AM149" i="5"/>
  <c r="AM150" i="5"/>
  <c r="AM151" i="5"/>
  <c r="AM152" i="5"/>
  <c r="AM153" i="5"/>
  <c r="AM154" i="5"/>
  <c r="AM15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82" i="5"/>
  <c r="AM183" i="5"/>
  <c r="AM184" i="5"/>
  <c r="AM185" i="5"/>
  <c r="AM186" i="5"/>
  <c r="AM187" i="5"/>
  <c r="AM188" i="5"/>
  <c r="AM189" i="5"/>
  <c r="AM190" i="5"/>
  <c r="AM191" i="5"/>
  <c r="AM192" i="5"/>
  <c r="AM193" i="5"/>
  <c r="AM194" i="5"/>
  <c r="AM195" i="5"/>
  <c r="AM196" i="5"/>
  <c r="AM197" i="5"/>
  <c r="AM198" i="5"/>
  <c r="AM199" i="5"/>
  <c r="AM200" i="5"/>
  <c r="AM201" i="5"/>
  <c r="AM202" i="5"/>
  <c r="AM203" i="5"/>
  <c r="AM204" i="5"/>
  <c r="AM205" i="5"/>
  <c r="AM206" i="5"/>
  <c r="AM207" i="5"/>
  <c r="AM208" i="5"/>
  <c r="AM209" i="5"/>
  <c r="AM210" i="5"/>
  <c r="AM211" i="5"/>
  <c r="AM212" i="5"/>
  <c r="AM213" i="5"/>
  <c r="AM214" i="5"/>
  <c r="AM215" i="5"/>
  <c r="AM216" i="5"/>
  <c r="AM217" i="5"/>
  <c r="AM218" i="5"/>
  <c r="AM219" i="5"/>
  <c r="AM220" i="5"/>
  <c r="AM221" i="5"/>
  <c r="AM222" i="5"/>
  <c r="AM223" i="5"/>
  <c r="AM224" i="5"/>
  <c r="AM225" i="5"/>
  <c r="AM226" i="5"/>
  <c r="AM227" i="5"/>
  <c r="AM228" i="5"/>
  <c r="AM229" i="5"/>
  <c r="AM230" i="5"/>
  <c r="AM231" i="5"/>
  <c r="AM232" i="5"/>
  <c r="AM233" i="5"/>
  <c r="AM234" i="5"/>
  <c r="AM235" i="5"/>
  <c r="AM236" i="5"/>
  <c r="AM237" i="5"/>
  <c r="AM238" i="5"/>
  <c r="AM239" i="5"/>
  <c r="AM240" i="5"/>
  <c r="AM241" i="5"/>
  <c r="AM242" i="5"/>
  <c r="AM243" i="5"/>
  <c r="AM244" i="5"/>
  <c r="AM245" i="5"/>
  <c r="AM246" i="5"/>
  <c r="AM247" i="5"/>
  <c r="AM248" i="5"/>
  <c r="AM249" i="5"/>
  <c r="AM250" i="5"/>
  <c r="AM251" i="5"/>
  <c r="AM252" i="5"/>
  <c r="AM253" i="5"/>
  <c r="AM254" i="5"/>
  <c r="AM255" i="5"/>
  <c r="AM256" i="5"/>
  <c r="AM257" i="5"/>
  <c r="AM258" i="5"/>
  <c r="AM259" i="5"/>
  <c r="AM260" i="5"/>
  <c r="AM261" i="5"/>
  <c r="AM262" i="5"/>
  <c r="AM263" i="5"/>
  <c r="AM264" i="5"/>
  <c r="AM265" i="5"/>
  <c r="AM266" i="5"/>
  <c r="AM267" i="5"/>
  <c r="AM268" i="5"/>
  <c r="AM269" i="5"/>
  <c r="AM270" i="5"/>
  <c r="AM271" i="5"/>
  <c r="AM272" i="5"/>
  <c r="AM273" i="5"/>
  <c r="AM274" i="5"/>
  <c r="AM275" i="5"/>
  <c r="AM276" i="5"/>
  <c r="AM277" i="5"/>
  <c r="AM278" i="5"/>
  <c r="AM279" i="5"/>
  <c r="AM280" i="5"/>
  <c r="AM281" i="5"/>
  <c r="AM282" i="5"/>
  <c r="AM283" i="5"/>
  <c r="AM284" i="5"/>
  <c r="AM285" i="5"/>
  <c r="AM286" i="5"/>
  <c r="AM287" i="5"/>
  <c r="AM288" i="5"/>
  <c r="AM289" i="5"/>
  <c r="AM290" i="5"/>
  <c r="AM291" i="5"/>
  <c r="AM292" i="5"/>
  <c r="AM293" i="5"/>
  <c r="AM294" i="5"/>
  <c r="AM295" i="5"/>
  <c r="AM296" i="5"/>
  <c r="AM297" i="5"/>
  <c r="AM298" i="5"/>
  <c r="AM299" i="5"/>
  <c r="AM300" i="5"/>
  <c r="AM301" i="5"/>
  <c r="AM302" i="5"/>
  <c r="AM303" i="5"/>
  <c r="AM304" i="5"/>
  <c r="AM305" i="5"/>
  <c r="AM306" i="5"/>
  <c r="AM307" i="5"/>
  <c r="AM308" i="5"/>
  <c r="AM309" i="5"/>
  <c r="AM310" i="5"/>
  <c r="AM311" i="5"/>
  <c r="AM312" i="5"/>
  <c r="AM313" i="5"/>
  <c r="AM314" i="5"/>
  <c r="AM315" i="5"/>
  <c r="AM316" i="5"/>
  <c r="AM317" i="5"/>
  <c r="AM318" i="5"/>
  <c r="AM319" i="5"/>
  <c r="AM320" i="5"/>
  <c r="AM321" i="5"/>
  <c r="AM322" i="5"/>
  <c r="AM323" i="5"/>
  <c r="AM324" i="5"/>
  <c r="AM325" i="5"/>
  <c r="AM326" i="5"/>
  <c r="AM327" i="5"/>
  <c r="AM328" i="5"/>
  <c r="AM329" i="5"/>
  <c r="AM330" i="5"/>
  <c r="AM331" i="5"/>
  <c r="AM332" i="5"/>
  <c r="AM333" i="5"/>
  <c r="AM334" i="5"/>
  <c r="AM335" i="5"/>
  <c r="AM336" i="5"/>
  <c r="AM337" i="5"/>
  <c r="AM338" i="5"/>
  <c r="AM339" i="5"/>
  <c r="AM340" i="5"/>
  <c r="AM341" i="5"/>
  <c r="AM342" i="5"/>
  <c r="AM343" i="5"/>
  <c r="AM344" i="5"/>
  <c r="AM345" i="5"/>
  <c r="AM346" i="5"/>
  <c r="AM347" i="5"/>
  <c r="AM348" i="5"/>
  <c r="AM349" i="5"/>
  <c r="AM350" i="5"/>
  <c r="AM351" i="5"/>
  <c r="AM352" i="5"/>
  <c r="AM353" i="5"/>
  <c r="AM354" i="5"/>
  <c r="AM355" i="5"/>
  <c r="AM356" i="5"/>
  <c r="AM357" i="5"/>
  <c r="AM358" i="5"/>
  <c r="AM359" i="5"/>
  <c r="AM360" i="5"/>
  <c r="AM361" i="5"/>
  <c r="AM362" i="5"/>
  <c r="AM363" i="5"/>
  <c r="AM364" i="5"/>
  <c r="AM365" i="5"/>
  <c r="AM366" i="5"/>
  <c r="AM367" i="5"/>
  <c r="AM368" i="5"/>
  <c r="AM369" i="5"/>
  <c r="AM370" i="5"/>
  <c r="AM371" i="5"/>
  <c r="AM372" i="5"/>
  <c r="AM373" i="5"/>
  <c r="AM374" i="5"/>
  <c r="AM375" i="5"/>
  <c r="AM376" i="5"/>
  <c r="AM377" i="5"/>
  <c r="AM378" i="5"/>
  <c r="AM379" i="5"/>
  <c r="AM380" i="5"/>
  <c r="AM381" i="5"/>
  <c r="AM382" i="5"/>
  <c r="AM383" i="5"/>
  <c r="AM384" i="5"/>
  <c r="AM385" i="5"/>
  <c r="AM386" i="5"/>
  <c r="AM387" i="5"/>
  <c r="AM388" i="5"/>
  <c r="AM389" i="5"/>
  <c r="AM390" i="5"/>
  <c r="AM391" i="5"/>
  <c r="AM392" i="5"/>
  <c r="AM393" i="5"/>
  <c r="AM394" i="5"/>
  <c r="AM395" i="5"/>
  <c r="AM396" i="5"/>
  <c r="AM397" i="5"/>
  <c r="AM398" i="5"/>
  <c r="AM399" i="5"/>
  <c r="AM400" i="5"/>
  <c r="AM401" i="5"/>
  <c r="AM402" i="5"/>
  <c r="AM403" i="5"/>
  <c r="AM404" i="5"/>
  <c r="AM405" i="5"/>
  <c r="AM406" i="5"/>
  <c r="AM407" i="5"/>
  <c r="AM408" i="5"/>
  <c r="AM409" i="5"/>
  <c r="AM410" i="5"/>
  <c r="AM411" i="5"/>
  <c r="AM412" i="5"/>
  <c r="AM413" i="5"/>
  <c r="AM414" i="5"/>
  <c r="AM415" i="5"/>
  <c r="AM416" i="5"/>
  <c r="AM417" i="5"/>
  <c r="AM418" i="5"/>
  <c r="AM419" i="5"/>
  <c r="AM420" i="5"/>
  <c r="AM421" i="5"/>
  <c r="AM422" i="5"/>
  <c r="AM423" i="5"/>
  <c r="AM424" i="5"/>
  <c r="AM425" i="5"/>
  <c r="AM426" i="5"/>
  <c r="AM427" i="5"/>
  <c r="AM428" i="5"/>
  <c r="AM429" i="5"/>
  <c r="AM430" i="5"/>
  <c r="AM431" i="5"/>
  <c r="AM432" i="5"/>
  <c r="AM433" i="5"/>
  <c r="AM434" i="5"/>
  <c r="AM435" i="5"/>
  <c r="AM436" i="5"/>
  <c r="AM437" i="5"/>
  <c r="AM438" i="5"/>
  <c r="AM439" i="5"/>
  <c r="AM440" i="5"/>
  <c r="AM441" i="5"/>
  <c r="AM442" i="5"/>
  <c r="AM443" i="5"/>
  <c r="AM444" i="5"/>
  <c r="AM445" i="5"/>
  <c r="AM446" i="5"/>
  <c r="AM447" i="5"/>
  <c r="AM448" i="5"/>
  <c r="AM449" i="5"/>
  <c r="AM450" i="5"/>
  <c r="AM451" i="5"/>
  <c r="AM452" i="5"/>
  <c r="AM453" i="5"/>
  <c r="AM454" i="5"/>
  <c r="AM455" i="5"/>
  <c r="AM456" i="5"/>
  <c r="AM457" i="5"/>
  <c r="AM458" i="5"/>
  <c r="AM459" i="5"/>
  <c r="AM460" i="5"/>
  <c r="AM461" i="5"/>
  <c r="AM462" i="5"/>
  <c r="AM463" i="5"/>
  <c r="AM464" i="5"/>
  <c r="AM465" i="5"/>
  <c r="AM466" i="5"/>
  <c r="AM467" i="5"/>
  <c r="AM468" i="5"/>
  <c r="AM469" i="5"/>
  <c r="AM470" i="5"/>
  <c r="AM471" i="5"/>
  <c r="AM472" i="5"/>
  <c r="AM473" i="5"/>
  <c r="AM474" i="5"/>
  <c r="AM475" i="5"/>
  <c r="AM476" i="5"/>
  <c r="AM477" i="5"/>
  <c r="AM478" i="5"/>
  <c r="AM479" i="5"/>
  <c r="AM480" i="5"/>
  <c r="AM481" i="5"/>
  <c r="AM482" i="5"/>
  <c r="AM483" i="5"/>
  <c r="AM484" i="5"/>
  <c r="AM485" i="5"/>
  <c r="AM486" i="5"/>
  <c r="AM487" i="5"/>
  <c r="AM488" i="5"/>
  <c r="AM489" i="5"/>
  <c r="AM490" i="5"/>
  <c r="AM491" i="5"/>
  <c r="AM492" i="5"/>
  <c r="AM493" i="5"/>
  <c r="AM494" i="5"/>
  <c r="AM495" i="5"/>
  <c r="AM496" i="5"/>
  <c r="AM497" i="5"/>
  <c r="AM498" i="5"/>
  <c r="AM499" i="5"/>
  <c r="AM500" i="5"/>
  <c r="AM501" i="5"/>
  <c r="AM502" i="5"/>
  <c r="AM503" i="5"/>
  <c r="AM504" i="5"/>
  <c r="AM505" i="5"/>
  <c r="AM506" i="5"/>
  <c r="AM507" i="5"/>
  <c r="AM508" i="5"/>
  <c r="AM509" i="5"/>
  <c r="AM510" i="5"/>
  <c r="AM511" i="5"/>
  <c r="AM512" i="5"/>
  <c r="AM513" i="5"/>
  <c r="AM514" i="5"/>
  <c r="AM515" i="5"/>
  <c r="AM516" i="5"/>
  <c r="AM517" i="5"/>
  <c r="AM518" i="5"/>
  <c r="AM519" i="5"/>
  <c r="AM520" i="5"/>
  <c r="AM521" i="5"/>
  <c r="AM522" i="5"/>
  <c r="AM523" i="5"/>
  <c r="AM524" i="5"/>
  <c r="AM525" i="5"/>
  <c r="AM526" i="5"/>
  <c r="AM527" i="5"/>
  <c r="AM528" i="5"/>
  <c r="AM529" i="5"/>
  <c r="AM530" i="5"/>
  <c r="AM531" i="5"/>
  <c r="AM2" i="5"/>
  <c r="AM2" i="3"/>
  <c r="AL3" i="5"/>
  <c r="AL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55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L72" i="5"/>
  <c r="AL73" i="5"/>
  <c r="AL74" i="5"/>
  <c r="AL75" i="5"/>
  <c r="AL76" i="5"/>
  <c r="AL77" i="5"/>
  <c r="AL78" i="5"/>
  <c r="AL79" i="5"/>
  <c r="AL80" i="5"/>
  <c r="AL81" i="5"/>
  <c r="AL82" i="5"/>
  <c r="AL83" i="5"/>
  <c r="AL84" i="5"/>
  <c r="AL85" i="5"/>
  <c r="AL86" i="5"/>
  <c r="AL87" i="5"/>
  <c r="AL88" i="5"/>
  <c r="AL89" i="5"/>
  <c r="AL90" i="5"/>
  <c r="AL91" i="5"/>
  <c r="AL92" i="5"/>
  <c r="AL93" i="5"/>
  <c r="AL94" i="5"/>
  <c r="AL95" i="5"/>
  <c r="AL96" i="5"/>
  <c r="AL97" i="5"/>
  <c r="AL98" i="5"/>
  <c r="AL99" i="5"/>
  <c r="AL100" i="5"/>
  <c r="AL101" i="5"/>
  <c r="AL102" i="5"/>
  <c r="AL103" i="5"/>
  <c r="AL104" i="5"/>
  <c r="AL105" i="5"/>
  <c r="AL106" i="5"/>
  <c r="AL107" i="5"/>
  <c r="AL108" i="5"/>
  <c r="AL109" i="5"/>
  <c r="AL110" i="5"/>
  <c r="AL111" i="5"/>
  <c r="AL112" i="5"/>
  <c r="AL113" i="5"/>
  <c r="AL114" i="5"/>
  <c r="AL115" i="5"/>
  <c r="AL116" i="5"/>
  <c r="AL117" i="5"/>
  <c r="AL118" i="5"/>
  <c r="AL119" i="5"/>
  <c r="AL120" i="5"/>
  <c r="AL121" i="5"/>
  <c r="AL122" i="5"/>
  <c r="AL123" i="5"/>
  <c r="AL124" i="5"/>
  <c r="AL125" i="5"/>
  <c r="AL126" i="5"/>
  <c r="AL127" i="5"/>
  <c r="AL128" i="5"/>
  <c r="AL129" i="5"/>
  <c r="AL130" i="5"/>
  <c r="AL131" i="5"/>
  <c r="AL132" i="5"/>
  <c r="AL133" i="5"/>
  <c r="AL134" i="5"/>
  <c r="AL135" i="5"/>
  <c r="AL136" i="5"/>
  <c r="AL137" i="5"/>
  <c r="AL138" i="5"/>
  <c r="AL139" i="5"/>
  <c r="AL140" i="5"/>
  <c r="AL141" i="5"/>
  <c r="AL142" i="5"/>
  <c r="AL143" i="5"/>
  <c r="AL144" i="5"/>
  <c r="AL145" i="5"/>
  <c r="AL146" i="5"/>
  <c r="AL147" i="5"/>
  <c r="AL148" i="5"/>
  <c r="AL149" i="5"/>
  <c r="AL150" i="5"/>
  <c r="AL151" i="5"/>
  <c r="AL152" i="5"/>
  <c r="AL153" i="5"/>
  <c r="AL154" i="5"/>
  <c r="AL155" i="5"/>
  <c r="AL156" i="5"/>
  <c r="AL157" i="5"/>
  <c r="AL158" i="5"/>
  <c r="AL159" i="5"/>
  <c r="AL160" i="5"/>
  <c r="AL161" i="5"/>
  <c r="AL162" i="5"/>
  <c r="AL163" i="5"/>
  <c r="AL164" i="5"/>
  <c r="AL165" i="5"/>
  <c r="AL166" i="5"/>
  <c r="AL167" i="5"/>
  <c r="AL168" i="5"/>
  <c r="AL169" i="5"/>
  <c r="AL170" i="5"/>
  <c r="AL171" i="5"/>
  <c r="AL172" i="5"/>
  <c r="AL173" i="5"/>
  <c r="AL174" i="5"/>
  <c r="AL175" i="5"/>
  <c r="AL176" i="5"/>
  <c r="AL177" i="5"/>
  <c r="AL178" i="5"/>
  <c r="AL179" i="5"/>
  <c r="AL180" i="5"/>
  <c r="AL181" i="5"/>
  <c r="AL182" i="5"/>
  <c r="AL183" i="5"/>
  <c r="AL184" i="5"/>
  <c r="AL185" i="5"/>
  <c r="AL186" i="5"/>
  <c r="AL187" i="5"/>
  <c r="AL188" i="5"/>
  <c r="AL189" i="5"/>
  <c r="AL190" i="5"/>
  <c r="AL191" i="5"/>
  <c r="AL192" i="5"/>
  <c r="AL193" i="5"/>
  <c r="AL194" i="5"/>
  <c r="AL195" i="5"/>
  <c r="AL196" i="5"/>
  <c r="AL197" i="5"/>
  <c r="AL198" i="5"/>
  <c r="AL199" i="5"/>
  <c r="AL200" i="5"/>
  <c r="AL201" i="5"/>
  <c r="AL202" i="5"/>
  <c r="AL203" i="5"/>
  <c r="AL204" i="5"/>
  <c r="AL205" i="5"/>
  <c r="AL206" i="5"/>
  <c r="AL207" i="5"/>
  <c r="AL208" i="5"/>
  <c r="AL209" i="5"/>
  <c r="AL210" i="5"/>
  <c r="AL211" i="5"/>
  <c r="AL212" i="5"/>
  <c r="AL213" i="5"/>
  <c r="AL214" i="5"/>
  <c r="AL215" i="5"/>
  <c r="AL216" i="5"/>
  <c r="AL217" i="5"/>
  <c r="AL218" i="5"/>
  <c r="AL219" i="5"/>
  <c r="AL220" i="5"/>
  <c r="AL221" i="5"/>
  <c r="AL222" i="5"/>
  <c r="AL223" i="5"/>
  <c r="AL224" i="5"/>
  <c r="AL225" i="5"/>
  <c r="AL226" i="5"/>
  <c r="AL227" i="5"/>
  <c r="AL228" i="5"/>
  <c r="AL229" i="5"/>
  <c r="AL230" i="5"/>
  <c r="AL231" i="5"/>
  <c r="AL232" i="5"/>
  <c r="AL233" i="5"/>
  <c r="AL234" i="5"/>
  <c r="AL235" i="5"/>
  <c r="AL236" i="5"/>
  <c r="AL237" i="5"/>
  <c r="AL238" i="5"/>
  <c r="AL239" i="5"/>
  <c r="AL240" i="5"/>
  <c r="AL241" i="5"/>
  <c r="AL242" i="5"/>
  <c r="AL243" i="5"/>
  <c r="AL244" i="5"/>
  <c r="AL245" i="5"/>
  <c r="AL246" i="5"/>
  <c r="AL247" i="5"/>
  <c r="AL248" i="5"/>
  <c r="AL249" i="5"/>
  <c r="AL250" i="5"/>
  <c r="AL251" i="5"/>
  <c r="AL252" i="5"/>
  <c r="AL253" i="5"/>
  <c r="AL254" i="5"/>
  <c r="AL255" i="5"/>
  <c r="AL256" i="5"/>
  <c r="AL257" i="5"/>
  <c r="AL258" i="5"/>
  <c r="AL259" i="5"/>
  <c r="AL260" i="5"/>
  <c r="AL261" i="5"/>
  <c r="AL262" i="5"/>
  <c r="AL263" i="5"/>
  <c r="AL264" i="5"/>
  <c r="AL265" i="5"/>
  <c r="AL266" i="5"/>
  <c r="AL267" i="5"/>
  <c r="AL268" i="5"/>
  <c r="AL269" i="5"/>
  <c r="AL270" i="5"/>
  <c r="AL271" i="5"/>
  <c r="AL272" i="5"/>
  <c r="AL273" i="5"/>
  <c r="AL274" i="5"/>
  <c r="AL275" i="5"/>
  <c r="AL276" i="5"/>
  <c r="AL277" i="5"/>
  <c r="AL278" i="5"/>
  <c r="AL279" i="5"/>
  <c r="AL280" i="5"/>
  <c r="AL281" i="5"/>
  <c r="AL282" i="5"/>
  <c r="AL283" i="5"/>
  <c r="AL284" i="5"/>
  <c r="AL285" i="5"/>
  <c r="AL286" i="5"/>
  <c r="AL287" i="5"/>
  <c r="AL288" i="5"/>
  <c r="AL289" i="5"/>
  <c r="AL290" i="5"/>
  <c r="AL291" i="5"/>
  <c r="AL292" i="5"/>
  <c r="AL293" i="5"/>
  <c r="AL294" i="5"/>
  <c r="AL295" i="5"/>
  <c r="AL296" i="5"/>
  <c r="AL297" i="5"/>
  <c r="AL298" i="5"/>
  <c r="AL299" i="5"/>
  <c r="AL300" i="5"/>
  <c r="AL301" i="5"/>
  <c r="AL302" i="5"/>
  <c r="AL303" i="5"/>
  <c r="AL304" i="5"/>
  <c r="AL305" i="5"/>
  <c r="AL306" i="5"/>
  <c r="AL307" i="5"/>
  <c r="AL308" i="5"/>
  <c r="AL309" i="5"/>
  <c r="AL310" i="5"/>
  <c r="AL311" i="5"/>
  <c r="AL312" i="5"/>
  <c r="AL313" i="5"/>
  <c r="AL314" i="5"/>
  <c r="AL315" i="5"/>
  <c r="AL316" i="5"/>
  <c r="AL317" i="5"/>
  <c r="AL318" i="5"/>
  <c r="AL319" i="5"/>
  <c r="AL320" i="5"/>
  <c r="AL321" i="5"/>
  <c r="AL322" i="5"/>
  <c r="AL323" i="5"/>
  <c r="AL324" i="5"/>
  <c r="AL325" i="5"/>
  <c r="AL326" i="5"/>
  <c r="AL327" i="5"/>
  <c r="AL328" i="5"/>
  <c r="AL329" i="5"/>
  <c r="AL330" i="5"/>
  <c r="AL331" i="5"/>
  <c r="AL332" i="5"/>
  <c r="AL333" i="5"/>
  <c r="AL334" i="5"/>
  <c r="AL335" i="5"/>
  <c r="AL336" i="5"/>
  <c r="AL337" i="5"/>
  <c r="AL338" i="5"/>
  <c r="AL339" i="5"/>
  <c r="AL340" i="5"/>
  <c r="AL341" i="5"/>
  <c r="AL342" i="5"/>
  <c r="AL343" i="5"/>
  <c r="AL344" i="5"/>
  <c r="AL345" i="5"/>
  <c r="AL346" i="5"/>
  <c r="AL347" i="5"/>
  <c r="AL348" i="5"/>
  <c r="AL349" i="5"/>
  <c r="AL350" i="5"/>
  <c r="AL351" i="5"/>
  <c r="AL352" i="5"/>
  <c r="AL353" i="5"/>
  <c r="AL354" i="5"/>
  <c r="AL355" i="5"/>
  <c r="AL356" i="5"/>
  <c r="AL357" i="5"/>
  <c r="AL358" i="5"/>
  <c r="AL359" i="5"/>
  <c r="AL360" i="5"/>
  <c r="AL361" i="5"/>
  <c r="AL362" i="5"/>
  <c r="AL363" i="5"/>
  <c r="AL364" i="5"/>
  <c r="AL365" i="5"/>
  <c r="AL366" i="5"/>
  <c r="AL367" i="5"/>
  <c r="AL368" i="5"/>
  <c r="AL369" i="5"/>
  <c r="AL370" i="5"/>
  <c r="AL371" i="5"/>
  <c r="AL372" i="5"/>
  <c r="AL373" i="5"/>
  <c r="AL374" i="5"/>
  <c r="AL375" i="5"/>
  <c r="AL376" i="5"/>
  <c r="AL377" i="5"/>
  <c r="AL378" i="5"/>
  <c r="AL379" i="5"/>
  <c r="AL380" i="5"/>
  <c r="AL381" i="5"/>
  <c r="AL382" i="5"/>
  <c r="AL383" i="5"/>
  <c r="AL384" i="5"/>
  <c r="AL385" i="5"/>
  <c r="AL386" i="5"/>
  <c r="AL387" i="5"/>
  <c r="AL388" i="5"/>
  <c r="AL389" i="5"/>
  <c r="AL390" i="5"/>
  <c r="AL391" i="5"/>
  <c r="AL392" i="5"/>
  <c r="AL393" i="5"/>
  <c r="AL394" i="5"/>
  <c r="AL395" i="5"/>
  <c r="AL396" i="5"/>
  <c r="AL397" i="5"/>
  <c r="AL398" i="5"/>
  <c r="AL399" i="5"/>
  <c r="AL400" i="5"/>
  <c r="AL401" i="5"/>
  <c r="AL402" i="5"/>
  <c r="AL403" i="5"/>
  <c r="AL404" i="5"/>
  <c r="AL405" i="5"/>
  <c r="AL406" i="5"/>
  <c r="AL407" i="5"/>
  <c r="AL408" i="5"/>
  <c r="AL409" i="5"/>
  <c r="AL410" i="5"/>
  <c r="AL411" i="5"/>
  <c r="AL412" i="5"/>
  <c r="AL413" i="5"/>
  <c r="AL414" i="5"/>
  <c r="AL415" i="5"/>
  <c r="AL416" i="5"/>
  <c r="AL417" i="5"/>
  <c r="AL418" i="5"/>
  <c r="AL419" i="5"/>
  <c r="AL420" i="5"/>
  <c r="AL421" i="5"/>
  <c r="AL422" i="5"/>
  <c r="AL423" i="5"/>
  <c r="AL424" i="5"/>
  <c r="AL425" i="5"/>
  <c r="AL426" i="5"/>
  <c r="AL427" i="5"/>
  <c r="AL428" i="5"/>
  <c r="AL429" i="5"/>
  <c r="AL430" i="5"/>
  <c r="AL431" i="5"/>
  <c r="AL432" i="5"/>
  <c r="AL433" i="5"/>
  <c r="AL434" i="5"/>
  <c r="AL435" i="5"/>
  <c r="AL436" i="5"/>
  <c r="AL437" i="5"/>
  <c r="AL438" i="5"/>
  <c r="AL439" i="5"/>
  <c r="AL440" i="5"/>
  <c r="AL441" i="5"/>
  <c r="AL442" i="5"/>
  <c r="AL443" i="5"/>
  <c r="AL444" i="5"/>
  <c r="AL445" i="5"/>
  <c r="AL446" i="5"/>
  <c r="AL447" i="5"/>
  <c r="AL448" i="5"/>
  <c r="AL449" i="5"/>
  <c r="AL450" i="5"/>
  <c r="AL451" i="5"/>
  <c r="AL452" i="5"/>
  <c r="AL453" i="5"/>
  <c r="AL454" i="5"/>
  <c r="AL455" i="5"/>
  <c r="AL456" i="5"/>
  <c r="AL457" i="5"/>
  <c r="AL458" i="5"/>
  <c r="AL459" i="5"/>
  <c r="AL460" i="5"/>
  <c r="AL461" i="5"/>
  <c r="AL462" i="5"/>
  <c r="AL463" i="5"/>
  <c r="AL464" i="5"/>
  <c r="AL465" i="5"/>
  <c r="AL466" i="5"/>
  <c r="AL467" i="5"/>
  <c r="AL468" i="5"/>
  <c r="AL469" i="5"/>
  <c r="AL470" i="5"/>
  <c r="AL471" i="5"/>
  <c r="AL472" i="5"/>
  <c r="AL473" i="5"/>
  <c r="AL474" i="5"/>
  <c r="AL475" i="5"/>
  <c r="AL476" i="5"/>
  <c r="AL477" i="5"/>
  <c r="AL478" i="5"/>
  <c r="AL479" i="5"/>
  <c r="AL480" i="5"/>
  <c r="AL481" i="5"/>
  <c r="AL482" i="5"/>
  <c r="AL483" i="5"/>
  <c r="AL484" i="5"/>
  <c r="AL485" i="5"/>
  <c r="AL486" i="5"/>
  <c r="AL487" i="5"/>
  <c r="AL488" i="5"/>
  <c r="AL489" i="5"/>
  <c r="AL490" i="5"/>
  <c r="AL491" i="5"/>
  <c r="AL492" i="5"/>
  <c r="AL493" i="5"/>
  <c r="AL494" i="5"/>
  <c r="AL495" i="5"/>
  <c r="AL496" i="5"/>
  <c r="AL497" i="5"/>
  <c r="AL498" i="5"/>
  <c r="AL499" i="5"/>
  <c r="AL500" i="5"/>
  <c r="AL501" i="5"/>
  <c r="AL502" i="5"/>
  <c r="AL503" i="5"/>
  <c r="AL504" i="5"/>
  <c r="AL505" i="5"/>
  <c r="AL506" i="5"/>
  <c r="AL507" i="5"/>
  <c r="AL508" i="5"/>
  <c r="AL509" i="5"/>
  <c r="AL510" i="5"/>
  <c r="AL511" i="5"/>
  <c r="AL512" i="5"/>
  <c r="AL513" i="5"/>
  <c r="AL514" i="5"/>
  <c r="AL515" i="5"/>
  <c r="AL516" i="5"/>
  <c r="AL517" i="5"/>
  <c r="AL518" i="5"/>
  <c r="AL519" i="5"/>
  <c r="AL520" i="5"/>
  <c r="AL521" i="5"/>
  <c r="AL522" i="5"/>
  <c r="AL523" i="5"/>
  <c r="AL524" i="5"/>
  <c r="AL525" i="5"/>
  <c r="AL526" i="5"/>
  <c r="AL527" i="5"/>
  <c r="AL528" i="5"/>
  <c r="AL529" i="5"/>
  <c r="AL530" i="5"/>
  <c r="AL531" i="5"/>
  <c r="AL2" i="5"/>
  <c r="AL2" i="1"/>
  <c r="AI3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3" i="5"/>
  <c r="AI324" i="5"/>
  <c r="AI325" i="5"/>
  <c r="AI326" i="5"/>
  <c r="AI327" i="5"/>
  <c r="AI328" i="5"/>
  <c r="AI329" i="5"/>
  <c r="AI330" i="5"/>
  <c r="AI331" i="5"/>
  <c r="AI332" i="5"/>
  <c r="AI333" i="5"/>
  <c r="AI334" i="5"/>
  <c r="AI335" i="5"/>
  <c r="AI336" i="5"/>
  <c r="AI337" i="5"/>
  <c r="AI338" i="5"/>
  <c r="AI339" i="5"/>
  <c r="AI340" i="5"/>
  <c r="AI341" i="5"/>
  <c r="AI342" i="5"/>
  <c r="AI343" i="5"/>
  <c r="AI344" i="5"/>
  <c r="AI345" i="5"/>
  <c r="AI346" i="5"/>
  <c r="AI347" i="5"/>
  <c r="AI348" i="5"/>
  <c r="AI349" i="5"/>
  <c r="AI350" i="5"/>
  <c r="AI351" i="5"/>
  <c r="AI352" i="5"/>
  <c r="AI353" i="5"/>
  <c r="AI354" i="5"/>
  <c r="AI355" i="5"/>
  <c r="AI356" i="5"/>
  <c r="AI357" i="5"/>
  <c r="AI358" i="5"/>
  <c r="AI359" i="5"/>
  <c r="AI360" i="5"/>
  <c r="AI361" i="5"/>
  <c r="AI362" i="5"/>
  <c r="AI363" i="5"/>
  <c r="AI364" i="5"/>
  <c r="AI365" i="5"/>
  <c r="AI366" i="5"/>
  <c r="AI367" i="5"/>
  <c r="AI368" i="5"/>
  <c r="AI369" i="5"/>
  <c r="AI370" i="5"/>
  <c r="AI371" i="5"/>
  <c r="AI372" i="5"/>
  <c r="AI373" i="5"/>
  <c r="AI374" i="5"/>
  <c r="AI375" i="5"/>
  <c r="AI376" i="5"/>
  <c r="AI377" i="5"/>
  <c r="AI378" i="5"/>
  <c r="AI379" i="5"/>
  <c r="AI380" i="5"/>
  <c r="AI381" i="5"/>
  <c r="AI382" i="5"/>
  <c r="AI383" i="5"/>
  <c r="AI384" i="5"/>
  <c r="AI385" i="5"/>
  <c r="AI386" i="5"/>
  <c r="AI387" i="5"/>
  <c r="AI388" i="5"/>
  <c r="AI389" i="5"/>
  <c r="AI390" i="5"/>
  <c r="AI391" i="5"/>
  <c r="AI392" i="5"/>
  <c r="AI393" i="5"/>
  <c r="AI394" i="5"/>
  <c r="AI395" i="5"/>
  <c r="AI396" i="5"/>
  <c r="AI397" i="5"/>
  <c r="AI398" i="5"/>
  <c r="AI399" i="5"/>
  <c r="AI400" i="5"/>
  <c r="AI401" i="5"/>
  <c r="AI402" i="5"/>
  <c r="AI403" i="5"/>
  <c r="AI404" i="5"/>
  <c r="AI405" i="5"/>
  <c r="AI406" i="5"/>
  <c r="AI407" i="5"/>
  <c r="AI408" i="5"/>
  <c r="AI409" i="5"/>
  <c r="AI410" i="5"/>
  <c r="AI411" i="5"/>
  <c r="AI412" i="5"/>
  <c r="AI413" i="5"/>
  <c r="AI414" i="5"/>
  <c r="AI415" i="5"/>
  <c r="AI416" i="5"/>
  <c r="AI417" i="5"/>
  <c r="AI418" i="5"/>
  <c r="AI419" i="5"/>
  <c r="AI420" i="5"/>
  <c r="AI421" i="5"/>
  <c r="AI422" i="5"/>
  <c r="AI423" i="5"/>
  <c r="AI424" i="5"/>
  <c r="AI425" i="5"/>
  <c r="AI426" i="5"/>
  <c r="AI427" i="5"/>
  <c r="AI428" i="5"/>
  <c r="AI429" i="5"/>
  <c r="AI430" i="5"/>
  <c r="AI431" i="5"/>
  <c r="AI432" i="5"/>
  <c r="AI433" i="5"/>
  <c r="AI434" i="5"/>
  <c r="AI435" i="5"/>
  <c r="AI436" i="5"/>
  <c r="AI437" i="5"/>
  <c r="AI438" i="5"/>
  <c r="AI439" i="5"/>
  <c r="AI440" i="5"/>
  <c r="AI441" i="5"/>
  <c r="AI442" i="5"/>
  <c r="AI443" i="5"/>
  <c r="AI444" i="5"/>
  <c r="AI445" i="5"/>
  <c r="AI446" i="5"/>
  <c r="AI447" i="5"/>
  <c r="AI448" i="5"/>
  <c r="AI449" i="5"/>
  <c r="AI450" i="5"/>
  <c r="AI451" i="5"/>
  <c r="AI452" i="5"/>
  <c r="AI453" i="5"/>
  <c r="AI454" i="5"/>
  <c r="AI455" i="5"/>
  <c r="AI456" i="5"/>
  <c r="AI457" i="5"/>
  <c r="AI458" i="5"/>
  <c r="AI459" i="5"/>
  <c r="AI460" i="5"/>
  <c r="AI461" i="5"/>
  <c r="AI462" i="5"/>
  <c r="AI463" i="5"/>
  <c r="AI464" i="5"/>
  <c r="AI465" i="5"/>
  <c r="AI466" i="5"/>
  <c r="AI467" i="5"/>
  <c r="AI468" i="5"/>
  <c r="AI469" i="5"/>
  <c r="AI470" i="5"/>
  <c r="AI471" i="5"/>
  <c r="AI472" i="5"/>
  <c r="AI473" i="5"/>
  <c r="AI474" i="5"/>
  <c r="AI475" i="5"/>
  <c r="AI476" i="5"/>
  <c r="AI477" i="5"/>
  <c r="AI478" i="5"/>
  <c r="AI479" i="5"/>
  <c r="AI480" i="5"/>
  <c r="AI481" i="5"/>
  <c r="AI482" i="5"/>
  <c r="AI483" i="5"/>
  <c r="AI484" i="5"/>
  <c r="AI485" i="5"/>
  <c r="AI486" i="5"/>
  <c r="AI487" i="5"/>
  <c r="AI488" i="5"/>
  <c r="AI489" i="5"/>
  <c r="AI490" i="5"/>
  <c r="AI491" i="5"/>
  <c r="AI492" i="5"/>
  <c r="AI493" i="5"/>
  <c r="AI494" i="5"/>
  <c r="AI495" i="5"/>
  <c r="AI496" i="5"/>
  <c r="AI497" i="5"/>
  <c r="AI498" i="5"/>
  <c r="AI499" i="5"/>
  <c r="AI500" i="5"/>
  <c r="AI501" i="5"/>
  <c r="AI502" i="5"/>
  <c r="AI503" i="5"/>
  <c r="AI504" i="5"/>
  <c r="AI505" i="5"/>
  <c r="AI506" i="5"/>
  <c r="AI507" i="5"/>
  <c r="AI508" i="5"/>
  <c r="AI509" i="5"/>
  <c r="AI510" i="5"/>
  <c r="AI511" i="5"/>
  <c r="AI512" i="5"/>
  <c r="AI513" i="5"/>
  <c r="AI514" i="5"/>
  <c r="AI515" i="5"/>
  <c r="AI516" i="5"/>
  <c r="AI517" i="5"/>
  <c r="AI518" i="5"/>
  <c r="AI519" i="5"/>
  <c r="AI520" i="5"/>
  <c r="AI521" i="5"/>
  <c r="AI522" i="5"/>
  <c r="AI523" i="5"/>
  <c r="AI524" i="5"/>
  <c r="AI525" i="5"/>
  <c r="AI526" i="5"/>
  <c r="AI527" i="5"/>
  <c r="AI528" i="5"/>
  <c r="AI529" i="5"/>
  <c r="AI530" i="5"/>
  <c r="AI531" i="5"/>
  <c r="AI2" i="5"/>
  <c r="AI2" i="1"/>
  <c r="AJ3" i="5"/>
  <c r="AJ4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109" i="5"/>
  <c r="AJ110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124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137" i="5"/>
  <c r="AJ138" i="5"/>
  <c r="AJ139" i="5"/>
  <c r="AJ140" i="5"/>
  <c r="AJ141" i="5"/>
  <c r="AJ142" i="5"/>
  <c r="AJ143" i="5"/>
  <c r="AJ144" i="5"/>
  <c r="AJ145" i="5"/>
  <c r="AJ146" i="5"/>
  <c r="AJ147" i="5"/>
  <c r="AJ148" i="5"/>
  <c r="AJ149" i="5"/>
  <c r="AJ150" i="5"/>
  <c r="AJ151" i="5"/>
  <c r="AJ152" i="5"/>
  <c r="AJ153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J170" i="5"/>
  <c r="AJ171" i="5"/>
  <c r="AJ172" i="5"/>
  <c r="AJ173" i="5"/>
  <c r="AJ174" i="5"/>
  <c r="AJ175" i="5"/>
  <c r="AJ176" i="5"/>
  <c r="AJ177" i="5"/>
  <c r="AJ178" i="5"/>
  <c r="AJ179" i="5"/>
  <c r="AJ180" i="5"/>
  <c r="AJ181" i="5"/>
  <c r="AJ182" i="5"/>
  <c r="AJ183" i="5"/>
  <c r="AJ184" i="5"/>
  <c r="AJ185" i="5"/>
  <c r="AJ186" i="5"/>
  <c r="AJ187" i="5"/>
  <c r="AJ188" i="5"/>
  <c r="AJ189" i="5"/>
  <c r="AJ190" i="5"/>
  <c r="AJ191" i="5"/>
  <c r="AJ192" i="5"/>
  <c r="AJ193" i="5"/>
  <c r="AJ194" i="5"/>
  <c r="AJ195" i="5"/>
  <c r="AJ196" i="5"/>
  <c r="AJ197" i="5"/>
  <c r="AJ198" i="5"/>
  <c r="AJ199" i="5"/>
  <c r="AJ200" i="5"/>
  <c r="AJ201" i="5"/>
  <c r="AJ202" i="5"/>
  <c r="AJ203" i="5"/>
  <c r="AJ204" i="5"/>
  <c r="AJ205" i="5"/>
  <c r="AJ206" i="5"/>
  <c r="AJ207" i="5"/>
  <c r="AJ208" i="5"/>
  <c r="AJ209" i="5"/>
  <c r="AJ210" i="5"/>
  <c r="AJ211" i="5"/>
  <c r="AJ212" i="5"/>
  <c r="AJ213" i="5"/>
  <c r="AJ214" i="5"/>
  <c r="AJ215" i="5"/>
  <c r="AJ216" i="5"/>
  <c r="AJ217" i="5"/>
  <c r="AJ218" i="5"/>
  <c r="AJ219" i="5"/>
  <c r="AJ220" i="5"/>
  <c r="AJ221" i="5"/>
  <c r="AJ222" i="5"/>
  <c r="AJ223" i="5"/>
  <c r="AJ224" i="5"/>
  <c r="AJ225" i="5"/>
  <c r="AJ226" i="5"/>
  <c r="AJ227" i="5"/>
  <c r="AJ228" i="5"/>
  <c r="AJ229" i="5"/>
  <c r="AJ230" i="5"/>
  <c r="AJ231" i="5"/>
  <c r="AJ232" i="5"/>
  <c r="AJ233" i="5"/>
  <c r="AJ234" i="5"/>
  <c r="AJ235" i="5"/>
  <c r="AJ236" i="5"/>
  <c r="AJ237" i="5"/>
  <c r="AJ238" i="5"/>
  <c r="AJ239" i="5"/>
  <c r="AJ240" i="5"/>
  <c r="AJ241" i="5"/>
  <c r="AJ242" i="5"/>
  <c r="AJ243" i="5"/>
  <c r="AJ244" i="5"/>
  <c r="AJ245" i="5"/>
  <c r="AJ246" i="5"/>
  <c r="AJ247" i="5"/>
  <c r="AJ248" i="5"/>
  <c r="AJ249" i="5"/>
  <c r="AJ250" i="5"/>
  <c r="AJ251" i="5"/>
  <c r="AJ252" i="5"/>
  <c r="AJ253" i="5"/>
  <c r="AJ254" i="5"/>
  <c r="AJ255" i="5"/>
  <c r="AJ256" i="5"/>
  <c r="AJ257" i="5"/>
  <c r="AJ258" i="5"/>
  <c r="AJ259" i="5"/>
  <c r="AJ260" i="5"/>
  <c r="AJ261" i="5"/>
  <c r="AJ262" i="5"/>
  <c r="AJ263" i="5"/>
  <c r="AJ264" i="5"/>
  <c r="AJ265" i="5"/>
  <c r="AJ266" i="5"/>
  <c r="AJ267" i="5"/>
  <c r="AJ268" i="5"/>
  <c r="AJ269" i="5"/>
  <c r="AJ270" i="5"/>
  <c r="AJ271" i="5"/>
  <c r="AJ272" i="5"/>
  <c r="AJ273" i="5"/>
  <c r="AJ274" i="5"/>
  <c r="AJ275" i="5"/>
  <c r="AJ276" i="5"/>
  <c r="AJ277" i="5"/>
  <c r="AJ278" i="5"/>
  <c r="AJ279" i="5"/>
  <c r="AJ280" i="5"/>
  <c r="AJ281" i="5"/>
  <c r="AJ282" i="5"/>
  <c r="AJ283" i="5"/>
  <c r="AJ284" i="5"/>
  <c r="AJ285" i="5"/>
  <c r="AJ286" i="5"/>
  <c r="AJ287" i="5"/>
  <c r="AJ288" i="5"/>
  <c r="AJ289" i="5"/>
  <c r="AJ290" i="5"/>
  <c r="AJ291" i="5"/>
  <c r="AJ292" i="5"/>
  <c r="AJ293" i="5"/>
  <c r="AJ294" i="5"/>
  <c r="AJ295" i="5"/>
  <c r="AJ296" i="5"/>
  <c r="AJ297" i="5"/>
  <c r="AJ298" i="5"/>
  <c r="AJ299" i="5"/>
  <c r="AJ300" i="5"/>
  <c r="AJ301" i="5"/>
  <c r="AJ302" i="5"/>
  <c r="AJ303" i="5"/>
  <c r="AJ304" i="5"/>
  <c r="AJ305" i="5"/>
  <c r="AJ306" i="5"/>
  <c r="AJ307" i="5"/>
  <c r="AJ308" i="5"/>
  <c r="AJ309" i="5"/>
  <c r="AJ310" i="5"/>
  <c r="AJ311" i="5"/>
  <c r="AJ312" i="5"/>
  <c r="AJ313" i="5"/>
  <c r="AJ314" i="5"/>
  <c r="AJ315" i="5"/>
  <c r="AJ316" i="5"/>
  <c r="AJ317" i="5"/>
  <c r="AJ318" i="5"/>
  <c r="AJ319" i="5"/>
  <c r="AJ320" i="5"/>
  <c r="AJ321" i="5"/>
  <c r="AJ322" i="5"/>
  <c r="AJ323" i="5"/>
  <c r="AJ324" i="5"/>
  <c r="AJ325" i="5"/>
  <c r="AJ326" i="5"/>
  <c r="AJ327" i="5"/>
  <c r="AJ328" i="5"/>
  <c r="AJ329" i="5"/>
  <c r="AJ330" i="5"/>
  <c r="AJ331" i="5"/>
  <c r="AJ332" i="5"/>
  <c r="AJ333" i="5"/>
  <c r="AJ334" i="5"/>
  <c r="AJ335" i="5"/>
  <c r="AJ336" i="5"/>
  <c r="AJ337" i="5"/>
  <c r="AJ338" i="5"/>
  <c r="AJ339" i="5"/>
  <c r="AJ340" i="5"/>
  <c r="AJ341" i="5"/>
  <c r="AJ342" i="5"/>
  <c r="AJ343" i="5"/>
  <c r="AJ344" i="5"/>
  <c r="AJ345" i="5"/>
  <c r="AJ346" i="5"/>
  <c r="AJ347" i="5"/>
  <c r="AJ348" i="5"/>
  <c r="AJ349" i="5"/>
  <c r="AJ350" i="5"/>
  <c r="AJ351" i="5"/>
  <c r="AJ352" i="5"/>
  <c r="AJ353" i="5"/>
  <c r="AJ354" i="5"/>
  <c r="AJ355" i="5"/>
  <c r="AJ356" i="5"/>
  <c r="AJ357" i="5"/>
  <c r="AJ358" i="5"/>
  <c r="AJ359" i="5"/>
  <c r="AJ360" i="5"/>
  <c r="AJ361" i="5"/>
  <c r="AJ362" i="5"/>
  <c r="AJ363" i="5"/>
  <c r="AJ364" i="5"/>
  <c r="AJ365" i="5"/>
  <c r="AJ366" i="5"/>
  <c r="AJ367" i="5"/>
  <c r="AJ368" i="5"/>
  <c r="AJ369" i="5"/>
  <c r="AJ370" i="5"/>
  <c r="AJ371" i="5"/>
  <c r="AJ372" i="5"/>
  <c r="AJ373" i="5"/>
  <c r="AJ374" i="5"/>
  <c r="AJ375" i="5"/>
  <c r="AJ376" i="5"/>
  <c r="AJ377" i="5"/>
  <c r="AJ378" i="5"/>
  <c r="AJ379" i="5"/>
  <c r="AJ380" i="5"/>
  <c r="AJ381" i="5"/>
  <c r="AJ382" i="5"/>
  <c r="AJ383" i="5"/>
  <c r="AJ384" i="5"/>
  <c r="AJ385" i="5"/>
  <c r="AJ386" i="5"/>
  <c r="AJ387" i="5"/>
  <c r="AJ388" i="5"/>
  <c r="AJ389" i="5"/>
  <c r="AJ390" i="5"/>
  <c r="AJ391" i="5"/>
  <c r="AJ392" i="5"/>
  <c r="AJ393" i="5"/>
  <c r="AJ394" i="5"/>
  <c r="AJ395" i="5"/>
  <c r="AJ396" i="5"/>
  <c r="AJ397" i="5"/>
  <c r="AJ398" i="5"/>
  <c r="AJ399" i="5"/>
  <c r="AJ400" i="5"/>
  <c r="AJ401" i="5"/>
  <c r="AJ402" i="5"/>
  <c r="AJ403" i="5"/>
  <c r="AJ404" i="5"/>
  <c r="AJ405" i="5"/>
  <c r="AJ406" i="5"/>
  <c r="AJ407" i="5"/>
  <c r="AJ408" i="5"/>
  <c r="AJ409" i="5"/>
  <c r="AJ410" i="5"/>
  <c r="AJ411" i="5"/>
  <c r="AJ412" i="5"/>
  <c r="AJ413" i="5"/>
  <c r="AJ414" i="5"/>
  <c r="AJ415" i="5"/>
  <c r="AJ416" i="5"/>
  <c r="AJ417" i="5"/>
  <c r="AJ418" i="5"/>
  <c r="AJ419" i="5"/>
  <c r="AJ420" i="5"/>
  <c r="AJ421" i="5"/>
  <c r="AJ422" i="5"/>
  <c r="AJ423" i="5"/>
  <c r="AJ424" i="5"/>
  <c r="AJ425" i="5"/>
  <c r="AJ426" i="5"/>
  <c r="AJ427" i="5"/>
  <c r="AJ428" i="5"/>
  <c r="AJ429" i="5"/>
  <c r="AJ430" i="5"/>
  <c r="AJ431" i="5"/>
  <c r="AJ432" i="5"/>
  <c r="AJ433" i="5"/>
  <c r="AJ434" i="5"/>
  <c r="AJ435" i="5"/>
  <c r="AJ436" i="5"/>
  <c r="AJ437" i="5"/>
  <c r="AJ438" i="5"/>
  <c r="AJ439" i="5"/>
  <c r="AJ440" i="5"/>
  <c r="AJ441" i="5"/>
  <c r="AJ442" i="5"/>
  <c r="AJ443" i="5"/>
  <c r="AJ444" i="5"/>
  <c r="AJ445" i="5"/>
  <c r="AJ446" i="5"/>
  <c r="AJ447" i="5"/>
  <c r="AJ448" i="5"/>
  <c r="AJ449" i="5"/>
  <c r="AJ450" i="5"/>
  <c r="AJ451" i="5"/>
  <c r="AJ452" i="5"/>
  <c r="AJ453" i="5"/>
  <c r="AJ454" i="5"/>
  <c r="AJ455" i="5"/>
  <c r="AJ456" i="5"/>
  <c r="AJ457" i="5"/>
  <c r="AJ458" i="5"/>
  <c r="AJ459" i="5"/>
  <c r="AJ460" i="5"/>
  <c r="AJ461" i="5"/>
  <c r="AJ462" i="5"/>
  <c r="AJ463" i="5"/>
  <c r="AJ464" i="5"/>
  <c r="AJ465" i="5"/>
  <c r="AJ466" i="5"/>
  <c r="AJ467" i="5"/>
  <c r="AJ468" i="5"/>
  <c r="AJ469" i="5"/>
  <c r="AJ470" i="5"/>
  <c r="AJ471" i="5"/>
  <c r="AJ472" i="5"/>
  <c r="AJ473" i="5"/>
  <c r="AJ474" i="5"/>
  <c r="AJ475" i="5"/>
  <c r="AJ476" i="5"/>
  <c r="AJ477" i="5"/>
  <c r="AJ478" i="5"/>
  <c r="AJ479" i="5"/>
  <c r="AJ480" i="5"/>
  <c r="AJ481" i="5"/>
  <c r="AJ482" i="5"/>
  <c r="AJ483" i="5"/>
  <c r="AJ484" i="5"/>
  <c r="AJ485" i="5"/>
  <c r="AJ486" i="5"/>
  <c r="AJ487" i="5"/>
  <c r="AJ488" i="5"/>
  <c r="AJ489" i="5"/>
  <c r="AJ490" i="5"/>
  <c r="AJ491" i="5"/>
  <c r="AJ492" i="5"/>
  <c r="AJ493" i="5"/>
  <c r="AJ494" i="5"/>
  <c r="AJ495" i="5"/>
  <c r="AJ496" i="5"/>
  <c r="AJ497" i="5"/>
  <c r="AJ498" i="5"/>
  <c r="AJ499" i="5"/>
  <c r="AJ500" i="5"/>
  <c r="AJ501" i="5"/>
  <c r="AJ502" i="5"/>
  <c r="AJ503" i="5"/>
  <c r="AJ504" i="5"/>
  <c r="AJ505" i="5"/>
  <c r="AJ506" i="5"/>
  <c r="AJ507" i="5"/>
  <c r="AJ508" i="5"/>
  <c r="AJ509" i="5"/>
  <c r="AJ510" i="5"/>
  <c r="AJ511" i="5"/>
  <c r="AJ512" i="5"/>
  <c r="AJ513" i="5"/>
  <c r="AJ514" i="5"/>
  <c r="AJ515" i="5"/>
  <c r="AJ516" i="5"/>
  <c r="AJ517" i="5"/>
  <c r="AJ518" i="5"/>
  <c r="AJ519" i="5"/>
  <c r="AJ520" i="5"/>
  <c r="AJ521" i="5"/>
  <c r="AJ522" i="5"/>
  <c r="AJ523" i="5"/>
  <c r="AJ524" i="5"/>
  <c r="AJ525" i="5"/>
  <c r="AJ526" i="5"/>
  <c r="AJ527" i="5"/>
  <c r="AJ528" i="5"/>
  <c r="AJ529" i="5"/>
  <c r="AJ530" i="5"/>
  <c r="AJ531" i="5"/>
  <c r="AJ2" i="5"/>
  <c r="AJ2" i="1"/>
  <c r="AH3" i="5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66" i="5"/>
  <c r="AH267" i="5"/>
  <c r="AH268" i="5"/>
  <c r="AH269" i="5"/>
  <c r="AH270" i="5"/>
  <c r="AH271" i="5"/>
  <c r="AH272" i="5"/>
  <c r="AH273" i="5"/>
  <c r="AH274" i="5"/>
  <c r="AH275" i="5"/>
  <c r="AH276" i="5"/>
  <c r="AH277" i="5"/>
  <c r="AH278" i="5"/>
  <c r="AH279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302" i="5"/>
  <c r="AH303" i="5"/>
  <c r="AH304" i="5"/>
  <c r="AH305" i="5"/>
  <c r="AH306" i="5"/>
  <c r="AH307" i="5"/>
  <c r="AH308" i="5"/>
  <c r="AH309" i="5"/>
  <c r="AH310" i="5"/>
  <c r="AH311" i="5"/>
  <c r="AH312" i="5"/>
  <c r="AH313" i="5"/>
  <c r="AH314" i="5"/>
  <c r="AH315" i="5"/>
  <c r="AH316" i="5"/>
  <c r="AH317" i="5"/>
  <c r="AH318" i="5"/>
  <c r="AH319" i="5"/>
  <c r="AH320" i="5"/>
  <c r="AH321" i="5"/>
  <c r="AH322" i="5"/>
  <c r="AH323" i="5"/>
  <c r="AH324" i="5"/>
  <c r="AH325" i="5"/>
  <c r="AH326" i="5"/>
  <c r="AH327" i="5"/>
  <c r="AH328" i="5"/>
  <c r="AH329" i="5"/>
  <c r="AH330" i="5"/>
  <c r="AH331" i="5"/>
  <c r="AH332" i="5"/>
  <c r="AH333" i="5"/>
  <c r="AH334" i="5"/>
  <c r="AH335" i="5"/>
  <c r="AH336" i="5"/>
  <c r="AH337" i="5"/>
  <c r="AH338" i="5"/>
  <c r="AH339" i="5"/>
  <c r="AH340" i="5"/>
  <c r="AH341" i="5"/>
  <c r="AH342" i="5"/>
  <c r="AH343" i="5"/>
  <c r="AH344" i="5"/>
  <c r="AH345" i="5"/>
  <c r="AH346" i="5"/>
  <c r="AH347" i="5"/>
  <c r="AH348" i="5"/>
  <c r="AH349" i="5"/>
  <c r="AH350" i="5"/>
  <c r="AH351" i="5"/>
  <c r="AH352" i="5"/>
  <c r="AH353" i="5"/>
  <c r="AH354" i="5"/>
  <c r="AH355" i="5"/>
  <c r="AH356" i="5"/>
  <c r="AH357" i="5"/>
  <c r="AH358" i="5"/>
  <c r="AH359" i="5"/>
  <c r="AH360" i="5"/>
  <c r="AH361" i="5"/>
  <c r="AH362" i="5"/>
  <c r="AH363" i="5"/>
  <c r="AH364" i="5"/>
  <c r="AH365" i="5"/>
  <c r="AH366" i="5"/>
  <c r="AH367" i="5"/>
  <c r="AH368" i="5"/>
  <c r="AH369" i="5"/>
  <c r="AH370" i="5"/>
  <c r="AH371" i="5"/>
  <c r="AH372" i="5"/>
  <c r="AH373" i="5"/>
  <c r="AH374" i="5"/>
  <c r="AH375" i="5"/>
  <c r="AH376" i="5"/>
  <c r="AH377" i="5"/>
  <c r="AH378" i="5"/>
  <c r="AH379" i="5"/>
  <c r="AH380" i="5"/>
  <c r="AH381" i="5"/>
  <c r="AH382" i="5"/>
  <c r="AH383" i="5"/>
  <c r="AH384" i="5"/>
  <c r="AH385" i="5"/>
  <c r="AH386" i="5"/>
  <c r="AH387" i="5"/>
  <c r="AH388" i="5"/>
  <c r="AH389" i="5"/>
  <c r="AH390" i="5"/>
  <c r="AH391" i="5"/>
  <c r="AH392" i="5"/>
  <c r="AH393" i="5"/>
  <c r="AH394" i="5"/>
  <c r="AH395" i="5"/>
  <c r="AH396" i="5"/>
  <c r="AH397" i="5"/>
  <c r="AH398" i="5"/>
  <c r="AH399" i="5"/>
  <c r="AH400" i="5"/>
  <c r="AH401" i="5"/>
  <c r="AH402" i="5"/>
  <c r="AH403" i="5"/>
  <c r="AH404" i="5"/>
  <c r="AH405" i="5"/>
  <c r="AH406" i="5"/>
  <c r="AH407" i="5"/>
  <c r="AH408" i="5"/>
  <c r="AH409" i="5"/>
  <c r="AH410" i="5"/>
  <c r="AH411" i="5"/>
  <c r="AH412" i="5"/>
  <c r="AH413" i="5"/>
  <c r="AH414" i="5"/>
  <c r="AH415" i="5"/>
  <c r="AH416" i="5"/>
  <c r="AH417" i="5"/>
  <c r="AH418" i="5"/>
  <c r="AH419" i="5"/>
  <c r="AH420" i="5"/>
  <c r="AH421" i="5"/>
  <c r="AH422" i="5"/>
  <c r="AH423" i="5"/>
  <c r="AH424" i="5"/>
  <c r="AH425" i="5"/>
  <c r="AH426" i="5"/>
  <c r="AH427" i="5"/>
  <c r="AH428" i="5"/>
  <c r="AH429" i="5"/>
  <c r="AH430" i="5"/>
  <c r="AH431" i="5"/>
  <c r="AH432" i="5"/>
  <c r="AH433" i="5"/>
  <c r="AH434" i="5"/>
  <c r="AH435" i="5"/>
  <c r="AH436" i="5"/>
  <c r="AH437" i="5"/>
  <c r="AH438" i="5"/>
  <c r="AH439" i="5"/>
  <c r="AH440" i="5"/>
  <c r="AH441" i="5"/>
  <c r="AH442" i="5"/>
  <c r="AH443" i="5"/>
  <c r="AH444" i="5"/>
  <c r="AH445" i="5"/>
  <c r="AH446" i="5"/>
  <c r="AH447" i="5"/>
  <c r="AH448" i="5"/>
  <c r="AH449" i="5"/>
  <c r="AH450" i="5"/>
  <c r="AH451" i="5"/>
  <c r="AH452" i="5"/>
  <c r="AH453" i="5"/>
  <c r="AH454" i="5"/>
  <c r="AH455" i="5"/>
  <c r="AH456" i="5"/>
  <c r="AH457" i="5"/>
  <c r="AH458" i="5"/>
  <c r="AH459" i="5"/>
  <c r="AH460" i="5"/>
  <c r="AH461" i="5"/>
  <c r="AH462" i="5"/>
  <c r="AH463" i="5"/>
  <c r="AH464" i="5"/>
  <c r="AH465" i="5"/>
  <c r="AH466" i="5"/>
  <c r="AH467" i="5"/>
  <c r="AH468" i="5"/>
  <c r="AH469" i="5"/>
  <c r="AH470" i="5"/>
  <c r="AH471" i="5"/>
  <c r="AH472" i="5"/>
  <c r="AH473" i="5"/>
  <c r="AH474" i="5"/>
  <c r="AH475" i="5"/>
  <c r="AH476" i="5"/>
  <c r="AH477" i="5"/>
  <c r="AH478" i="5"/>
  <c r="AH479" i="5"/>
  <c r="AH480" i="5"/>
  <c r="AH481" i="5"/>
  <c r="AH482" i="5"/>
  <c r="AH483" i="5"/>
  <c r="AH484" i="5"/>
  <c r="AH485" i="5"/>
  <c r="AH486" i="5"/>
  <c r="AH487" i="5"/>
  <c r="AH488" i="5"/>
  <c r="AH489" i="5"/>
  <c r="AH490" i="5"/>
  <c r="AH491" i="5"/>
  <c r="AH492" i="5"/>
  <c r="AH493" i="5"/>
  <c r="AH494" i="5"/>
  <c r="AH495" i="5"/>
  <c r="AH496" i="5"/>
  <c r="AH497" i="5"/>
  <c r="AH498" i="5"/>
  <c r="AH499" i="5"/>
  <c r="AH500" i="5"/>
  <c r="AH501" i="5"/>
  <c r="AH502" i="5"/>
  <c r="AH503" i="5"/>
  <c r="AH504" i="5"/>
  <c r="AH505" i="5"/>
  <c r="AH506" i="5"/>
  <c r="AH507" i="5"/>
  <c r="AH508" i="5"/>
  <c r="AH509" i="5"/>
  <c r="AH510" i="5"/>
  <c r="AH511" i="5"/>
  <c r="AH512" i="5"/>
  <c r="AH513" i="5"/>
  <c r="AH514" i="5"/>
  <c r="AH515" i="5"/>
  <c r="AH516" i="5"/>
  <c r="AH517" i="5"/>
  <c r="AH518" i="5"/>
  <c r="AH519" i="5"/>
  <c r="AH520" i="5"/>
  <c r="AH521" i="5"/>
  <c r="AH522" i="5"/>
  <c r="AH523" i="5"/>
  <c r="AH524" i="5"/>
  <c r="AH525" i="5"/>
  <c r="AH526" i="5"/>
  <c r="AH527" i="5"/>
  <c r="AH528" i="5"/>
  <c r="AH529" i="5"/>
  <c r="AH530" i="5"/>
  <c r="AH531" i="5"/>
  <c r="AH2" i="5"/>
  <c r="AH2" i="1"/>
  <c r="AC3" i="5"/>
  <c r="AC4" i="5"/>
  <c r="AC5" i="5"/>
  <c r="AC6" i="5"/>
  <c r="AC7" i="5"/>
  <c r="AC8" i="5"/>
  <c r="AC9" i="5"/>
  <c r="AC10" i="5"/>
  <c r="AC11" i="5"/>
  <c r="AC12" i="5"/>
  <c r="AC13" i="5"/>
  <c r="AC14" i="5"/>
  <c r="AC2" i="5"/>
  <c r="AC2" i="1"/>
  <c r="AB3" i="5"/>
  <c r="AB4" i="5"/>
  <c r="AB5" i="5"/>
  <c r="AB6" i="5"/>
  <c r="AB7" i="5"/>
  <c r="AB8" i="5"/>
  <c r="AB9" i="5"/>
  <c r="AB10" i="5"/>
  <c r="AB11" i="5"/>
  <c r="AB12" i="5"/>
  <c r="AB13" i="5"/>
  <c r="AB14" i="5"/>
  <c r="AB2" i="5"/>
  <c r="AB2" i="1"/>
  <c r="AM3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M158" i="6"/>
  <c r="AM159" i="6"/>
  <c r="AM160" i="6"/>
  <c r="AM161" i="6"/>
  <c r="AM162" i="6"/>
  <c r="AM163" i="6"/>
  <c r="AM164" i="6"/>
  <c r="AM165" i="6"/>
  <c r="AM166" i="6"/>
  <c r="AM167" i="6"/>
  <c r="AM168" i="6"/>
  <c r="AM169" i="6"/>
  <c r="AM170" i="6"/>
  <c r="AM171" i="6"/>
  <c r="AM172" i="6"/>
  <c r="AM173" i="6"/>
  <c r="AM174" i="6"/>
  <c r="AM175" i="6"/>
  <c r="AM176" i="6"/>
  <c r="AM177" i="6"/>
  <c r="AM178" i="6"/>
  <c r="AM179" i="6"/>
  <c r="AM180" i="6"/>
  <c r="AM181" i="6"/>
  <c r="AM182" i="6"/>
  <c r="AM183" i="6"/>
  <c r="AM184" i="6"/>
  <c r="AM185" i="6"/>
  <c r="AM186" i="6"/>
  <c r="AM187" i="6"/>
  <c r="AM188" i="6"/>
  <c r="AM189" i="6"/>
  <c r="AM190" i="6"/>
  <c r="AM191" i="6"/>
  <c r="AM192" i="6"/>
  <c r="AM193" i="6"/>
  <c r="AM194" i="6"/>
  <c r="AM195" i="6"/>
  <c r="AM196" i="6"/>
  <c r="AM197" i="6"/>
  <c r="AM198" i="6"/>
  <c r="AM199" i="6"/>
  <c r="AM200" i="6"/>
  <c r="AM201" i="6"/>
  <c r="AM202" i="6"/>
  <c r="AM203" i="6"/>
  <c r="AM204" i="6"/>
  <c r="AM205" i="6"/>
  <c r="AM206" i="6"/>
  <c r="AM207" i="6"/>
  <c r="AM208" i="6"/>
  <c r="AM209" i="6"/>
  <c r="AM210" i="6"/>
  <c r="AM211" i="6"/>
  <c r="AM212" i="6"/>
  <c r="AM213" i="6"/>
  <c r="AM214" i="6"/>
  <c r="AM215" i="6"/>
  <c r="AM216" i="6"/>
  <c r="AM217" i="6"/>
  <c r="AM218" i="6"/>
  <c r="AM219" i="6"/>
  <c r="AM220" i="6"/>
  <c r="AM221" i="6"/>
  <c r="AM222" i="6"/>
  <c r="AM223" i="6"/>
  <c r="AM224" i="6"/>
  <c r="AM225" i="6"/>
  <c r="AM226" i="6"/>
  <c r="AM227" i="6"/>
  <c r="AM228" i="6"/>
  <c r="AM229" i="6"/>
  <c r="AM230" i="6"/>
  <c r="AM231" i="6"/>
  <c r="AM232" i="6"/>
  <c r="AM233" i="6"/>
  <c r="AM234" i="6"/>
  <c r="AM235" i="6"/>
  <c r="AM236" i="6"/>
  <c r="AM237" i="6"/>
  <c r="AM238" i="6"/>
  <c r="AM239" i="6"/>
  <c r="AM240" i="6"/>
  <c r="AM241" i="6"/>
  <c r="AM242" i="6"/>
  <c r="AM243" i="6"/>
  <c r="AM244" i="6"/>
  <c r="AM245" i="6"/>
  <c r="AM246" i="6"/>
  <c r="AM247" i="6"/>
  <c r="AM248" i="6"/>
  <c r="AM249" i="6"/>
  <c r="AM250" i="6"/>
  <c r="AM251" i="6"/>
  <c r="AM252" i="6"/>
  <c r="AM253" i="6"/>
  <c r="AM254" i="6"/>
  <c r="AM255" i="6"/>
  <c r="AM256" i="6"/>
  <c r="AM257" i="6"/>
  <c r="AM258" i="6"/>
  <c r="AM259" i="6"/>
  <c r="AM260" i="6"/>
  <c r="AM261" i="6"/>
  <c r="AM262" i="6"/>
  <c r="AM263" i="6"/>
  <c r="AM264" i="6"/>
  <c r="AM265" i="6"/>
  <c r="AM266" i="6"/>
  <c r="AM267" i="6"/>
  <c r="AM268" i="6"/>
  <c r="AM269" i="6"/>
  <c r="AM270" i="6"/>
  <c r="AM271" i="6"/>
  <c r="AM272" i="6"/>
  <c r="AM273" i="6"/>
  <c r="AM274" i="6"/>
  <c r="AM275" i="6"/>
  <c r="AM276" i="6"/>
  <c r="AM277" i="6"/>
  <c r="AM278" i="6"/>
  <c r="AM279" i="6"/>
  <c r="AM280" i="6"/>
  <c r="AM281" i="6"/>
  <c r="AM282" i="6"/>
  <c r="AM283" i="6"/>
  <c r="AM284" i="6"/>
  <c r="AM285" i="6"/>
  <c r="AM286" i="6"/>
  <c r="AM287" i="6"/>
  <c r="AM288" i="6"/>
  <c r="AM289" i="6"/>
  <c r="AM290" i="6"/>
  <c r="AM291" i="6"/>
  <c r="AM292" i="6"/>
  <c r="AM293" i="6"/>
  <c r="AM294" i="6"/>
  <c r="AM295" i="6"/>
  <c r="AM296" i="6"/>
  <c r="AM297" i="6"/>
  <c r="AM298" i="6"/>
  <c r="AM299" i="6"/>
  <c r="AM300" i="6"/>
  <c r="AM301" i="6"/>
  <c r="AM302" i="6"/>
  <c r="AM303" i="6"/>
  <c r="AM304" i="6"/>
  <c r="AM305" i="6"/>
  <c r="AM306" i="6"/>
  <c r="AM307" i="6"/>
  <c r="AM308" i="6"/>
  <c r="AM309" i="6"/>
  <c r="AM310" i="6"/>
  <c r="AM311" i="6"/>
  <c r="AM312" i="6"/>
  <c r="AM313" i="6"/>
  <c r="AM314" i="6"/>
  <c r="AM315" i="6"/>
  <c r="AM316" i="6"/>
  <c r="AM317" i="6"/>
  <c r="AM318" i="6"/>
  <c r="AM319" i="6"/>
  <c r="AM320" i="6"/>
  <c r="AM321" i="6"/>
  <c r="AM322" i="6"/>
  <c r="AM323" i="6"/>
  <c r="AM324" i="6"/>
  <c r="AM325" i="6"/>
  <c r="AM326" i="6"/>
  <c r="AM327" i="6"/>
  <c r="AM328" i="6"/>
  <c r="AM329" i="6"/>
  <c r="AM330" i="6"/>
  <c r="AM331" i="6"/>
  <c r="AM332" i="6"/>
  <c r="AM333" i="6"/>
  <c r="AM334" i="6"/>
  <c r="AM335" i="6"/>
  <c r="AM336" i="6"/>
  <c r="AM337" i="6"/>
  <c r="AM338" i="6"/>
  <c r="AM339" i="6"/>
  <c r="AM340" i="6"/>
  <c r="AM341" i="6"/>
  <c r="AM342" i="6"/>
  <c r="AM343" i="6"/>
  <c r="AM344" i="6"/>
  <c r="AM345" i="6"/>
  <c r="AM346" i="6"/>
  <c r="AM347" i="6"/>
  <c r="AM348" i="6"/>
  <c r="AM349" i="6"/>
  <c r="AM350" i="6"/>
  <c r="AM351" i="6"/>
  <c r="AM352" i="6"/>
  <c r="AM353" i="6"/>
  <c r="AM354" i="6"/>
  <c r="AM355" i="6"/>
  <c r="AM356" i="6"/>
  <c r="AM357" i="6"/>
  <c r="AM358" i="6"/>
  <c r="AM359" i="6"/>
  <c r="AM360" i="6"/>
  <c r="AM361" i="6"/>
  <c r="AM362" i="6"/>
  <c r="AM363" i="6"/>
  <c r="AM364" i="6"/>
  <c r="AM365" i="6"/>
  <c r="AM366" i="6"/>
  <c r="AM367" i="6"/>
  <c r="AM368" i="6"/>
  <c r="AM369" i="6"/>
  <c r="AM370" i="6"/>
  <c r="AM371" i="6"/>
  <c r="AM372" i="6"/>
  <c r="AM373" i="6"/>
  <c r="AM374" i="6"/>
  <c r="AM375" i="6"/>
  <c r="AM376" i="6"/>
  <c r="AM377" i="6"/>
  <c r="AM378" i="6"/>
  <c r="AM379" i="6"/>
  <c r="AM380" i="6"/>
  <c r="AM381" i="6"/>
  <c r="AM382" i="6"/>
  <c r="AM383" i="6"/>
  <c r="AM384" i="6"/>
  <c r="AM385" i="6"/>
  <c r="AM386" i="6"/>
  <c r="AM387" i="6"/>
  <c r="AM388" i="6"/>
  <c r="AM389" i="6"/>
  <c r="AM390" i="6"/>
  <c r="AM391" i="6"/>
  <c r="AM392" i="6"/>
  <c r="AM393" i="6"/>
  <c r="AM394" i="6"/>
  <c r="AM395" i="6"/>
  <c r="AM396" i="6"/>
  <c r="AM397" i="6"/>
  <c r="AM398" i="6"/>
  <c r="AM399" i="6"/>
  <c r="AM400" i="6"/>
  <c r="AM401" i="6"/>
  <c r="AM402" i="6"/>
  <c r="AM403" i="6"/>
  <c r="AM404" i="6"/>
  <c r="AM405" i="6"/>
  <c r="AM406" i="6"/>
  <c r="AM407" i="6"/>
  <c r="AM408" i="6"/>
  <c r="AM409" i="6"/>
  <c r="AM410" i="6"/>
  <c r="AM411" i="6"/>
  <c r="AM412" i="6"/>
  <c r="AM413" i="6"/>
  <c r="AM414" i="6"/>
  <c r="AM415" i="6"/>
  <c r="AM416" i="6"/>
  <c r="AM417" i="6"/>
  <c r="AM418" i="6"/>
  <c r="AM419" i="6"/>
  <c r="AM420" i="6"/>
  <c r="AM421" i="6"/>
  <c r="AM422" i="6"/>
  <c r="AM423" i="6"/>
  <c r="AM424" i="6"/>
  <c r="AM425" i="6"/>
  <c r="AM426" i="6"/>
  <c r="AM427" i="6"/>
  <c r="AM428" i="6"/>
  <c r="AM429" i="6"/>
  <c r="AM430" i="6"/>
  <c r="AM431" i="6"/>
  <c r="AM432" i="6"/>
  <c r="AM433" i="6"/>
  <c r="AM434" i="6"/>
  <c r="AM435" i="6"/>
  <c r="AM436" i="6"/>
  <c r="AM437" i="6"/>
  <c r="AM438" i="6"/>
  <c r="AM439" i="6"/>
  <c r="AM440" i="6"/>
  <c r="AM441" i="6"/>
  <c r="AM442" i="6"/>
  <c r="AM443" i="6"/>
  <c r="AM444" i="6"/>
  <c r="AM445" i="6"/>
  <c r="AM446" i="6"/>
  <c r="AM447" i="6"/>
  <c r="AM448" i="6"/>
  <c r="AM449" i="6"/>
  <c r="AM450" i="6"/>
  <c r="AM451" i="6"/>
  <c r="AM452" i="6"/>
  <c r="AM453" i="6"/>
  <c r="AM454" i="6"/>
  <c r="AM455" i="6"/>
  <c r="AM456" i="6"/>
  <c r="AM457" i="6"/>
  <c r="AM458" i="6"/>
  <c r="AM459" i="6"/>
  <c r="AM460" i="6"/>
  <c r="AM461" i="6"/>
  <c r="AM462" i="6"/>
  <c r="AM463" i="6"/>
  <c r="AM464" i="6"/>
  <c r="AM465" i="6"/>
  <c r="AM466" i="6"/>
  <c r="AM467" i="6"/>
  <c r="AM468" i="6"/>
  <c r="AM469" i="6"/>
  <c r="AM470" i="6"/>
  <c r="AM471" i="6"/>
  <c r="AM472" i="6"/>
  <c r="AM473" i="6"/>
  <c r="AM474" i="6"/>
  <c r="AM475" i="6"/>
  <c r="AM476" i="6"/>
  <c r="AM477" i="6"/>
  <c r="AM478" i="6"/>
  <c r="AM479" i="6"/>
  <c r="AM480" i="6"/>
  <c r="AM481" i="6"/>
  <c r="AM482" i="6"/>
  <c r="AM483" i="6"/>
  <c r="AM484" i="6"/>
  <c r="AM485" i="6"/>
  <c r="AM486" i="6"/>
  <c r="AM487" i="6"/>
  <c r="AM488" i="6"/>
  <c r="AM489" i="6"/>
  <c r="AM490" i="6"/>
  <c r="AM491" i="6"/>
  <c r="AM492" i="6"/>
  <c r="AM493" i="6"/>
  <c r="AM494" i="6"/>
  <c r="AM495" i="6"/>
  <c r="AM496" i="6"/>
  <c r="AM497" i="6"/>
  <c r="AM498" i="6"/>
  <c r="AM499" i="6"/>
  <c r="AM500" i="6"/>
  <c r="AM501" i="6"/>
  <c r="AM502" i="6"/>
  <c r="AM503" i="6"/>
  <c r="AM504" i="6"/>
  <c r="AM505" i="6"/>
  <c r="AM506" i="6"/>
  <c r="AM507" i="6"/>
  <c r="AM508" i="6"/>
  <c r="AM509" i="6"/>
  <c r="AM510" i="6"/>
  <c r="AM511" i="6"/>
  <c r="AM512" i="6"/>
  <c r="AM513" i="6"/>
  <c r="AM514" i="6"/>
  <c r="AM515" i="6"/>
  <c r="AM516" i="6"/>
  <c r="AM517" i="6"/>
  <c r="AM518" i="6"/>
  <c r="AM519" i="6"/>
  <c r="AM520" i="6"/>
  <c r="AM521" i="6"/>
  <c r="AM522" i="6"/>
  <c r="AM523" i="6"/>
  <c r="AM524" i="6"/>
  <c r="AM525" i="6"/>
  <c r="AM526" i="6"/>
  <c r="AM527" i="6"/>
  <c r="AM528" i="6"/>
  <c r="AM529" i="6"/>
  <c r="AM530" i="6"/>
  <c r="AM2" i="6"/>
  <c r="AM2" i="1"/>
  <c r="AL3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J3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3" i="6"/>
  <c r="AJ174" i="6"/>
  <c r="AJ175" i="6"/>
  <c r="AJ176" i="6"/>
  <c r="AJ177" i="6"/>
  <c r="AJ178" i="6"/>
  <c r="AJ179" i="6"/>
  <c r="AJ180" i="6"/>
  <c r="AJ181" i="6"/>
  <c r="AJ182" i="6"/>
  <c r="AJ183" i="6"/>
  <c r="AJ184" i="6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4" i="6"/>
  <c r="AJ225" i="6"/>
  <c r="AJ226" i="6"/>
  <c r="AJ227" i="6"/>
  <c r="AJ228" i="6"/>
  <c r="AJ229" i="6"/>
  <c r="AJ230" i="6"/>
  <c r="AJ231" i="6"/>
  <c r="AJ232" i="6"/>
  <c r="AJ233" i="6"/>
  <c r="AJ234" i="6"/>
  <c r="AJ235" i="6"/>
  <c r="AJ236" i="6"/>
  <c r="AJ237" i="6"/>
  <c r="AJ238" i="6"/>
  <c r="AJ239" i="6"/>
  <c r="AJ240" i="6"/>
  <c r="AJ241" i="6"/>
  <c r="AJ242" i="6"/>
  <c r="AJ243" i="6"/>
  <c r="AJ244" i="6"/>
  <c r="AJ245" i="6"/>
  <c r="AJ246" i="6"/>
  <c r="AJ247" i="6"/>
  <c r="AJ248" i="6"/>
  <c r="AJ249" i="6"/>
  <c r="AJ250" i="6"/>
  <c r="AJ251" i="6"/>
  <c r="AJ252" i="6"/>
  <c r="AJ253" i="6"/>
  <c r="AJ254" i="6"/>
  <c r="AJ255" i="6"/>
  <c r="AJ256" i="6"/>
  <c r="AJ257" i="6"/>
  <c r="AJ258" i="6"/>
  <c r="AJ259" i="6"/>
  <c r="AJ260" i="6"/>
  <c r="AJ261" i="6"/>
  <c r="AJ262" i="6"/>
  <c r="AJ263" i="6"/>
  <c r="AJ264" i="6"/>
  <c r="AJ265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1" i="6"/>
  <c r="AJ282" i="6"/>
  <c r="AJ283" i="6"/>
  <c r="AJ284" i="6"/>
  <c r="AJ285" i="6"/>
  <c r="AJ286" i="6"/>
  <c r="AJ287" i="6"/>
  <c r="AJ288" i="6"/>
  <c r="AJ289" i="6"/>
  <c r="AJ290" i="6"/>
  <c r="AJ291" i="6"/>
  <c r="AJ292" i="6"/>
  <c r="AJ293" i="6"/>
  <c r="AJ294" i="6"/>
  <c r="AJ295" i="6"/>
  <c r="AJ296" i="6"/>
  <c r="AJ297" i="6"/>
  <c r="AJ298" i="6"/>
  <c r="AJ299" i="6"/>
  <c r="AJ300" i="6"/>
  <c r="AJ301" i="6"/>
  <c r="AJ302" i="6"/>
  <c r="AJ303" i="6"/>
  <c r="AJ304" i="6"/>
  <c r="AJ305" i="6"/>
  <c r="AJ306" i="6"/>
  <c r="AJ307" i="6"/>
  <c r="AJ308" i="6"/>
  <c r="AJ309" i="6"/>
  <c r="AJ310" i="6"/>
  <c r="AJ311" i="6"/>
  <c r="AJ312" i="6"/>
  <c r="AJ313" i="6"/>
  <c r="AJ314" i="6"/>
  <c r="AJ315" i="6"/>
  <c r="AJ316" i="6"/>
  <c r="AJ317" i="6"/>
  <c r="AJ318" i="6"/>
  <c r="AJ319" i="6"/>
  <c r="AJ320" i="6"/>
  <c r="AJ321" i="6"/>
  <c r="AJ322" i="6"/>
  <c r="AJ323" i="6"/>
  <c r="AJ324" i="6"/>
  <c r="AJ325" i="6"/>
  <c r="AJ326" i="6"/>
  <c r="AJ327" i="6"/>
  <c r="AJ328" i="6"/>
  <c r="AJ329" i="6"/>
  <c r="AJ330" i="6"/>
  <c r="AJ331" i="6"/>
  <c r="AJ332" i="6"/>
  <c r="AJ333" i="6"/>
  <c r="AJ334" i="6"/>
  <c r="AJ335" i="6"/>
  <c r="AJ336" i="6"/>
  <c r="AJ337" i="6"/>
  <c r="AJ338" i="6"/>
  <c r="AJ339" i="6"/>
  <c r="AJ340" i="6"/>
  <c r="AJ341" i="6"/>
  <c r="AJ342" i="6"/>
  <c r="AJ343" i="6"/>
  <c r="AJ344" i="6"/>
  <c r="AJ345" i="6"/>
  <c r="AJ346" i="6"/>
  <c r="AJ347" i="6"/>
  <c r="AJ348" i="6"/>
  <c r="AJ349" i="6"/>
  <c r="AJ350" i="6"/>
  <c r="AJ351" i="6"/>
  <c r="AJ352" i="6"/>
  <c r="AJ353" i="6"/>
  <c r="AJ354" i="6"/>
  <c r="AJ355" i="6"/>
  <c r="AJ356" i="6"/>
  <c r="AJ357" i="6"/>
  <c r="AJ358" i="6"/>
  <c r="AJ359" i="6"/>
  <c r="AJ360" i="6"/>
  <c r="AJ361" i="6"/>
  <c r="AJ362" i="6"/>
  <c r="AJ363" i="6"/>
  <c r="AJ364" i="6"/>
  <c r="AJ365" i="6"/>
  <c r="AJ366" i="6"/>
  <c r="AJ367" i="6"/>
  <c r="AJ368" i="6"/>
  <c r="AJ369" i="6"/>
  <c r="AJ370" i="6"/>
  <c r="AJ371" i="6"/>
  <c r="AJ372" i="6"/>
  <c r="AJ373" i="6"/>
  <c r="AJ374" i="6"/>
  <c r="AJ375" i="6"/>
  <c r="AJ376" i="6"/>
  <c r="AJ377" i="6"/>
  <c r="AJ378" i="6"/>
  <c r="AJ379" i="6"/>
  <c r="AJ380" i="6"/>
  <c r="AJ381" i="6"/>
  <c r="AJ382" i="6"/>
  <c r="AJ383" i="6"/>
  <c r="AJ384" i="6"/>
  <c r="AJ385" i="6"/>
  <c r="AJ386" i="6"/>
  <c r="AJ387" i="6"/>
  <c r="AJ388" i="6"/>
  <c r="AJ389" i="6"/>
  <c r="AJ390" i="6"/>
  <c r="AJ391" i="6"/>
  <c r="AJ392" i="6"/>
  <c r="AJ393" i="6"/>
  <c r="AJ394" i="6"/>
  <c r="AJ395" i="6"/>
  <c r="AJ396" i="6"/>
  <c r="AJ397" i="6"/>
  <c r="AJ398" i="6"/>
  <c r="AJ399" i="6"/>
  <c r="AJ400" i="6"/>
  <c r="AJ401" i="6"/>
  <c r="AJ402" i="6"/>
  <c r="AJ403" i="6"/>
  <c r="AJ404" i="6"/>
  <c r="AJ405" i="6"/>
  <c r="AJ406" i="6"/>
  <c r="AJ407" i="6"/>
  <c r="AJ408" i="6"/>
  <c r="AJ409" i="6"/>
  <c r="AJ410" i="6"/>
  <c r="AJ411" i="6"/>
  <c r="AJ412" i="6"/>
  <c r="AJ413" i="6"/>
  <c r="AJ414" i="6"/>
  <c r="AJ415" i="6"/>
  <c r="AJ416" i="6"/>
  <c r="AJ417" i="6"/>
  <c r="AJ418" i="6"/>
  <c r="AJ419" i="6"/>
  <c r="AJ420" i="6"/>
  <c r="AJ421" i="6"/>
  <c r="AJ422" i="6"/>
  <c r="AJ423" i="6"/>
  <c r="AJ424" i="6"/>
  <c r="AJ425" i="6"/>
  <c r="AJ426" i="6"/>
  <c r="AJ427" i="6"/>
  <c r="AJ428" i="6"/>
  <c r="AJ429" i="6"/>
  <c r="AJ430" i="6"/>
  <c r="AJ431" i="6"/>
  <c r="AJ432" i="6"/>
  <c r="AJ433" i="6"/>
  <c r="AJ434" i="6"/>
  <c r="AJ435" i="6"/>
  <c r="AJ436" i="6"/>
  <c r="AJ437" i="6"/>
  <c r="AJ438" i="6"/>
  <c r="AJ439" i="6"/>
  <c r="AJ440" i="6"/>
  <c r="AJ441" i="6"/>
  <c r="AJ442" i="6"/>
  <c r="AJ443" i="6"/>
  <c r="AJ444" i="6"/>
  <c r="AJ445" i="6"/>
  <c r="AJ446" i="6"/>
  <c r="AJ447" i="6"/>
  <c r="AJ448" i="6"/>
  <c r="AJ449" i="6"/>
  <c r="AJ450" i="6"/>
  <c r="AJ451" i="6"/>
  <c r="AJ452" i="6"/>
  <c r="AJ453" i="6"/>
  <c r="AJ454" i="6"/>
  <c r="AJ455" i="6"/>
  <c r="AJ456" i="6"/>
  <c r="AJ457" i="6"/>
  <c r="AJ458" i="6"/>
  <c r="AJ459" i="6"/>
  <c r="AJ460" i="6"/>
  <c r="AJ461" i="6"/>
  <c r="AJ462" i="6"/>
  <c r="AJ463" i="6"/>
  <c r="AJ464" i="6"/>
  <c r="AJ465" i="6"/>
  <c r="AJ466" i="6"/>
  <c r="AJ467" i="6"/>
  <c r="AJ468" i="6"/>
  <c r="AJ469" i="6"/>
  <c r="AJ470" i="6"/>
  <c r="AJ471" i="6"/>
  <c r="AJ472" i="6"/>
  <c r="AJ473" i="6"/>
  <c r="AJ474" i="6"/>
  <c r="AJ475" i="6"/>
  <c r="AJ476" i="6"/>
  <c r="AJ477" i="6"/>
  <c r="AJ478" i="6"/>
  <c r="AJ479" i="6"/>
  <c r="AJ480" i="6"/>
  <c r="AJ481" i="6"/>
  <c r="AJ482" i="6"/>
  <c r="AJ483" i="6"/>
  <c r="AJ484" i="6"/>
  <c r="AJ485" i="6"/>
  <c r="AJ486" i="6"/>
  <c r="AJ487" i="6"/>
  <c r="AJ488" i="6"/>
  <c r="AJ489" i="6"/>
  <c r="AJ490" i="6"/>
  <c r="AJ491" i="6"/>
  <c r="AJ492" i="6"/>
  <c r="AJ493" i="6"/>
  <c r="AJ494" i="6"/>
  <c r="AJ495" i="6"/>
  <c r="AJ496" i="6"/>
  <c r="AJ497" i="6"/>
  <c r="AJ498" i="6"/>
  <c r="AJ499" i="6"/>
  <c r="AJ500" i="6"/>
  <c r="AJ501" i="6"/>
  <c r="AJ502" i="6"/>
  <c r="AJ503" i="6"/>
  <c r="AJ504" i="6"/>
  <c r="AJ505" i="6"/>
  <c r="AJ506" i="6"/>
  <c r="AJ507" i="6"/>
  <c r="AJ508" i="6"/>
  <c r="AJ509" i="6"/>
  <c r="AJ510" i="6"/>
  <c r="AJ511" i="6"/>
  <c r="AJ512" i="6"/>
  <c r="AJ513" i="6"/>
  <c r="AJ514" i="6"/>
  <c r="AJ515" i="6"/>
  <c r="AJ516" i="6"/>
  <c r="AJ517" i="6"/>
  <c r="AJ518" i="6"/>
  <c r="AJ519" i="6"/>
  <c r="AJ520" i="6"/>
  <c r="AJ521" i="6"/>
  <c r="AJ522" i="6"/>
  <c r="AJ523" i="6"/>
  <c r="AJ524" i="6"/>
  <c r="AJ525" i="6"/>
  <c r="AJ526" i="6"/>
  <c r="AJ527" i="6"/>
  <c r="AJ528" i="6"/>
  <c r="AJ529" i="6"/>
  <c r="AJ530" i="6"/>
  <c r="AI3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L2" i="6"/>
  <c r="AJ2" i="6"/>
  <c r="AI2" i="6"/>
  <c r="AH2" i="6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2" i="6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2" i="6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201" i="4"/>
  <c r="AM202" i="4"/>
  <c r="AM203" i="4"/>
  <c r="AM204" i="4"/>
  <c r="AM205" i="4"/>
  <c r="AM206" i="4"/>
  <c r="AM207" i="4"/>
  <c r="AM208" i="4"/>
  <c r="AM209" i="4"/>
  <c r="AM210" i="4"/>
  <c r="AM211" i="4"/>
  <c r="AM212" i="4"/>
  <c r="AM213" i="4"/>
  <c r="AM214" i="4"/>
  <c r="AM215" i="4"/>
  <c r="AM216" i="4"/>
  <c r="AM217" i="4"/>
  <c r="AM218" i="4"/>
  <c r="AM219" i="4"/>
  <c r="AM220" i="4"/>
  <c r="AM221" i="4"/>
  <c r="AM222" i="4"/>
  <c r="AM223" i="4"/>
  <c r="AM224" i="4"/>
  <c r="AM225" i="4"/>
  <c r="AM226" i="4"/>
  <c r="AM227" i="4"/>
  <c r="AM228" i="4"/>
  <c r="AM229" i="4"/>
  <c r="AM230" i="4"/>
  <c r="AM231" i="4"/>
  <c r="AM232" i="4"/>
  <c r="AM233" i="4"/>
  <c r="AM234" i="4"/>
  <c r="AM235" i="4"/>
  <c r="AM236" i="4"/>
  <c r="AM237" i="4"/>
  <c r="AM238" i="4"/>
  <c r="AM239" i="4"/>
  <c r="AM240" i="4"/>
  <c r="AM241" i="4"/>
  <c r="AM242" i="4"/>
  <c r="AM243" i="4"/>
  <c r="AM244" i="4"/>
  <c r="AM245" i="4"/>
  <c r="AM246" i="4"/>
  <c r="AM247" i="4"/>
  <c r="AM248" i="4"/>
  <c r="AM249" i="4"/>
  <c r="AM250" i="4"/>
  <c r="AM251" i="4"/>
  <c r="AM252" i="4"/>
  <c r="AM253" i="4"/>
  <c r="AM254" i="4"/>
  <c r="AM255" i="4"/>
  <c r="AM256" i="4"/>
  <c r="AM257" i="4"/>
  <c r="AM258" i="4"/>
  <c r="AM259" i="4"/>
  <c r="AM260" i="4"/>
  <c r="AM261" i="4"/>
  <c r="AM262" i="4"/>
  <c r="AM263" i="4"/>
  <c r="AM264" i="4"/>
  <c r="AM265" i="4"/>
  <c r="AM266" i="4"/>
  <c r="AM267" i="4"/>
  <c r="AM268" i="4"/>
  <c r="AM269" i="4"/>
  <c r="AM270" i="4"/>
  <c r="AM271" i="4"/>
  <c r="AM272" i="4"/>
  <c r="AM273" i="4"/>
  <c r="AM274" i="4"/>
  <c r="AM275" i="4"/>
  <c r="AM276" i="4"/>
  <c r="AM277" i="4"/>
  <c r="AM278" i="4"/>
  <c r="AM279" i="4"/>
  <c r="AM280" i="4"/>
  <c r="AM281" i="4"/>
  <c r="AM282" i="4"/>
  <c r="AM283" i="4"/>
  <c r="AM284" i="4"/>
  <c r="AM285" i="4"/>
  <c r="AM286" i="4"/>
  <c r="AM287" i="4"/>
  <c r="AM288" i="4"/>
  <c r="AM289" i="4"/>
  <c r="AM290" i="4"/>
  <c r="AM291" i="4"/>
  <c r="AM292" i="4"/>
  <c r="AM293" i="4"/>
  <c r="AM294" i="4"/>
  <c r="AM295" i="4"/>
  <c r="AM296" i="4"/>
  <c r="AM297" i="4"/>
  <c r="AM298" i="4"/>
  <c r="AM299" i="4"/>
  <c r="AM300" i="4"/>
  <c r="AM301" i="4"/>
  <c r="AM302" i="4"/>
  <c r="AM303" i="4"/>
  <c r="AM304" i="4"/>
  <c r="AM305" i="4"/>
  <c r="AM306" i="4"/>
  <c r="AM307" i="4"/>
  <c r="AM308" i="4"/>
  <c r="AM309" i="4"/>
  <c r="AM310" i="4"/>
  <c r="AM311" i="4"/>
  <c r="AM312" i="4"/>
  <c r="AM313" i="4"/>
  <c r="AM314" i="4"/>
  <c r="AM315" i="4"/>
  <c r="AM316" i="4"/>
  <c r="AM317" i="4"/>
  <c r="AM318" i="4"/>
  <c r="AM319" i="4"/>
  <c r="AM320" i="4"/>
  <c r="AM321" i="4"/>
  <c r="AM322" i="4"/>
  <c r="AM323" i="4"/>
  <c r="AM324" i="4"/>
  <c r="AM325" i="4"/>
  <c r="AM326" i="4"/>
  <c r="AM327" i="4"/>
  <c r="AM328" i="4"/>
  <c r="AM329" i="4"/>
  <c r="AM330" i="4"/>
  <c r="AM331" i="4"/>
  <c r="AM332" i="4"/>
  <c r="AM333" i="4"/>
  <c r="AM334" i="4"/>
  <c r="AM335" i="4"/>
  <c r="AM336" i="4"/>
  <c r="AM337" i="4"/>
  <c r="AM338" i="4"/>
  <c r="AM339" i="4"/>
  <c r="AM340" i="4"/>
  <c r="AM341" i="4"/>
  <c r="AM342" i="4"/>
  <c r="AM343" i="4"/>
  <c r="AM344" i="4"/>
  <c r="AM345" i="4"/>
  <c r="AM346" i="4"/>
  <c r="AM347" i="4"/>
  <c r="AM348" i="4"/>
  <c r="AM349" i="4"/>
  <c r="AM350" i="4"/>
  <c r="AM351" i="4"/>
  <c r="AM352" i="4"/>
  <c r="AM353" i="4"/>
  <c r="AM354" i="4"/>
  <c r="AM355" i="4"/>
  <c r="AM356" i="4"/>
  <c r="AM357" i="4"/>
  <c r="AM358" i="4"/>
  <c r="AM359" i="4"/>
  <c r="AM360" i="4"/>
  <c r="AM361" i="4"/>
  <c r="AM362" i="4"/>
  <c r="AM363" i="4"/>
  <c r="AM364" i="4"/>
  <c r="AM365" i="4"/>
  <c r="AM366" i="4"/>
  <c r="AM367" i="4"/>
  <c r="AM368" i="4"/>
  <c r="AM369" i="4"/>
  <c r="AM370" i="4"/>
  <c r="AM371" i="4"/>
  <c r="AM372" i="4"/>
  <c r="AM373" i="4"/>
  <c r="AM374" i="4"/>
  <c r="AM375" i="4"/>
  <c r="AM376" i="4"/>
  <c r="AM377" i="4"/>
  <c r="AM378" i="4"/>
  <c r="AM379" i="4"/>
  <c r="AM380" i="4"/>
  <c r="AM381" i="4"/>
  <c r="AM382" i="4"/>
  <c r="AM383" i="4"/>
  <c r="AM384" i="4"/>
  <c r="AM385" i="4"/>
  <c r="AM386" i="4"/>
  <c r="AM387" i="4"/>
  <c r="AM388" i="4"/>
  <c r="AM389" i="4"/>
  <c r="AM390" i="4"/>
  <c r="AM391" i="4"/>
  <c r="AM392" i="4"/>
  <c r="AM393" i="4"/>
  <c r="AM394" i="4"/>
  <c r="AM395" i="4"/>
  <c r="AM396" i="4"/>
  <c r="AM397" i="4"/>
  <c r="AM398" i="4"/>
  <c r="AM399" i="4"/>
  <c r="AM400" i="4"/>
  <c r="AM401" i="4"/>
  <c r="AM402" i="4"/>
  <c r="AM403" i="4"/>
  <c r="AM404" i="4"/>
  <c r="AM405" i="4"/>
  <c r="AM406" i="4"/>
  <c r="AM407" i="4"/>
  <c r="AM408" i="4"/>
  <c r="AM409" i="4"/>
  <c r="AM410" i="4"/>
  <c r="AM411" i="4"/>
  <c r="AM412" i="4"/>
  <c r="AM413" i="4"/>
  <c r="AM414" i="4"/>
  <c r="AM415" i="4"/>
  <c r="AM416" i="4"/>
  <c r="AM417" i="4"/>
  <c r="AM418" i="4"/>
  <c r="AM419" i="4"/>
  <c r="AM420" i="4"/>
  <c r="AM421" i="4"/>
  <c r="AM422" i="4"/>
  <c r="AM423" i="4"/>
  <c r="AM424" i="4"/>
  <c r="AM425" i="4"/>
  <c r="AM426" i="4"/>
  <c r="AM427" i="4"/>
  <c r="AM428" i="4"/>
  <c r="AM429" i="4"/>
  <c r="AM430" i="4"/>
  <c r="AM431" i="4"/>
  <c r="AM432" i="4"/>
  <c r="AM433" i="4"/>
  <c r="AM434" i="4"/>
  <c r="AM435" i="4"/>
  <c r="AM436" i="4"/>
  <c r="AM437" i="4"/>
  <c r="AM438" i="4"/>
  <c r="AM439" i="4"/>
  <c r="AM440" i="4"/>
  <c r="AM441" i="4"/>
  <c r="AM442" i="4"/>
  <c r="AM443" i="4"/>
  <c r="AM444" i="4"/>
  <c r="AM445" i="4"/>
  <c r="AM446" i="4"/>
  <c r="AM447" i="4"/>
  <c r="AM448" i="4"/>
  <c r="AM449" i="4"/>
  <c r="AM450" i="4"/>
  <c r="AM451" i="4"/>
  <c r="AM452" i="4"/>
  <c r="AM453" i="4"/>
  <c r="AM454" i="4"/>
  <c r="AM455" i="4"/>
  <c r="AM456" i="4"/>
  <c r="AM457" i="4"/>
  <c r="AM458" i="4"/>
  <c r="AM459" i="4"/>
  <c r="AM460" i="4"/>
  <c r="AM461" i="4"/>
  <c r="AM462" i="4"/>
  <c r="AM463" i="4"/>
  <c r="AM464" i="4"/>
  <c r="AM465" i="4"/>
  <c r="AM466" i="4"/>
  <c r="AM467" i="4"/>
  <c r="AM468" i="4"/>
  <c r="AM469" i="4"/>
  <c r="AM470" i="4"/>
  <c r="AM471" i="4"/>
  <c r="AM472" i="4"/>
  <c r="AM473" i="4"/>
  <c r="AM474" i="4"/>
  <c r="AM475" i="4"/>
  <c r="AM476" i="4"/>
  <c r="AM477" i="4"/>
  <c r="AM478" i="4"/>
  <c r="AM479" i="4"/>
  <c r="AM480" i="4"/>
  <c r="AM481" i="4"/>
  <c r="AM482" i="4"/>
  <c r="AM483" i="4"/>
  <c r="AM484" i="4"/>
  <c r="AM485" i="4"/>
  <c r="AM486" i="4"/>
  <c r="AM487" i="4"/>
  <c r="AM488" i="4"/>
  <c r="AM489" i="4"/>
  <c r="AM490" i="4"/>
  <c r="AM491" i="4"/>
  <c r="AM492" i="4"/>
  <c r="AM493" i="4"/>
  <c r="AM494" i="4"/>
  <c r="AM495" i="4"/>
  <c r="AM496" i="4"/>
  <c r="AM497" i="4"/>
  <c r="AM498" i="4"/>
  <c r="AM499" i="4"/>
  <c r="AM500" i="4"/>
  <c r="AM501" i="4"/>
  <c r="AM502" i="4"/>
  <c r="AM503" i="4"/>
  <c r="AM504" i="4"/>
  <c r="AM505" i="4"/>
  <c r="AM506" i="4"/>
  <c r="AM507" i="4"/>
  <c r="AM508" i="4"/>
  <c r="AM509" i="4"/>
  <c r="AM510" i="4"/>
  <c r="AM511" i="4"/>
  <c r="AM512" i="4"/>
  <c r="AM513" i="4"/>
  <c r="AM514" i="4"/>
  <c r="AM515" i="4"/>
  <c r="AM516" i="4"/>
  <c r="AM517" i="4"/>
  <c r="AM518" i="4"/>
  <c r="AM519" i="4"/>
  <c r="AM520" i="4"/>
  <c r="AM521" i="4"/>
  <c r="AM522" i="4"/>
  <c r="AM523" i="4"/>
  <c r="AM524" i="4"/>
  <c r="AM525" i="4"/>
  <c r="AM526" i="4"/>
  <c r="AM527" i="4"/>
  <c r="AM528" i="4"/>
  <c r="AM529" i="4"/>
  <c r="AM530" i="4"/>
  <c r="AM531" i="4"/>
  <c r="AM2" i="4"/>
  <c r="AL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2" i="4"/>
  <c r="AJ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J374" i="4"/>
  <c r="AJ375" i="4"/>
  <c r="AJ376" i="4"/>
  <c r="AJ377" i="4"/>
  <c r="AJ378" i="4"/>
  <c r="AJ379" i="4"/>
  <c r="AJ380" i="4"/>
  <c r="AJ381" i="4"/>
  <c r="AJ382" i="4"/>
  <c r="AJ383" i="4"/>
  <c r="AJ384" i="4"/>
  <c r="AJ385" i="4"/>
  <c r="AJ386" i="4"/>
  <c r="AJ387" i="4"/>
  <c r="AJ388" i="4"/>
  <c r="AJ389" i="4"/>
  <c r="AJ390" i="4"/>
  <c r="AJ391" i="4"/>
  <c r="AJ392" i="4"/>
  <c r="AJ393" i="4"/>
  <c r="AJ394" i="4"/>
  <c r="AJ395" i="4"/>
  <c r="AJ396" i="4"/>
  <c r="AJ397" i="4"/>
  <c r="AJ398" i="4"/>
  <c r="AJ399" i="4"/>
  <c r="AJ400" i="4"/>
  <c r="AJ401" i="4"/>
  <c r="AJ402" i="4"/>
  <c r="AJ403" i="4"/>
  <c r="AJ404" i="4"/>
  <c r="AJ405" i="4"/>
  <c r="AJ406" i="4"/>
  <c r="AJ407" i="4"/>
  <c r="AJ408" i="4"/>
  <c r="AJ409" i="4"/>
  <c r="AJ410" i="4"/>
  <c r="AJ411" i="4"/>
  <c r="AJ412" i="4"/>
  <c r="AJ413" i="4"/>
  <c r="AJ414" i="4"/>
  <c r="AJ415" i="4"/>
  <c r="AJ416" i="4"/>
  <c r="AJ417" i="4"/>
  <c r="AJ418" i="4"/>
  <c r="AJ419" i="4"/>
  <c r="AJ420" i="4"/>
  <c r="AJ421" i="4"/>
  <c r="AJ422" i="4"/>
  <c r="AJ423" i="4"/>
  <c r="AJ424" i="4"/>
  <c r="AJ425" i="4"/>
  <c r="AJ426" i="4"/>
  <c r="AJ427" i="4"/>
  <c r="AJ428" i="4"/>
  <c r="AJ429" i="4"/>
  <c r="AJ430" i="4"/>
  <c r="AJ431" i="4"/>
  <c r="AJ432" i="4"/>
  <c r="AJ433" i="4"/>
  <c r="AJ434" i="4"/>
  <c r="AJ435" i="4"/>
  <c r="AJ436" i="4"/>
  <c r="AJ437" i="4"/>
  <c r="AJ438" i="4"/>
  <c r="AJ439" i="4"/>
  <c r="AJ440" i="4"/>
  <c r="AJ441" i="4"/>
  <c r="AJ442" i="4"/>
  <c r="AJ443" i="4"/>
  <c r="AJ444" i="4"/>
  <c r="AJ445" i="4"/>
  <c r="AJ446" i="4"/>
  <c r="AJ447" i="4"/>
  <c r="AJ448" i="4"/>
  <c r="AJ449" i="4"/>
  <c r="AJ450" i="4"/>
  <c r="AJ451" i="4"/>
  <c r="AJ452" i="4"/>
  <c r="AJ453" i="4"/>
  <c r="AJ454" i="4"/>
  <c r="AJ455" i="4"/>
  <c r="AJ456" i="4"/>
  <c r="AJ457" i="4"/>
  <c r="AJ458" i="4"/>
  <c r="AJ459" i="4"/>
  <c r="AJ460" i="4"/>
  <c r="AJ461" i="4"/>
  <c r="AJ462" i="4"/>
  <c r="AJ463" i="4"/>
  <c r="AJ464" i="4"/>
  <c r="AJ465" i="4"/>
  <c r="AJ466" i="4"/>
  <c r="AJ467" i="4"/>
  <c r="AJ468" i="4"/>
  <c r="AJ469" i="4"/>
  <c r="AJ470" i="4"/>
  <c r="AJ471" i="4"/>
  <c r="AJ472" i="4"/>
  <c r="AJ473" i="4"/>
  <c r="AJ474" i="4"/>
  <c r="AJ475" i="4"/>
  <c r="AJ476" i="4"/>
  <c r="AJ477" i="4"/>
  <c r="AJ478" i="4"/>
  <c r="AJ479" i="4"/>
  <c r="AJ480" i="4"/>
  <c r="AJ481" i="4"/>
  <c r="AJ482" i="4"/>
  <c r="AJ483" i="4"/>
  <c r="AJ484" i="4"/>
  <c r="AJ485" i="4"/>
  <c r="AJ486" i="4"/>
  <c r="AJ487" i="4"/>
  <c r="AJ488" i="4"/>
  <c r="AJ489" i="4"/>
  <c r="AJ490" i="4"/>
  <c r="AJ491" i="4"/>
  <c r="AJ492" i="4"/>
  <c r="AJ493" i="4"/>
  <c r="AJ494" i="4"/>
  <c r="AJ495" i="4"/>
  <c r="AJ496" i="4"/>
  <c r="AJ497" i="4"/>
  <c r="AJ498" i="4"/>
  <c r="AJ499" i="4"/>
  <c r="AJ500" i="4"/>
  <c r="AJ501" i="4"/>
  <c r="AJ502" i="4"/>
  <c r="AJ503" i="4"/>
  <c r="AJ504" i="4"/>
  <c r="AJ505" i="4"/>
  <c r="AJ506" i="4"/>
  <c r="AJ507" i="4"/>
  <c r="AJ508" i="4"/>
  <c r="AJ509" i="4"/>
  <c r="AJ510" i="4"/>
  <c r="AJ511" i="4"/>
  <c r="AJ512" i="4"/>
  <c r="AJ513" i="4"/>
  <c r="AJ514" i="4"/>
  <c r="AJ515" i="4"/>
  <c r="AJ516" i="4"/>
  <c r="AJ517" i="4"/>
  <c r="AJ518" i="4"/>
  <c r="AJ519" i="4"/>
  <c r="AJ520" i="4"/>
  <c r="AJ521" i="4"/>
  <c r="AJ522" i="4"/>
  <c r="AJ523" i="4"/>
  <c r="AJ524" i="4"/>
  <c r="AJ525" i="4"/>
  <c r="AJ526" i="4"/>
  <c r="AJ527" i="4"/>
  <c r="AJ528" i="4"/>
  <c r="AJ529" i="4"/>
  <c r="AJ530" i="4"/>
  <c r="AJ531" i="4"/>
  <c r="AJ2" i="4"/>
  <c r="AJ2" i="3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I374" i="4"/>
  <c r="AI375" i="4"/>
  <c r="AI376" i="4"/>
  <c r="AI377" i="4"/>
  <c r="AI378" i="4"/>
  <c r="AI379" i="4"/>
  <c r="AI380" i="4"/>
  <c r="AI381" i="4"/>
  <c r="AI382" i="4"/>
  <c r="AI383" i="4"/>
  <c r="AI384" i="4"/>
  <c r="AI385" i="4"/>
  <c r="AI386" i="4"/>
  <c r="AI387" i="4"/>
  <c r="AI388" i="4"/>
  <c r="AI389" i="4"/>
  <c r="AI390" i="4"/>
  <c r="AI391" i="4"/>
  <c r="AI392" i="4"/>
  <c r="AI393" i="4"/>
  <c r="AI394" i="4"/>
  <c r="AI395" i="4"/>
  <c r="AI396" i="4"/>
  <c r="AI397" i="4"/>
  <c r="AI398" i="4"/>
  <c r="AI399" i="4"/>
  <c r="AI400" i="4"/>
  <c r="AI401" i="4"/>
  <c r="AI402" i="4"/>
  <c r="AI403" i="4"/>
  <c r="AI404" i="4"/>
  <c r="AI405" i="4"/>
  <c r="AI406" i="4"/>
  <c r="AI407" i="4"/>
  <c r="AI408" i="4"/>
  <c r="AI409" i="4"/>
  <c r="AI410" i="4"/>
  <c r="AI411" i="4"/>
  <c r="AI412" i="4"/>
  <c r="AI413" i="4"/>
  <c r="AI414" i="4"/>
  <c r="AI415" i="4"/>
  <c r="AI416" i="4"/>
  <c r="AI417" i="4"/>
  <c r="AI418" i="4"/>
  <c r="AI419" i="4"/>
  <c r="AI420" i="4"/>
  <c r="AI421" i="4"/>
  <c r="AI422" i="4"/>
  <c r="AI423" i="4"/>
  <c r="AI424" i="4"/>
  <c r="AI425" i="4"/>
  <c r="AI426" i="4"/>
  <c r="AI427" i="4"/>
  <c r="AI428" i="4"/>
  <c r="AI429" i="4"/>
  <c r="AI430" i="4"/>
  <c r="AI431" i="4"/>
  <c r="AI432" i="4"/>
  <c r="AI433" i="4"/>
  <c r="AI434" i="4"/>
  <c r="AI435" i="4"/>
  <c r="AI436" i="4"/>
  <c r="AI437" i="4"/>
  <c r="AI438" i="4"/>
  <c r="AI439" i="4"/>
  <c r="AI440" i="4"/>
  <c r="AI441" i="4"/>
  <c r="AI442" i="4"/>
  <c r="AI443" i="4"/>
  <c r="AI444" i="4"/>
  <c r="AI445" i="4"/>
  <c r="AI446" i="4"/>
  <c r="AI447" i="4"/>
  <c r="AI448" i="4"/>
  <c r="AI449" i="4"/>
  <c r="AI450" i="4"/>
  <c r="AI451" i="4"/>
  <c r="AI452" i="4"/>
  <c r="AI453" i="4"/>
  <c r="AI454" i="4"/>
  <c r="AI455" i="4"/>
  <c r="AI456" i="4"/>
  <c r="AI457" i="4"/>
  <c r="AI458" i="4"/>
  <c r="AI459" i="4"/>
  <c r="AI460" i="4"/>
  <c r="AI461" i="4"/>
  <c r="AI462" i="4"/>
  <c r="AI463" i="4"/>
  <c r="AI464" i="4"/>
  <c r="AI465" i="4"/>
  <c r="AI466" i="4"/>
  <c r="AI467" i="4"/>
  <c r="AI468" i="4"/>
  <c r="AI469" i="4"/>
  <c r="AI470" i="4"/>
  <c r="AI471" i="4"/>
  <c r="AI472" i="4"/>
  <c r="AI473" i="4"/>
  <c r="AI474" i="4"/>
  <c r="AI475" i="4"/>
  <c r="AI476" i="4"/>
  <c r="AI477" i="4"/>
  <c r="AI478" i="4"/>
  <c r="AI479" i="4"/>
  <c r="AI480" i="4"/>
  <c r="AI481" i="4"/>
  <c r="AI482" i="4"/>
  <c r="AI483" i="4"/>
  <c r="AI484" i="4"/>
  <c r="AI485" i="4"/>
  <c r="AI486" i="4"/>
  <c r="AI487" i="4"/>
  <c r="AI488" i="4"/>
  <c r="AI489" i="4"/>
  <c r="AI490" i="4"/>
  <c r="AI491" i="4"/>
  <c r="AI492" i="4"/>
  <c r="AI493" i="4"/>
  <c r="AI494" i="4"/>
  <c r="AI495" i="4"/>
  <c r="AI496" i="4"/>
  <c r="AI497" i="4"/>
  <c r="AI498" i="4"/>
  <c r="AI499" i="4"/>
  <c r="AI500" i="4"/>
  <c r="AI501" i="4"/>
  <c r="AI502" i="4"/>
  <c r="AI503" i="4"/>
  <c r="AI504" i="4"/>
  <c r="AI505" i="4"/>
  <c r="AI506" i="4"/>
  <c r="AI507" i="4"/>
  <c r="AI508" i="4"/>
  <c r="AI509" i="4"/>
  <c r="AI510" i="4"/>
  <c r="AI511" i="4"/>
  <c r="AI512" i="4"/>
  <c r="AI513" i="4"/>
  <c r="AI514" i="4"/>
  <c r="AI515" i="4"/>
  <c r="AI516" i="4"/>
  <c r="AI517" i="4"/>
  <c r="AI518" i="4"/>
  <c r="AI519" i="4"/>
  <c r="AI520" i="4"/>
  <c r="AI521" i="4"/>
  <c r="AI522" i="4"/>
  <c r="AI523" i="4"/>
  <c r="AI524" i="4"/>
  <c r="AI525" i="4"/>
  <c r="AI526" i="4"/>
  <c r="AI527" i="4"/>
  <c r="AI528" i="4"/>
  <c r="AI529" i="4"/>
  <c r="AI530" i="4"/>
  <c r="AI531" i="4"/>
  <c r="AI2" i="4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377" i="4"/>
  <c r="AH378" i="4"/>
  <c r="AH379" i="4"/>
  <c r="AH380" i="4"/>
  <c r="AH381" i="4"/>
  <c r="AH382" i="4"/>
  <c r="AH383" i="4"/>
  <c r="AH384" i="4"/>
  <c r="AH385" i="4"/>
  <c r="AH386" i="4"/>
  <c r="AH387" i="4"/>
  <c r="AH388" i="4"/>
  <c r="AH389" i="4"/>
  <c r="AH390" i="4"/>
  <c r="AH391" i="4"/>
  <c r="AH392" i="4"/>
  <c r="AH393" i="4"/>
  <c r="AH394" i="4"/>
  <c r="AH395" i="4"/>
  <c r="AH396" i="4"/>
  <c r="AH397" i="4"/>
  <c r="AH398" i="4"/>
  <c r="AH399" i="4"/>
  <c r="AH400" i="4"/>
  <c r="AH401" i="4"/>
  <c r="AH402" i="4"/>
  <c r="AH403" i="4"/>
  <c r="AH404" i="4"/>
  <c r="AH405" i="4"/>
  <c r="AH406" i="4"/>
  <c r="AH407" i="4"/>
  <c r="AH408" i="4"/>
  <c r="AH409" i="4"/>
  <c r="AH410" i="4"/>
  <c r="AH411" i="4"/>
  <c r="AH412" i="4"/>
  <c r="AH413" i="4"/>
  <c r="AH414" i="4"/>
  <c r="AH415" i="4"/>
  <c r="AH416" i="4"/>
  <c r="AH417" i="4"/>
  <c r="AH418" i="4"/>
  <c r="AH419" i="4"/>
  <c r="AH420" i="4"/>
  <c r="AH421" i="4"/>
  <c r="AH422" i="4"/>
  <c r="AH423" i="4"/>
  <c r="AH424" i="4"/>
  <c r="AH425" i="4"/>
  <c r="AH426" i="4"/>
  <c r="AH427" i="4"/>
  <c r="AH428" i="4"/>
  <c r="AH429" i="4"/>
  <c r="AH430" i="4"/>
  <c r="AH431" i="4"/>
  <c r="AH432" i="4"/>
  <c r="AH433" i="4"/>
  <c r="AH434" i="4"/>
  <c r="AH435" i="4"/>
  <c r="AH436" i="4"/>
  <c r="AH437" i="4"/>
  <c r="AH438" i="4"/>
  <c r="AH439" i="4"/>
  <c r="AH440" i="4"/>
  <c r="AH441" i="4"/>
  <c r="AH442" i="4"/>
  <c r="AH443" i="4"/>
  <c r="AH444" i="4"/>
  <c r="AH445" i="4"/>
  <c r="AH446" i="4"/>
  <c r="AH447" i="4"/>
  <c r="AH448" i="4"/>
  <c r="AH449" i="4"/>
  <c r="AH450" i="4"/>
  <c r="AH451" i="4"/>
  <c r="AH452" i="4"/>
  <c r="AH453" i="4"/>
  <c r="AH454" i="4"/>
  <c r="AH455" i="4"/>
  <c r="AH456" i="4"/>
  <c r="AH457" i="4"/>
  <c r="AH458" i="4"/>
  <c r="AH459" i="4"/>
  <c r="AH460" i="4"/>
  <c r="AH461" i="4"/>
  <c r="AH462" i="4"/>
  <c r="AH463" i="4"/>
  <c r="AH464" i="4"/>
  <c r="AH465" i="4"/>
  <c r="AH466" i="4"/>
  <c r="AH467" i="4"/>
  <c r="AH468" i="4"/>
  <c r="AH469" i="4"/>
  <c r="AH470" i="4"/>
  <c r="AH471" i="4"/>
  <c r="AH472" i="4"/>
  <c r="AH473" i="4"/>
  <c r="AH474" i="4"/>
  <c r="AH475" i="4"/>
  <c r="AH476" i="4"/>
  <c r="AH477" i="4"/>
  <c r="AH478" i="4"/>
  <c r="AH479" i="4"/>
  <c r="AH480" i="4"/>
  <c r="AH481" i="4"/>
  <c r="AH482" i="4"/>
  <c r="AH483" i="4"/>
  <c r="AH484" i="4"/>
  <c r="AH485" i="4"/>
  <c r="AH486" i="4"/>
  <c r="AH487" i="4"/>
  <c r="AH488" i="4"/>
  <c r="AH489" i="4"/>
  <c r="AH490" i="4"/>
  <c r="AH491" i="4"/>
  <c r="AH492" i="4"/>
  <c r="AH493" i="4"/>
  <c r="AH494" i="4"/>
  <c r="AH495" i="4"/>
  <c r="AH496" i="4"/>
  <c r="AH497" i="4"/>
  <c r="AH498" i="4"/>
  <c r="AH499" i="4"/>
  <c r="AH500" i="4"/>
  <c r="AH501" i="4"/>
  <c r="AH502" i="4"/>
  <c r="AH503" i="4"/>
  <c r="AH504" i="4"/>
  <c r="AH505" i="4"/>
  <c r="AH506" i="4"/>
  <c r="AH507" i="4"/>
  <c r="AH508" i="4"/>
  <c r="AH509" i="4"/>
  <c r="AH510" i="4"/>
  <c r="AH511" i="4"/>
  <c r="AH512" i="4"/>
  <c r="AH513" i="4"/>
  <c r="AH514" i="4"/>
  <c r="AH515" i="4"/>
  <c r="AH516" i="4"/>
  <c r="AH517" i="4"/>
  <c r="AH518" i="4"/>
  <c r="AH519" i="4"/>
  <c r="AH520" i="4"/>
  <c r="AH521" i="4"/>
  <c r="AH522" i="4"/>
  <c r="AH523" i="4"/>
  <c r="AH524" i="4"/>
  <c r="AH525" i="4"/>
  <c r="AH526" i="4"/>
  <c r="AH527" i="4"/>
  <c r="AH528" i="4"/>
  <c r="AH529" i="4"/>
  <c r="AH530" i="4"/>
  <c r="AH531" i="4"/>
  <c r="AH2" i="4"/>
  <c r="AH2" i="3"/>
  <c r="AJ15" i="3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2" i="4"/>
  <c r="AC2" i="3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2" i="4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J13" i="3"/>
  <c r="AJ14" i="3"/>
  <c r="AJ29" i="3"/>
  <c r="AJ30" i="3"/>
  <c r="AJ45" i="3"/>
  <c r="AJ46" i="3"/>
  <c r="AJ61" i="3"/>
  <c r="AJ62" i="3"/>
  <c r="AJ77" i="3"/>
  <c r="AJ78" i="3"/>
  <c r="AJ93" i="3"/>
  <c r="AJ94" i="3"/>
  <c r="AJ109" i="3"/>
  <c r="AJ110" i="3"/>
  <c r="AJ125" i="3"/>
  <c r="AJ126" i="3"/>
  <c r="AJ141" i="3"/>
  <c r="AJ142" i="3"/>
  <c r="AJ157" i="3"/>
  <c r="AJ158" i="3"/>
  <c r="AJ173" i="3"/>
  <c r="AJ174" i="3"/>
  <c r="AJ189" i="3"/>
  <c r="AJ190" i="3"/>
  <c r="AJ203" i="3"/>
  <c r="AJ205" i="3"/>
  <c r="AJ206" i="3"/>
  <c r="AJ219" i="3"/>
  <c r="AJ221" i="3"/>
  <c r="AJ222" i="3"/>
  <c r="AJ235" i="3"/>
  <c r="AJ237" i="3"/>
  <c r="AJ238" i="3"/>
  <c r="AJ251" i="3"/>
  <c r="AJ253" i="3"/>
  <c r="AJ254" i="3"/>
  <c r="AJ267" i="3"/>
  <c r="AJ269" i="3"/>
  <c r="AJ270" i="3"/>
  <c r="AJ283" i="3"/>
  <c r="AJ285" i="3"/>
  <c r="AJ286" i="3"/>
  <c r="AJ299" i="3"/>
  <c r="AJ301" i="3"/>
  <c r="AJ302" i="3"/>
  <c r="AJ315" i="3"/>
  <c r="AJ317" i="3"/>
  <c r="AJ318" i="3"/>
  <c r="AJ331" i="3"/>
  <c r="AJ333" i="3"/>
  <c r="AJ334" i="3"/>
  <c r="AJ347" i="3"/>
  <c r="AJ349" i="3"/>
  <c r="AJ350" i="3"/>
  <c r="AJ355" i="3"/>
  <c r="AJ357" i="3"/>
  <c r="AJ363" i="3"/>
  <c r="AJ365" i="3"/>
  <c r="AJ366" i="3"/>
  <c r="AJ368" i="3"/>
  <c r="AJ371" i="3"/>
  <c r="AJ373" i="3"/>
  <c r="AJ379" i="3"/>
  <c r="AJ381" i="3"/>
  <c r="AJ382" i="3"/>
  <c r="AJ384" i="3"/>
  <c r="AJ387" i="3"/>
  <c r="AJ389" i="3"/>
  <c r="AJ395" i="3"/>
  <c r="AJ397" i="3"/>
  <c r="AJ398" i="3"/>
  <c r="AJ400" i="3"/>
  <c r="AJ403" i="3"/>
  <c r="AJ405" i="3"/>
  <c r="AJ411" i="3"/>
  <c r="AJ413" i="3"/>
  <c r="AJ414" i="3"/>
  <c r="AJ416" i="3"/>
  <c r="AJ419" i="3"/>
  <c r="AJ421" i="3"/>
  <c r="AJ427" i="3"/>
  <c r="AJ429" i="3"/>
  <c r="AJ430" i="3"/>
  <c r="AJ432" i="3"/>
  <c r="AJ435" i="3"/>
  <c r="AJ437" i="3"/>
  <c r="AJ443" i="3"/>
  <c r="AJ445" i="3"/>
  <c r="AJ446" i="3"/>
  <c r="AJ448" i="3"/>
  <c r="AJ451" i="3"/>
  <c r="AJ453" i="3"/>
  <c r="AJ459" i="3"/>
  <c r="AJ461" i="3"/>
  <c r="AJ462" i="3"/>
  <c r="AJ464" i="3"/>
  <c r="AJ467" i="3"/>
  <c r="AJ469" i="3"/>
  <c r="AJ475" i="3"/>
  <c r="AJ477" i="3"/>
  <c r="AJ478" i="3"/>
  <c r="AJ480" i="3"/>
  <c r="AJ483" i="3"/>
  <c r="AJ485" i="3"/>
  <c r="AJ491" i="3"/>
  <c r="AJ493" i="3"/>
  <c r="AJ494" i="3"/>
  <c r="AJ496" i="3"/>
  <c r="AJ499" i="3"/>
  <c r="AJ501" i="3"/>
  <c r="AJ507" i="3"/>
  <c r="AJ509" i="3"/>
  <c r="AJ510" i="3"/>
  <c r="AJ512" i="3"/>
  <c r="AJ515" i="3"/>
  <c r="AJ517" i="3"/>
  <c r="AJ523" i="3"/>
  <c r="AJ525" i="3"/>
  <c r="AJ526" i="3"/>
  <c r="AJ528" i="3"/>
  <c r="AJ531" i="3"/>
  <c r="AI8" i="3"/>
  <c r="AI10" i="3"/>
  <c r="AI11" i="3"/>
  <c r="AI13" i="3"/>
  <c r="AI16" i="3"/>
  <c r="AI18" i="3"/>
  <c r="AI24" i="3"/>
  <c r="AI26" i="3"/>
  <c r="AI27" i="3"/>
  <c r="AI29" i="3"/>
  <c r="AI32" i="3"/>
  <c r="AI34" i="3"/>
  <c r="AI40" i="3"/>
  <c r="AI42" i="3"/>
  <c r="AI43" i="3"/>
  <c r="AI45" i="3"/>
  <c r="AI48" i="3"/>
  <c r="AI50" i="3"/>
  <c r="AI56" i="3"/>
  <c r="AI58" i="3"/>
  <c r="AI59" i="3"/>
  <c r="AI61" i="3"/>
  <c r="AI64" i="3"/>
  <c r="AI66" i="3"/>
  <c r="AI72" i="3"/>
  <c r="AI74" i="3"/>
  <c r="AI75" i="3"/>
  <c r="AI77" i="3"/>
  <c r="AI80" i="3"/>
  <c r="AI82" i="3"/>
  <c r="AI88" i="3"/>
  <c r="AI90" i="3"/>
  <c r="AI91" i="3"/>
  <c r="AI93" i="3"/>
  <c r="AI96" i="3"/>
  <c r="AI98" i="3"/>
  <c r="AI104" i="3"/>
  <c r="AI106" i="3"/>
  <c r="AI107" i="3"/>
  <c r="AI109" i="3"/>
  <c r="AI112" i="3"/>
  <c r="AI114" i="3"/>
  <c r="AI120" i="3"/>
  <c r="AI122" i="3"/>
  <c r="AI123" i="3"/>
  <c r="AI125" i="3"/>
  <c r="AI128" i="3"/>
  <c r="AI130" i="3"/>
  <c r="AI136" i="3"/>
  <c r="AI138" i="3"/>
  <c r="AI139" i="3"/>
  <c r="AI141" i="3"/>
  <c r="AI144" i="3"/>
  <c r="AI146" i="3"/>
  <c r="AI152" i="3"/>
  <c r="AI154" i="3"/>
  <c r="AI155" i="3"/>
  <c r="AI157" i="3"/>
  <c r="AI160" i="3"/>
  <c r="AI162" i="3"/>
  <c r="AI168" i="3"/>
  <c r="AI170" i="3"/>
  <c r="AI171" i="3"/>
  <c r="AI173" i="3"/>
  <c r="AI176" i="3"/>
  <c r="AI178" i="3"/>
  <c r="AI184" i="3"/>
  <c r="AI186" i="3"/>
  <c r="AI187" i="3"/>
  <c r="AI189" i="3"/>
  <c r="AI192" i="3"/>
  <c r="AI194" i="3"/>
  <c r="AI200" i="3"/>
  <c r="AI202" i="3"/>
  <c r="AI203" i="3"/>
  <c r="AI205" i="3"/>
  <c r="AI208" i="3"/>
  <c r="AI210" i="3"/>
  <c r="AI216" i="3"/>
  <c r="AI218" i="3"/>
  <c r="AI219" i="3"/>
  <c r="AI221" i="3"/>
  <c r="AI224" i="3"/>
  <c r="AI226" i="3"/>
  <c r="AI232" i="3"/>
  <c r="AI234" i="3"/>
  <c r="AI235" i="3"/>
  <c r="AI237" i="3"/>
  <c r="AI240" i="3"/>
  <c r="AI242" i="3"/>
  <c r="AI248" i="3"/>
  <c r="AI250" i="3"/>
  <c r="AI251" i="3"/>
  <c r="AI253" i="3"/>
  <c r="AI256" i="3"/>
  <c r="AI258" i="3"/>
  <c r="AI264" i="3"/>
  <c r="AI266" i="3"/>
  <c r="AI267" i="3"/>
  <c r="AI269" i="3"/>
  <c r="AI272" i="3"/>
  <c r="AI274" i="3"/>
  <c r="AI280" i="3"/>
  <c r="AI282" i="3"/>
  <c r="AI283" i="3"/>
  <c r="AI285" i="3"/>
  <c r="AI288" i="3"/>
  <c r="AI290" i="3"/>
  <c r="AI296" i="3"/>
  <c r="AI298" i="3"/>
  <c r="AI299" i="3"/>
  <c r="AI301" i="3"/>
  <c r="AI304" i="3"/>
  <c r="AI306" i="3"/>
  <c r="AI312" i="3"/>
  <c r="AI314" i="3"/>
  <c r="AI315" i="3"/>
  <c r="AI317" i="3"/>
  <c r="AI318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B3" i="3"/>
  <c r="AB4" i="3"/>
  <c r="AC4" i="3"/>
  <c r="AB5" i="3"/>
  <c r="AB6" i="3"/>
  <c r="AC6" i="3"/>
  <c r="AB7" i="3"/>
  <c r="AB8" i="3"/>
  <c r="AB9" i="3"/>
  <c r="AB10" i="3"/>
  <c r="AC10" i="3"/>
  <c r="AB11" i="3"/>
  <c r="AB12" i="3"/>
  <c r="AC12" i="3"/>
  <c r="AB13" i="3"/>
  <c r="AB14" i="3"/>
  <c r="AC7" i="3"/>
  <c r="AB15" i="3"/>
  <c r="AC3" i="3"/>
  <c r="AC5" i="3"/>
  <c r="AC8" i="3"/>
  <c r="AC11" i="3"/>
  <c r="AC13" i="3"/>
  <c r="AC15" i="3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J24" i="1"/>
  <c r="AJ152" i="1"/>
  <c r="AJ280" i="1"/>
  <c r="AJ408" i="1"/>
  <c r="AJ504" i="1"/>
  <c r="AI39" i="1"/>
  <c r="AI103" i="1"/>
  <c r="AI167" i="1"/>
  <c r="AI231" i="1"/>
  <c r="AI295" i="1"/>
  <c r="AI359" i="1"/>
  <c r="AI404" i="1"/>
  <c r="AI440" i="1"/>
  <c r="AI480" i="1"/>
  <c r="AI515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I513" i="1"/>
  <c r="AI473" i="1"/>
  <c r="AI439" i="1"/>
  <c r="AI403" i="1"/>
  <c r="AI356" i="1"/>
  <c r="AI292" i="1"/>
  <c r="AI228" i="1"/>
  <c r="AI164" i="1"/>
  <c r="AI100" i="1"/>
  <c r="AI36" i="1"/>
  <c r="AJ503" i="1"/>
  <c r="AJ407" i="1"/>
  <c r="AJ279" i="1"/>
  <c r="AJ151" i="1"/>
  <c r="AJ23" i="1"/>
  <c r="AI35" i="1"/>
  <c r="AI505" i="1"/>
  <c r="AI471" i="1"/>
  <c r="AI435" i="1"/>
  <c r="AI393" i="1"/>
  <c r="AI353" i="1"/>
  <c r="AI289" i="1"/>
  <c r="AI225" i="1"/>
  <c r="AI161" i="1"/>
  <c r="AI97" i="1"/>
  <c r="AI33" i="1"/>
  <c r="AJ491" i="1"/>
  <c r="AJ391" i="1"/>
  <c r="AJ263" i="1"/>
  <c r="AJ135" i="1"/>
  <c r="AJ7" i="1"/>
  <c r="AI472" i="1"/>
  <c r="AI436" i="1"/>
  <c r="AI401" i="1"/>
  <c r="AI355" i="1"/>
  <c r="AI291" i="1"/>
  <c r="AI227" i="1"/>
  <c r="AI163" i="1"/>
  <c r="AI99" i="1"/>
  <c r="AJ392" i="1"/>
  <c r="AJ264" i="1"/>
  <c r="AJ136" i="1"/>
  <c r="AJ8" i="1"/>
  <c r="AI504" i="1"/>
  <c r="AI468" i="1"/>
  <c r="AI433" i="1"/>
  <c r="AI392" i="1"/>
  <c r="AI343" i="1"/>
  <c r="AI279" i="1"/>
  <c r="AI215" i="1"/>
  <c r="AI151" i="1"/>
  <c r="AI87" i="1"/>
  <c r="AI23" i="1"/>
  <c r="AJ488" i="1"/>
  <c r="AJ376" i="1"/>
  <c r="AJ248" i="1"/>
  <c r="AJ120" i="1"/>
  <c r="AJ501" i="1"/>
  <c r="AI503" i="1"/>
  <c r="AI467" i="1"/>
  <c r="AI432" i="1"/>
  <c r="AI391" i="1"/>
  <c r="AI340" i="1"/>
  <c r="AI276" i="1"/>
  <c r="AI212" i="1"/>
  <c r="AI148" i="1"/>
  <c r="AI84" i="1"/>
  <c r="AI20" i="1"/>
  <c r="AJ487" i="1"/>
  <c r="AJ375" i="1"/>
  <c r="AJ247" i="1"/>
  <c r="AJ119" i="1"/>
  <c r="AI512" i="1"/>
  <c r="AI500" i="1"/>
  <c r="AI465" i="1"/>
  <c r="AI425" i="1"/>
  <c r="AI388" i="1"/>
  <c r="AI339" i="1"/>
  <c r="AI275" i="1"/>
  <c r="AI211" i="1"/>
  <c r="AI147" i="1"/>
  <c r="AI83" i="1"/>
  <c r="AI19" i="1"/>
  <c r="AJ485" i="1"/>
  <c r="AJ360" i="1"/>
  <c r="AJ232" i="1"/>
  <c r="AJ104" i="1"/>
  <c r="AI499" i="1"/>
  <c r="AI464" i="1"/>
  <c r="AI424" i="1"/>
  <c r="AI387" i="1"/>
  <c r="AI337" i="1"/>
  <c r="AI273" i="1"/>
  <c r="AI209" i="1"/>
  <c r="AI145" i="1"/>
  <c r="AI81" i="1"/>
  <c r="AI17" i="1"/>
  <c r="AJ472" i="1"/>
  <c r="AJ359" i="1"/>
  <c r="AJ231" i="1"/>
  <c r="AJ103" i="1"/>
  <c r="AI532" i="1"/>
  <c r="AI497" i="1"/>
  <c r="AI457" i="1"/>
  <c r="AI423" i="1"/>
  <c r="AI385" i="1"/>
  <c r="AI327" i="1"/>
  <c r="AI263" i="1"/>
  <c r="AI199" i="1"/>
  <c r="AI135" i="1"/>
  <c r="AI71" i="1"/>
  <c r="AI7" i="1"/>
  <c r="AJ471" i="1"/>
  <c r="AJ344" i="1"/>
  <c r="AJ216" i="1"/>
  <c r="AJ88" i="1"/>
  <c r="AI531" i="1"/>
  <c r="AI496" i="1"/>
  <c r="AI456" i="1"/>
  <c r="AI420" i="1"/>
  <c r="AI377" i="1"/>
  <c r="AI324" i="1"/>
  <c r="AI260" i="1"/>
  <c r="AI196" i="1"/>
  <c r="AI132" i="1"/>
  <c r="AI68" i="1"/>
  <c r="AI4" i="1"/>
  <c r="AJ469" i="1"/>
  <c r="AJ343" i="1"/>
  <c r="AJ215" i="1"/>
  <c r="AJ87" i="1"/>
  <c r="AI529" i="1"/>
  <c r="AI489" i="1"/>
  <c r="AI455" i="1"/>
  <c r="AI419" i="1"/>
  <c r="AI376" i="1"/>
  <c r="AI323" i="1"/>
  <c r="AI259" i="1"/>
  <c r="AI195" i="1"/>
  <c r="AI131" i="1"/>
  <c r="AI67" i="1"/>
  <c r="AI3" i="1"/>
  <c r="AJ456" i="1"/>
  <c r="AJ328" i="1"/>
  <c r="AJ200" i="1"/>
  <c r="AJ72" i="1"/>
  <c r="AI528" i="1"/>
  <c r="AI488" i="1"/>
  <c r="AI452" i="1"/>
  <c r="AI417" i="1"/>
  <c r="AI375" i="1"/>
  <c r="AI321" i="1"/>
  <c r="AI257" i="1"/>
  <c r="AI193" i="1"/>
  <c r="AI129" i="1"/>
  <c r="AI65" i="1"/>
  <c r="AJ523" i="1"/>
  <c r="AJ455" i="1"/>
  <c r="AJ327" i="1"/>
  <c r="AJ199" i="1"/>
  <c r="AJ71" i="1"/>
  <c r="AJ9" i="1"/>
  <c r="AI521" i="1"/>
  <c r="AI487" i="1"/>
  <c r="AI451" i="1"/>
  <c r="AI416" i="1"/>
  <c r="AI372" i="1"/>
  <c r="AI311" i="1"/>
  <c r="AI247" i="1"/>
  <c r="AI183" i="1"/>
  <c r="AI119" i="1"/>
  <c r="AI55" i="1"/>
  <c r="AJ520" i="1"/>
  <c r="AJ440" i="1"/>
  <c r="AJ312" i="1"/>
  <c r="AJ184" i="1"/>
  <c r="AJ56" i="1"/>
  <c r="AI520" i="1"/>
  <c r="AI484" i="1"/>
  <c r="AI449" i="1"/>
  <c r="AI409" i="1"/>
  <c r="AI371" i="1"/>
  <c r="AI308" i="1"/>
  <c r="AI244" i="1"/>
  <c r="AI180" i="1"/>
  <c r="AI116" i="1"/>
  <c r="AI52" i="1"/>
  <c r="AJ519" i="1"/>
  <c r="AJ439" i="1"/>
  <c r="AJ311" i="1"/>
  <c r="AJ183" i="1"/>
  <c r="AJ55" i="1"/>
  <c r="AI519" i="1"/>
  <c r="AI483" i="1"/>
  <c r="AI448" i="1"/>
  <c r="AI408" i="1"/>
  <c r="AI369" i="1"/>
  <c r="AI307" i="1"/>
  <c r="AI243" i="1"/>
  <c r="AI179" i="1"/>
  <c r="AI115" i="1"/>
  <c r="AI51" i="1"/>
  <c r="AJ517" i="1"/>
  <c r="AJ424" i="1"/>
  <c r="AJ296" i="1"/>
  <c r="AJ168" i="1"/>
  <c r="AJ40" i="1"/>
  <c r="AI516" i="1"/>
  <c r="AI481" i="1"/>
  <c r="AI441" i="1"/>
  <c r="AI407" i="1"/>
  <c r="AI361" i="1"/>
  <c r="AI305" i="1"/>
  <c r="AI241" i="1"/>
  <c r="AI177" i="1"/>
  <c r="AI113" i="1"/>
  <c r="AI49" i="1"/>
  <c r="AJ507" i="1"/>
  <c r="AJ423" i="1"/>
  <c r="AJ295" i="1"/>
  <c r="AJ167" i="1"/>
  <c r="AJ39" i="1"/>
  <c r="AI313" i="3"/>
  <c r="AI297" i="3"/>
  <c r="AI281" i="3"/>
  <c r="AI265" i="3"/>
  <c r="AI249" i="3"/>
  <c r="AI233" i="3"/>
  <c r="AI217" i="3"/>
  <c r="AI201" i="3"/>
  <c r="AI185" i="3"/>
  <c r="AI169" i="3"/>
  <c r="AI153" i="3"/>
  <c r="AI137" i="3"/>
  <c r="AI121" i="3"/>
  <c r="AI105" i="3"/>
  <c r="AI89" i="3"/>
  <c r="AI73" i="3"/>
  <c r="AI57" i="3"/>
  <c r="AI41" i="3"/>
  <c r="AI25" i="3"/>
  <c r="AI9" i="3"/>
  <c r="AJ524" i="3"/>
  <c r="AJ508" i="3"/>
  <c r="AJ492" i="3"/>
  <c r="AJ476" i="3"/>
  <c r="AJ460" i="3"/>
  <c r="AJ444" i="3"/>
  <c r="AJ428" i="3"/>
  <c r="AJ412" i="3"/>
  <c r="AJ396" i="3"/>
  <c r="AJ380" i="3"/>
  <c r="AJ364" i="3"/>
  <c r="AJ348" i="3"/>
  <c r="AJ332" i="3"/>
  <c r="AJ316" i="3"/>
  <c r="AJ300" i="3"/>
  <c r="AJ284" i="3"/>
  <c r="AJ268" i="3"/>
  <c r="AJ252" i="3"/>
  <c r="AJ236" i="3"/>
  <c r="AJ220" i="3"/>
  <c r="AJ204" i="3"/>
  <c r="AJ188" i="3"/>
  <c r="AJ172" i="3"/>
  <c r="AJ156" i="3"/>
  <c r="AJ140" i="3"/>
  <c r="AJ124" i="3"/>
  <c r="AJ108" i="3"/>
  <c r="AJ92" i="3"/>
  <c r="AJ76" i="3"/>
  <c r="AJ60" i="3"/>
  <c r="AJ44" i="3"/>
  <c r="AJ28" i="3"/>
  <c r="AJ12" i="3"/>
  <c r="AJ187" i="3"/>
  <c r="AJ171" i="3"/>
  <c r="AJ155" i="3"/>
  <c r="AJ139" i="3"/>
  <c r="AJ123" i="3"/>
  <c r="AJ107" i="3"/>
  <c r="AJ91" i="3"/>
  <c r="AJ75" i="3"/>
  <c r="AJ59" i="3"/>
  <c r="AJ43" i="3"/>
  <c r="AJ27" i="3"/>
  <c r="AJ11" i="3"/>
  <c r="AI311" i="3"/>
  <c r="AI295" i="3"/>
  <c r="AI279" i="3"/>
  <c r="AI263" i="3"/>
  <c r="AI247" i="3"/>
  <c r="AI231" i="3"/>
  <c r="AI215" i="3"/>
  <c r="AI199" i="3"/>
  <c r="AI183" i="3"/>
  <c r="AI167" i="3"/>
  <c r="AI151" i="3"/>
  <c r="AI135" i="3"/>
  <c r="AI119" i="3"/>
  <c r="AI103" i="3"/>
  <c r="AI87" i="3"/>
  <c r="AI71" i="3"/>
  <c r="AI55" i="3"/>
  <c r="AI39" i="3"/>
  <c r="AI23" i="3"/>
  <c r="AI7" i="3"/>
  <c r="AJ522" i="3"/>
  <c r="AJ506" i="3"/>
  <c r="AJ490" i="3"/>
  <c r="AJ474" i="3"/>
  <c r="AJ458" i="3"/>
  <c r="AJ442" i="3"/>
  <c r="AJ426" i="3"/>
  <c r="AJ410" i="3"/>
  <c r="AJ394" i="3"/>
  <c r="AJ378" i="3"/>
  <c r="AJ362" i="3"/>
  <c r="AJ346" i="3"/>
  <c r="AJ330" i="3"/>
  <c r="AJ314" i="3"/>
  <c r="AJ298" i="3"/>
  <c r="AJ282" i="3"/>
  <c r="AJ266" i="3"/>
  <c r="AJ250" i="3"/>
  <c r="AJ234" i="3"/>
  <c r="AJ218" i="3"/>
  <c r="AJ202" i="3"/>
  <c r="AJ186" i="3"/>
  <c r="AJ170" i="3"/>
  <c r="AJ154" i="3"/>
  <c r="AJ138" i="3"/>
  <c r="AJ122" i="3"/>
  <c r="AJ106" i="3"/>
  <c r="AJ90" i="3"/>
  <c r="AJ74" i="3"/>
  <c r="AJ58" i="3"/>
  <c r="AJ42" i="3"/>
  <c r="AJ26" i="3"/>
  <c r="AJ10" i="3"/>
  <c r="AI310" i="3"/>
  <c r="AI294" i="3"/>
  <c r="AI278" i="3"/>
  <c r="AI262" i="3"/>
  <c r="AI246" i="3"/>
  <c r="AI230" i="3"/>
  <c r="AI214" i="3"/>
  <c r="AI198" i="3"/>
  <c r="AI182" i="3"/>
  <c r="AI166" i="3"/>
  <c r="AI150" i="3"/>
  <c r="AI134" i="3"/>
  <c r="AI118" i="3"/>
  <c r="AI102" i="3"/>
  <c r="AI86" i="3"/>
  <c r="AI70" i="3"/>
  <c r="AI54" i="3"/>
  <c r="AI38" i="3"/>
  <c r="AI22" i="3"/>
  <c r="AI6" i="3"/>
  <c r="AJ521" i="3"/>
  <c r="AJ505" i="3"/>
  <c r="AJ489" i="3"/>
  <c r="AJ473" i="3"/>
  <c r="AJ457" i="3"/>
  <c r="AJ441" i="3"/>
  <c r="AJ425" i="3"/>
  <c r="AJ409" i="3"/>
  <c r="AJ393" i="3"/>
  <c r="AJ377" i="3"/>
  <c r="AJ361" i="3"/>
  <c r="AJ345" i="3"/>
  <c r="AJ329" i="3"/>
  <c r="AJ313" i="3"/>
  <c r="AJ297" i="3"/>
  <c r="AJ281" i="3"/>
  <c r="AJ265" i="3"/>
  <c r="AJ249" i="3"/>
  <c r="AJ233" i="3"/>
  <c r="AJ217" i="3"/>
  <c r="AJ201" i="3"/>
  <c r="AJ185" i="3"/>
  <c r="AJ169" i="3"/>
  <c r="AJ153" i="3"/>
  <c r="AJ137" i="3"/>
  <c r="AJ121" i="3"/>
  <c r="AJ105" i="3"/>
  <c r="AJ89" i="3"/>
  <c r="AJ73" i="3"/>
  <c r="AJ57" i="3"/>
  <c r="AJ41" i="3"/>
  <c r="AJ25" i="3"/>
  <c r="AJ9" i="3"/>
  <c r="AI309" i="3"/>
  <c r="AI293" i="3"/>
  <c r="AI277" i="3"/>
  <c r="AI261" i="3"/>
  <c r="AI245" i="3"/>
  <c r="AI229" i="3"/>
  <c r="AI213" i="3"/>
  <c r="AI197" i="3"/>
  <c r="AI181" i="3"/>
  <c r="AI165" i="3"/>
  <c r="AI149" i="3"/>
  <c r="AI133" i="3"/>
  <c r="AI117" i="3"/>
  <c r="AI101" i="3"/>
  <c r="AI85" i="3"/>
  <c r="AI69" i="3"/>
  <c r="AI53" i="3"/>
  <c r="AI37" i="3"/>
  <c r="AI21" i="3"/>
  <c r="AI5" i="3"/>
  <c r="AJ520" i="3"/>
  <c r="AJ504" i="3"/>
  <c r="AJ488" i="3"/>
  <c r="AJ472" i="3"/>
  <c r="AJ456" i="3"/>
  <c r="AJ440" i="3"/>
  <c r="AJ424" i="3"/>
  <c r="AJ408" i="3"/>
  <c r="AJ392" i="3"/>
  <c r="AJ376" i="3"/>
  <c r="AJ360" i="3"/>
  <c r="AJ344" i="3"/>
  <c r="AJ328" i="3"/>
  <c r="AJ312" i="3"/>
  <c r="AJ296" i="3"/>
  <c r="AJ280" i="3"/>
  <c r="AJ264" i="3"/>
  <c r="AJ248" i="3"/>
  <c r="AJ232" i="3"/>
  <c r="AJ216" i="3"/>
  <c r="AJ200" i="3"/>
  <c r="AJ184" i="3"/>
  <c r="AJ168" i="3"/>
  <c r="AJ152" i="3"/>
  <c r="AJ136" i="3"/>
  <c r="AJ120" i="3"/>
  <c r="AJ104" i="3"/>
  <c r="AJ88" i="3"/>
  <c r="AJ72" i="3"/>
  <c r="AJ56" i="3"/>
  <c r="AJ40" i="3"/>
  <c r="AJ24" i="3"/>
  <c r="AJ8" i="3"/>
  <c r="AI308" i="3"/>
  <c r="AI292" i="3"/>
  <c r="AI276" i="3"/>
  <c r="AI260" i="3"/>
  <c r="AI244" i="3"/>
  <c r="AI228" i="3"/>
  <c r="AI212" i="3"/>
  <c r="AI196" i="3"/>
  <c r="AI180" i="3"/>
  <c r="AI164" i="3"/>
  <c r="AI148" i="3"/>
  <c r="AI132" i="3"/>
  <c r="AI116" i="3"/>
  <c r="AI100" i="3"/>
  <c r="AI84" i="3"/>
  <c r="AI68" i="3"/>
  <c r="AI52" i="3"/>
  <c r="AI36" i="3"/>
  <c r="AI20" i="3"/>
  <c r="AI4" i="3"/>
  <c r="AJ519" i="3"/>
  <c r="AJ503" i="3"/>
  <c r="AJ487" i="3"/>
  <c r="AJ471" i="3"/>
  <c r="AJ455" i="3"/>
  <c r="AJ439" i="3"/>
  <c r="AJ423" i="3"/>
  <c r="AJ407" i="3"/>
  <c r="AJ391" i="3"/>
  <c r="AJ375" i="3"/>
  <c r="AJ359" i="3"/>
  <c r="AJ343" i="3"/>
  <c r="AJ327" i="3"/>
  <c r="AJ311" i="3"/>
  <c r="AJ295" i="3"/>
  <c r="AJ279" i="3"/>
  <c r="AJ263" i="3"/>
  <c r="AJ247" i="3"/>
  <c r="AJ231" i="3"/>
  <c r="AJ215" i="3"/>
  <c r="AJ199" i="3"/>
  <c r="AJ183" i="3"/>
  <c r="AJ167" i="3"/>
  <c r="AJ151" i="3"/>
  <c r="AJ135" i="3"/>
  <c r="AJ119" i="3"/>
  <c r="AJ103" i="3"/>
  <c r="AJ87" i="3"/>
  <c r="AJ71" i="3"/>
  <c r="AJ55" i="3"/>
  <c r="AJ39" i="3"/>
  <c r="AJ23" i="3"/>
  <c r="AJ7" i="3"/>
  <c r="AI307" i="3"/>
  <c r="AI291" i="3"/>
  <c r="AI275" i="3"/>
  <c r="AI259" i="3"/>
  <c r="AI243" i="3"/>
  <c r="AI227" i="3"/>
  <c r="AI211" i="3"/>
  <c r="AI195" i="3"/>
  <c r="AI179" i="3"/>
  <c r="AI163" i="3"/>
  <c r="AI147" i="3"/>
  <c r="AI131" i="3"/>
  <c r="AI115" i="3"/>
  <c r="AI99" i="3"/>
  <c r="AI83" i="3"/>
  <c r="AI67" i="3"/>
  <c r="AI51" i="3"/>
  <c r="AI35" i="3"/>
  <c r="AI19" i="3"/>
  <c r="AI3" i="3"/>
  <c r="AJ518" i="3"/>
  <c r="AJ502" i="3"/>
  <c r="AJ486" i="3"/>
  <c r="AJ470" i="3"/>
  <c r="AJ454" i="3"/>
  <c r="AJ438" i="3"/>
  <c r="AJ422" i="3"/>
  <c r="AJ406" i="3"/>
  <c r="AJ390" i="3"/>
  <c r="AJ374" i="3"/>
  <c r="AJ358" i="3"/>
  <c r="AJ342" i="3"/>
  <c r="AJ326" i="3"/>
  <c r="AJ310" i="3"/>
  <c r="AJ294" i="3"/>
  <c r="AJ278" i="3"/>
  <c r="AJ262" i="3"/>
  <c r="AJ246" i="3"/>
  <c r="AJ230" i="3"/>
  <c r="AJ214" i="3"/>
  <c r="AJ198" i="3"/>
  <c r="AJ182" i="3"/>
  <c r="AJ166" i="3"/>
  <c r="AJ150" i="3"/>
  <c r="AJ134" i="3"/>
  <c r="AJ118" i="3"/>
  <c r="AJ102" i="3"/>
  <c r="AJ86" i="3"/>
  <c r="AJ70" i="3"/>
  <c r="AJ54" i="3"/>
  <c r="AJ38" i="3"/>
  <c r="AJ22" i="3"/>
  <c r="AJ6" i="3"/>
  <c r="AJ341" i="3"/>
  <c r="AJ325" i="3"/>
  <c r="AJ309" i="3"/>
  <c r="AJ293" i="3"/>
  <c r="AJ277" i="3"/>
  <c r="AJ261" i="3"/>
  <c r="AJ245" i="3"/>
  <c r="AJ229" i="3"/>
  <c r="AJ213" i="3"/>
  <c r="AJ197" i="3"/>
  <c r="AJ181" i="3"/>
  <c r="AJ165" i="3"/>
  <c r="AJ149" i="3"/>
  <c r="AJ133" i="3"/>
  <c r="AJ117" i="3"/>
  <c r="AJ101" i="3"/>
  <c r="AJ85" i="3"/>
  <c r="AJ69" i="3"/>
  <c r="AJ53" i="3"/>
  <c r="AJ37" i="3"/>
  <c r="AJ21" i="3"/>
  <c r="AJ5" i="3"/>
  <c r="AI305" i="3"/>
  <c r="AI289" i="3"/>
  <c r="AI273" i="3"/>
  <c r="AI257" i="3"/>
  <c r="AI241" i="3"/>
  <c r="AI225" i="3"/>
  <c r="AI209" i="3"/>
  <c r="AI193" i="3"/>
  <c r="AI177" i="3"/>
  <c r="AI161" i="3"/>
  <c r="AI145" i="3"/>
  <c r="AI129" i="3"/>
  <c r="AI113" i="3"/>
  <c r="AI97" i="3"/>
  <c r="AI81" i="3"/>
  <c r="AI65" i="3"/>
  <c r="AI49" i="3"/>
  <c r="AI33" i="3"/>
  <c r="AI17" i="3"/>
  <c r="AJ516" i="3"/>
  <c r="AJ500" i="3"/>
  <c r="AJ484" i="3"/>
  <c r="AJ468" i="3"/>
  <c r="AJ452" i="3"/>
  <c r="AJ436" i="3"/>
  <c r="AJ420" i="3"/>
  <c r="AJ404" i="3"/>
  <c r="AJ388" i="3"/>
  <c r="AJ372" i="3"/>
  <c r="AJ356" i="3"/>
  <c r="AJ340" i="3"/>
  <c r="AJ324" i="3"/>
  <c r="AJ308" i="3"/>
  <c r="AJ292" i="3"/>
  <c r="AJ276" i="3"/>
  <c r="AJ260" i="3"/>
  <c r="AJ244" i="3"/>
  <c r="AJ228" i="3"/>
  <c r="AJ212" i="3"/>
  <c r="AJ196" i="3"/>
  <c r="AJ180" i="3"/>
  <c r="AJ164" i="3"/>
  <c r="AJ148" i="3"/>
  <c r="AJ132" i="3"/>
  <c r="AJ116" i="3"/>
  <c r="AJ100" i="3"/>
  <c r="AJ84" i="3"/>
  <c r="AJ68" i="3"/>
  <c r="AJ52" i="3"/>
  <c r="AJ36" i="3"/>
  <c r="AJ20" i="3"/>
  <c r="AJ4" i="3"/>
  <c r="AJ339" i="3"/>
  <c r="AJ323" i="3"/>
  <c r="AJ307" i="3"/>
  <c r="AJ291" i="3"/>
  <c r="AJ275" i="3"/>
  <c r="AJ259" i="3"/>
  <c r="AJ243" i="3"/>
  <c r="AJ227" i="3"/>
  <c r="AJ211" i="3"/>
  <c r="AJ195" i="3"/>
  <c r="AJ179" i="3"/>
  <c r="AJ163" i="3"/>
  <c r="AJ147" i="3"/>
  <c r="AJ131" i="3"/>
  <c r="AJ115" i="3"/>
  <c r="AJ99" i="3"/>
  <c r="AJ83" i="3"/>
  <c r="AJ67" i="3"/>
  <c r="AJ51" i="3"/>
  <c r="AJ35" i="3"/>
  <c r="AJ19" i="3"/>
  <c r="AJ3" i="3"/>
  <c r="AI319" i="3"/>
  <c r="AI303" i="3"/>
  <c r="AI287" i="3"/>
  <c r="AI271" i="3"/>
  <c r="AI255" i="3"/>
  <c r="AI239" i="3"/>
  <c r="AI223" i="3"/>
  <c r="AI207" i="3"/>
  <c r="AI191" i="3"/>
  <c r="AI175" i="3"/>
  <c r="AI159" i="3"/>
  <c r="AI143" i="3"/>
  <c r="AI127" i="3"/>
  <c r="AI111" i="3"/>
  <c r="AI95" i="3"/>
  <c r="AI79" i="3"/>
  <c r="AI63" i="3"/>
  <c r="AI47" i="3"/>
  <c r="AI31" i="3"/>
  <c r="AI15" i="3"/>
  <c r="AJ530" i="3"/>
  <c r="AJ514" i="3"/>
  <c r="AJ498" i="3"/>
  <c r="AJ482" i="3"/>
  <c r="AJ466" i="3"/>
  <c r="AJ450" i="3"/>
  <c r="AJ434" i="3"/>
  <c r="AJ418" i="3"/>
  <c r="AJ402" i="3"/>
  <c r="AJ386" i="3"/>
  <c r="AJ370" i="3"/>
  <c r="AJ354" i="3"/>
  <c r="AJ338" i="3"/>
  <c r="AJ322" i="3"/>
  <c r="AJ306" i="3"/>
  <c r="AJ290" i="3"/>
  <c r="AJ274" i="3"/>
  <c r="AJ258" i="3"/>
  <c r="AJ242" i="3"/>
  <c r="AJ226" i="3"/>
  <c r="AJ210" i="3"/>
  <c r="AJ194" i="3"/>
  <c r="AJ178" i="3"/>
  <c r="AJ162" i="3"/>
  <c r="AJ146" i="3"/>
  <c r="AJ130" i="3"/>
  <c r="AJ114" i="3"/>
  <c r="AJ98" i="3"/>
  <c r="AJ82" i="3"/>
  <c r="AJ66" i="3"/>
  <c r="AJ50" i="3"/>
  <c r="AJ34" i="3"/>
  <c r="AJ18" i="3"/>
  <c r="AI302" i="3"/>
  <c r="AI286" i="3"/>
  <c r="AI270" i="3"/>
  <c r="AI254" i="3"/>
  <c r="AI238" i="3"/>
  <c r="AI222" i="3"/>
  <c r="AI206" i="3"/>
  <c r="AI190" i="3"/>
  <c r="AI174" i="3"/>
  <c r="AI158" i="3"/>
  <c r="AI142" i="3"/>
  <c r="AI126" i="3"/>
  <c r="AI110" i="3"/>
  <c r="AI94" i="3"/>
  <c r="AI78" i="3"/>
  <c r="AI62" i="3"/>
  <c r="AI46" i="3"/>
  <c r="AI30" i="3"/>
  <c r="AI14" i="3"/>
  <c r="AJ529" i="3"/>
  <c r="AJ513" i="3"/>
  <c r="AJ497" i="3"/>
  <c r="AJ481" i="3"/>
  <c r="AJ465" i="3"/>
  <c r="AJ449" i="3"/>
  <c r="AJ433" i="3"/>
  <c r="AJ417" i="3"/>
  <c r="AJ401" i="3"/>
  <c r="AJ385" i="3"/>
  <c r="AJ369" i="3"/>
  <c r="AJ353" i="3"/>
  <c r="AJ337" i="3"/>
  <c r="AJ321" i="3"/>
  <c r="AJ305" i="3"/>
  <c r="AJ289" i="3"/>
  <c r="AJ273" i="3"/>
  <c r="AJ257" i="3"/>
  <c r="AJ241" i="3"/>
  <c r="AJ225" i="3"/>
  <c r="AJ209" i="3"/>
  <c r="AJ193" i="3"/>
  <c r="AJ177" i="3"/>
  <c r="AJ161" i="3"/>
  <c r="AJ145" i="3"/>
  <c r="AJ129" i="3"/>
  <c r="AJ113" i="3"/>
  <c r="AJ97" i="3"/>
  <c r="AJ81" i="3"/>
  <c r="AJ65" i="3"/>
  <c r="AJ49" i="3"/>
  <c r="AJ33" i="3"/>
  <c r="AJ17" i="3"/>
  <c r="AL2" i="3"/>
  <c r="AJ352" i="3"/>
  <c r="AJ336" i="3"/>
  <c r="AJ320" i="3"/>
  <c r="AJ304" i="3"/>
  <c r="AJ288" i="3"/>
  <c r="AJ272" i="3"/>
  <c r="AJ256" i="3"/>
  <c r="AJ240" i="3"/>
  <c r="AJ224" i="3"/>
  <c r="AJ208" i="3"/>
  <c r="AJ192" i="3"/>
  <c r="AJ176" i="3"/>
  <c r="AJ160" i="3"/>
  <c r="AJ144" i="3"/>
  <c r="AJ128" i="3"/>
  <c r="AJ112" i="3"/>
  <c r="AJ96" i="3"/>
  <c r="AJ80" i="3"/>
  <c r="AJ64" i="3"/>
  <c r="AJ48" i="3"/>
  <c r="AJ32" i="3"/>
  <c r="AJ16" i="3"/>
  <c r="AI316" i="3"/>
  <c r="AI300" i="3"/>
  <c r="AI284" i="3"/>
  <c r="AI268" i="3"/>
  <c r="AI252" i="3"/>
  <c r="AI236" i="3"/>
  <c r="AI220" i="3"/>
  <c r="AI204" i="3"/>
  <c r="AI188" i="3"/>
  <c r="AI172" i="3"/>
  <c r="AI156" i="3"/>
  <c r="AI140" i="3"/>
  <c r="AI124" i="3"/>
  <c r="AI108" i="3"/>
  <c r="AI92" i="3"/>
  <c r="AI76" i="3"/>
  <c r="AI60" i="3"/>
  <c r="AI44" i="3"/>
  <c r="AI28" i="3"/>
  <c r="AI12" i="3"/>
  <c r="AJ527" i="3"/>
  <c r="AJ511" i="3"/>
  <c r="AJ495" i="3"/>
  <c r="AJ479" i="3"/>
  <c r="AJ463" i="3"/>
  <c r="AJ447" i="3"/>
  <c r="AJ431" i="3"/>
  <c r="AJ415" i="3"/>
  <c r="AJ399" i="3"/>
  <c r="AJ383" i="3"/>
  <c r="AJ367" i="3"/>
  <c r="AJ351" i="3"/>
  <c r="AJ335" i="3"/>
  <c r="AJ319" i="3"/>
  <c r="AJ303" i="3"/>
  <c r="AJ287" i="3"/>
  <c r="AJ271" i="3"/>
  <c r="AJ255" i="3"/>
  <c r="AJ239" i="3"/>
  <c r="AJ223" i="3"/>
  <c r="AJ207" i="3"/>
  <c r="AJ191" i="3"/>
  <c r="AJ175" i="3"/>
  <c r="AJ159" i="3"/>
  <c r="AJ143" i="3"/>
  <c r="AJ127" i="3"/>
  <c r="AJ111" i="3"/>
  <c r="AJ95" i="3"/>
  <c r="AJ79" i="3"/>
  <c r="AJ63" i="3"/>
  <c r="AJ47" i="3"/>
  <c r="AJ31" i="3"/>
  <c r="AI530" i="1"/>
  <c r="AI514" i="1"/>
  <c r="AI498" i="1"/>
  <c r="AI482" i="1"/>
  <c r="AI466" i="1"/>
  <c r="AI450" i="1"/>
  <c r="AI434" i="1"/>
  <c r="AI418" i="1"/>
  <c r="AI402" i="1"/>
  <c r="AI386" i="1"/>
  <c r="AI370" i="1"/>
  <c r="AI354" i="1"/>
  <c r="AI338" i="1"/>
  <c r="AI322" i="1"/>
  <c r="AI306" i="1"/>
  <c r="AI290" i="1"/>
  <c r="AI274" i="1"/>
  <c r="AI258" i="1"/>
  <c r="AI242" i="1"/>
  <c r="AI226" i="1"/>
  <c r="AI210" i="1"/>
  <c r="AI194" i="1"/>
  <c r="AI178" i="1"/>
  <c r="AI162" i="1"/>
  <c r="AI146" i="1"/>
  <c r="AI130" i="1"/>
  <c r="AI114" i="1"/>
  <c r="AI98" i="1"/>
  <c r="AI82" i="1"/>
  <c r="AI66" i="1"/>
  <c r="AI50" i="1"/>
  <c r="AI34" i="1"/>
  <c r="AI18" i="1"/>
  <c r="AJ518" i="1"/>
  <c r="AJ502" i="1"/>
  <c r="AJ486" i="1"/>
  <c r="AJ470" i="1"/>
  <c r="AJ454" i="1"/>
  <c r="AJ438" i="1"/>
  <c r="AJ422" i="1"/>
  <c r="AJ406" i="1"/>
  <c r="AJ390" i="1"/>
  <c r="AJ374" i="1"/>
  <c r="AJ358" i="1"/>
  <c r="AJ342" i="1"/>
  <c r="AJ326" i="1"/>
  <c r="AJ310" i="1"/>
  <c r="AJ294" i="1"/>
  <c r="AJ278" i="1"/>
  <c r="AJ262" i="1"/>
  <c r="AJ246" i="1"/>
  <c r="AJ230" i="1"/>
  <c r="AJ214" i="1"/>
  <c r="AJ198" i="1"/>
  <c r="AJ182" i="1"/>
  <c r="AJ166" i="1"/>
  <c r="AJ150" i="1"/>
  <c r="AJ134" i="1"/>
  <c r="AJ118" i="1"/>
  <c r="AJ102" i="1"/>
  <c r="AJ86" i="1"/>
  <c r="AJ70" i="1"/>
  <c r="AJ54" i="1"/>
  <c r="AJ38" i="1"/>
  <c r="AJ22" i="1"/>
  <c r="AJ6" i="1"/>
  <c r="AJ453" i="1"/>
  <c r="AJ437" i="1"/>
  <c r="AJ421" i="1"/>
  <c r="AJ405" i="1"/>
  <c r="AJ389" i="1"/>
  <c r="AJ373" i="1"/>
  <c r="AJ357" i="1"/>
  <c r="AJ341" i="1"/>
  <c r="AJ325" i="1"/>
  <c r="AJ309" i="1"/>
  <c r="AJ293" i="1"/>
  <c r="AJ277" i="1"/>
  <c r="AJ261" i="1"/>
  <c r="AJ245" i="1"/>
  <c r="AJ229" i="1"/>
  <c r="AJ213" i="1"/>
  <c r="AJ197" i="1"/>
  <c r="AJ181" i="1"/>
  <c r="AJ165" i="1"/>
  <c r="AJ149" i="1"/>
  <c r="AJ133" i="1"/>
  <c r="AJ117" i="1"/>
  <c r="AJ101" i="1"/>
  <c r="AJ85" i="1"/>
  <c r="AJ69" i="1"/>
  <c r="AJ53" i="1"/>
  <c r="AJ37" i="1"/>
  <c r="AJ21" i="1"/>
  <c r="AJ5" i="1"/>
  <c r="AI400" i="1"/>
  <c r="AI384" i="1"/>
  <c r="AI368" i="1"/>
  <c r="AI352" i="1"/>
  <c r="AI336" i="1"/>
  <c r="AI320" i="1"/>
  <c r="AI304" i="1"/>
  <c r="AI288" i="1"/>
  <c r="AI272" i="1"/>
  <c r="AI256" i="1"/>
  <c r="AI240" i="1"/>
  <c r="AI224" i="1"/>
  <c r="AI208" i="1"/>
  <c r="AI192" i="1"/>
  <c r="AI176" i="1"/>
  <c r="AI160" i="1"/>
  <c r="AI144" i="1"/>
  <c r="AI128" i="1"/>
  <c r="AI112" i="1"/>
  <c r="AI96" i="1"/>
  <c r="AI80" i="1"/>
  <c r="AI64" i="1"/>
  <c r="AI48" i="1"/>
  <c r="AI32" i="1"/>
  <c r="AI16" i="1"/>
  <c r="AJ532" i="1"/>
  <c r="AJ516" i="1"/>
  <c r="AJ500" i="1"/>
  <c r="AJ484" i="1"/>
  <c r="AJ468" i="1"/>
  <c r="AJ452" i="1"/>
  <c r="AJ436" i="1"/>
  <c r="AJ420" i="1"/>
  <c r="AJ404" i="1"/>
  <c r="AJ388" i="1"/>
  <c r="AJ372" i="1"/>
  <c r="AJ356" i="1"/>
  <c r="AJ340" i="1"/>
  <c r="AJ324" i="1"/>
  <c r="AJ308" i="1"/>
  <c r="AJ292" i="1"/>
  <c r="AJ276" i="1"/>
  <c r="AJ260" i="1"/>
  <c r="AJ244" i="1"/>
  <c r="AJ228" i="1"/>
  <c r="AJ212" i="1"/>
  <c r="AJ196" i="1"/>
  <c r="AJ180" i="1"/>
  <c r="AJ164" i="1"/>
  <c r="AJ148" i="1"/>
  <c r="AJ132" i="1"/>
  <c r="AJ116" i="1"/>
  <c r="AJ100" i="1"/>
  <c r="AJ84" i="1"/>
  <c r="AJ68" i="1"/>
  <c r="AJ52" i="1"/>
  <c r="AJ36" i="1"/>
  <c r="AJ20" i="1"/>
  <c r="AJ4" i="1"/>
  <c r="AI527" i="1"/>
  <c r="AI511" i="1"/>
  <c r="AI495" i="1"/>
  <c r="AI479" i="1"/>
  <c r="AI463" i="1"/>
  <c r="AI447" i="1"/>
  <c r="AI431" i="1"/>
  <c r="AI415" i="1"/>
  <c r="AI399" i="1"/>
  <c r="AI383" i="1"/>
  <c r="AI367" i="1"/>
  <c r="AI351" i="1"/>
  <c r="AI335" i="1"/>
  <c r="AI319" i="1"/>
  <c r="AI303" i="1"/>
  <c r="AI287" i="1"/>
  <c r="AI271" i="1"/>
  <c r="AI255" i="1"/>
  <c r="AI239" i="1"/>
  <c r="AI223" i="1"/>
  <c r="AI207" i="1"/>
  <c r="AI191" i="1"/>
  <c r="AI175" i="1"/>
  <c r="AI159" i="1"/>
  <c r="AI143" i="1"/>
  <c r="AI127" i="1"/>
  <c r="AI111" i="1"/>
  <c r="AI95" i="1"/>
  <c r="AI79" i="1"/>
  <c r="AI63" i="1"/>
  <c r="AI47" i="1"/>
  <c r="AI31" i="1"/>
  <c r="AI15" i="1"/>
  <c r="AJ531" i="1"/>
  <c r="AJ515" i="1"/>
  <c r="AJ499" i="1"/>
  <c r="AJ483" i="1"/>
  <c r="AJ467" i="1"/>
  <c r="AJ451" i="1"/>
  <c r="AJ435" i="1"/>
  <c r="AJ419" i="1"/>
  <c r="AJ403" i="1"/>
  <c r="AJ387" i="1"/>
  <c r="AJ371" i="1"/>
  <c r="AJ355" i="1"/>
  <c r="AJ339" i="1"/>
  <c r="AJ323" i="1"/>
  <c r="AJ307" i="1"/>
  <c r="AJ291" i="1"/>
  <c r="AJ275" i="1"/>
  <c r="AJ259" i="1"/>
  <c r="AJ243" i="1"/>
  <c r="AJ227" i="1"/>
  <c r="AJ211" i="1"/>
  <c r="AJ195" i="1"/>
  <c r="AJ179" i="1"/>
  <c r="AJ163" i="1"/>
  <c r="AJ147" i="1"/>
  <c r="AJ131" i="1"/>
  <c r="AJ115" i="1"/>
  <c r="AJ99" i="1"/>
  <c r="AJ83" i="1"/>
  <c r="AJ67" i="1"/>
  <c r="AJ51" i="1"/>
  <c r="AJ35" i="1"/>
  <c r="AJ19" i="1"/>
  <c r="AJ3" i="1"/>
  <c r="AI526" i="1"/>
  <c r="AI510" i="1"/>
  <c r="AI494" i="1"/>
  <c r="AI478" i="1"/>
  <c r="AI462" i="1"/>
  <c r="AI446" i="1"/>
  <c r="AI430" i="1"/>
  <c r="AI414" i="1"/>
  <c r="AI398" i="1"/>
  <c r="AI382" i="1"/>
  <c r="AI366" i="1"/>
  <c r="AI350" i="1"/>
  <c r="AI334" i="1"/>
  <c r="AI318" i="1"/>
  <c r="AI302" i="1"/>
  <c r="AI286" i="1"/>
  <c r="AI270" i="1"/>
  <c r="AI254" i="1"/>
  <c r="AI238" i="1"/>
  <c r="AI222" i="1"/>
  <c r="AI206" i="1"/>
  <c r="AI190" i="1"/>
  <c r="AI174" i="1"/>
  <c r="AI158" i="1"/>
  <c r="AI142" i="1"/>
  <c r="AI126" i="1"/>
  <c r="AI110" i="1"/>
  <c r="AI94" i="1"/>
  <c r="AI78" i="1"/>
  <c r="AI62" i="1"/>
  <c r="AI46" i="1"/>
  <c r="AI30" i="1"/>
  <c r="AI14" i="1"/>
  <c r="AJ530" i="1"/>
  <c r="AJ514" i="1"/>
  <c r="AJ498" i="1"/>
  <c r="AJ482" i="1"/>
  <c r="AJ466" i="1"/>
  <c r="AJ450" i="1"/>
  <c r="AJ434" i="1"/>
  <c r="AJ418" i="1"/>
  <c r="AJ402" i="1"/>
  <c r="AJ386" i="1"/>
  <c r="AJ370" i="1"/>
  <c r="AJ354" i="1"/>
  <c r="AJ338" i="1"/>
  <c r="AJ322" i="1"/>
  <c r="AJ306" i="1"/>
  <c r="AJ290" i="1"/>
  <c r="AJ274" i="1"/>
  <c r="AJ258" i="1"/>
  <c r="AJ242" i="1"/>
  <c r="AJ226" i="1"/>
  <c r="AJ210" i="1"/>
  <c r="AJ194" i="1"/>
  <c r="AJ178" i="1"/>
  <c r="AJ162" i="1"/>
  <c r="AJ146" i="1"/>
  <c r="AJ130" i="1"/>
  <c r="AJ114" i="1"/>
  <c r="AJ98" i="1"/>
  <c r="AJ82" i="1"/>
  <c r="AJ66" i="1"/>
  <c r="AJ50" i="1"/>
  <c r="AJ34" i="1"/>
  <c r="AJ18" i="1"/>
  <c r="AI525" i="1"/>
  <c r="AI509" i="1"/>
  <c r="AI493" i="1"/>
  <c r="AI477" i="1"/>
  <c r="AI461" i="1"/>
  <c r="AI445" i="1"/>
  <c r="AI429" i="1"/>
  <c r="AI413" i="1"/>
  <c r="AI397" i="1"/>
  <c r="AI381" i="1"/>
  <c r="AI365" i="1"/>
  <c r="AI349" i="1"/>
  <c r="AI333" i="1"/>
  <c r="AI317" i="1"/>
  <c r="AI301" i="1"/>
  <c r="AI285" i="1"/>
  <c r="AI269" i="1"/>
  <c r="AI253" i="1"/>
  <c r="AI237" i="1"/>
  <c r="AI221" i="1"/>
  <c r="AI205" i="1"/>
  <c r="AI189" i="1"/>
  <c r="AI173" i="1"/>
  <c r="AI157" i="1"/>
  <c r="AI141" i="1"/>
  <c r="AI125" i="1"/>
  <c r="AI109" i="1"/>
  <c r="AI93" i="1"/>
  <c r="AI77" i="1"/>
  <c r="AI61" i="1"/>
  <c r="AI45" i="1"/>
  <c r="AI29" i="1"/>
  <c r="AI13" i="1"/>
  <c r="AJ529" i="1"/>
  <c r="AJ513" i="1"/>
  <c r="AJ497" i="1"/>
  <c r="AJ481" i="1"/>
  <c r="AJ465" i="1"/>
  <c r="AJ449" i="1"/>
  <c r="AJ433" i="1"/>
  <c r="AJ417" i="1"/>
  <c r="AJ401" i="1"/>
  <c r="AJ385" i="1"/>
  <c r="AJ369" i="1"/>
  <c r="AJ353" i="1"/>
  <c r="AJ337" i="1"/>
  <c r="AJ321" i="1"/>
  <c r="AJ305" i="1"/>
  <c r="AJ289" i="1"/>
  <c r="AJ273" i="1"/>
  <c r="AJ257" i="1"/>
  <c r="AJ241" i="1"/>
  <c r="AJ225" i="1"/>
  <c r="AJ209" i="1"/>
  <c r="AJ193" i="1"/>
  <c r="AJ177" i="1"/>
  <c r="AJ161" i="1"/>
  <c r="AJ145" i="1"/>
  <c r="AJ129" i="1"/>
  <c r="AJ113" i="1"/>
  <c r="AJ97" i="1"/>
  <c r="AJ81" i="1"/>
  <c r="AJ65" i="1"/>
  <c r="AJ49" i="1"/>
  <c r="AJ33" i="1"/>
  <c r="AJ17" i="1"/>
  <c r="AI524" i="1"/>
  <c r="AI508" i="1"/>
  <c r="AI492" i="1"/>
  <c r="AI476" i="1"/>
  <c r="AI460" i="1"/>
  <c r="AI444" i="1"/>
  <c r="AI428" i="1"/>
  <c r="AI412" i="1"/>
  <c r="AI396" i="1"/>
  <c r="AI380" i="1"/>
  <c r="AI364" i="1"/>
  <c r="AI348" i="1"/>
  <c r="AI332" i="1"/>
  <c r="AI316" i="1"/>
  <c r="AI300" i="1"/>
  <c r="AI284" i="1"/>
  <c r="AI268" i="1"/>
  <c r="AI252" i="1"/>
  <c r="AI236" i="1"/>
  <c r="AI220" i="1"/>
  <c r="AI204" i="1"/>
  <c r="AI188" i="1"/>
  <c r="AI172" i="1"/>
  <c r="AI156" i="1"/>
  <c r="AI140" i="1"/>
  <c r="AI124" i="1"/>
  <c r="AI108" i="1"/>
  <c r="AI92" i="1"/>
  <c r="AI76" i="1"/>
  <c r="AI60" i="1"/>
  <c r="AI44" i="1"/>
  <c r="AI28" i="1"/>
  <c r="AI12" i="1"/>
  <c r="AJ528" i="1"/>
  <c r="AJ512" i="1"/>
  <c r="AJ496" i="1"/>
  <c r="AJ480" i="1"/>
  <c r="AJ464" i="1"/>
  <c r="AJ448" i="1"/>
  <c r="AJ432" i="1"/>
  <c r="AJ416" i="1"/>
  <c r="AJ400" i="1"/>
  <c r="AJ384" i="1"/>
  <c r="AJ368" i="1"/>
  <c r="AJ352" i="1"/>
  <c r="AJ336" i="1"/>
  <c r="AJ320" i="1"/>
  <c r="AJ304" i="1"/>
  <c r="AJ288" i="1"/>
  <c r="AJ272" i="1"/>
  <c r="AJ256" i="1"/>
  <c r="AJ240" i="1"/>
  <c r="AJ224" i="1"/>
  <c r="AJ208" i="1"/>
  <c r="AJ192" i="1"/>
  <c r="AJ176" i="1"/>
  <c r="AJ160" i="1"/>
  <c r="AJ144" i="1"/>
  <c r="AJ128" i="1"/>
  <c r="AJ112" i="1"/>
  <c r="AJ96" i="1"/>
  <c r="AJ80" i="1"/>
  <c r="AJ64" i="1"/>
  <c r="AJ48" i="1"/>
  <c r="AJ32" i="1"/>
  <c r="AJ16" i="1"/>
  <c r="AI523" i="1"/>
  <c r="AI507" i="1"/>
  <c r="AI491" i="1"/>
  <c r="AI475" i="1"/>
  <c r="AI459" i="1"/>
  <c r="AI443" i="1"/>
  <c r="AI427" i="1"/>
  <c r="AI411" i="1"/>
  <c r="AI395" i="1"/>
  <c r="AI379" i="1"/>
  <c r="AI363" i="1"/>
  <c r="AI347" i="1"/>
  <c r="AI331" i="1"/>
  <c r="AI315" i="1"/>
  <c r="AI299" i="1"/>
  <c r="AI283" i="1"/>
  <c r="AI267" i="1"/>
  <c r="AI251" i="1"/>
  <c r="AI235" i="1"/>
  <c r="AI219" i="1"/>
  <c r="AI203" i="1"/>
  <c r="AI187" i="1"/>
  <c r="AI171" i="1"/>
  <c r="AI155" i="1"/>
  <c r="AI139" i="1"/>
  <c r="AI123" i="1"/>
  <c r="AI107" i="1"/>
  <c r="AI91" i="1"/>
  <c r="AI75" i="1"/>
  <c r="AI59" i="1"/>
  <c r="AI43" i="1"/>
  <c r="AI27" i="1"/>
  <c r="AI11" i="1"/>
  <c r="AJ527" i="1"/>
  <c r="AJ511" i="1"/>
  <c r="AJ495" i="1"/>
  <c r="AJ479" i="1"/>
  <c r="AJ463" i="1"/>
  <c r="AJ447" i="1"/>
  <c r="AJ431" i="1"/>
  <c r="AJ415" i="1"/>
  <c r="AJ399" i="1"/>
  <c r="AJ383" i="1"/>
  <c r="AJ367" i="1"/>
  <c r="AJ351" i="1"/>
  <c r="AJ335" i="1"/>
  <c r="AJ319" i="1"/>
  <c r="AJ303" i="1"/>
  <c r="AJ287" i="1"/>
  <c r="AJ271" i="1"/>
  <c r="AJ255" i="1"/>
  <c r="AJ239" i="1"/>
  <c r="AJ223" i="1"/>
  <c r="AJ207" i="1"/>
  <c r="AJ191" i="1"/>
  <c r="AJ175" i="1"/>
  <c r="AJ159" i="1"/>
  <c r="AJ143" i="1"/>
  <c r="AJ127" i="1"/>
  <c r="AJ111" i="1"/>
  <c r="AJ95" i="1"/>
  <c r="AJ79" i="1"/>
  <c r="AJ63" i="1"/>
  <c r="AJ47" i="1"/>
  <c r="AJ31" i="1"/>
  <c r="AJ15" i="1"/>
  <c r="AI522" i="1"/>
  <c r="AI506" i="1"/>
  <c r="AI490" i="1"/>
  <c r="AI474" i="1"/>
  <c r="AI458" i="1"/>
  <c r="AI442" i="1"/>
  <c r="AI426" i="1"/>
  <c r="AI410" i="1"/>
  <c r="AI394" i="1"/>
  <c r="AI378" i="1"/>
  <c r="AI362" i="1"/>
  <c r="AI346" i="1"/>
  <c r="AI330" i="1"/>
  <c r="AI314" i="1"/>
  <c r="AI298" i="1"/>
  <c r="AI282" i="1"/>
  <c r="AI266" i="1"/>
  <c r="AI250" i="1"/>
  <c r="AI234" i="1"/>
  <c r="AI218" i="1"/>
  <c r="AI202" i="1"/>
  <c r="AI186" i="1"/>
  <c r="AI170" i="1"/>
  <c r="AI154" i="1"/>
  <c r="AI138" i="1"/>
  <c r="AI122" i="1"/>
  <c r="AI106" i="1"/>
  <c r="AI90" i="1"/>
  <c r="AI74" i="1"/>
  <c r="AI58" i="1"/>
  <c r="AI42" i="1"/>
  <c r="AI26" i="1"/>
  <c r="AI10" i="1"/>
  <c r="AJ526" i="1"/>
  <c r="AJ510" i="1"/>
  <c r="AJ494" i="1"/>
  <c r="AJ478" i="1"/>
  <c r="AJ462" i="1"/>
  <c r="AJ446" i="1"/>
  <c r="AJ430" i="1"/>
  <c r="AJ414" i="1"/>
  <c r="AJ398" i="1"/>
  <c r="AJ382" i="1"/>
  <c r="AJ366" i="1"/>
  <c r="AJ350" i="1"/>
  <c r="AJ334" i="1"/>
  <c r="AJ318" i="1"/>
  <c r="AJ302" i="1"/>
  <c r="AJ286" i="1"/>
  <c r="AJ270" i="1"/>
  <c r="AJ254" i="1"/>
  <c r="AJ238" i="1"/>
  <c r="AJ222" i="1"/>
  <c r="AJ206" i="1"/>
  <c r="AJ190" i="1"/>
  <c r="AJ174" i="1"/>
  <c r="AJ158" i="1"/>
  <c r="AJ142" i="1"/>
  <c r="AJ126" i="1"/>
  <c r="AJ110" i="1"/>
  <c r="AJ94" i="1"/>
  <c r="AJ78" i="1"/>
  <c r="AJ62" i="1"/>
  <c r="AJ46" i="1"/>
  <c r="AJ30" i="1"/>
  <c r="AJ14" i="1"/>
  <c r="AI345" i="1"/>
  <c r="AI329" i="1"/>
  <c r="AI313" i="1"/>
  <c r="AI297" i="1"/>
  <c r="AI281" i="1"/>
  <c r="AI265" i="1"/>
  <c r="AI249" i="1"/>
  <c r="AI233" i="1"/>
  <c r="AI217" i="1"/>
  <c r="AI201" i="1"/>
  <c r="AI185" i="1"/>
  <c r="AI169" i="1"/>
  <c r="AI153" i="1"/>
  <c r="AI137" i="1"/>
  <c r="AI121" i="1"/>
  <c r="AI105" i="1"/>
  <c r="AI89" i="1"/>
  <c r="AI73" i="1"/>
  <c r="AI57" i="1"/>
  <c r="AI41" i="1"/>
  <c r="AI25" i="1"/>
  <c r="AI9" i="1"/>
  <c r="AJ525" i="1"/>
  <c r="AJ509" i="1"/>
  <c r="AJ493" i="1"/>
  <c r="AJ477" i="1"/>
  <c r="AJ461" i="1"/>
  <c r="AJ445" i="1"/>
  <c r="AJ429" i="1"/>
  <c r="AJ413" i="1"/>
  <c r="AJ397" i="1"/>
  <c r="AJ381" i="1"/>
  <c r="AJ365" i="1"/>
  <c r="AJ349" i="1"/>
  <c r="AJ333" i="1"/>
  <c r="AJ317" i="1"/>
  <c r="AJ301" i="1"/>
  <c r="AJ285" i="1"/>
  <c r="AJ269" i="1"/>
  <c r="AJ253" i="1"/>
  <c r="AJ237" i="1"/>
  <c r="AJ221" i="1"/>
  <c r="AJ205" i="1"/>
  <c r="AJ189" i="1"/>
  <c r="AJ173" i="1"/>
  <c r="AJ157" i="1"/>
  <c r="AJ141" i="1"/>
  <c r="AJ125" i="1"/>
  <c r="AJ109" i="1"/>
  <c r="AJ93" i="1"/>
  <c r="AJ77" i="1"/>
  <c r="AJ61" i="1"/>
  <c r="AJ45" i="1"/>
  <c r="AJ29" i="1"/>
  <c r="AJ13" i="1"/>
  <c r="AI360" i="1"/>
  <c r="AI344" i="1"/>
  <c r="AI328" i="1"/>
  <c r="AI312" i="1"/>
  <c r="AI296" i="1"/>
  <c r="AI280" i="1"/>
  <c r="AI264" i="1"/>
  <c r="AI248" i="1"/>
  <c r="AI232" i="1"/>
  <c r="AI216" i="1"/>
  <c r="AI200" i="1"/>
  <c r="AI184" i="1"/>
  <c r="AI168" i="1"/>
  <c r="AI152" i="1"/>
  <c r="AI136" i="1"/>
  <c r="AI120" i="1"/>
  <c r="AI104" i="1"/>
  <c r="AI88" i="1"/>
  <c r="AI72" i="1"/>
  <c r="AI56" i="1"/>
  <c r="AI40" i="1"/>
  <c r="AI24" i="1"/>
  <c r="AI8" i="1"/>
  <c r="AJ524" i="1"/>
  <c r="AJ508" i="1"/>
  <c r="AJ492" i="1"/>
  <c r="AJ476" i="1"/>
  <c r="AJ460" i="1"/>
  <c r="AJ444" i="1"/>
  <c r="AJ428" i="1"/>
  <c r="AJ412" i="1"/>
  <c r="AJ396" i="1"/>
  <c r="AJ380" i="1"/>
  <c r="AJ364" i="1"/>
  <c r="AJ348" i="1"/>
  <c r="AJ332" i="1"/>
  <c r="AJ316" i="1"/>
  <c r="AJ300" i="1"/>
  <c r="AJ284" i="1"/>
  <c r="AJ268" i="1"/>
  <c r="AJ252" i="1"/>
  <c r="AJ236" i="1"/>
  <c r="AJ220" i="1"/>
  <c r="AJ204" i="1"/>
  <c r="AJ188" i="1"/>
  <c r="AJ172" i="1"/>
  <c r="AJ156" i="1"/>
  <c r="AJ140" i="1"/>
  <c r="AJ124" i="1"/>
  <c r="AJ108" i="1"/>
  <c r="AJ92" i="1"/>
  <c r="AJ76" i="1"/>
  <c r="AJ60" i="1"/>
  <c r="AJ44" i="1"/>
  <c r="AJ28" i="1"/>
  <c r="AJ12" i="1"/>
  <c r="AJ475" i="1"/>
  <c r="AJ459" i="1"/>
  <c r="AJ443" i="1"/>
  <c r="AJ427" i="1"/>
  <c r="AJ411" i="1"/>
  <c r="AJ395" i="1"/>
  <c r="AJ379" i="1"/>
  <c r="AJ363" i="1"/>
  <c r="AJ347" i="1"/>
  <c r="AJ331" i="1"/>
  <c r="AJ315" i="1"/>
  <c r="AJ299" i="1"/>
  <c r="AJ283" i="1"/>
  <c r="AJ267" i="1"/>
  <c r="AJ251" i="1"/>
  <c r="AJ235" i="1"/>
  <c r="AJ219" i="1"/>
  <c r="AJ203" i="1"/>
  <c r="AJ187" i="1"/>
  <c r="AJ171" i="1"/>
  <c r="AJ155" i="1"/>
  <c r="AJ139" i="1"/>
  <c r="AJ123" i="1"/>
  <c r="AJ107" i="1"/>
  <c r="AJ91" i="1"/>
  <c r="AJ75" i="1"/>
  <c r="AJ59" i="1"/>
  <c r="AJ43" i="1"/>
  <c r="AJ27" i="1"/>
  <c r="AJ11" i="1"/>
  <c r="AI518" i="1"/>
  <c r="AI502" i="1"/>
  <c r="AI486" i="1"/>
  <c r="AI470" i="1"/>
  <c r="AI454" i="1"/>
  <c r="AI438" i="1"/>
  <c r="AI422" i="1"/>
  <c r="AI406" i="1"/>
  <c r="AI390" i="1"/>
  <c r="AI374" i="1"/>
  <c r="AI358" i="1"/>
  <c r="AI342" i="1"/>
  <c r="AI326" i="1"/>
  <c r="AI310" i="1"/>
  <c r="AI294" i="1"/>
  <c r="AI278" i="1"/>
  <c r="AI262" i="1"/>
  <c r="AI246" i="1"/>
  <c r="AI230" i="1"/>
  <c r="AI214" i="1"/>
  <c r="AI198" i="1"/>
  <c r="AI182" i="1"/>
  <c r="AI166" i="1"/>
  <c r="AI150" i="1"/>
  <c r="AI134" i="1"/>
  <c r="AI118" i="1"/>
  <c r="AI102" i="1"/>
  <c r="AI86" i="1"/>
  <c r="AI70" i="1"/>
  <c r="AI54" i="1"/>
  <c r="AI38" i="1"/>
  <c r="AI22" i="1"/>
  <c r="AI6" i="1"/>
  <c r="AJ522" i="1"/>
  <c r="AJ506" i="1"/>
  <c r="AJ490" i="1"/>
  <c r="AJ474" i="1"/>
  <c r="AJ458" i="1"/>
  <c r="AJ442" i="1"/>
  <c r="AJ426" i="1"/>
  <c r="AJ410" i="1"/>
  <c r="AJ394" i="1"/>
  <c r="AJ378" i="1"/>
  <c r="AJ362" i="1"/>
  <c r="AJ346" i="1"/>
  <c r="AJ330" i="1"/>
  <c r="AJ314" i="1"/>
  <c r="AJ298" i="1"/>
  <c r="AJ282" i="1"/>
  <c r="AJ266" i="1"/>
  <c r="AJ250" i="1"/>
  <c r="AJ234" i="1"/>
  <c r="AJ218" i="1"/>
  <c r="AJ202" i="1"/>
  <c r="AJ186" i="1"/>
  <c r="AJ170" i="1"/>
  <c r="AJ154" i="1"/>
  <c r="AJ138" i="1"/>
  <c r="AJ122" i="1"/>
  <c r="AJ106" i="1"/>
  <c r="AJ90" i="1"/>
  <c r="AJ74" i="1"/>
  <c r="AJ58" i="1"/>
  <c r="AJ42" i="1"/>
  <c r="AJ26" i="1"/>
  <c r="AJ10" i="1"/>
  <c r="AI517" i="1"/>
  <c r="AI501" i="1"/>
  <c r="AI485" i="1"/>
  <c r="AI469" i="1"/>
  <c r="AI453" i="1"/>
  <c r="AI437" i="1"/>
  <c r="AI421" i="1"/>
  <c r="AI405" i="1"/>
  <c r="AI389" i="1"/>
  <c r="AI373" i="1"/>
  <c r="AI357" i="1"/>
  <c r="AI341" i="1"/>
  <c r="AI325" i="1"/>
  <c r="AI309" i="1"/>
  <c r="AI293" i="1"/>
  <c r="AI277" i="1"/>
  <c r="AI261" i="1"/>
  <c r="AI245" i="1"/>
  <c r="AI229" i="1"/>
  <c r="AI213" i="1"/>
  <c r="AI197" i="1"/>
  <c r="AI181" i="1"/>
  <c r="AI165" i="1"/>
  <c r="AI149" i="1"/>
  <c r="AI133" i="1"/>
  <c r="AI117" i="1"/>
  <c r="AI101" i="1"/>
  <c r="AI85" i="1"/>
  <c r="AI69" i="1"/>
  <c r="AI53" i="1"/>
  <c r="AI37" i="1"/>
  <c r="AI21" i="1"/>
  <c r="AI5" i="1"/>
  <c r="AJ521" i="1"/>
  <c r="AJ505" i="1"/>
  <c r="AJ489" i="1"/>
  <c r="AJ473" i="1"/>
  <c r="AJ457" i="1"/>
  <c r="AJ441" i="1"/>
  <c r="AJ425" i="1"/>
  <c r="AJ409" i="1"/>
  <c r="AJ393" i="1"/>
  <c r="AJ377" i="1"/>
  <c r="AJ361" i="1"/>
  <c r="AJ345" i="1"/>
  <c r="AJ329" i="1"/>
  <c r="AJ313" i="1"/>
  <c r="AJ297" i="1"/>
  <c r="AJ281" i="1"/>
  <c r="AJ265" i="1"/>
  <c r="AJ249" i="1"/>
  <c r="AJ233" i="1"/>
  <c r="AJ217" i="1"/>
  <c r="AJ201" i="1"/>
  <c r="AJ185" i="1"/>
  <c r="AJ169" i="1"/>
  <c r="AJ153" i="1"/>
  <c r="AJ137" i="1"/>
  <c r="AJ121" i="1"/>
  <c r="AJ105" i="1"/>
  <c r="AJ89" i="1"/>
  <c r="AJ73" i="1"/>
  <c r="AJ57" i="1"/>
  <c r="AJ41" i="1"/>
  <c r="AJ25" i="1"/>
  <c r="AC14" i="3"/>
  <c r="AC9" i="3"/>
  <c r="AB2" i="3"/>
  <c r="U3" i="5"/>
  <c r="U4" i="5"/>
  <c r="U5" i="5"/>
  <c r="U6" i="5"/>
  <c r="U7" i="5"/>
  <c r="U8" i="5"/>
  <c r="U9" i="5"/>
  <c r="U10" i="5"/>
  <c r="U11" i="5"/>
  <c r="U12" i="5"/>
  <c r="U13" i="5"/>
  <c r="U14" i="5"/>
  <c r="U2" i="5"/>
  <c r="U2" i="6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2" i="5"/>
  <c r="S2" i="6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2" i="5"/>
  <c r="R2" i="6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2" i="5"/>
  <c r="P2" i="6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2" i="5"/>
  <c r="O2" i="6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2" i="5"/>
  <c r="M2" i="6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2" i="5"/>
  <c r="L2" i="6"/>
  <c r="I2" i="6"/>
  <c r="J2" i="6"/>
  <c r="I3" i="6"/>
  <c r="J3" i="6"/>
  <c r="L3" i="6"/>
  <c r="M3" i="6"/>
  <c r="O3" i="6"/>
  <c r="P3" i="6"/>
  <c r="I4" i="6"/>
  <c r="J4" i="6"/>
  <c r="L4" i="6"/>
  <c r="M4" i="6"/>
  <c r="O4" i="6"/>
  <c r="P4" i="6"/>
  <c r="I5" i="6"/>
  <c r="J5" i="6"/>
  <c r="L5" i="6"/>
  <c r="M5" i="6"/>
  <c r="O5" i="6"/>
  <c r="P5" i="6"/>
  <c r="I6" i="6"/>
  <c r="J6" i="6"/>
  <c r="L6" i="6"/>
  <c r="M6" i="6"/>
  <c r="O6" i="6"/>
  <c r="P6" i="6"/>
  <c r="I7" i="6"/>
  <c r="J7" i="6"/>
  <c r="L7" i="6"/>
  <c r="M7" i="6"/>
  <c r="O7" i="6"/>
  <c r="P7" i="6"/>
  <c r="I8" i="6"/>
  <c r="J8" i="6"/>
  <c r="L8" i="6"/>
  <c r="M8" i="6"/>
  <c r="O8" i="6"/>
  <c r="P8" i="6"/>
  <c r="I9" i="6"/>
  <c r="J9" i="6"/>
  <c r="L9" i="6"/>
  <c r="M9" i="6"/>
  <c r="O9" i="6"/>
  <c r="P9" i="6"/>
  <c r="S9" i="6"/>
  <c r="I10" i="6"/>
  <c r="J10" i="6"/>
  <c r="L10" i="6"/>
  <c r="M10" i="6"/>
  <c r="O10" i="6"/>
  <c r="R9" i="6"/>
  <c r="U9" i="6"/>
  <c r="P10" i="6"/>
  <c r="I11" i="6"/>
  <c r="J11" i="6"/>
  <c r="L11" i="6"/>
  <c r="M11" i="6"/>
  <c r="O11" i="6"/>
  <c r="P11" i="6"/>
  <c r="I12" i="6"/>
  <c r="J12" i="6"/>
  <c r="L12" i="6"/>
  <c r="M12" i="6"/>
  <c r="O12" i="6"/>
  <c r="P12" i="6"/>
  <c r="I13" i="6"/>
  <c r="J13" i="6"/>
  <c r="L13" i="6"/>
  <c r="M13" i="6"/>
  <c r="O13" i="6"/>
  <c r="P13" i="6"/>
  <c r="I14" i="6"/>
  <c r="J14" i="6"/>
  <c r="L14" i="6"/>
  <c r="M14" i="6"/>
  <c r="O14" i="6"/>
  <c r="P14" i="6"/>
  <c r="I15" i="6"/>
  <c r="J15" i="6"/>
  <c r="L15" i="6"/>
  <c r="M15" i="6"/>
  <c r="O15" i="6"/>
  <c r="P15" i="6"/>
  <c r="I16" i="6"/>
  <c r="J16" i="6"/>
  <c r="L16" i="6"/>
  <c r="M16" i="6"/>
  <c r="O16" i="6"/>
  <c r="P16" i="6"/>
  <c r="S14" i="6"/>
  <c r="I17" i="6"/>
  <c r="J17" i="6"/>
  <c r="L17" i="6"/>
  <c r="M17" i="6"/>
  <c r="O17" i="6"/>
  <c r="R15" i="6"/>
  <c r="P17" i="6"/>
  <c r="S16" i="6"/>
  <c r="I18" i="6"/>
  <c r="J18" i="6"/>
  <c r="L18" i="6"/>
  <c r="M18" i="6"/>
  <c r="O18" i="6"/>
  <c r="R16" i="6"/>
  <c r="U16" i="6"/>
  <c r="P18" i="6"/>
  <c r="I19" i="6"/>
  <c r="J19" i="6"/>
  <c r="L19" i="6"/>
  <c r="M19" i="6"/>
  <c r="O19" i="6"/>
  <c r="P19" i="6"/>
  <c r="I20" i="6"/>
  <c r="J20" i="6"/>
  <c r="L20" i="6"/>
  <c r="M20" i="6"/>
  <c r="O20" i="6"/>
  <c r="R18" i="6"/>
  <c r="P20" i="6"/>
  <c r="I21" i="6"/>
  <c r="J21" i="6"/>
  <c r="L21" i="6"/>
  <c r="M21" i="6"/>
  <c r="O21" i="6"/>
  <c r="P21" i="6"/>
  <c r="S19" i="6"/>
  <c r="I22" i="6"/>
  <c r="J22" i="6"/>
  <c r="L22" i="6"/>
  <c r="M22" i="6"/>
  <c r="O22" i="6"/>
  <c r="P22" i="6"/>
  <c r="S20" i="6"/>
  <c r="I23" i="6"/>
  <c r="J23" i="6"/>
  <c r="L23" i="6"/>
  <c r="M23" i="6"/>
  <c r="O23" i="6"/>
  <c r="R21" i="6"/>
  <c r="P23" i="6"/>
  <c r="I24" i="6"/>
  <c r="J24" i="6"/>
  <c r="L24" i="6"/>
  <c r="M24" i="6"/>
  <c r="O24" i="6"/>
  <c r="P24" i="6"/>
  <c r="S22" i="6"/>
  <c r="I25" i="6"/>
  <c r="J25" i="6"/>
  <c r="L25" i="6"/>
  <c r="M25" i="6"/>
  <c r="O25" i="6"/>
  <c r="P25" i="6"/>
  <c r="S23" i="6"/>
  <c r="S25" i="6"/>
  <c r="I26" i="6"/>
  <c r="J26" i="6"/>
  <c r="L26" i="6"/>
  <c r="M26" i="6"/>
  <c r="O26" i="6"/>
  <c r="P26" i="6"/>
  <c r="I27" i="6"/>
  <c r="J27" i="6"/>
  <c r="L27" i="6"/>
  <c r="M27" i="6"/>
  <c r="O27" i="6"/>
  <c r="P27" i="6"/>
  <c r="I28" i="6"/>
  <c r="J28" i="6"/>
  <c r="L28" i="6"/>
  <c r="M28" i="6"/>
  <c r="O28" i="6"/>
  <c r="P28" i="6"/>
  <c r="I29" i="6"/>
  <c r="J29" i="6"/>
  <c r="L29" i="6"/>
  <c r="M29" i="6"/>
  <c r="O29" i="6"/>
  <c r="P29" i="6"/>
  <c r="I30" i="6"/>
  <c r="J30" i="6"/>
  <c r="L30" i="6"/>
  <c r="M30" i="6"/>
  <c r="O30" i="6"/>
  <c r="P30" i="6"/>
  <c r="S28" i="6"/>
  <c r="I31" i="6"/>
  <c r="J31" i="6"/>
  <c r="L31" i="6"/>
  <c r="M31" i="6"/>
  <c r="O31" i="6"/>
  <c r="P31" i="6"/>
  <c r="I32" i="6"/>
  <c r="J32" i="6"/>
  <c r="L32" i="6"/>
  <c r="M32" i="6"/>
  <c r="O32" i="6"/>
  <c r="P32" i="6"/>
  <c r="S30" i="6"/>
  <c r="I33" i="6"/>
  <c r="J33" i="6"/>
  <c r="L33" i="6"/>
  <c r="M33" i="6"/>
  <c r="O33" i="6"/>
  <c r="P33" i="6"/>
  <c r="I34" i="6"/>
  <c r="J34" i="6"/>
  <c r="L34" i="6"/>
  <c r="M34" i="6"/>
  <c r="O34" i="6"/>
  <c r="P34" i="6"/>
  <c r="S34" i="6"/>
  <c r="I35" i="6"/>
  <c r="J35" i="6"/>
  <c r="L35" i="6"/>
  <c r="M35" i="6"/>
  <c r="O35" i="6"/>
  <c r="P35" i="6"/>
  <c r="I36" i="6"/>
  <c r="J36" i="6"/>
  <c r="L36" i="6"/>
  <c r="M36" i="6"/>
  <c r="O36" i="6"/>
  <c r="R34" i="6"/>
  <c r="U34" i="6"/>
  <c r="P36" i="6"/>
  <c r="I37" i="6"/>
  <c r="J37" i="6"/>
  <c r="L37" i="6"/>
  <c r="M37" i="6"/>
  <c r="O37" i="6"/>
  <c r="P37" i="6"/>
  <c r="I38" i="6"/>
  <c r="J38" i="6"/>
  <c r="L38" i="6"/>
  <c r="M38" i="6"/>
  <c r="O38" i="6"/>
  <c r="P38" i="6"/>
  <c r="S37" i="6"/>
  <c r="I39" i="6"/>
  <c r="J39" i="6"/>
  <c r="L39" i="6"/>
  <c r="M39" i="6"/>
  <c r="O39" i="6"/>
  <c r="P39" i="6"/>
  <c r="I40" i="6"/>
  <c r="J40" i="6"/>
  <c r="L40" i="6"/>
  <c r="M40" i="6"/>
  <c r="O40" i="6"/>
  <c r="P40" i="6"/>
  <c r="I41" i="6"/>
  <c r="J41" i="6"/>
  <c r="L41" i="6"/>
  <c r="M41" i="6"/>
  <c r="O41" i="6"/>
  <c r="R39" i="6"/>
  <c r="P41" i="6"/>
  <c r="S39" i="6"/>
  <c r="S41" i="6"/>
  <c r="I42" i="6"/>
  <c r="J42" i="6"/>
  <c r="L42" i="6"/>
  <c r="M42" i="6"/>
  <c r="O42" i="6"/>
  <c r="P42" i="6"/>
  <c r="I43" i="6"/>
  <c r="J43" i="6"/>
  <c r="L43" i="6"/>
  <c r="M43" i="6"/>
  <c r="O43" i="6"/>
  <c r="P43" i="6"/>
  <c r="I44" i="6"/>
  <c r="J44" i="6"/>
  <c r="L44" i="6"/>
  <c r="M44" i="6"/>
  <c r="O44" i="6"/>
  <c r="P44" i="6"/>
  <c r="I45" i="6"/>
  <c r="J45" i="6"/>
  <c r="L45" i="6"/>
  <c r="M45" i="6"/>
  <c r="O45" i="6"/>
  <c r="P45" i="6"/>
  <c r="I46" i="6"/>
  <c r="J46" i="6"/>
  <c r="L46" i="6"/>
  <c r="M46" i="6"/>
  <c r="O46" i="6"/>
  <c r="P46" i="6"/>
  <c r="S44" i="6"/>
  <c r="I47" i="6"/>
  <c r="J47" i="6"/>
  <c r="L47" i="6"/>
  <c r="M47" i="6"/>
  <c r="O47" i="6"/>
  <c r="P47" i="6"/>
  <c r="S45" i="6"/>
  <c r="I48" i="6"/>
  <c r="J48" i="6"/>
  <c r="L48" i="6"/>
  <c r="M48" i="6"/>
  <c r="O48" i="6"/>
  <c r="P48" i="6"/>
  <c r="I49" i="6"/>
  <c r="J49" i="6"/>
  <c r="L49" i="6"/>
  <c r="M49" i="6"/>
  <c r="O49" i="6"/>
  <c r="P49" i="6"/>
  <c r="I50" i="6"/>
  <c r="J50" i="6"/>
  <c r="L50" i="6"/>
  <c r="M50" i="6"/>
  <c r="O50" i="6"/>
  <c r="P50" i="6"/>
  <c r="I51" i="6"/>
  <c r="J51" i="6"/>
  <c r="L51" i="6"/>
  <c r="M51" i="6"/>
  <c r="O51" i="6"/>
  <c r="P51" i="6"/>
  <c r="I52" i="6"/>
  <c r="J52" i="6"/>
  <c r="L52" i="6"/>
  <c r="M52" i="6"/>
  <c r="O52" i="6"/>
  <c r="R50" i="6"/>
  <c r="P52" i="6"/>
  <c r="I53" i="6"/>
  <c r="J53" i="6"/>
  <c r="L53" i="6"/>
  <c r="M53" i="6"/>
  <c r="O53" i="6"/>
  <c r="P53" i="6"/>
  <c r="I54" i="6"/>
  <c r="J54" i="6"/>
  <c r="L54" i="6"/>
  <c r="M54" i="6"/>
  <c r="O54" i="6"/>
  <c r="P54" i="6"/>
  <c r="I55" i="6"/>
  <c r="J55" i="6"/>
  <c r="L55" i="6"/>
  <c r="M55" i="6"/>
  <c r="O55" i="6"/>
  <c r="P55" i="6"/>
  <c r="I56" i="6"/>
  <c r="J56" i="6"/>
  <c r="L56" i="6"/>
  <c r="M56" i="6"/>
  <c r="O56" i="6"/>
  <c r="P56" i="6"/>
  <c r="I57" i="6"/>
  <c r="J57" i="6"/>
  <c r="L57" i="6"/>
  <c r="M57" i="6"/>
  <c r="O57" i="6"/>
  <c r="P57" i="6"/>
  <c r="I58" i="6"/>
  <c r="J58" i="6"/>
  <c r="L58" i="6"/>
  <c r="M58" i="6"/>
  <c r="O58" i="6"/>
  <c r="P58" i="6"/>
  <c r="I59" i="6"/>
  <c r="J59" i="6"/>
  <c r="L59" i="6"/>
  <c r="M59" i="6"/>
  <c r="O59" i="6"/>
  <c r="P59" i="6"/>
  <c r="S59" i="6"/>
  <c r="I60" i="6"/>
  <c r="J60" i="6"/>
  <c r="L60" i="6"/>
  <c r="M60" i="6"/>
  <c r="O60" i="6"/>
  <c r="P60" i="6"/>
  <c r="I61" i="6"/>
  <c r="J61" i="6"/>
  <c r="L61" i="6"/>
  <c r="M61" i="6"/>
  <c r="O61" i="6"/>
  <c r="P61" i="6"/>
  <c r="I62" i="6"/>
  <c r="J62" i="6"/>
  <c r="L62" i="6"/>
  <c r="M62" i="6"/>
  <c r="O62" i="6"/>
  <c r="P62" i="6"/>
  <c r="S60" i="6"/>
  <c r="I63" i="6"/>
  <c r="J63" i="6"/>
  <c r="L63" i="6"/>
  <c r="M63" i="6"/>
  <c r="O63" i="6"/>
  <c r="P63" i="6"/>
  <c r="S61" i="6"/>
  <c r="I64" i="6"/>
  <c r="J64" i="6"/>
  <c r="L64" i="6"/>
  <c r="M64" i="6"/>
  <c r="O64" i="6"/>
  <c r="P64" i="6"/>
  <c r="S62" i="6"/>
  <c r="I65" i="6"/>
  <c r="J65" i="6"/>
  <c r="L65" i="6"/>
  <c r="M65" i="6"/>
  <c r="O65" i="6"/>
  <c r="P65" i="6"/>
  <c r="S63" i="6"/>
  <c r="I66" i="6"/>
  <c r="J66" i="6"/>
  <c r="L66" i="6"/>
  <c r="M66" i="6"/>
  <c r="O66" i="6"/>
  <c r="P66" i="6"/>
  <c r="S66" i="6"/>
  <c r="I67" i="6"/>
  <c r="J67" i="6"/>
  <c r="L67" i="6"/>
  <c r="M67" i="6"/>
  <c r="O67" i="6"/>
  <c r="P67" i="6"/>
  <c r="I68" i="6"/>
  <c r="J68" i="6"/>
  <c r="L68" i="6"/>
  <c r="M68" i="6"/>
  <c r="O68" i="6"/>
  <c r="P68" i="6"/>
  <c r="I69" i="6"/>
  <c r="J69" i="6"/>
  <c r="L69" i="6"/>
  <c r="M69" i="6"/>
  <c r="O69" i="6"/>
  <c r="P69" i="6"/>
  <c r="I70" i="6"/>
  <c r="J70" i="6"/>
  <c r="L70" i="6"/>
  <c r="M70" i="6"/>
  <c r="O70" i="6"/>
  <c r="P70" i="6"/>
  <c r="I71" i="6"/>
  <c r="J71" i="6"/>
  <c r="L71" i="6"/>
  <c r="M71" i="6"/>
  <c r="O71" i="6"/>
  <c r="P71" i="6"/>
  <c r="I72" i="6"/>
  <c r="J72" i="6"/>
  <c r="L72" i="6"/>
  <c r="M72" i="6"/>
  <c r="O72" i="6"/>
  <c r="P72" i="6"/>
  <c r="S70" i="6"/>
  <c r="I73" i="6"/>
  <c r="J73" i="6"/>
  <c r="L73" i="6"/>
  <c r="M73" i="6"/>
  <c r="O73" i="6"/>
  <c r="R71" i="6"/>
  <c r="P73" i="6"/>
  <c r="S73" i="6"/>
  <c r="I74" i="6"/>
  <c r="J74" i="6"/>
  <c r="L74" i="6"/>
  <c r="M74" i="6"/>
  <c r="O74" i="6"/>
  <c r="R72" i="6"/>
  <c r="P74" i="6"/>
  <c r="I75" i="6"/>
  <c r="J75" i="6"/>
  <c r="L75" i="6"/>
  <c r="M75" i="6"/>
  <c r="O75" i="6"/>
  <c r="P75" i="6"/>
  <c r="I76" i="6"/>
  <c r="J76" i="6"/>
  <c r="L76" i="6"/>
  <c r="M76" i="6"/>
  <c r="O76" i="6"/>
  <c r="R76" i="6"/>
  <c r="P76" i="6"/>
  <c r="I77" i="6"/>
  <c r="J77" i="6"/>
  <c r="L77" i="6"/>
  <c r="M77" i="6"/>
  <c r="O77" i="6"/>
  <c r="P77" i="6"/>
  <c r="I78" i="6"/>
  <c r="J78" i="6"/>
  <c r="L78" i="6"/>
  <c r="M78" i="6"/>
  <c r="O78" i="6"/>
  <c r="P78" i="6"/>
  <c r="S76" i="6"/>
  <c r="I79" i="6"/>
  <c r="J79" i="6"/>
  <c r="L79" i="6"/>
  <c r="M79" i="6"/>
  <c r="O79" i="6"/>
  <c r="P79" i="6"/>
  <c r="S77" i="6"/>
  <c r="I80" i="6"/>
  <c r="J80" i="6"/>
  <c r="L80" i="6"/>
  <c r="M80" i="6"/>
  <c r="O80" i="6"/>
  <c r="R78" i="6"/>
  <c r="U78" i="6"/>
  <c r="P80" i="6"/>
  <c r="S78" i="6"/>
  <c r="I81" i="6"/>
  <c r="J81" i="6"/>
  <c r="L81" i="6"/>
  <c r="M81" i="6"/>
  <c r="O81" i="6"/>
  <c r="R79" i="6"/>
  <c r="P81" i="6"/>
  <c r="S79" i="6"/>
  <c r="I82" i="6"/>
  <c r="J82" i="6"/>
  <c r="L82" i="6"/>
  <c r="M82" i="6"/>
  <c r="O82" i="6"/>
  <c r="R80" i="6"/>
  <c r="P82" i="6"/>
  <c r="R82" i="6"/>
  <c r="I83" i="6"/>
  <c r="J83" i="6"/>
  <c r="L83" i="6"/>
  <c r="M83" i="6"/>
  <c r="O83" i="6"/>
  <c r="P83" i="6"/>
  <c r="I84" i="6"/>
  <c r="J84" i="6"/>
  <c r="L84" i="6"/>
  <c r="M84" i="6"/>
  <c r="O84" i="6"/>
  <c r="P84" i="6"/>
  <c r="I85" i="6"/>
  <c r="J85" i="6"/>
  <c r="L85" i="6"/>
  <c r="M85" i="6"/>
  <c r="O85" i="6"/>
  <c r="P85" i="6"/>
  <c r="I86" i="6"/>
  <c r="J86" i="6"/>
  <c r="L86" i="6"/>
  <c r="M86" i="6"/>
  <c r="O86" i="6"/>
  <c r="R85" i="6"/>
  <c r="P86" i="6"/>
  <c r="I87" i="6"/>
  <c r="J87" i="6"/>
  <c r="L87" i="6"/>
  <c r="M87" i="6"/>
  <c r="O87" i="6"/>
  <c r="P87" i="6"/>
  <c r="I88" i="6"/>
  <c r="J88" i="6"/>
  <c r="L88" i="6"/>
  <c r="M88" i="6"/>
  <c r="O88" i="6"/>
  <c r="P88" i="6"/>
  <c r="I89" i="6"/>
  <c r="J89" i="6"/>
  <c r="L89" i="6"/>
  <c r="M89" i="6"/>
  <c r="O89" i="6"/>
  <c r="R87" i="6"/>
  <c r="P89" i="6"/>
  <c r="I90" i="6"/>
  <c r="J90" i="6"/>
  <c r="L90" i="6"/>
  <c r="M90" i="6"/>
  <c r="O90" i="6"/>
  <c r="P90" i="6"/>
  <c r="I91" i="6"/>
  <c r="J91" i="6"/>
  <c r="L91" i="6"/>
  <c r="M91" i="6"/>
  <c r="O91" i="6"/>
  <c r="R91" i="6"/>
  <c r="P91" i="6"/>
  <c r="I92" i="6"/>
  <c r="J92" i="6"/>
  <c r="L92" i="6"/>
  <c r="M92" i="6"/>
  <c r="O92" i="6"/>
  <c r="R92" i="6"/>
  <c r="P92" i="6"/>
  <c r="I93" i="6"/>
  <c r="J93" i="6"/>
  <c r="L93" i="6"/>
  <c r="M93" i="6"/>
  <c r="O93" i="6"/>
  <c r="P93" i="6"/>
  <c r="I94" i="6"/>
  <c r="J94" i="6"/>
  <c r="L94" i="6"/>
  <c r="M94" i="6"/>
  <c r="O94" i="6"/>
  <c r="P94" i="6"/>
  <c r="I95" i="6"/>
  <c r="J95" i="6"/>
  <c r="L95" i="6"/>
  <c r="M95" i="6"/>
  <c r="O95" i="6"/>
  <c r="P95" i="6"/>
  <c r="I96" i="6"/>
  <c r="J96" i="6"/>
  <c r="L96" i="6"/>
  <c r="M96" i="6"/>
  <c r="O96" i="6"/>
  <c r="P96" i="6"/>
  <c r="S94" i="6"/>
  <c r="I97" i="6"/>
  <c r="J97" i="6"/>
  <c r="L97" i="6"/>
  <c r="M97" i="6"/>
  <c r="O97" i="6"/>
  <c r="P97" i="6"/>
  <c r="S95" i="6"/>
  <c r="I98" i="6"/>
  <c r="J98" i="6"/>
  <c r="L98" i="6"/>
  <c r="M98" i="6"/>
  <c r="O98" i="6"/>
  <c r="R96" i="6"/>
  <c r="P98" i="6"/>
  <c r="S98" i="6"/>
  <c r="I99" i="6"/>
  <c r="J99" i="6"/>
  <c r="L99" i="6"/>
  <c r="M99" i="6"/>
  <c r="O99" i="6"/>
  <c r="P99" i="6"/>
  <c r="S99" i="6"/>
  <c r="I100" i="6"/>
  <c r="J100" i="6"/>
  <c r="L100" i="6"/>
  <c r="M100" i="6"/>
  <c r="O100" i="6"/>
  <c r="R98" i="6"/>
  <c r="U98" i="6"/>
  <c r="P100" i="6"/>
  <c r="I101" i="6"/>
  <c r="J101" i="6"/>
  <c r="L101" i="6"/>
  <c r="M101" i="6"/>
  <c r="O101" i="6"/>
  <c r="P101" i="6"/>
  <c r="I102" i="6"/>
  <c r="J102" i="6"/>
  <c r="L102" i="6"/>
  <c r="M102" i="6"/>
  <c r="O102" i="6"/>
  <c r="P102" i="6"/>
  <c r="I103" i="6"/>
  <c r="J103" i="6"/>
  <c r="L103" i="6"/>
  <c r="M103" i="6"/>
  <c r="O103" i="6"/>
  <c r="P103" i="6"/>
  <c r="I104" i="6"/>
  <c r="J104" i="6"/>
  <c r="L104" i="6"/>
  <c r="M104" i="6"/>
  <c r="O104" i="6"/>
  <c r="P104" i="6"/>
  <c r="I105" i="6"/>
  <c r="J105" i="6"/>
  <c r="L105" i="6"/>
  <c r="M105" i="6"/>
  <c r="O105" i="6"/>
  <c r="P105" i="6"/>
  <c r="S105" i="6"/>
  <c r="I106" i="6"/>
  <c r="J106" i="6"/>
  <c r="L106" i="6"/>
  <c r="M106" i="6"/>
  <c r="O106" i="6"/>
  <c r="P106" i="6"/>
  <c r="I107" i="6"/>
  <c r="J107" i="6"/>
  <c r="L107" i="6"/>
  <c r="M107" i="6"/>
  <c r="O107" i="6"/>
  <c r="P107" i="6"/>
  <c r="I108" i="6"/>
  <c r="J108" i="6"/>
  <c r="L108" i="6"/>
  <c r="M108" i="6"/>
  <c r="O108" i="6"/>
  <c r="P108" i="6"/>
  <c r="I109" i="6"/>
  <c r="J109" i="6"/>
  <c r="L109" i="6"/>
  <c r="M109" i="6"/>
  <c r="O109" i="6"/>
  <c r="P109" i="6"/>
  <c r="I110" i="6"/>
  <c r="J110" i="6"/>
  <c r="L110" i="6"/>
  <c r="M110" i="6"/>
  <c r="O110" i="6"/>
  <c r="P110" i="6"/>
  <c r="S108" i="6"/>
  <c r="I111" i="6"/>
  <c r="J111" i="6"/>
  <c r="L111" i="6"/>
  <c r="M111" i="6"/>
  <c r="O111" i="6"/>
  <c r="P111" i="6"/>
  <c r="I112" i="6"/>
  <c r="J112" i="6"/>
  <c r="L112" i="6"/>
  <c r="M112" i="6"/>
  <c r="O112" i="6"/>
  <c r="P112" i="6"/>
  <c r="S110" i="6"/>
  <c r="I113" i="6"/>
  <c r="J113" i="6"/>
  <c r="L113" i="6"/>
  <c r="M113" i="6"/>
  <c r="O113" i="6"/>
  <c r="P113" i="6"/>
  <c r="S113" i="6"/>
  <c r="I114" i="6"/>
  <c r="J114" i="6"/>
  <c r="L114" i="6"/>
  <c r="M114" i="6"/>
  <c r="O114" i="6"/>
  <c r="P114" i="6"/>
  <c r="I115" i="6"/>
  <c r="J115" i="6"/>
  <c r="L115" i="6"/>
  <c r="M115" i="6"/>
  <c r="O115" i="6"/>
  <c r="P115" i="6"/>
  <c r="S115" i="6"/>
  <c r="I116" i="6"/>
  <c r="J116" i="6"/>
  <c r="L116" i="6"/>
  <c r="M116" i="6"/>
  <c r="O116" i="6"/>
  <c r="R116" i="6"/>
  <c r="U116" i="6"/>
  <c r="P116" i="6"/>
  <c r="I117" i="6"/>
  <c r="J117" i="6"/>
  <c r="L117" i="6"/>
  <c r="M117" i="6"/>
  <c r="O117" i="6"/>
  <c r="P117" i="6"/>
  <c r="S117" i="6"/>
  <c r="I118" i="6"/>
  <c r="J118" i="6"/>
  <c r="L118" i="6"/>
  <c r="M118" i="6"/>
  <c r="O118" i="6"/>
  <c r="P118" i="6"/>
  <c r="S116" i="6"/>
  <c r="I119" i="6"/>
  <c r="J119" i="6"/>
  <c r="L119" i="6"/>
  <c r="M119" i="6"/>
  <c r="O119" i="6"/>
  <c r="R117" i="6"/>
  <c r="P119" i="6"/>
  <c r="I120" i="6"/>
  <c r="J120" i="6"/>
  <c r="L120" i="6"/>
  <c r="M120" i="6"/>
  <c r="O120" i="6"/>
  <c r="P120" i="6"/>
  <c r="I121" i="6"/>
  <c r="J121" i="6"/>
  <c r="L121" i="6"/>
  <c r="M121" i="6"/>
  <c r="O121" i="6"/>
  <c r="R119" i="6"/>
  <c r="U119" i="6"/>
  <c r="P121" i="6"/>
  <c r="S119" i="6"/>
  <c r="S121" i="6"/>
  <c r="I122" i="6"/>
  <c r="J122" i="6"/>
  <c r="L122" i="6"/>
  <c r="M122" i="6"/>
  <c r="O122" i="6"/>
  <c r="P122" i="6"/>
  <c r="I123" i="6"/>
  <c r="J123" i="6"/>
  <c r="L123" i="6"/>
  <c r="M123" i="6"/>
  <c r="O123" i="6"/>
  <c r="R123" i="6"/>
  <c r="U123" i="6"/>
  <c r="P123" i="6"/>
  <c r="S123" i="6"/>
  <c r="I124" i="6"/>
  <c r="J124" i="6"/>
  <c r="L124" i="6"/>
  <c r="M124" i="6"/>
  <c r="O124" i="6"/>
  <c r="P124" i="6"/>
  <c r="I125" i="6"/>
  <c r="J125" i="6"/>
  <c r="L125" i="6"/>
  <c r="M125" i="6"/>
  <c r="O125" i="6"/>
  <c r="P125" i="6"/>
  <c r="S125" i="6"/>
  <c r="I126" i="6"/>
  <c r="J126" i="6"/>
  <c r="L126" i="6"/>
  <c r="M126" i="6"/>
  <c r="O126" i="6"/>
  <c r="P126" i="6"/>
  <c r="S124" i="6"/>
  <c r="I127" i="6"/>
  <c r="J127" i="6"/>
  <c r="L127" i="6"/>
  <c r="M127" i="6"/>
  <c r="O127" i="6"/>
  <c r="P127" i="6"/>
  <c r="I128" i="6"/>
  <c r="J128" i="6"/>
  <c r="L128" i="6"/>
  <c r="M128" i="6"/>
  <c r="O128" i="6"/>
  <c r="P128" i="6"/>
  <c r="I129" i="6"/>
  <c r="J129" i="6"/>
  <c r="L129" i="6"/>
  <c r="M129" i="6"/>
  <c r="O129" i="6"/>
  <c r="R127" i="6"/>
  <c r="P129" i="6"/>
  <c r="S129" i="6"/>
  <c r="I130" i="6"/>
  <c r="J130" i="6"/>
  <c r="L130" i="6"/>
  <c r="M130" i="6"/>
  <c r="O130" i="6"/>
  <c r="P130" i="6"/>
  <c r="S130" i="6"/>
  <c r="I131" i="6"/>
  <c r="J131" i="6"/>
  <c r="L131" i="6"/>
  <c r="M131" i="6"/>
  <c r="O131" i="6"/>
  <c r="P131" i="6"/>
  <c r="I132" i="6"/>
  <c r="J132" i="6"/>
  <c r="L132" i="6"/>
  <c r="M132" i="6"/>
  <c r="O132" i="6"/>
  <c r="P132" i="6"/>
  <c r="I133" i="6"/>
  <c r="J133" i="6"/>
  <c r="L133" i="6"/>
  <c r="M133" i="6"/>
  <c r="O133" i="6"/>
  <c r="P133" i="6"/>
  <c r="I134" i="6"/>
  <c r="J134" i="6"/>
  <c r="L134" i="6"/>
  <c r="R130" i="6"/>
  <c r="U130" i="6"/>
  <c r="M134" i="6"/>
  <c r="O134" i="6"/>
  <c r="P134" i="6"/>
  <c r="I135" i="6"/>
  <c r="J135" i="6"/>
  <c r="L135" i="6"/>
  <c r="M135" i="6"/>
  <c r="O135" i="6"/>
  <c r="P135" i="6"/>
  <c r="I136" i="6"/>
  <c r="J136" i="6"/>
  <c r="L136" i="6"/>
  <c r="M136" i="6"/>
  <c r="O136" i="6"/>
  <c r="P136" i="6"/>
  <c r="I137" i="6"/>
  <c r="J137" i="6"/>
  <c r="L137" i="6"/>
  <c r="M137" i="6"/>
  <c r="O137" i="6"/>
  <c r="R135" i="6"/>
  <c r="P137" i="6"/>
  <c r="I138" i="6"/>
  <c r="J138" i="6"/>
  <c r="L138" i="6"/>
  <c r="M138" i="6"/>
  <c r="O138" i="6"/>
  <c r="P138" i="6"/>
  <c r="I139" i="6"/>
  <c r="J139" i="6"/>
  <c r="L139" i="6"/>
  <c r="M139" i="6"/>
  <c r="O139" i="6"/>
  <c r="P139" i="6"/>
  <c r="S139" i="6"/>
  <c r="I140" i="6"/>
  <c r="J140" i="6"/>
  <c r="L140" i="6"/>
  <c r="M140" i="6"/>
  <c r="O140" i="6"/>
  <c r="P140" i="6"/>
  <c r="I141" i="6"/>
  <c r="J141" i="6"/>
  <c r="L141" i="6"/>
  <c r="M141" i="6"/>
  <c r="O141" i="6"/>
  <c r="P141" i="6"/>
  <c r="S140" i="6"/>
  <c r="I142" i="6"/>
  <c r="J142" i="6"/>
  <c r="L142" i="6"/>
  <c r="M142" i="6"/>
  <c r="O142" i="6"/>
  <c r="P142" i="6"/>
  <c r="S141" i="6"/>
  <c r="I143" i="6"/>
  <c r="J143" i="6"/>
  <c r="L143" i="6"/>
  <c r="M143" i="6"/>
  <c r="O143" i="6"/>
  <c r="P143" i="6"/>
  <c r="I144" i="6"/>
  <c r="J144" i="6"/>
  <c r="L144" i="6"/>
  <c r="M144" i="6"/>
  <c r="O144" i="6"/>
  <c r="P144" i="6"/>
  <c r="S142" i="6"/>
  <c r="I145" i="6"/>
  <c r="J145" i="6"/>
  <c r="L145" i="6"/>
  <c r="M145" i="6"/>
  <c r="O145" i="6"/>
  <c r="P145" i="6"/>
  <c r="I146" i="6"/>
  <c r="J146" i="6"/>
  <c r="L146" i="6"/>
  <c r="M146" i="6"/>
  <c r="O146" i="6"/>
  <c r="P146" i="6"/>
  <c r="I147" i="6"/>
  <c r="J147" i="6"/>
  <c r="L147" i="6"/>
  <c r="M147" i="6"/>
  <c r="O147" i="6"/>
  <c r="P147" i="6"/>
  <c r="S147" i="6"/>
  <c r="I148" i="6"/>
  <c r="J148" i="6"/>
  <c r="L148" i="6"/>
  <c r="M148" i="6"/>
  <c r="O148" i="6"/>
  <c r="P148" i="6"/>
  <c r="I149" i="6"/>
  <c r="J149" i="6"/>
  <c r="L149" i="6"/>
  <c r="M149" i="6"/>
  <c r="O149" i="6"/>
  <c r="P149" i="6"/>
  <c r="S149" i="6"/>
  <c r="I150" i="6"/>
  <c r="J150" i="6"/>
  <c r="L150" i="6"/>
  <c r="R146" i="6"/>
  <c r="M150" i="6"/>
  <c r="O150" i="6"/>
  <c r="P150" i="6"/>
  <c r="I151" i="6"/>
  <c r="J151" i="6"/>
  <c r="L151" i="6"/>
  <c r="M151" i="6"/>
  <c r="O151" i="6"/>
  <c r="P151" i="6"/>
  <c r="I152" i="6"/>
  <c r="J152" i="6"/>
  <c r="L152" i="6"/>
  <c r="M152" i="6"/>
  <c r="O152" i="6"/>
  <c r="P152" i="6"/>
  <c r="S150" i="6"/>
  <c r="I153" i="6"/>
  <c r="J153" i="6"/>
  <c r="L153" i="6"/>
  <c r="M153" i="6"/>
  <c r="O153" i="6"/>
  <c r="R151" i="6"/>
  <c r="P153" i="6"/>
  <c r="S151" i="6"/>
  <c r="I154" i="6"/>
  <c r="J154" i="6"/>
  <c r="L154" i="6"/>
  <c r="M154" i="6"/>
  <c r="O154" i="6"/>
  <c r="R154" i="6"/>
  <c r="P154" i="6"/>
  <c r="I155" i="6"/>
  <c r="J155" i="6"/>
  <c r="L155" i="6"/>
  <c r="M155" i="6"/>
  <c r="O155" i="6"/>
  <c r="R155" i="6"/>
  <c r="P155" i="6"/>
  <c r="I156" i="6"/>
  <c r="J156" i="6"/>
  <c r="L156" i="6"/>
  <c r="M156" i="6"/>
  <c r="O156" i="6"/>
  <c r="R156" i="6"/>
  <c r="U156" i="6"/>
  <c r="P156" i="6"/>
  <c r="I157" i="6"/>
  <c r="J157" i="6"/>
  <c r="L157" i="6"/>
  <c r="M157" i="6"/>
  <c r="S153" i="6"/>
  <c r="O157" i="6"/>
  <c r="P157" i="6"/>
  <c r="S156" i="6"/>
  <c r="I158" i="6"/>
  <c r="J158" i="6"/>
  <c r="L158" i="6"/>
  <c r="M158" i="6"/>
  <c r="O158" i="6"/>
  <c r="P158" i="6"/>
  <c r="I159" i="6"/>
  <c r="J159" i="6"/>
  <c r="L159" i="6"/>
  <c r="M159" i="6"/>
  <c r="O159" i="6"/>
  <c r="P159" i="6"/>
  <c r="I160" i="6"/>
  <c r="J160" i="6"/>
  <c r="L160" i="6"/>
  <c r="M160" i="6"/>
  <c r="O160" i="6"/>
  <c r="P160" i="6"/>
  <c r="S158" i="6"/>
  <c r="I161" i="6"/>
  <c r="J161" i="6"/>
  <c r="L161" i="6"/>
  <c r="M161" i="6"/>
  <c r="O161" i="6"/>
  <c r="P161" i="6"/>
  <c r="S161" i="6"/>
  <c r="I162" i="6"/>
  <c r="J162" i="6"/>
  <c r="L162" i="6"/>
  <c r="M162" i="6"/>
  <c r="O162" i="6"/>
  <c r="P162" i="6"/>
  <c r="R162" i="6"/>
  <c r="I163" i="6"/>
  <c r="J163" i="6"/>
  <c r="L163" i="6"/>
  <c r="M163" i="6"/>
  <c r="O163" i="6"/>
  <c r="P163" i="6"/>
  <c r="I164" i="6"/>
  <c r="J164" i="6"/>
  <c r="L164" i="6"/>
  <c r="M164" i="6"/>
  <c r="O164" i="6"/>
  <c r="P164" i="6"/>
  <c r="I165" i="6"/>
  <c r="J165" i="6"/>
  <c r="L165" i="6"/>
  <c r="M165" i="6"/>
  <c r="O165" i="6"/>
  <c r="P165" i="6"/>
  <c r="S165" i="6"/>
  <c r="I166" i="6"/>
  <c r="J166" i="6"/>
  <c r="L166" i="6"/>
  <c r="M166" i="6"/>
  <c r="O166" i="6"/>
  <c r="P166" i="6"/>
  <c r="I167" i="6"/>
  <c r="J167" i="6"/>
  <c r="L167" i="6"/>
  <c r="M167" i="6"/>
  <c r="O167" i="6"/>
  <c r="P167" i="6"/>
  <c r="I168" i="6"/>
  <c r="J168" i="6"/>
  <c r="L168" i="6"/>
  <c r="M168" i="6"/>
  <c r="O168" i="6"/>
  <c r="R166" i="6"/>
  <c r="P168" i="6"/>
  <c r="I169" i="6"/>
  <c r="J169" i="6"/>
  <c r="L169" i="6"/>
  <c r="M169" i="6"/>
  <c r="O169" i="6"/>
  <c r="R167" i="6"/>
  <c r="P169" i="6"/>
  <c r="I170" i="6"/>
  <c r="J170" i="6"/>
  <c r="L170" i="6"/>
  <c r="M170" i="6"/>
  <c r="O170" i="6"/>
  <c r="R170" i="6"/>
  <c r="P170" i="6"/>
  <c r="I171" i="6"/>
  <c r="J171" i="6"/>
  <c r="L171" i="6"/>
  <c r="M171" i="6"/>
  <c r="O171" i="6"/>
  <c r="P171" i="6"/>
  <c r="S171" i="6"/>
  <c r="I172" i="6"/>
  <c r="J172" i="6"/>
  <c r="L172" i="6"/>
  <c r="M172" i="6"/>
  <c r="O172" i="6"/>
  <c r="P172" i="6"/>
  <c r="S172" i="6"/>
  <c r="I173" i="6"/>
  <c r="J173" i="6"/>
  <c r="L173" i="6"/>
  <c r="M173" i="6"/>
  <c r="O173" i="6"/>
  <c r="R173" i="6"/>
  <c r="U173" i="6"/>
  <c r="P173" i="6"/>
  <c r="I174" i="6"/>
  <c r="J174" i="6"/>
  <c r="L174" i="6"/>
  <c r="M174" i="6"/>
  <c r="O174" i="6"/>
  <c r="P174" i="6"/>
  <c r="S173" i="6"/>
  <c r="I175" i="6"/>
  <c r="J175" i="6"/>
  <c r="L175" i="6"/>
  <c r="M175" i="6"/>
  <c r="O175" i="6"/>
  <c r="P175" i="6"/>
  <c r="I176" i="6"/>
  <c r="J176" i="6"/>
  <c r="L176" i="6"/>
  <c r="M176" i="6"/>
  <c r="O176" i="6"/>
  <c r="P176" i="6"/>
  <c r="I177" i="6"/>
  <c r="J177" i="6"/>
  <c r="L177" i="6"/>
  <c r="M177" i="6"/>
  <c r="O177" i="6"/>
  <c r="P177" i="6"/>
  <c r="I178" i="6"/>
  <c r="J178" i="6"/>
  <c r="L178" i="6"/>
  <c r="M178" i="6"/>
  <c r="O178" i="6"/>
  <c r="R176" i="6"/>
  <c r="P178" i="6"/>
  <c r="S178" i="6"/>
  <c r="R178" i="6"/>
  <c r="I179" i="6"/>
  <c r="J179" i="6"/>
  <c r="L179" i="6"/>
  <c r="M179" i="6"/>
  <c r="O179" i="6"/>
  <c r="P179" i="6"/>
  <c r="S179" i="6"/>
  <c r="I180" i="6"/>
  <c r="J180" i="6"/>
  <c r="L180" i="6"/>
  <c r="M180" i="6"/>
  <c r="O180" i="6"/>
  <c r="P180" i="6"/>
  <c r="S180" i="6"/>
  <c r="I181" i="6"/>
  <c r="J181" i="6"/>
  <c r="L181" i="6"/>
  <c r="M181" i="6"/>
  <c r="O181" i="6"/>
  <c r="P181" i="6"/>
  <c r="I182" i="6"/>
  <c r="J182" i="6"/>
  <c r="L182" i="6"/>
  <c r="M182" i="6"/>
  <c r="O182" i="6"/>
  <c r="P182" i="6"/>
  <c r="I183" i="6"/>
  <c r="J183" i="6"/>
  <c r="L183" i="6"/>
  <c r="M183" i="6"/>
  <c r="O183" i="6"/>
  <c r="R182" i="6"/>
  <c r="U182" i="6"/>
  <c r="P183" i="6"/>
  <c r="I184" i="6"/>
  <c r="J184" i="6"/>
  <c r="L184" i="6"/>
  <c r="M184" i="6"/>
  <c r="O184" i="6"/>
  <c r="P184" i="6"/>
  <c r="S182" i="6"/>
  <c r="I185" i="6"/>
  <c r="J185" i="6"/>
  <c r="L185" i="6"/>
  <c r="M185" i="6"/>
  <c r="O185" i="6"/>
  <c r="P185" i="6"/>
  <c r="S183" i="6"/>
  <c r="I186" i="6"/>
  <c r="J186" i="6"/>
  <c r="L186" i="6"/>
  <c r="M186" i="6"/>
  <c r="O186" i="6"/>
  <c r="R186" i="6"/>
  <c r="P186" i="6"/>
  <c r="I187" i="6"/>
  <c r="J187" i="6"/>
  <c r="L187" i="6"/>
  <c r="M187" i="6"/>
  <c r="O187" i="6"/>
  <c r="R187" i="6"/>
  <c r="U187" i="6"/>
  <c r="P187" i="6"/>
  <c r="S187" i="6"/>
  <c r="I188" i="6"/>
  <c r="J188" i="6"/>
  <c r="L188" i="6"/>
  <c r="M188" i="6"/>
  <c r="O188" i="6"/>
  <c r="R188" i="6"/>
  <c r="P188" i="6"/>
  <c r="S188" i="6"/>
  <c r="I189" i="6"/>
  <c r="J189" i="6"/>
  <c r="L189" i="6"/>
  <c r="M189" i="6"/>
  <c r="O189" i="6"/>
  <c r="P189" i="6"/>
  <c r="I190" i="6"/>
  <c r="J190" i="6"/>
  <c r="L190" i="6"/>
  <c r="M190" i="6"/>
  <c r="O190" i="6"/>
  <c r="P190" i="6"/>
  <c r="I191" i="6"/>
  <c r="J191" i="6"/>
  <c r="L191" i="6"/>
  <c r="M191" i="6"/>
  <c r="O191" i="6"/>
  <c r="P191" i="6"/>
  <c r="S189" i="6"/>
  <c r="I192" i="6"/>
  <c r="J192" i="6"/>
  <c r="L192" i="6"/>
  <c r="M192" i="6"/>
  <c r="O192" i="6"/>
  <c r="P192" i="6"/>
  <c r="I193" i="6"/>
  <c r="J193" i="6"/>
  <c r="L193" i="6"/>
  <c r="M193" i="6"/>
  <c r="O193" i="6"/>
  <c r="P193" i="6"/>
  <c r="I194" i="6"/>
  <c r="J194" i="6"/>
  <c r="L194" i="6"/>
  <c r="M194" i="6"/>
  <c r="O194" i="6"/>
  <c r="P194" i="6"/>
  <c r="I195" i="6"/>
  <c r="J195" i="6"/>
  <c r="L195" i="6"/>
  <c r="M195" i="6"/>
  <c r="O195" i="6"/>
  <c r="P195" i="6"/>
  <c r="I196" i="6"/>
  <c r="J196" i="6"/>
  <c r="L196" i="6"/>
  <c r="M196" i="6"/>
  <c r="O196" i="6"/>
  <c r="R196" i="6"/>
  <c r="P196" i="6"/>
  <c r="I197" i="6"/>
  <c r="J197" i="6"/>
  <c r="L197" i="6"/>
  <c r="M197" i="6"/>
  <c r="O197" i="6"/>
  <c r="R197" i="6"/>
  <c r="P197" i="6"/>
  <c r="I198" i="6"/>
  <c r="J198" i="6"/>
  <c r="L198" i="6"/>
  <c r="M198" i="6"/>
  <c r="O198" i="6"/>
  <c r="P198" i="6"/>
  <c r="I199" i="6"/>
  <c r="J199" i="6"/>
  <c r="L199" i="6"/>
  <c r="M199" i="6"/>
  <c r="O199" i="6"/>
  <c r="P199" i="6"/>
  <c r="I200" i="6"/>
  <c r="J200" i="6"/>
  <c r="L200" i="6"/>
  <c r="M200" i="6"/>
  <c r="O200" i="6"/>
  <c r="R198" i="6"/>
  <c r="P200" i="6"/>
  <c r="I201" i="6"/>
  <c r="J201" i="6"/>
  <c r="L201" i="6"/>
  <c r="M201" i="6"/>
  <c r="O201" i="6"/>
  <c r="R199" i="6"/>
  <c r="P201" i="6"/>
  <c r="I202" i="6"/>
  <c r="J202" i="6"/>
  <c r="L202" i="6"/>
  <c r="M202" i="6"/>
  <c r="O202" i="6"/>
  <c r="P202" i="6"/>
  <c r="I203" i="6"/>
  <c r="J203" i="6"/>
  <c r="L203" i="6"/>
  <c r="M203" i="6"/>
  <c r="O203" i="6"/>
  <c r="P203" i="6"/>
  <c r="S203" i="6"/>
  <c r="I204" i="6"/>
  <c r="J204" i="6"/>
  <c r="L204" i="6"/>
  <c r="M204" i="6"/>
  <c r="O204" i="6"/>
  <c r="R204" i="6"/>
  <c r="U204" i="6"/>
  <c r="P204" i="6"/>
  <c r="S204" i="6"/>
  <c r="I205" i="6"/>
  <c r="J205" i="6"/>
  <c r="L205" i="6"/>
  <c r="M205" i="6"/>
  <c r="O205" i="6"/>
  <c r="P205" i="6"/>
  <c r="S205" i="6"/>
  <c r="I206" i="6"/>
  <c r="J206" i="6"/>
  <c r="L206" i="6"/>
  <c r="M206" i="6"/>
  <c r="O206" i="6"/>
  <c r="P206" i="6"/>
  <c r="I207" i="6"/>
  <c r="J207" i="6"/>
  <c r="L207" i="6"/>
  <c r="M207" i="6"/>
  <c r="O207" i="6"/>
  <c r="P207" i="6"/>
  <c r="I208" i="6"/>
  <c r="J208" i="6"/>
  <c r="L208" i="6"/>
  <c r="M208" i="6"/>
  <c r="O208" i="6"/>
  <c r="P208" i="6"/>
  <c r="I209" i="6"/>
  <c r="J209" i="6"/>
  <c r="L209" i="6"/>
  <c r="M209" i="6"/>
  <c r="O209" i="6"/>
  <c r="R208" i="6"/>
  <c r="P209" i="6"/>
  <c r="S209" i="6"/>
  <c r="I210" i="6"/>
  <c r="J210" i="6"/>
  <c r="L210" i="6"/>
  <c r="M210" i="6"/>
  <c r="O210" i="6"/>
  <c r="P210" i="6"/>
  <c r="R210" i="6"/>
  <c r="I211" i="6"/>
  <c r="J211" i="6"/>
  <c r="L211" i="6"/>
  <c r="M211" i="6"/>
  <c r="O211" i="6"/>
  <c r="P211" i="6"/>
  <c r="S211" i="6"/>
  <c r="I212" i="6"/>
  <c r="J212" i="6"/>
  <c r="L212" i="6"/>
  <c r="M212" i="6"/>
  <c r="O212" i="6"/>
  <c r="P212" i="6"/>
  <c r="I213" i="6"/>
  <c r="J213" i="6"/>
  <c r="L213" i="6"/>
  <c r="M213" i="6"/>
  <c r="O213" i="6"/>
  <c r="R213" i="6"/>
  <c r="P213" i="6"/>
  <c r="I214" i="6"/>
  <c r="J214" i="6"/>
  <c r="L214" i="6"/>
  <c r="M214" i="6"/>
  <c r="O214" i="6"/>
  <c r="P214" i="6"/>
  <c r="I215" i="6"/>
  <c r="J215" i="6"/>
  <c r="L215" i="6"/>
  <c r="M215" i="6"/>
  <c r="O215" i="6"/>
  <c r="P215" i="6"/>
  <c r="I216" i="6"/>
  <c r="J216" i="6"/>
  <c r="L216" i="6"/>
  <c r="M216" i="6"/>
  <c r="O216" i="6"/>
  <c r="P216" i="6"/>
  <c r="S215" i="6"/>
  <c r="I217" i="6"/>
  <c r="J217" i="6"/>
  <c r="L217" i="6"/>
  <c r="M217" i="6"/>
  <c r="O217" i="6"/>
  <c r="R215" i="6"/>
  <c r="U215" i="6"/>
  <c r="P217" i="6"/>
  <c r="I218" i="6"/>
  <c r="J218" i="6"/>
  <c r="L218" i="6"/>
  <c r="M218" i="6"/>
  <c r="O218" i="6"/>
  <c r="R218" i="6"/>
  <c r="P218" i="6"/>
  <c r="I219" i="6"/>
  <c r="J219" i="6"/>
  <c r="L219" i="6"/>
  <c r="M219" i="6"/>
  <c r="O219" i="6"/>
  <c r="P219" i="6"/>
  <c r="S219" i="6"/>
  <c r="I220" i="6"/>
  <c r="J220" i="6"/>
  <c r="L220" i="6"/>
  <c r="M220" i="6"/>
  <c r="O220" i="6"/>
  <c r="P220" i="6"/>
  <c r="I221" i="6"/>
  <c r="J221" i="6"/>
  <c r="L221" i="6"/>
  <c r="M221" i="6"/>
  <c r="O221" i="6"/>
  <c r="P221" i="6"/>
  <c r="I222" i="6"/>
  <c r="J222" i="6"/>
  <c r="L222" i="6"/>
  <c r="M222" i="6"/>
  <c r="O222" i="6"/>
  <c r="P222" i="6"/>
  <c r="I223" i="6"/>
  <c r="J223" i="6"/>
  <c r="L223" i="6"/>
  <c r="M223" i="6"/>
  <c r="O223" i="6"/>
  <c r="P223" i="6"/>
  <c r="I224" i="6"/>
  <c r="J224" i="6"/>
  <c r="L224" i="6"/>
  <c r="M224" i="6"/>
  <c r="O224" i="6"/>
  <c r="R224" i="6"/>
  <c r="P224" i="6"/>
  <c r="I225" i="6"/>
  <c r="J225" i="6"/>
  <c r="L225" i="6"/>
  <c r="M225" i="6"/>
  <c r="O225" i="6"/>
  <c r="P225" i="6"/>
  <c r="I226" i="6"/>
  <c r="J226" i="6"/>
  <c r="L226" i="6"/>
  <c r="M226" i="6"/>
  <c r="O226" i="6"/>
  <c r="P226" i="6"/>
  <c r="I227" i="6"/>
  <c r="J227" i="6"/>
  <c r="L227" i="6"/>
  <c r="M227" i="6"/>
  <c r="O227" i="6"/>
  <c r="P227" i="6"/>
  <c r="S227" i="6"/>
  <c r="I228" i="6"/>
  <c r="J228" i="6"/>
  <c r="L228" i="6"/>
  <c r="M228" i="6"/>
  <c r="O228" i="6"/>
  <c r="R228" i="6"/>
  <c r="P228" i="6"/>
  <c r="I229" i="6"/>
  <c r="J229" i="6"/>
  <c r="L229" i="6"/>
  <c r="M229" i="6"/>
  <c r="O229" i="6"/>
  <c r="R229" i="6"/>
  <c r="P229" i="6"/>
  <c r="I230" i="6"/>
  <c r="J230" i="6"/>
  <c r="L230" i="6"/>
  <c r="M230" i="6"/>
  <c r="O230" i="6"/>
  <c r="R230" i="6"/>
  <c r="P230" i="6"/>
  <c r="I231" i="6"/>
  <c r="J231" i="6"/>
  <c r="L231" i="6"/>
  <c r="M231" i="6"/>
  <c r="O231" i="6"/>
  <c r="P231" i="6"/>
  <c r="I232" i="6"/>
  <c r="J232" i="6"/>
  <c r="L232" i="6"/>
  <c r="M232" i="6"/>
  <c r="O232" i="6"/>
  <c r="P232" i="6"/>
  <c r="I233" i="6"/>
  <c r="J233" i="6"/>
  <c r="L233" i="6"/>
  <c r="M233" i="6"/>
  <c r="O233" i="6"/>
  <c r="P233" i="6"/>
  <c r="I234" i="6"/>
  <c r="J234" i="6"/>
  <c r="L234" i="6"/>
  <c r="M234" i="6"/>
  <c r="O234" i="6"/>
  <c r="P234" i="6"/>
  <c r="I235" i="6"/>
  <c r="J235" i="6"/>
  <c r="L235" i="6"/>
  <c r="M235" i="6"/>
  <c r="O235" i="6"/>
  <c r="R233" i="6"/>
  <c r="P235" i="6"/>
  <c r="I236" i="6"/>
  <c r="J236" i="6"/>
  <c r="L236" i="6"/>
  <c r="M236" i="6"/>
  <c r="O236" i="6"/>
  <c r="P236" i="6"/>
  <c r="S236" i="6"/>
  <c r="I237" i="6"/>
  <c r="J237" i="6"/>
  <c r="L237" i="6"/>
  <c r="M237" i="6"/>
  <c r="S233" i="6"/>
  <c r="O237" i="6"/>
  <c r="P237" i="6"/>
  <c r="I238" i="6"/>
  <c r="J238" i="6"/>
  <c r="L238" i="6"/>
  <c r="M238" i="6"/>
  <c r="O238" i="6"/>
  <c r="P238" i="6"/>
  <c r="I239" i="6"/>
  <c r="J239" i="6"/>
  <c r="L239" i="6"/>
  <c r="M239" i="6"/>
  <c r="O239" i="6"/>
  <c r="P239" i="6"/>
  <c r="I240" i="6"/>
  <c r="J240" i="6"/>
  <c r="L240" i="6"/>
  <c r="M240" i="6"/>
  <c r="O240" i="6"/>
  <c r="P240" i="6"/>
  <c r="S238" i="6"/>
  <c r="I241" i="6"/>
  <c r="J241" i="6"/>
  <c r="L241" i="6"/>
  <c r="M241" i="6"/>
  <c r="O241" i="6"/>
  <c r="R240" i="6"/>
  <c r="P241" i="6"/>
  <c r="I242" i="6"/>
  <c r="J242" i="6"/>
  <c r="L242" i="6"/>
  <c r="M242" i="6"/>
  <c r="O242" i="6"/>
  <c r="R241" i="6"/>
  <c r="P242" i="6"/>
  <c r="R242" i="6"/>
  <c r="I243" i="6"/>
  <c r="J243" i="6"/>
  <c r="L243" i="6"/>
  <c r="M243" i="6"/>
  <c r="O243" i="6"/>
  <c r="P243" i="6"/>
  <c r="I244" i="6"/>
  <c r="J244" i="6"/>
  <c r="L244" i="6"/>
  <c r="M244" i="6"/>
  <c r="O244" i="6"/>
  <c r="P244" i="6"/>
  <c r="I245" i="6"/>
  <c r="J245" i="6"/>
  <c r="L245" i="6"/>
  <c r="M245" i="6"/>
  <c r="O245" i="6"/>
  <c r="R245" i="6"/>
  <c r="P245" i="6"/>
  <c r="I246" i="6"/>
  <c r="J246" i="6"/>
  <c r="L246" i="6"/>
  <c r="M246" i="6"/>
  <c r="O246" i="6"/>
  <c r="R246" i="6"/>
  <c r="P246" i="6"/>
  <c r="I247" i="6"/>
  <c r="J247" i="6"/>
  <c r="L247" i="6"/>
  <c r="M247" i="6"/>
  <c r="O247" i="6"/>
  <c r="P247" i="6"/>
  <c r="S246" i="6"/>
  <c r="I248" i="6"/>
  <c r="J248" i="6"/>
  <c r="L248" i="6"/>
  <c r="M248" i="6"/>
  <c r="O248" i="6"/>
  <c r="R247" i="6"/>
  <c r="P248" i="6"/>
  <c r="I249" i="6"/>
  <c r="J249" i="6"/>
  <c r="L249" i="6"/>
  <c r="M249" i="6"/>
  <c r="O249" i="6"/>
  <c r="P249" i="6"/>
  <c r="S248" i="6"/>
  <c r="I250" i="6"/>
  <c r="J250" i="6"/>
  <c r="L250" i="6"/>
  <c r="M250" i="6"/>
  <c r="O250" i="6"/>
  <c r="P250" i="6"/>
  <c r="I251" i="6"/>
  <c r="J251" i="6"/>
  <c r="L251" i="6"/>
  <c r="M251" i="6"/>
  <c r="O251" i="6"/>
  <c r="P251" i="6"/>
  <c r="I252" i="6"/>
  <c r="J252" i="6"/>
  <c r="L252" i="6"/>
  <c r="M252" i="6"/>
  <c r="O252" i="6"/>
  <c r="P252" i="6"/>
  <c r="I253" i="6"/>
  <c r="J253" i="6"/>
  <c r="L253" i="6"/>
  <c r="M253" i="6"/>
  <c r="S249" i="6"/>
  <c r="O253" i="6"/>
  <c r="P253" i="6"/>
  <c r="S253" i="6"/>
  <c r="I254" i="6"/>
  <c r="J254" i="6"/>
  <c r="L254" i="6"/>
  <c r="M254" i="6"/>
  <c r="O254" i="6"/>
  <c r="P254" i="6"/>
  <c r="I255" i="6"/>
  <c r="J255" i="6"/>
  <c r="L255" i="6"/>
  <c r="M255" i="6"/>
  <c r="O255" i="6"/>
  <c r="P255" i="6"/>
  <c r="I256" i="6"/>
  <c r="J256" i="6"/>
  <c r="L256" i="6"/>
  <c r="M256" i="6"/>
  <c r="O256" i="6"/>
  <c r="P256" i="6"/>
  <c r="I257" i="6"/>
  <c r="J257" i="6"/>
  <c r="L257" i="6"/>
  <c r="M257" i="6"/>
  <c r="O257" i="6"/>
  <c r="P257" i="6"/>
  <c r="I258" i="6"/>
  <c r="J258" i="6"/>
  <c r="L258" i="6"/>
  <c r="M258" i="6"/>
  <c r="O258" i="6"/>
  <c r="P258" i="6"/>
  <c r="R258" i="6"/>
  <c r="I259" i="6"/>
  <c r="J259" i="6"/>
  <c r="L259" i="6"/>
  <c r="M259" i="6"/>
  <c r="O259" i="6"/>
  <c r="P259" i="6"/>
  <c r="I260" i="6"/>
  <c r="J260" i="6"/>
  <c r="L260" i="6"/>
  <c r="M260" i="6"/>
  <c r="O260" i="6"/>
  <c r="P260" i="6"/>
  <c r="I261" i="6"/>
  <c r="J261" i="6"/>
  <c r="L261" i="6"/>
  <c r="M261" i="6"/>
  <c r="O261" i="6"/>
  <c r="P261" i="6"/>
  <c r="I262" i="6"/>
  <c r="J262" i="6"/>
  <c r="L262" i="6"/>
  <c r="M262" i="6"/>
  <c r="O262" i="6"/>
  <c r="P262" i="6"/>
  <c r="I263" i="6"/>
  <c r="J263" i="6"/>
  <c r="L263" i="6"/>
  <c r="M263" i="6"/>
  <c r="O263" i="6"/>
  <c r="P263" i="6"/>
  <c r="I264" i="6"/>
  <c r="J264" i="6"/>
  <c r="L264" i="6"/>
  <c r="M264" i="6"/>
  <c r="O264" i="6"/>
  <c r="P264" i="6"/>
  <c r="I265" i="6"/>
  <c r="J265" i="6"/>
  <c r="L265" i="6"/>
  <c r="M265" i="6"/>
  <c r="O265" i="6"/>
  <c r="P265" i="6"/>
  <c r="S265" i="6"/>
  <c r="I266" i="6"/>
  <c r="J266" i="6"/>
  <c r="L266" i="6"/>
  <c r="M266" i="6"/>
  <c r="O266" i="6"/>
  <c r="P266" i="6"/>
  <c r="I267" i="6"/>
  <c r="J267" i="6"/>
  <c r="L267" i="6"/>
  <c r="M267" i="6"/>
  <c r="O267" i="6"/>
  <c r="P267" i="6"/>
  <c r="S267" i="6"/>
  <c r="I268" i="6"/>
  <c r="J268" i="6"/>
  <c r="L268" i="6"/>
  <c r="M268" i="6"/>
  <c r="O268" i="6"/>
  <c r="P268" i="6"/>
  <c r="S268" i="6"/>
  <c r="I269" i="6"/>
  <c r="J269" i="6"/>
  <c r="L269" i="6"/>
  <c r="M269" i="6"/>
  <c r="O269" i="6"/>
  <c r="P269" i="6"/>
  <c r="I270" i="6"/>
  <c r="J270" i="6"/>
  <c r="L270" i="6"/>
  <c r="M270" i="6"/>
  <c r="O270" i="6"/>
  <c r="P270" i="6"/>
  <c r="I271" i="6"/>
  <c r="J271" i="6"/>
  <c r="L271" i="6"/>
  <c r="M271" i="6"/>
  <c r="O271" i="6"/>
  <c r="P271" i="6"/>
  <c r="I272" i="6"/>
  <c r="J272" i="6"/>
  <c r="L272" i="6"/>
  <c r="M272" i="6"/>
  <c r="O272" i="6"/>
  <c r="P272" i="6"/>
  <c r="S270" i="6"/>
  <c r="I273" i="6"/>
  <c r="J273" i="6"/>
  <c r="L273" i="6"/>
  <c r="M273" i="6"/>
  <c r="O273" i="6"/>
  <c r="R272" i="6"/>
  <c r="P273" i="6"/>
  <c r="I274" i="6"/>
  <c r="J274" i="6"/>
  <c r="L274" i="6"/>
  <c r="M274" i="6"/>
  <c r="O274" i="6"/>
  <c r="P274" i="6"/>
  <c r="I275" i="6"/>
  <c r="J275" i="6"/>
  <c r="L275" i="6"/>
  <c r="M275" i="6"/>
  <c r="O275" i="6"/>
  <c r="P275" i="6"/>
  <c r="I276" i="6"/>
  <c r="J276" i="6"/>
  <c r="L276" i="6"/>
  <c r="M276" i="6"/>
  <c r="O276" i="6"/>
  <c r="R274" i="6"/>
  <c r="P276" i="6"/>
  <c r="S276" i="6"/>
  <c r="I277" i="6"/>
  <c r="J277" i="6"/>
  <c r="L277" i="6"/>
  <c r="M277" i="6"/>
  <c r="O277" i="6"/>
  <c r="P277" i="6"/>
  <c r="S277" i="6"/>
  <c r="I278" i="6"/>
  <c r="J278" i="6"/>
  <c r="L278" i="6"/>
  <c r="M278" i="6"/>
  <c r="O278" i="6"/>
  <c r="P278" i="6"/>
  <c r="I279" i="6"/>
  <c r="J279" i="6"/>
  <c r="L279" i="6"/>
  <c r="M279" i="6"/>
  <c r="O279" i="6"/>
  <c r="P279" i="6"/>
  <c r="I280" i="6"/>
  <c r="J280" i="6"/>
  <c r="L280" i="6"/>
  <c r="M280" i="6"/>
  <c r="O280" i="6"/>
  <c r="P280" i="6"/>
  <c r="S279" i="6"/>
  <c r="I281" i="6"/>
  <c r="J281" i="6"/>
  <c r="L281" i="6"/>
  <c r="M281" i="6"/>
  <c r="O281" i="6"/>
  <c r="P281" i="6"/>
  <c r="S280" i="6"/>
  <c r="S281" i="6"/>
  <c r="I282" i="6"/>
  <c r="J282" i="6"/>
  <c r="L282" i="6"/>
  <c r="M282" i="6"/>
  <c r="O282" i="6"/>
  <c r="P282" i="6"/>
  <c r="I283" i="6"/>
  <c r="J283" i="6"/>
  <c r="L283" i="6"/>
  <c r="M283" i="6"/>
  <c r="O283" i="6"/>
  <c r="P283" i="6"/>
  <c r="I284" i="6"/>
  <c r="J284" i="6"/>
  <c r="L284" i="6"/>
  <c r="M284" i="6"/>
  <c r="O284" i="6"/>
  <c r="P284" i="6"/>
  <c r="S284" i="6"/>
  <c r="I285" i="6"/>
  <c r="J285" i="6"/>
  <c r="L285" i="6"/>
  <c r="M285" i="6"/>
  <c r="O285" i="6"/>
  <c r="P285" i="6"/>
  <c r="S285" i="6"/>
  <c r="I286" i="6"/>
  <c r="J286" i="6"/>
  <c r="L286" i="6"/>
  <c r="M286" i="6"/>
  <c r="O286" i="6"/>
  <c r="P286" i="6"/>
  <c r="I287" i="6"/>
  <c r="J287" i="6"/>
  <c r="L287" i="6"/>
  <c r="M287" i="6"/>
  <c r="O287" i="6"/>
  <c r="P287" i="6"/>
  <c r="I288" i="6"/>
  <c r="J288" i="6"/>
  <c r="L288" i="6"/>
  <c r="M288" i="6"/>
  <c r="O288" i="6"/>
  <c r="P288" i="6"/>
  <c r="I289" i="6"/>
  <c r="J289" i="6"/>
  <c r="L289" i="6"/>
  <c r="M289" i="6"/>
  <c r="O289" i="6"/>
  <c r="P289" i="6"/>
  <c r="I290" i="6"/>
  <c r="J290" i="6"/>
  <c r="L290" i="6"/>
  <c r="M290" i="6"/>
  <c r="O290" i="6"/>
  <c r="P290" i="6"/>
  <c r="I291" i="6"/>
  <c r="J291" i="6"/>
  <c r="L291" i="6"/>
  <c r="M291" i="6"/>
  <c r="O291" i="6"/>
  <c r="P291" i="6"/>
  <c r="I292" i="6"/>
  <c r="J292" i="6"/>
  <c r="L292" i="6"/>
  <c r="M292" i="6"/>
  <c r="O292" i="6"/>
  <c r="R290" i="6"/>
  <c r="P292" i="6"/>
  <c r="I293" i="6"/>
  <c r="J293" i="6"/>
  <c r="L293" i="6"/>
  <c r="M293" i="6"/>
  <c r="O293" i="6"/>
  <c r="P293" i="6"/>
  <c r="I294" i="6"/>
  <c r="J294" i="6"/>
  <c r="L294" i="6"/>
  <c r="M294" i="6"/>
  <c r="O294" i="6"/>
  <c r="P294" i="6"/>
  <c r="I295" i="6"/>
  <c r="J295" i="6"/>
  <c r="L295" i="6"/>
  <c r="M295" i="6"/>
  <c r="O295" i="6"/>
  <c r="P295" i="6"/>
  <c r="I296" i="6"/>
  <c r="J296" i="6"/>
  <c r="L296" i="6"/>
  <c r="M296" i="6"/>
  <c r="O296" i="6"/>
  <c r="P296" i="6"/>
  <c r="I297" i="6"/>
  <c r="J297" i="6"/>
  <c r="L297" i="6"/>
  <c r="M297" i="6"/>
  <c r="O297" i="6"/>
  <c r="P297" i="6"/>
  <c r="S296" i="6"/>
  <c r="I298" i="6"/>
  <c r="J298" i="6"/>
  <c r="L298" i="6"/>
  <c r="M298" i="6"/>
  <c r="O298" i="6"/>
  <c r="P298" i="6"/>
  <c r="I299" i="6"/>
  <c r="J299" i="6"/>
  <c r="L299" i="6"/>
  <c r="M299" i="6"/>
  <c r="O299" i="6"/>
  <c r="P299" i="6"/>
  <c r="S297" i="6"/>
  <c r="I300" i="6"/>
  <c r="J300" i="6"/>
  <c r="L300" i="6"/>
  <c r="M300" i="6"/>
  <c r="O300" i="6"/>
  <c r="P300" i="6"/>
  <c r="I301" i="6"/>
  <c r="J301" i="6"/>
  <c r="L301" i="6"/>
  <c r="M301" i="6"/>
  <c r="O301" i="6"/>
  <c r="P301" i="6"/>
  <c r="I302" i="6"/>
  <c r="J302" i="6"/>
  <c r="L302" i="6"/>
  <c r="M302" i="6"/>
  <c r="O302" i="6"/>
  <c r="P302" i="6"/>
  <c r="I303" i="6"/>
  <c r="J303" i="6"/>
  <c r="L303" i="6"/>
  <c r="M303" i="6"/>
  <c r="O303" i="6"/>
  <c r="P303" i="6"/>
  <c r="I304" i="6"/>
  <c r="J304" i="6"/>
  <c r="L304" i="6"/>
  <c r="M304" i="6"/>
  <c r="O304" i="6"/>
  <c r="P304" i="6"/>
  <c r="I305" i="6"/>
  <c r="J305" i="6"/>
  <c r="L305" i="6"/>
  <c r="M305" i="6"/>
  <c r="O305" i="6"/>
  <c r="P305" i="6"/>
  <c r="I306" i="6"/>
  <c r="J306" i="6"/>
  <c r="L306" i="6"/>
  <c r="M306" i="6"/>
  <c r="O306" i="6"/>
  <c r="P306" i="6"/>
  <c r="I307" i="6"/>
  <c r="J307" i="6"/>
  <c r="L307" i="6"/>
  <c r="M307" i="6"/>
  <c r="O307" i="6"/>
  <c r="P307" i="6"/>
  <c r="I308" i="6"/>
  <c r="J308" i="6"/>
  <c r="L308" i="6"/>
  <c r="M308" i="6"/>
  <c r="O308" i="6"/>
  <c r="P308" i="6"/>
  <c r="I309" i="6"/>
  <c r="J309" i="6"/>
  <c r="L309" i="6"/>
  <c r="M309" i="6"/>
  <c r="O309" i="6"/>
  <c r="P309" i="6"/>
  <c r="I310" i="6"/>
  <c r="J310" i="6"/>
  <c r="L310" i="6"/>
  <c r="R306" i="6"/>
  <c r="M310" i="6"/>
  <c r="O310" i="6"/>
  <c r="R310" i="6"/>
  <c r="P310" i="6"/>
  <c r="I311" i="6"/>
  <c r="J311" i="6"/>
  <c r="L311" i="6"/>
  <c r="M311" i="6"/>
  <c r="O311" i="6"/>
  <c r="P311" i="6"/>
  <c r="I312" i="6"/>
  <c r="J312" i="6"/>
  <c r="L312" i="6"/>
  <c r="M312" i="6"/>
  <c r="O312" i="6"/>
  <c r="P312" i="6"/>
  <c r="I313" i="6"/>
  <c r="J313" i="6"/>
  <c r="L313" i="6"/>
  <c r="M313" i="6"/>
  <c r="O313" i="6"/>
  <c r="P313" i="6"/>
  <c r="I314" i="6"/>
  <c r="J314" i="6"/>
  <c r="L314" i="6"/>
  <c r="M314" i="6"/>
  <c r="O314" i="6"/>
  <c r="P314" i="6"/>
  <c r="I315" i="6"/>
  <c r="J315" i="6"/>
  <c r="L315" i="6"/>
  <c r="M315" i="6"/>
  <c r="O315" i="6"/>
  <c r="P315" i="6"/>
  <c r="S313" i="6"/>
  <c r="I316" i="6"/>
  <c r="J316" i="6"/>
  <c r="L316" i="6"/>
  <c r="M316" i="6"/>
  <c r="O316" i="6"/>
  <c r="R316" i="6"/>
  <c r="U316" i="6"/>
  <c r="P316" i="6"/>
  <c r="S316" i="6"/>
  <c r="I317" i="6"/>
  <c r="J317" i="6"/>
  <c r="L317" i="6"/>
  <c r="M317" i="6"/>
  <c r="O317" i="6"/>
  <c r="P317" i="6"/>
  <c r="S317" i="6"/>
  <c r="I318" i="6"/>
  <c r="J318" i="6"/>
  <c r="L318" i="6"/>
  <c r="M318" i="6"/>
  <c r="O318" i="6"/>
  <c r="P318" i="6"/>
  <c r="I319" i="6"/>
  <c r="J319" i="6"/>
  <c r="L319" i="6"/>
  <c r="M319" i="6"/>
  <c r="O319" i="6"/>
  <c r="P319" i="6"/>
  <c r="S318" i="6"/>
  <c r="I320" i="6"/>
  <c r="J320" i="6"/>
  <c r="L320" i="6"/>
  <c r="M320" i="6"/>
  <c r="O320" i="6"/>
  <c r="P320" i="6"/>
  <c r="I321" i="6"/>
  <c r="J321" i="6"/>
  <c r="L321" i="6"/>
  <c r="M321" i="6"/>
  <c r="O321" i="6"/>
  <c r="P321" i="6"/>
  <c r="S321" i="6"/>
  <c r="I322" i="6"/>
  <c r="J322" i="6"/>
  <c r="L322" i="6"/>
  <c r="M322" i="6"/>
  <c r="O322" i="6"/>
  <c r="P322" i="6"/>
  <c r="I323" i="6"/>
  <c r="J323" i="6"/>
  <c r="L323" i="6"/>
  <c r="M323" i="6"/>
  <c r="O323" i="6"/>
  <c r="P323" i="6"/>
  <c r="I324" i="6"/>
  <c r="J324" i="6"/>
  <c r="L324" i="6"/>
  <c r="M324" i="6"/>
  <c r="O324" i="6"/>
  <c r="P324" i="6"/>
  <c r="I325" i="6"/>
  <c r="J325" i="6"/>
  <c r="L325" i="6"/>
  <c r="M325" i="6"/>
  <c r="O325" i="6"/>
  <c r="P325" i="6"/>
  <c r="I326" i="6"/>
  <c r="J326" i="6"/>
  <c r="L326" i="6"/>
  <c r="M326" i="6"/>
  <c r="O326" i="6"/>
  <c r="P326" i="6"/>
  <c r="I327" i="6"/>
  <c r="J327" i="6"/>
  <c r="L327" i="6"/>
  <c r="M327" i="6"/>
  <c r="O327" i="6"/>
  <c r="P327" i="6"/>
  <c r="I328" i="6"/>
  <c r="J328" i="6"/>
  <c r="L328" i="6"/>
  <c r="M328" i="6"/>
  <c r="O328" i="6"/>
  <c r="R327" i="6"/>
  <c r="P328" i="6"/>
  <c r="S327" i="6"/>
  <c r="I329" i="6"/>
  <c r="J329" i="6"/>
  <c r="L329" i="6"/>
  <c r="M329" i="6"/>
  <c r="O329" i="6"/>
  <c r="R329" i="6"/>
  <c r="U329" i="6"/>
  <c r="P329" i="6"/>
  <c r="S329" i="6"/>
  <c r="I330" i="6"/>
  <c r="J330" i="6"/>
  <c r="L330" i="6"/>
  <c r="M330" i="6"/>
  <c r="O330" i="6"/>
  <c r="R330" i="6"/>
  <c r="P330" i="6"/>
  <c r="I331" i="6"/>
  <c r="J331" i="6"/>
  <c r="L331" i="6"/>
  <c r="M331" i="6"/>
  <c r="O331" i="6"/>
  <c r="P331" i="6"/>
  <c r="I332" i="6"/>
  <c r="J332" i="6"/>
  <c r="L332" i="6"/>
  <c r="M332" i="6"/>
  <c r="O332" i="6"/>
  <c r="P332" i="6"/>
  <c r="I333" i="6"/>
  <c r="J333" i="6"/>
  <c r="L333" i="6"/>
  <c r="M333" i="6"/>
  <c r="O333" i="6"/>
  <c r="R332" i="6"/>
  <c r="P333" i="6"/>
  <c r="I334" i="6"/>
  <c r="J334" i="6"/>
  <c r="L334" i="6"/>
  <c r="M334" i="6"/>
  <c r="O334" i="6"/>
  <c r="P334" i="6"/>
  <c r="I335" i="6"/>
  <c r="J335" i="6"/>
  <c r="L335" i="6"/>
  <c r="M335" i="6"/>
  <c r="O335" i="6"/>
  <c r="P335" i="6"/>
  <c r="I336" i="6"/>
  <c r="J336" i="6"/>
  <c r="L336" i="6"/>
  <c r="M336" i="6"/>
  <c r="O336" i="6"/>
  <c r="P336" i="6"/>
  <c r="S334" i="6"/>
  <c r="I337" i="6"/>
  <c r="J337" i="6"/>
  <c r="L337" i="6"/>
  <c r="M337" i="6"/>
  <c r="O337" i="6"/>
  <c r="R336" i="6"/>
  <c r="P337" i="6"/>
  <c r="I338" i="6"/>
  <c r="J338" i="6"/>
  <c r="L338" i="6"/>
  <c r="M338" i="6"/>
  <c r="O338" i="6"/>
  <c r="P338" i="6"/>
  <c r="R338" i="6"/>
  <c r="I339" i="6"/>
  <c r="J339" i="6"/>
  <c r="L339" i="6"/>
  <c r="M339" i="6"/>
  <c r="O339" i="6"/>
  <c r="P339" i="6"/>
  <c r="I340" i="6"/>
  <c r="J340" i="6"/>
  <c r="L340" i="6"/>
  <c r="M340" i="6"/>
  <c r="O340" i="6"/>
  <c r="P340" i="6"/>
  <c r="I341" i="6"/>
  <c r="J341" i="6"/>
  <c r="L341" i="6"/>
  <c r="M341" i="6"/>
  <c r="O341" i="6"/>
  <c r="R341" i="6"/>
  <c r="P341" i="6"/>
  <c r="I342" i="6"/>
  <c r="J342" i="6"/>
  <c r="L342" i="6"/>
  <c r="M342" i="6"/>
  <c r="O342" i="6"/>
  <c r="R342" i="6"/>
  <c r="P342" i="6"/>
  <c r="I343" i="6"/>
  <c r="J343" i="6"/>
  <c r="L343" i="6"/>
  <c r="M343" i="6"/>
  <c r="O343" i="6"/>
  <c r="P343" i="6"/>
  <c r="I344" i="6"/>
  <c r="J344" i="6"/>
  <c r="L344" i="6"/>
  <c r="M344" i="6"/>
  <c r="O344" i="6"/>
  <c r="P344" i="6"/>
  <c r="I345" i="6"/>
  <c r="J345" i="6"/>
  <c r="L345" i="6"/>
  <c r="M345" i="6"/>
  <c r="O345" i="6"/>
  <c r="P345" i="6"/>
  <c r="I346" i="6"/>
  <c r="J346" i="6"/>
  <c r="L346" i="6"/>
  <c r="M346" i="6"/>
  <c r="O346" i="6"/>
  <c r="P346" i="6"/>
  <c r="I347" i="6"/>
  <c r="J347" i="6"/>
  <c r="L347" i="6"/>
  <c r="M347" i="6"/>
  <c r="O347" i="6"/>
  <c r="P347" i="6"/>
  <c r="I348" i="6"/>
  <c r="J348" i="6"/>
  <c r="L348" i="6"/>
  <c r="M348" i="6"/>
  <c r="O348" i="6"/>
  <c r="P348" i="6"/>
  <c r="I349" i="6"/>
  <c r="J349" i="6"/>
  <c r="L349" i="6"/>
  <c r="M349" i="6"/>
  <c r="O349" i="6"/>
  <c r="P349" i="6"/>
  <c r="I350" i="6"/>
  <c r="J350" i="6"/>
  <c r="L350" i="6"/>
  <c r="M350" i="6"/>
  <c r="O350" i="6"/>
  <c r="P350" i="6"/>
  <c r="I351" i="6"/>
  <c r="J351" i="6"/>
  <c r="L351" i="6"/>
  <c r="M351" i="6"/>
  <c r="O351" i="6"/>
  <c r="P351" i="6"/>
  <c r="S351" i="6"/>
  <c r="I352" i="6"/>
  <c r="J352" i="6"/>
  <c r="L352" i="6"/>
  <c r="M352" i="6"/>
  <c r="O352" i="6"/>
  <c r="P352" i="6"/>
  <c r="S350" i="6"/>
  <c r="I353" i="6"/>
  <c r="J353" i="6"/>
  <c r="L353" i="6"/>
  <c r="M353" i="6"/>
  <c r="O353" i="6"/>
  <c r="P353" i="6"/>
  <c r="I354" i="6"/>
  <c r="J354" i="6"/>
  <c r="L354" i="6"/>
  <c r="M354" i="6"/>
  <c r="O354" i="6"/>
  <c r="R352" i="6"/>
  <c r="P354" i="6"/>
  <c r="I355" i="6"/>
  <c r="J355" i="6"/>
  <c r="L355" i="6"/>
  <c r="M355" i="6"/>
  <c r="O355" i="6"/>
  <c r="P355" i="6"/>
  <c r="S354" i="6"/>
  <c r="I356" i="6"/>
  <c r="J356" i="6"/>
  <c r="L356" i="6"/>
  <c r="M356" i="6"/>
  <c r="O356" i="6"/>
  <c r="R354" i="6"/>
  <c r="U354" i="6"/>
  <c r="P356" i="6"/>
  <c r="S355" i="6"/>
  <c r="I357" i="6"/>
  <c r="J357" i="6"/>
  <c r="L357" i="6"/>
  <c r="M357" i="6"/>
  <c r="O357" i="6"/>
  <c r="P357" i="6"/>
  <c r="I358" i="6"/>
  <c r="J358" i="6"/>
  <c r="L358" i="6"/>
  <c r="M358" i="6"/>
  <c r="O358" i="6"/>
  <c r="P358" i="6"/>
  <c r="I359" i="6"/>
  <c r="J359" i="6"/>
  <c r="L359" i="6"/>
  <c r="M359" i="6"/>
  <c r="O359" i="6"/>
  <c r="P359" i="6"/>
  <c r="S358" i="6"/>
  <c r="I360" i="6"/>
  <c r="J360" i="6"/>
  <c r="L360" i="6"/>
  <c r="M360" i="6"/>
  <c r="O360" i="6"/>
  <c r="P360" i="6"/>
  <c r="I361" i="6"/>
  <c r="J361" i="6"/>
  <c r="L361" i="6"/>
  <c r="M361" i="6"/>
  <c r="O361" i="6"/>
  <c r="P361" i="6"/>
  <c r="S361" i="6"/>
  <c r="I362" i="6"/>
  <c r="J362" i="6"/>
  <c r="L362" i="6"/>
  <c r="M362" i="6"/>
  <c r="O362" i="6"/>
  <c r="P362" i="6"/>
  <c r="I363" i="6"/>
  <c r="J363" i="6"/>
  <c r="L363" i="6"/>
  <c r="M363" i="6"/>
  <c r="O363" i="6"/>
  <c r="P363" i="6"/>
  <c r="I364" i="6"/>
  <c r="J364" i="6"/>
  <c r="L364" i="6"/>
  <c r="M364" i="6"/>
  <c r="O364" i="6"/>
  <c r="P364" i="6"/>
  <c r="S364" i="6"/>
  <c r="I365" i="6"/>
  <c r="J365" i="6"/>
  <c r="L365" i="6"/>
  <c r="M365" i="6"/>
  <c r="O365" i="6"/>
  <c r="P365" i="6"/>
  <c r="I366" i="6"/>
  <c r="J366" i="6"/>
  <c r="L366" i="6"/>
  <c r="M366" i="6"/>
  <c r="O366" i="6"/>
  <c r="P366" i="6"/>
  <c r="I367" i="6"/>
  <c r="J367" i="6"/>
  <c r="L367" i="6"/>
  <c r="M367" i="6"/>
  <c r="O367" i="6"/>
  <c r="P367" i="6"/>
  <c r="S366" i="6"/>
  <c r="I368" i="6"/>
  <c r="J368" i="6"/>
  <c r="L368" i="6"/>
  <c r="M368" i="6"/>
  <c r="O368" i="6"/>
  <c r="P368" i="6"/>
  <c r="S368" i="6"/>
  <c r="I369" i="6"/>
  <c r="J369" i="6"/>
  <c r="L369" i="6"/>
  <c r="M369" i="6"/>
  <c r="O369" i="6"/>
  <c r="P369" i="6"/>
  <c r="I370" i="6"/>
  <c r="J370" i="6"/>
  <c r="L370" i="6"/>
  <c r="M370" i="6"/>
  <c r="O370" i="6"/>
  <c r="P370" i="6"/>
  <c r="I371" i="6"/>
  <c r="J371" i="6"/>
  <c r="L371" i="6"/>
  <c r="M371" i="6"/>
  <c r="O371" i="6"/>
  <c r="P371" i="6"/>
  <c r="S371" i="6"/>
  <c r="I372" i="6"/>
  <c r="J372" i="6"/>
  <c r="L372" i="6"/>
  <c r="M372" i="6"/>
  <c r="O372" i="6"/>
  <c r="R370" i="6"/>
  <c r="P372" i="6"/>
  <c r="S372" i="6"/>
  <c r="I373" i="6"/>
  <c r="J373" i="6"/>
  <c r="L373" i="6"/>
  <c r="M373" i="6"/>
  <c r="O373" i="6"/>
  <c r="R373" i="6"/>
  <c r="P373" i="6"/>
  <c r="S373" i="6"/>
  <c r="I374" i="6"/>
  <c r="J374" i="6"/>
  <c r="L374" i="6"/>
  <c r="M374" i="6"/>
  <c r="O374" i="6"/>
  <c r="P374" i="6"/>
  <c r="I375" i="6"/>
  <c r="J375" i="6"/>
  <c r="L375" i="6"/>
  <c r="M375" i="6"/>
  <c r="O375" i="6"/>
  <c r="P375" i="6"/>
  <c r="S375" i="6"/>
  <c r="I376" i="6"/>
  <c r="J376" i="6"/>
  <c r="L376" i="6"/>
  <c r="M376" i="6"/>
  <c r="O376" i="6"/>
  <c r="R375" i="6"/>
  <c r="U375" i="6"/>
  <c r="P376" i="6"/>
  <c r="I377" i="6"/>
  <c r="J377" i="6"/>
  <c r="L377" i="6"/>
  <c r="M377" i="6"/>
  <c r="O377" i="6"/>
  <c r="P377" i="6"/>
  <c r="S377" i="6"/>
  <c r="I378" i="6"/>
  <c r="J378" i="6"/>
  <c r="L378" i="6"/>
  <c r="M378" i="6"/>
  <c r="O378" i="6"/>
  <c r="R378" i="6"/>
  <c r="P378" i="6"/>
  <c r="I379" i="6"/>
  <c r="J379" i="6"/>
  <c r="L379" i="6"/>
  <c r="M379" i="6"/>
  <c r="O379" i="6"/>
  <c r="P379" i="6"/>
  <c r="I380" i="6"/>
  <c r="J380" i="6"/>
  <c r="L380" i="6"/>
  <c r="M380" i="6"/>
  <c r="O380" i="6"/>
  <c r="P380" i="6"/>
  <c r="I381" i="6"/>
  <c r="J381" i="6"/>
  <c r="L381" i="6"/>
  <c r="M381" i="6"/>
  <c r="O381" i="6"/>
  <c r="R380" i="6"/>
  <c r="P381" i="6"/>
  <c r="S381" i="6"/>
  <c r="I382" i="6"/>
  <c r="J382" i="6"/>
  <c r="L382" i="6"/>
  <c r="M382" i="6"/>
  <c r="O382" i="6"/>
  <c r="P382" i="6"/>
  <c r="I383" i="6"/>
  <c r="J383" i="6"/>
  <c r="L383" i="6"/>
  <c r="M383" i="6"/>
  <c r="O383" i="6"/>
  <c r="P383" i="6"/>
  <c r="I384" i="6"/>
  <c r="J384" i="6"/>
  <c r="L384" i="6"/>
  <c r="M384" i="6"/>
  <c r="O384" i="6"/>
  <c r="P384" i="6"/>
  <c r="I385" i="6"/>
  <c r="J385" i="6"/>
  <c r="L385" i="6"/>
  <c r="M385" i="6"/>
  <c r="O385" i="6"/>
  <c r="R384" i="6"/>
  <c r="P385" i="6"/>
  <c r="S385" i="6"/>
  <c r="I386" i="6"/>
  <c r="J386" i="6"/>
  <c r="L386" i="6"/>
  <c r="M386" i="6"/>
  <c r="O386" i="6"/>
  <c r="P386" i="6"/>
  <c r="I387" i="6"/>
  <c r="J387" i="6"/>
  <c r="L387" i="6"/>
  <c r="M387" i="6"/>
  <c r="O387" i="6"/>
  <c r="P387" i="6"/>
  <c r="I388" i="6"/>
  <c r="J388" i="6"/>
  <c r="L388" i="6"/>
  <c r="M388" i="6"/>
  <c r="O388" i="6"/>
  <c r="P388" i="6"/>
  <c r="I389" i="6"/>
  <c r="J389" i="6"/>
  <c r="L389" i="6"/>
  <c r="M389" i="6"/>
  <c r="O389" i="6"/>
  <c r="P389" i="6"/>
  <c r="I390" i="6"/>
  <c r="J390" i="6"/>
  <c r="L390" i="6"/>
  <c r="R386" i="6"/>
  <c r="M390" i="6"/>
  <c r="O390" i="6"/>
  <c r="P390" i="6"/>
  <c r="I391" i="6"/>
  <c r="J391" i="6"/>
  <c r="L391" i="6"/>
  <c r="M391" i="6"/>
  <c r="O391" i="6"/>
  <c r="P391" i="6"/>
  <c r="I392" i="6"/>
  <c r="J392" i="6"/>
  <c r="L392" i="6"/>
  <c r="M392" i="6"/>
  <c r="O392" i="6"/>
  <c r="P392" i="6"/>
  <c r="I393" i="6"/>
  <c r="J393" i="6"/>
  <c r="L393" i="6"/>
  <c r="M393" i="6"/>
  <c r="O393" i="6"/>
  <c r="R391" i="6"/>
  <c r="P393" i="6"/>
  <c r="I394" i="6"/>
  <c r="J394" i="6"/>
  <c r="L394" i="6"/>
  <c r="M394" i="6"/>
  <c r="O394" i="6"/>
  <c r="P394" i="6"/>
  <c r="I395" i="6"/>
  <c r="J395" i="6"/>
  <c r="L395" i="6"/>
  <c r="M395" i="6"/>
  <c r="O395" i="6"/>
  <c r="P395" i="6"/>
  <c r="S393" i="6"/>
  <c r="I396" i="6"/>
  <c r="J396" i="6"/>
  <c r="L396" i="6"/>
  <c r="M396" i="6"/>
  <c r="O396" i="6"/>
  <c r="P396" i="6"/>
  <c r="S396" i="6"/>
  <c r="I397" i="6"/>
  <c r="J397" i="6"/>
  <c r="L397" i="6"/>
  <c r="M397" i="6"/>
  <c r="O397" i="6"/>
  <c r="P397" i="6"/>
  <c r="I398" i="6"/>
  <c r="J398" i="6"/>
  <c r="L398" i="6"/>
  <c r="M398" i="6"/>
  <c r="O398" i="6"/>
  <c r="P398" i="6"/>
  <c r="I399" i="6"/>
  <c r="J399" i="6"/>
  <c r="L399" i="6"/>
  <c r="M399" i="6"/>
  <c r="O399" i="6"/>
  <c r="P399" i="6"/>
  <c r="S397" i="6"/>
  <c r="I400" i="6"/>
  <c r="J400" i="6"/>
  <c r="L400" i="6"/>
  <c r="M400" i="6"/>
  <c r="O400" i="6"/>
  <c r="P400" i="6"/>
  <c r="S398" i="6"/>
  <c r="I401" i="6"/>
  <c r="J401" i="6"/>
  <c r="L401" i="6"/>
  <c r="M401" i="6"/>
  <c r="O401" i="6"/>
  <c r="P401" i="6"/>
  <c r="I402" i="6"/>
  <c r="J402" i="6"/>
  <c r="L402" i="6"/>
  <c r="M402" i="6"/>
  <c r="O402" i="6"/>
  <c r="P402" i="6"/>
  <c r="I403" i="6"/>
  <c r="J403" i="6"/>
  <c r="L403" i="6"/>
  <c r="M403" i="6"/>
  <c r="O403" i="6"/>
  <c r="P403" i="6"/>
  <c r="I404" i="6"/>
  <c r="J404" i="6"/>
  <c r="L404" i="6"/>
  <c r="M404" i="6"/>
  <c r="O404" i="6"/>
  <c r="P404" i="6"/>
  <c r="S403" i="6"/>
  <c r="I405" i="6"/>
  <c r="J405" i="6"/>
  <c r="L405" i="6"/>
  <c r="M405" i="6"/>
  <c r="O405" i="6"/>
  <c r="P405" i="6"/>
  <c r="S405" i="6"/>
  <c r="I406" i="6"/>
  <c r="J406" i="6"/>
  <c r="L406" i="6"/>
  <c r="R402" i="6"/>
  <c r="M406" i="6"/>
  <c r="O406" i="6"/>
  <c r="P406" i="6"/>
  <c r="I407" i="6"/>
  <c r="J407" i="6"/>
  <c r="L407" i="6"/>
  <c r="M407" i="6"/>
  <c r="O407" i="6"/>
  <c r="P407" i="6"/>
  <c r="I408" i="6"/>
  <c r="J408" i="6"/>
  <c r="L408" i="6"/>
  <c r="M408" i="6"/>
  <c r="O408" i="6"/>
  <c r="P408" i="6"/>
  <c r="S406" i="6"/>
  <c r="I409" i="6"/>
  <c r="J409" i="6"/>
  <c r="L409" i="6"/>
  <c r="M409" i="6"/>
  <c r="O409" i="6"/>
  <c r="P409" i="6"/>
  <c r="I410" i="6"/>
  <c r="J410" i="6"/>
  <c r="L410" i="6"/>
  <c r="M410" i="6"/>
  <c r="O410" i="6"/>
  <c r="P410" i="6"/>
  <c r="I411" i="6"/>
  <c r="J411" i="6"/>
  <c r="L411" i="6"/>
  <c r="M411" i="6"/>
  <c r="O411" i="6"/>
  <c r="P411" i="6"/>
  <c r="I412" i="6"/>
  <c r="J412" i="6"/>
  <c r="L412" i="6"/>
  <c r="M412" i="6"/>
  <c r="O412" i="6"/>
  <c r="P412" i="6"/>
  <c r="I413" i="6"/>
  <c r="J413" i="6"/>
  <c r="L413" i="6"/>
  <c r="M413" i="6"/>
  <c r="O413" i="6"/>
  <c r="P413" i="6"/>
  <c r="I414" i="6"/>
  <c r="J414" i="6"/>
  <c r="L414" i="6"/>
  <c r="M414" i="6"/>
  <c r="O414" i="6"/>
  <c r="P414" i="6"/>
  <c r="I415" i="6"/>
  <c r="J415" i="6"/>
  <c r="L415" i="6"/>
  <c r="M415" i="6"/>
  <c r="O415" i="6"/>
  <c r="P415" i="6"/>
  <c r="I416" i="6"/>
  <c r="J416" i="6"/>
  <c r="L416" i="6"/>
  <c r="M416" i="6"/>
  <c r="O416" i="6"/>
  <c r="P416" i="6"/>
  <c r="S414" i="6"/>
  <c r="I417" i="6"/>
  <c r="J417" i="6"/>
  <c r="L417" i="6"/>
  <c r="M417" i="6"/>
  <c r="O417" i="6"/>
  <c r="P417" i="6"/>
  <c r="I418" i="6"/>
  <c r="J418" i="6"/>
  <c r="L418" i="6"/>
  <c r="M418" i="6"/>
  <c r="O418" i="6"/>
  <c r="P418" i="6"/>
  <c r="R418" i="6"/>
  <c r="I419" i="6"/>
  <c r="J419" i="6"/>
  <c r="L419" i="6"/>
  <c r="M419" i="6"/>
  <c r="O419" i="6"/>
  <c r="P419" i="6"/>
  <c r="I420" i="6"/>
  <c r="J420" i="6"/>
  <c r="L420" i="6"/>
  <c r="M420" i="6"/>
  <c r="O420" i="6"/>
  <c r="P420" i="6"/>
  <c r="I421" i="6"/>
  <c r="J421" i="6"/>
  <c r="L421" i="6"/>
  <c r="M421" i="6"/>
  <c r="O421" i="6"/>
  <c r="R421" i="6"/>
  <c r="P421" i="6"/>
  <c r="S409" i="6"/>
  <c r="I422" i="6"/>
  <c r="J422" i="6"/>
  <c r="L422" i="6"/>
  <c r="M422" i="6"/>
  <c r="O422" i="6"/>
  <c r="P422" i="6"/>
  <c r="I423" i="6"/>
  <c r="J423" i="6"/>
  <c r="L423" i="6"/>
  <c r="M423" i="6"/>
  <c r="O423" i="6"/>
  <c r="P423" i="6"/>
  <c r="I424" i="6"/>
  <c r="J424" i="6"/>
  <c r="L424" i="6"/>
  <c r="M424" i="6"/>
  <c r="O424" i="6"/>
  <c r="P424" i="6"/>
  <c r="I425" i="6"/>
  <c r="J425" i="6"/>
  <c r="L425" i="6"/>
  <c r="M425" i="6"/>
  <c r="O425" i="6"/>
  <c r="P425" i="6"/>
  <c r="I426" i="6"/>
  <c r="J426" i="6"/>
  <c r="L426" i="6"/>
  <c r="M426" i="6"/>
  <c r="O426" i="6"/>
  <c r="P426" i="6"/>
  <c r="I427" i="6"/>
  <c r="J427" i="6"/>
  <c r="L427" i="6"/>
  <c r="M427" i="6"/>
  <c r="O427" i="6"/>
  <c r="P427" i="6"/>
  <c r="I428" i="6"/>
  <c r="J428" i="6"/>
  <c r="L428" i="6"/>
  <c r="M428" i="6"/>
  <c r="O428" i="6"/>
  <c r="P428" i="6"/>
  <c r="I429" i="6"/>
  <c r="J429" i="6"/>
  <c r="L429" i="6"/>
  <c r="M429" i="6"/>
  <c r="O429" i="6"/>
  <c r="P429" i="6"/>
  <c r="I430" i="6"/>
  <c r="J430" i="6"/>
  <c r="L430" i="6"/>
  <c r="M430" i="6"/>
  <c r="O430" i="6"/>
  <c r="P430" i="6"/>
  <c r="I431" i="6"/>
  <c r="J431" i="6"/>
  <c r="L431" i="6"/>
  <c r="M431" i="6"/>
  <c r="O431" i="6"/>
  <c r="P431" i="6"/>
  <c r="I432" i="6"/>
  <c r="J432" i="6"/>
  <c r="L432" i="6"/>
  <c r="M432" i="6"/>
  <c r="O432" i="6"/>
  <c r="P432" i="6"/>
  <c r="I433" i="6"/>
  <c r="J433" i="6"/>
  <c r="L433" i="6"/>
  <c r="M433" i="6"/>
  <c r="O433" i="6"/>
  <c r="P433" i="6"/>
  <c r="I434" i="6"/>
  <c r="J434" i="6"/>
  <c r="L434" i="6"/>
  <c r="M434" i="6"/>
  <c r="O434" i="6"/>
  <c r="P434" i="6"/>
  <c r="I435" i="6"/>
  <c r="J435" i="6"/>
  <c r="L435" i="6"/>
  <c r="M435" i="6"/>
  <c r="O435" i="6"/>
  <c r="P435" i="6"/>
  <c r="I436" i="6"/>
  <c r="J436" i="6"/>
  <c r="L436" i="6"/>
  <c r="M436" i="6"/>
  <c r="O436" i="6"/>
  <c r="R434" i="6"/>
  <c r="P436" i="6"/>
  <c r="I437" i="6"/>
  <c r="J437" i="6"/>
  <c r="L437" i="6"/>
  <c r="M437" i="6"/>
  <c r="O437" i="6"/>
  <c r="P437" i="6"/>
  <c r="I438" i="6"/>
  <c r="J438" i="6"/>
  <c r="L438" i="6"/>
  <c r="M438" i="6"/>
  <c r="O438" i="6"/>
  <c r="P438" i="6"/>
  <c r="I439" i="6"/>
  <c r="J439" i="6"/>
  <c r="L439" i="6"/>
  <c r="M439" i="6"/>
  <c r="O439" i="6"/>
  <c r="P439" i="6"/>
  <c r="I440" i="6"/>
  <c r="J440" i="6"/>
  <c r="L440" i="6"/>
  <c r="M440" i="6"/>
  <c r="O440" i="6"/>
  <c r="P440" i="6"/>
  <c r="I441" i="6"/>
  <c r="J441" i="6"/>
  <c r="L441" i="6"/>
  <c r="M441" i="6"/>
  <c r="O441" i="6"/>
  <c r="P441" i="6"/>
  <c r="I442" i="6"/>
  <c r="J442" i="6"/>
  <c r="L442" i="6"/>
  <c r="M442" i="6"/>
  <c r="O442" i="6"/>
  <c r="P442" i="6"/>
  <c r="I443" i="6"/>
  <c r="J443" i="6"/>
  <c r="L443" i="6"/>
  <c r="M443" i="6"/>
  <c r="O443" i="6"/>
  <c r="P443" i="6"/>
  <c r="S441" i="6"/>
  <c r="I444" i="6"/>
  <c r="J444" i="6"/>
  <c r="L444" i="6"/>
  <c r="M444" i="6"/>
  <c r="O444" i="6"/>
  <c r="R440" i="6"/>
  <c r="P444" i="6"/>
  <c r="I445" i="6"/>
  <c r="J445" i="6"/>
  <c r="L445" i="6"/>
  <c r="M445" i="6"/>
  <c r="O445" i="6"/>
  <c r="P445" i="6"/>
  <c r="I446" i="6"/>
  <c r="J446" i="6"/>
  <c r="L446" i="6"/>
  <c r="R439" i="6"/>
  <c r="M446" i="6"/>
  <c r="O446" i="6"/>
  <c r="P446" i="6"/>
  <c r="I447" i="6"/>
  <c r="J447" i="6"/>
  <c r="L447" i="6"/>
  <c r="M447" i="6"/>
  <c r="O447" i="6"/>
  <c r="P447" i="6"/>
  <c r="I448" i="6"/>
  <c r="J448" i="6"/>
  <c r="L448" i="6"/>
  <c r="M448" i="6"/>
  <c r="O448" i="6"/>
  <c r="P448" i="6"/>
  <c r="S443" i="6"/>
  <c r="I449" i="6"/>
  <c r="J449" i="6"/>
  <c r="L449" i="6"/>
  <c r="M449" i="6"/>
  <c r="O449" i="6"/>
  <c r="R447" i="6"/>
  <c r="P449" i="6"/>
  <c r="I450" i="6"/>
  <c r="J450" i="6"/>
  <c r="L450" i="6"/>
  <c r="M450" i="6"/>
  <c r="O450" i="6"/>
  <c r="P450" i="6"/>
  <c r="I451" i="6"/>
  <c r="J451" i="6"/>
  <c r="L451" i="6"/>
  <c r="M451" i="6"/>
  <c r="O451" i="6"/>
  <c r="P451" i="6"/>
  <c r="S450" i="6"/>
  <c r="I452" i="6"/>
  <c r="J452" i="6"/>
  <c r="L452" i="6"/>
  <c r="M452" i="6"/>
  <c r="O452" i="6"/>
  <c r="P452" i="6"/>
  <c r="S442" i="6"/>
  <c r="I453" i="6"/>
  <c r="J453" i="6"/>
  <c r="L453" i="6"/>
  <c r="M453" i="6"/>
  <c r="O453" i="6"/>
  <c r="P453" i="6"/>
  <c r="I454" i="6"/>
  <c r="J454" i="6"/>
  <c r="L454" i="6"/>
  <c r="M454" i="6"/>
  <c r="O454" i="6"/>
  <c r="R450" i="6"/>
  <c r="P454" i="6"/>
  <c r="I455" i="6"/>
  <c r="J455" i="6"/>
  <c r="L455" i="6"/>
  <c r="M455" i="6"/>
  <c r="O455" i="6"/>
  <c r="P455" i="6"/>
  <c r="S446" i="6"/>
  <c r="I456" i="6"/>
  <c r="J456" i="6"/>
  <c r="L456" i="6"/>
  <c r="M456" i="6"/>
  <c r="O456" i="6"/>
  <c r="R454" i="6"/>
  <c r="P456" i="6"/>
  <c r="I457" i="6"/>
  <c r="J457" i="6"/>
  <c r="L457" i="6"/>
  <c r="M457" i="6"/>
  <c r="O457" i="6"/>
  <c r="P457" i="6"/>
  <c r="I458" i="6"/>
  <c r="J458" i="6"/>
  <c r="L458" i="6"/>
  <c r="M458" i="6"/>
  <c r="O458" i="6"/>
  <c r="P458" i="6"/>
  <c r="I459" i="6"/>
  <c r="J459" i="6"/>
  <c r="L459" i="6"/>
  <c r="M459" i="6"/>
  <c r="O459" i="6"/>
  <c r="R457" i="6"/>
  <c r="P459" i="6"/>
  <c r="S459" i="6"/>
  <c r="I460" i="6"/>
  <c r="J460" i="6"/>
  <c r="L460" i="6"/>
  <c r="M460" i="6"/>
  <c r="O460" i="6"/>
  <c r="R458" i="6"/>
  <c r="P460" i="6"/>
  <c r="S460" i="6"/>
  <c r="I461" i="6"/>
  <c r="J461" i="6"/>
  <c r="L461" i="6"/>
  <c r="M461" i="6"/>
  <c r="O461" i="6"/>
  <c r="P461" i="6"/>
  <c r="I462" i="6"/>
  <c r="J462" i="6"/>
  <c r="L462" i="6"/>
  <c r="M462" i="6"/>
  <c r="O462" i="6"/>
  <c r="P462" i="6"/>
  <c r="S461" i="6"/>
  <c r="I463" i="6"/>
  <c r="J463" i="6"/>
  <c r="L463" i="6"/>
  <c r="M463" i="6"/>
  <c r="O463" i="6"/>
  <c r="R461" i="6"/>
  <c r="P463" i="6"/>
  <c r="I464" i="6"/>
  <c r="J464" i="6"/>
  <c r="L464" i="6"/>
  <c r="M464" i="6"/>
  <c r="O464" i="6"/>
  <c r="P464" i="6"/>
  <c r="S463" i="6"/>
  <c r="I465" i="6"/>
  <c r="J465" i="6"/>
  <c r="L465" i="6"/>
  <c r="M465" i="6"/>
  <c r="O465" i="6"/>
  <c r="R463" i="6"/>
  <c r="P465" i="6"/>
  <c r="I466" i="6"/>
  <c r="J466" i="6"/>
  <c r="L466" i="6"/>
  <c r="M466" i="6"/>
  <c r="O466" i="6"/>
  <c r="P466" i="6"/>
  <c r="S464" i="6"/>
  <c r="I467" i="6"/>
  <c r="J467" i="6"/>
  <c r="L467" i="6"/>
  <c r="M467" i="6"/>
  <c r="O467" i="6"/>
  <c r="P467" i="6"/>
  <c r="S465" i="6"/>
  <c r="I468" i="6"/>
  <c r="J468" i="6"/>
  <c r="L468" i="6"/>
  <c r="M468" i="6"/>
  <c r="O468" i="6"/>
  <c r="R468" i="6"/>
  <c r="P468" i="6"/>
  <c r="I469" i="6"/>
  <c r="J469" i="6"/>
  <c r="L469" i="6"/>
  <c r="M469" i="6"/>
  <c r="O469" i="6"/>
  <c r="R469" i="6"/>
  <c r="P469" i="6"/>
  <c r="I470" i="6"/>
  <c r="J470" i="6"/>
  <c r="L470" i="6"/>
  <c r="M470" i="6"/>
  <c r="O470" i="6"/>
  <c r="P470" i="6"/>
  <c r="S468" i="6"/>
  <c r="I471" i="6"/>
  <c r="J471" i="6"/>
  <c r="L471" i="6"/>
  <c r="M471" i="6"/>
  <c r="O471" i="6"/>
  <c r="R470" i="6"/>
  <c r="P471" i="6"/>
  <c r="I472" i="6"/>
  <c r="J472" i="6"/>
  <c r="L472" i="6"/>
  <c r="M472" i="6"/>
  <c r="O472" i="6"/>
  <c r="P472" i="6"/>
  <c r="S470" i="6"/>
  <c r="I473" i="6"/>
  <c r="J473" i="6"/>
  <c r="L473" i="6"/>
  <c r="M473" i="6"/>
  <c r="O473" i="6"/>
  <c r="R472" i="6"/>
  <c r="P473" i="6"/>
  <c r="I474" i="6"/>
  <c r="J474" i="6"/>
  <c r="L474" i="6"/>
  <c r="M474" i="6"/>
  <c r="O474" i="6"/>
  <c r="P474" i="6"/>
  <c r="I475" i="6"/>
  <c r="J475" i="6"/>
  <c r="L475" i="6"/>
  <c r="M475" i="6"/>
  <c r="O475" i="6"/>
  <c r="R473" i="6"/>
  <c r="P475" i="6"/>
  <c r="S475" i="6"/>
  <c r="I476" i="6"/>
  <c r="J476" i="6"/>
  <c r="L476" i="6"/>
  <c r="M476" i="6"/>
  <c r="O476" i="6"/>
  <c r="R474" i="6"/>
  <c r="P476" i="6"/>
  <c r="S476" i="6"/>
  <c r="I477" i="6"/>
  <c r="J477" i="6"/>
  <c r="L477" i="6"/>
  <c r="M477" i="6"/>
  <c r="O477" i="6"/>
  <c r="P477" i="6"/>
  <c r="I478" i="6"/>
  <c r="J478" i="6"/>
  <c r="L478" i="6"/>
  <c r="M478" i="6"/>
  <c r="O478" i="6"/>
  <c r="P478" i="6"/>
  <c r="S477" i="6"/>
  <c r="I479" i="6"/>
  <c r="J479" i="6"/>
  <c r="L479" i="6"/>
  <c r="M479" i="6"/>
  <c r="O479" i="6"/>
  <c r="R477" i="6"/>
  <c r="P479" i="6"/>
  <c r="I480" i="6"/>
  <c r="J480" i="6"/>
  <c r="L480" i="6"/>
  <c r="M480" i="6"/>
  <c r="O480" i="6"/>
  <c r="P480" i="6"/>
  <c r="S479" i="6"/>
  <c r="I481" i="6"/>
  <c r="J481" i="6"/>
  <c r="L481" i="6"/>
  <c r="M481" i="6"/>
  <c r="O481" i="6"/>
  <c r="R479" i="6"/>
  <c r="P481" i="6"/>
  <c r="I482" i="6"/>
  <c r="J482" i="6"/>
  <c r="L482" i="6"/>
  <c r="M482" i="6"/>
  <c r="O482" i="6"/>
  <c r="P482" i="6"/>
  <c r="S480" i="6"/>
  <c r="I483" i="6"/>
  <c r="J483" i="6"/>
  <c r="L483" i="6"/>
  <c r="M483" i="6"/>
  <c r="O483" i="6"/>
  <c r="P483" i="6"/>
  <c r="S481" i="6"/>
  <c r="I484" i="6"/>
  <c r="J484" i="6"/>
  <c r="L484" i="6"/>
  <c r="M484" i="6"/>
  <c r="O484" i="6"/>
  <c r="R484" i="6"/>
  <c r="P484" i="6"/>
  <c r="I485" i="6"/>
  <c r="J485" i="6"/>
  <c r="L485" i="6"/>
  <c r="M485" i="6"/>
  <c r="O485" i="6"/>
  <c r="R485" i="6"/>
  <c r="P485" i="6"/>
  <c r="I486" i="6"/>
  <c r="J486" i="6"/>
  <c r="L486" i="6"/>
  <c r="M486" i="6"/>
  <c r="O486" i="6"/>
  <c r="P486" i="6"/>
  <c r="S484" i="6"/>
  <c r="I487" i="6"/>
  <c r="J487" i="6"/>
  <c r="L487" i="6"/>
  <c r="M487" i="6"/>
  <c r="O487" i="6"/>
  <c r="R486" i="6"/>
  <c r="P487" i="6"/>
  <c r="I488" i="6"/>
  <c r="J488" i="6"/>
  <c r="L488" i="6"/>
  <c r="M488" i="6"/>
  <c r="O488" i="6"/>
  <c r="P488" i="6"/>
  <c r="S486" i="6"/>
  <c r="I489" i="6"/>
  <c r="J489" i="6"/>
  <c r="L489" i="6"/>
  <c r="M489" i="6"/>
  <c r="O489" i="6"/>
  <c r="R488" i="6"/>
  <c r="P489" i="6"/>
  <c r="I490" i="6"/>
  <c r="J490" i="6"/>
  <c r="L490" i="6"/>
  <c r="M490" i="6"/>
  <c r="O490" i="6"/>
  <c r="P490" i="6"/>
  <c r="I491" i="6"/>
  <c r="J491" i="6"/>
  <c r="L491" i="6"/>
  <c r="M491" i="6"/>
  <c r="O491" i="6"/>
  <c r="R491" i="6"/>
  <c r="U491" i="6"/>
  <c r="P491" i="6"/>
  <c r="S491" i="6"/>
  <c r="I492" i="6"/>
  <c r="J492" i="6"/>
  <c r="L492" i="6"/>
  <c r="M492" i="6"/>
  <c r="O492" i="6"/>
  <c r="R490" i="6"/>
  <c r="P492" i="6"/>
  <c r="S492" i="6"/>
  <c r="I493" i="6"/>
  <c r="J493" i="6"/>
  <c r="L493" i="6"/>
  <c r="M493" i="6"/>
  <c r="O493" i="6"/>
  <c r="P493" i="6"/>
  <c r="R493" i="6"/>
  <c r="I494" i="6"/>
  <c r="J494" i="6"/>
  <c r="L494" i="6"/>
  <c r="M494" i="6"/>
  <c r="O494" i="6"/>
  <c r="P494" i="6"/>
  <c r="S493" i="6"/>
  <c r="I495" i="6"/>
  <c r="J495" i="6"/>
  <c r="L495" i="6"/>
  <c r="M495" i="6"/>
  <c r="O495" i="6"/>
  <c r="R494" i="6"/>
  <c r="P495" i="6"/>
  <c r="I496" i="6"/>
  <c r="J496" i="6"/>
  <c r="L496" i="6"/>
  <c r="M496" i="6"/>
  <c r="O496" i="6"/>
  <c r="P496" i="6"/>
  <c r="S495" i="6"/>
  <c r="I497" i="6"/>
  <c r="J497" i="6"/>
  <c r="L497" i="6"/>
  <c r="M497" i="6"/>
  <c r="O497" i="6"/>
  <c r="R495" i="6"/>
  <c r="P497" i="6"/>
  <c r="I498" i="6"/>
  <c r="J498" i="6"/>
  <c r="L498" i="6"/>
  <c r="M498" i="6"/>
  <c r="O498" i="6"/>
  <c r="P498" i="6"/>
  <c r="S498" i="6"/>
  <c r="I499" i="6"/>
  <c r="J499" i="6"/>
  <c r="L499" i="6"/>
  <c r="M499" i="6"/>
  <c r="O499" i="6"/>
  <c r="P499" i="6"/>
  <c r="S497" i="6"/>
  <c r="I500" i="6"/>
  <c r="J500" i="6"/>
  <c r="L500" i="6"/>
  <c r="M500" i="6"/>
  <c r="O500" i="6"/>
  <c r="R500" i="6"/>
  <c r="U500" i="6"/>
  <c r="P500" i="6"/>
  <c r="I501" i="6"/>
  <c r="J501" i="6"/>
  <c r="L501" i="6"/>
  <c r="M501" i="6"/>
  <c r="O501" i="6"/>
  <c r="R501" i="6"/>
  <c r="P501" i="6"/>
  <c r="I502" i="6"/>
  <c r="J502" i="6"/>
  <c r="L502" i="6"/>
  <c r="M502" i="6"/>
  <c r="O502" i="6"/>
  <c r="P502" i="6"/>
  <c r="S500" i="6"/>
  <c r="I503" i="6"/>
  <c r="J503" i="6"/>
  <c r="L503" i="6"/>
  <c r="M503" i="6"/>
  <c r="O503" i="6"/>
  <c r="R502" i="6"/>
  <c r="U502" i="6"/>
  <c r="P503" i="6"/>
  <c r="I504" i="6"/>
  <c r="J504" i="6"/>
  <c r="L504" i="6"/>
  <c r="M504" i="6"/>
  <c r="O504" i="6"/>
  <c r="P504" i="6"/>
  <c r="S502" i="6"/>
  <c r="I505" i="6"/>
  <c r="J505" i="6"/>
  <c r="L505" i="6"/>
  <c r="M505" i="6"/>
  <c r="O505" i="6"/>
  <c r="R504" i="6"/>
  <c r="P505" i="6"/>
  <c r="I506" i="6"/>
  <c r="J506" i="6"/>
  <c r="L506" i="6"/>
  <c r="M506" i="6"/>
  <c r="O506" i="6"/>
  <c r="P506" i="6"/>
  <c r="I507" i="6"/>
  <c r="J507" i="6"/>
  <c r="L507" i="6"/>
  <c r="M507" i="6"/>
  <c r="O507" i="6"/>
  <c r="R507" i="6"/>
  <c r="U507" i="6"/>
  <c r="P507" i="6"/>
  <c r="S507" i="6"/>
  <c r="I508" i="6"/>
  <c r="J508" i="6"/>
  <c r="L508" i="6"/>
  <c r="M508" i="6"/>
  <c r="O508" i="6"/>
  <c r="R506" i="6"/>
  <c r="P508" i="6"/>
  <c r="S508" i="6"/>
  <c r="I509" i="6"/>
  <c r="J509" i="6"/>
  <c r="L509" i="6"/>
  <c r="M509" i="6"/>
  <c r="O509" i="6"/>
  <c r="P509" i="6"/>
  <c r="I510" i="6"/>
  <c r="J510" i="6"/>
  <c r="L510" i="6"/>
  <c r="M510" i="6"/>
  <c r="O510" i="6"/>
  <c r="P510" i="6"/>
  <c r="S509" i="6"/>
  <c r="I511" i="6"/>
  <c r="J511" i="6"/>
  <c r="L511" i="6"/>
  <c r="M511" i="6"/>
  <c r="O511" i="6"/>
  <c r="R509" i="6"/>
  <c r="U509" i="6"/>
  <c r="P511" i="6"/>
  <c r="I512" i="6"/>
  <c r="J512" i="6"/>
  <c r="L512" i="6"/>
  <c r="M512" i="6"/>
  <c r="O512" i="6"/>
  <c r="P512" i="6"/>
  <c r="S511" i="6"/>
  <c r="I513" i="6"/>
  <c r="J513" i="6"/>
  <c r="L513" i="6"/>
  <c r="M513" i="6"/>
  <c r="O513" i="6"/>
  <c r="R511" i="6"/>
  <c r="P513" i="6"/>
  <c r="I514" i="6"/>
  <c r="J514" i="6"/>
  <c r="L514" i="6"/>
  <c r="M514" i="6"/>
  <c r="O514" i="6"/>
  <c r="P514" i="6"/>
  <c r="S514" i="6"/>
  <c r="I515" i="6"/>
  <c r="J515" i="6"/>
  <c r="L515" i="6"/>
  <c r="M515" i="6"/>
  <c r="O515" i="6"/>
  <c r="P515" i="6"/>
  <c r="S513" i="6"/>
  <c r="I516" i="6"/>
  <c r="J516" i="6"/>
  <c r="L516" i="6"/>
  <c r="M516" i="6"/>
  <c r="O516" i="6"/>
  <c r="R516" i="6"/>
  <c r="U516" i="6"/>
  <c r="P516" i="6"/>
  <c r="I517" i="6"/>
  <c r="J517" i="6"/>
  <c r="L517" i="6"/>
  <c r="M517" i="6"/>
  <c r="O517" i="6"/>
  <c r="R517" i="6"/>
  <c r="P517" i="6"/>
  <c r="I518" i="6"/>
  <c r="J518" i="6"/>
  <c r="L518" i="6"/>
  <c r="M518" i="6"/>
  <c r="O518" i="6"/>
  <c r="P518" i="6"/>
  <c r="S516" i="6"/>
  <c r="I519" i="6"/>
  <c r="J519" i="6"/>
  <c r="L519" i="6"/>
  <c r="M519" i="6"/>
  <c r="O519" i="6"/>
  <c r="R518" i="6"/>
  <c r="U518" i="6"/>
  <c r="P519" i="6"/>
  <c r="I520" i="6"/>
  <c r="J520" i="6"/>
  <c r="L520" i="6"/>
  <c r="M520" i="6"/>
  <c r="O520" i="6"/>
  <c r="P520" i="6"/>
  <c r="S518" i="6"/>
  <c r="I521" i="6"/>
  <c r="J521" i="6"/>
  <c r="L521" i="6"/>
  <c r="M521" i="6"/>
  <c r="O521" i="6"/>
  <c r="R520" i="6"/>
  <c r="P521" i="6"/>
  <c r="I522" i="6"/>
  <c r="J522" i="6"/>
  <c r="L522" i="6"/>
  <c r="M522" i="6"/>
  <c r="O522" i="6"/>
  <c r="P522" i="6"/>
  <c r="I523" i="6"/>
  <c r="J523" i="6"/>
  <c r="L523" i="6"/>
  <c r="M523" i="6"/>
  <c r="O523" i="6"/>
  <c r="R522" i="6"/>
  <c r="P523" i="6"/>
  <c r="S523" i="6"/>
  <c r="I524" i="6"/>
  <c r="J524" i="6"/>
  <c r="L524" i="6"/>
  <c r="M524" i="6"/>
  <c r="O524" i="6"/>
  <c r="R524" i="6"/>
  <c r="P524" i="6"/>
  <c r="I525" i="6"/>
  <c r="J525" i="6"/>
  <c r="L525" i="6"/>
  <c r="M525" i="6"/>
  <c r="O525" i="6"/>
  <c r="P525" i="6"/>
  <c r="I526" i="6"/>
  <c r="J526" i="6"/>
  <c r="L526" i="6"/>
  <c r="M526" i="6"/>
  <c r="O526" i="6"/>
  <c r="P526" i="6"/>
  <c r="S525" i="6"/>
  <c r="I527" i="6"/>
  <c r="J527" i="6"/>
  <c r="L527" i="6"/>
  <c r="M527" i="6"/>
  <c r="O527" i="6"/>
  <c r="R525" i="6"/>
  <c r="U525" i="6"/>
  <c r="P527" i="6"/>
  <c r="I528" i="6"/>
  <c r="J528" i="6"/>
  <c r="L528" i="6"/>
  <c r="M528" i="6"/>
  <c r="O528" i="6"/>
  <c r="P528" i="6"/>
  <c r="S527" i="6"/>
  <c r="I529" i="6"/>
  <c r="J529" i="6"/>
  <c r="L529" i="6"/>
  <c r="M529" i="6"/>
  <c r="O529" i="6"/>
  <c r="R527" i="6"/>
  <c r="P529" i="6"/>
  <c r="I530" i="6"/>
  <c r="J530" i="6"/>
  <c r="L530" i="6"/>
  <c r="M530" i="6"/>
  <c r="O530" i="6"/>
  <c r="P530" i="6"/>
  <c r="S529" i="6"/>
  <c r="I531" i="6"/>
  <c r="J531" i="6"/>
  <c r="L531" i="6"/>
  <c r="R530" i="6"/>
  <c r="M531" i="6"/>
  <c r="O531" i="6"/>
  <c r="P531" i="6"/>
  <c r="S531" i="6"/>
  <c r="R531" i="6"/>
  <c r="U531" i="6"/>
  <c r="I2" i="5"/>
  <c r="J2" i="5"/>
  <c r="I3" i="5"/>
  <c r="J3" i="5"/>
  <c r="I4" i="5"/>
  <c r="J4" i="5"/>
  <c r="I5" i="5"/>
  <c r="J5" i="5"/>
  <c r="I6" i="5"/>
  <c r="J6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I185" i="5"/>
  <c r="J185" i="5"/>
  <c r="I186" i="5"/>
  <c r="J186" i="5"/>
  <c r="I187" i="5"/>
  <c r="J187" i="5"/>
  <c r="I188" i="5"/>
  <c r="J188" i="5"/>
  <c r="I189" i="5"/>
  <c r="J189" i="5"/>
  <c r="I190" i="5"/>
  <c r="J190" i="5"/>
  <c r="I191" i="5"/>
  <c r="J191" i="5"/>
  <c r="I192" i="5"/>
  <c r="J192" i="5"/>
  <c r="I193" i="5"/>
  <c r="J193" i="5"/>
  <c r="I194" i="5"/>
  <c r="J194" i="5"/>
  <c r="I195" i="5"/>
  <c r="J195" i="5"/>
  <c r="I196" i="5"/>
  <c r="J196" i="5"/>
  <c r="I197" i="5"/>
  <c r="J197" i="5"/>
  <c r="I198" i="5"/>
  <c r="J198" i="5"/>
  <c r="I199" i="5"/>
  <c r="J199" i="5"/>
  <c r="I200" i="5"/>
  <c r="J200" i="5"/>
  <c r="I201" i="5"/>
  <c r="J201" i="5"/>
  <c r="I202" i="5"/>
  <c r="J202" i="5"/>
  <c r="I203" i="5"/>
  <c r="J203" i="5"/>
  <c r="I204" i="5"/>
  <c r="J204" i="5"/>
  <c r="I205" i="5"/>
  <c r="J205" i="5"/>
  <c r="I206" i="5"/>
  <c r="J206" i="5"/>
  <c r="I207" i="5"/>
  <c r="J207" i="5"/>
  <c r="I208" i="5"/>
  <c r="J208" i="5"/>
  <c r="I209" i="5"/>
  <c r="J209" i="5"/>
  <c r="I210" i="5"/>
  <c r="J210" i="5"/>
  <c r="I211" i="5"/>
  <c r="J211" i="5"/>
  <c r="I212" i="5"/>
  <c r="J212" i="5"/>
  <c r="I213" i="5"/>
  <c r="J213" i="5"/>
  <c r="I214" i="5"/>
  <c r="J214" i="5"/>
  <c r="I215" i="5"/>
  <c r="J215" i="5"/>
  <c r="I216" i="5"/>
  <c r="J216" i="5"/>
  <c r="I217" i="5"/>
  <c r="J217" i="5"/>
  <c r="I218" i="5"/>
  <c r="J218" i="5"/>
  <c r="I219" i="5"/>
  <c r="J219" i="5"/>
  <c r="I220" i="5"/>
  <c r="J220" i="5"/>
  <c r="I221" i="5"/>
  <c r="J221" i="5"/>
  <c r="I222" i="5"/>
  <c r="J222" i="5"/>
  <c r="I223" i="5"/>
  <c r="J223" i="5"/>
  <c r="I224" i="5"/>
  <c r="J224" i="5"/>
  <c r="I225" i="5"/>
  <c r="J225" i="5"/>
  <c r="I226" i="5"/>
  <c r="J226" i="5"/>
  <c r="I227" i="5"/>
  <c r="J227" i="5"/>
  <c r="I228" i="5"/>
  <c r="J228" i="5"/>
  <c r="I229" i="5"/>
  <c r="J229" i="5"/>
  <c r="I230" i="5"/>
  <c r="J230" i="5"/>
  <c r="I231" i="5"/>
  <c r="J231" i="5"/>
  <c r="I232" i="5"/>
  <c r="J232" i="5"/>
  <c r="I233" i="5"/>
  <c r="J233" i="5"/>
  <c r="I234" i="5"/>
  <c r="J234" i="5"/>
  <c r="I235" i="5"/>
  <c r="J235" i="5"/>
  <c r="I236" i="5"/>
  <c r="J236" i="5"/>
  <c r="I237" i="5"/>
  <c r="J237" i="5"/>
  <c r="I238" i="5"/>
  <c r="J238" i="5"/>
  <c r="I239" i="5"/>
  <c r="J239" i="5"/>
  <c r="I240" i="5"/>
  <c r="J240" i="5"/>
  <c r="I241" i="5"/>
  <c r="J241" i="5"/>
  <c r="I242" i="5"/>
  <c r="J242" i="5"/>
  <c r="I243" i="5"/>
  <c r="J243" i="5"/>
  <c r="I244" i="5"/>
  <c r="J244" i="5"/>
  <c r="I245" i="5"/>
  <c r="J245" i="5"/>
  <c r="I246" i="5"/>
  <c r="J246" i="5"/>
  <c r="I247" i="5"/>
  <c r="J247" i="5"/>
  <c r="I248" i="5"/>
  <c r="J248" i="5"/>
  <c r="I249" i="5"/>
  <c r="J249" i="5"/>
  <c r="I250" i="5"/>
  <c r="J250" i="5"/>
  <c r="I251" i="5"/>
  <c r="J251" i="5"/>
  <c r="I252" i="5"/>
  <c r="J252" i="5"/>
  <c r="I253" i="5"/>
  <c r="J253" i="5"/>
  <c r="I254" i="5"/>
  <c r="J254" i="5"/>
  <c r="I255" i="5"/>
  <c r="J255" i="5"/>
  <c r="I256" i="5"/>
  <c r="J256" i="5"/>
  <c r="I257" i="5"/>
  <c r="J257" i="5"/>
  <c r="I258" i="5"/>
  <c r="J258" i="5"/>
  <c r="I259" i="5"/>
  <c r="J259" i="5"/>
  <c r="I260" i="5"/>
  <c r="J260" i="5"/>
  <c r="I261" i="5"/>
  <c r="J261" i="5"/>
  <c r="I262" i="5"/>
  <c r="J262" i="5"/>
  <c r="I263" i="5"/>
  <c r="J263" i="5"/>
  <c r="I264" i="5"/>
  <c r="J264" i="5"/>
  <c r="I265" i="5"/>
  <c r="J265" i="5"/>
  <c r="I266" i="5"/>
  <c r="J266" i="5"/>
  <c r="I267" i="5"/>
  <c r="J267" i="5"/>
  <c r="I268" i="5"/>
  <c r="J268" i="5"/>
  <c r="I269" i="5"/>
  <c r="J269" i="5"/>
  <c r="I270" i="5"/>
  <c r="J270" i="5"/>
  <c r="I271" i="5"/>
  <c r="J271" i="5"/>
  <c r="I272" i="5"/>
  <c r="J272" i="5"/>
  <c r="I273" i="5"/>
  <c r="J273" i="5"/>
  <c r="I274" i="5"/>
  <c r="J274" i="5"/>
  <c r="I275" i="5"/>
  <c r="J275" i="5"/>
  <c r="I276" i="5"/>
  <c r="J276" i="5"/>
  <c r="I277" i="5"/>
  <c r="J277" i="5"/>
  <c r="I278" i="5"/>
  <c r="J278" i="5"/>
  <c r="I279" i="5"/>
  <c r="J279" i="5"/>
  <c r="I280" i="5"/>
  <c r="J280" i="5"/>
  <c r="I281" i="5"/>
  <c r="J281" i="5"/>
  <c r="I282" i="5"/>
  <c r="J282" i="5"/>
  <c r="I283" i="5"/>
  <c r="J283" i="5"/>
  <c r="I284" i="5"/>
  <c r="J284" i="5"/>
  <c r="I285" i="5"/>
  <c r="J285" i="5"/>
  <c r="I286" i="5"/>
  <c r="J286" i="5"/>
  <c r="I287" i="5"/>
  <c r="J287" i="5"/>
  <c r="I288" i="5"/>
  <c r="J288" i="5"/>
  <c r="I289" i="5"/>
  <c r="J289" i="5"/>
  <c r="I290" i="5"/>
  <c r="J290" i="5"/>
  <c r="I291" i="5"/>
  <c r="J291" i="5"/>
  <c r="I292" i="5"/>
  <c r="J292" i="5"/>
  <c r="I293" i="5"/>
  <c r="J293" i="5"/>
  <c r="I294" i="5"/>
  <c r="J294" i="5"/>
  <c r="I295" i="5"/>
  <c r="J295" i="5"/>
  <c r="I296" i="5"/>
  <c r="J296" i="5"/>
  <c r="I297" i="5"/>
  <c r="J297" i="5"/>
  <c r="I298" i="5"/>
  <c r="J298" i="5"/>
  <c r="I299" i="5"/>
  <c r="J299" i="5"/>
  <c r="I300" i="5"/>
  <c r="J300" i="5"/>
  <c r="I301" i="5"/>
  <c r="J301" i="5"/>
  <c r="I302" i="5"/>
  <c r="J302" i="5"/>
  <c r="I303" i="5"/>
  <c r="J303" i="5"/>
  <c r="I304" i="5"/>
  <c r="J304" i="5"/>
  <c r="I305" i="5"/>
  <c r="J305" i="5"/>
  <c r="I306" i="5"/>
  <c r="J306" i="5"/>
  <c r="I307" i="5"/>
  <c r="J307" i="5"/>
  <c r="I308" i="5"/>
  <c r="J308" i="5"/>
  <c r="I309" i="5"/>
  <c r="J309" i="5"/>
  <c r="I310" i="5"/>
  <c r="J310" i="5"/>
  <c r="I311" i="5"/>
  <c r="J311" i="5"/>
  <c r="I312" i="5"/>
  <c r="J312" i="5"/>
  <c r="I313" i="5"/>
  <c r="J313" i="5"/>
  <c r="I314" i="5"/>
  <c r="J314" i="5"/>
  <c r="I315" i="5"/>
  <c r="J315" i="5"/>
  <c r="I316" i="5"/>
  <c r="J316" i="5"/>
  <c r="I317" i="5"/>
  <c r="J317" i="5"/>
  <c r="I318" i="5"/>
  <c r="J318" i="5"/>
  <c r="I319" i="5"/>
  <c r="J319" i="5"/>
  <c r="I320" i="5"/>
  <c r="J320" i="5"/>
  <c r="I321" i="5"/>
  <c r="J321" i="5"/>
  <c r="I322" i="5"/>
  <c r="J322" i="5"/>
  <c r="I323" i="5"/>
  <c r="J323" i="5"/>
  <c r="I324" i="5"/>
  <c r="J324" i="5"/>
  <c r="I325" i="5"/>
  <c r="J325" i="5"/>
  <c r="I326" i="5"/>
  <c r="J326" i="5"/>
  <c r="I327" i="5"/>
  <c r="J327" i="5"/>
  <c r="I328" i="5"/>
  <c r="J328" i="5"/>
  <c r="I329" i="5"/>
  <c r="J329" i="5"/>
  <c r="I330" i="5"/>
  <c r="J330" i="5"/>
  <c r="I331" i="5"/>
  <c r="J331" i="5"/>
  <c r="I332" i="5"/>
  <c r="J332" i="5"/>
  <c r="I333" i="5"/>
  <c r="J333" i="5"/>
  <c r="I334" i="5"/>
  <c r="J334" i="5"/>
  <c r="I335" i="5"/>
  <c r="J335" i="5"/>
  <c r="I336" i="5"/>
  <c r="J336" i="5"/>
  <c r="I337" i="5"/>
  <c r="J337" i="5"/>
  <c r="I338" i="5"/>
  <c r="J338" i="5"/>
  <c r="I339" i="5"/>
  <c r="J339" i="5"/>
  <c r="I340" i="5"/>
  <c r="J340" i="5"/>
  <c r="I341" i="5"/>
  <c r="J341" i="5"/>
  <c r="I342" i="5"/>
  <c r="J342" i="5"/>
  <c r="I343" i="5"/>
  <c r="J343" i="5"/>
  <c r="I344" i="5"/>
  <c r="J344" i="5"/>
  <c r="I345" i="5"/>
  <c r="J345" i="5"/>
  <c r="I346" i="5"/>
  <c r="J346" i="5"/>
  <c r="I347" i="5"/>
  <c r="J347" i="5"/>
  <c r="I348" i="5"/>
  <c r="J348" i="5"/>
  <c r="I349" i="5"/>
  <c r="J349" i="5"/>
  <c r="I350" i="5"/>
  <c r="J350" i="5"/>
  <c r="I351" i="5"/>
  <c r="J351" i="5"/>
  <c r="I352" i="5"/>
  <c r="J352" i="5"/>
  <c r="I353" i="5"/>
  <c r="J353" i="5"/>
  <c r="I354" i="5"/>
  <c r="J354" i="5"/>
  <c r="I355" i="5"/>
  <c r="J355" i="5"/>
  <c r="I356" i="5"/>
  <c r="J356" i="5"/>
  <c r="I357" i="5"/>
  <c r="J357" i="5"/>
  <c r="I358" i="5"/>
  <c r="J358" i="5"/>
  <c r="I359" i="5"/>
  <c r="J359" i="5"/>
  <c r="I360" i="5"/>
  <c r="J360" i="5"/>
  <c r="I361" i="5"/>
  <c r="J361" i="5"/>
  <c r="I362" i="5"/>
  <c r="J362" i="5"/>
  <c r="I363" i="5"/>
  <c r="J363" i="5"/>
  <c r="I364" i="5"/>
  <c r="J364" i="5"/>
  <c r="I365" i="5"/>
  <c r="J365" i="5"/>
  <c r="I366" i="5"/>
  <c r="J366" i="5"/>
  <c r="I367" i="5"/>
  <c r="J367" i="5"/>
  <c r="I368" i="5"/>
  <c r="J368" i="5"/>
  <c r="I369" i="5"/>
  <c r="J369" i="5"/>
  <c r="I370" i="5"/>
  <c r="J370" i="5"/>
  <c r="I371" i="5"/>
  <c r="J371" i="5"/>
  <c r="I372" i="5"/>
  <c r="J372" i="5"/>
  <c r="I373" i="5"/>
  <c r="J373" i="5"/>
  <c r="I374" i="5"/>
  <c r="J374" i="5"/>
  <c r="I375" i="5"/>
  <c r="J375" i="5"/>
  <c r="I376" i="5"/>
  <c r="J376" i="5"/>
  <c r="I377" i="5"/>
  <c r="J377" i="5"/>
  <c r="I378" i="5"/>
  <c r="J378" i="5"/>
  <c r="I379" i="5"/>
  <c r="J379" i="5"/>
  <c r="I380" i="5"/>
  <c r="J380" i="5"/>
  <c r="I381" i="5"/>
  <c r="J381" i="5"/>
  <c r="I382" i="5"/>
  <c r="J382" i="5"/>
  <c r="I383" i="5"/>
  <c r="J383" i="5"/>
  <c r="I384" i="5"/>
  <c r="J384" i="5"/>
  <c r="I385" i="5"/>
  <c r="J385" i="5"/>
  <c r="I386" i="5"/>
  <c r="J386" i="5"/>
  <c r="I387" i="5"/>
  <c r="J387" i="5"/>
  <c r="I388" i="5"/>
  <c r="J388" i="5"/>
  <c r="I389" i="5"/>
  <c r="J389" i="5"/>
  <c r="I390" i="5"/>
  <c r="J390" i="5"/>
  <c r="I391" i="5"/>
  <c r="J391" i="5"/>
  <c r="I392" i="5"/>
  <c r="J392" i="5"/>
  <c r="I393" i="5"/>
  <c r="J393" i="5"/>
  <c r="I394" i="5"/>
  <c r="J394" i="5"/>
  <c r="I395" i="5"/>
  <c r="J395" i="5"/>
  <c r="I396" i="5"/>
  <c r="J396" i="5"/>
  <c r="I397" i="5"/>
  <c r="J397" i="5"/>
  <c r="I398" i="5"/>
  <c r="J398" i="5"/>
  <c r="I399" i="5"/>
  <c r="J399" i="5"/>
  <c r="I400" i="5"/>
  <c r="J400" i="5"/>
  <c r="I401" i="5"/>
  <c r="J401" i="5"/>
  <c r="I402" i="5"/>
  <c r="J402" i="5"/>
  <c r="I403" i="5"/>
  <c r="J403" i="5"/>
  <c r="I404" i="5"/>
  <c r="J404" i="5"/>
  <c r="I405" i="5"/>
  <c r="J405" i="5"/>
  <c r="I406" i="5"/>
  <c r="J406" i="5"/>
  <c r="I407" i="5"/>
  <c r="J407" i="5"/>
  <c r="I408" i="5"/>
  <c r="J408" i="5"/>
  <c r="I409" i="5"/>
  <c r="J409" i="5"/>
  <c r="I410" i="5"/>
  <c r="J410" i="5"/>
  <c r="I411" i="5"/>
  <c r="J411" i="5"/>
  <c r="I412" i="5"/>
  <c r="J412" i="5"/>
  <c r="I413" i="5"/>
  <c r="J413" i="5"/>
  <c r="I414" i="5"/>
  <c r="J414" i="5"/>
  <c r="I415" i="5"/>
  <c r="J415" i="5"/>
  <c r="I416" i="5"/>
  <c r="J416" i="5"/>
  <c r="I417" i="5"/>
  <c r="J417" i="5"/>
  <c r="I418" i="5"/>
  <c r="J418" i="5"/>
  <c r="I419" i="5"/>
  <c r="J419" i="5"/>
  <c r="I420" i="5"/>
  <c r="J420" i="5"/>
  <c r="I421" i="5"/>
  <c r="J421" i="5"/>
  <c r="I422" i="5"/>
  <c r="J422" i="5"/>
  <c r="I423" i="5"/>
  <c r="J423" i="5"/>
  <c r="I424" i="5"/>
  <c r="J424" i="5"/>
  <c r="I425" i="5"/>
  <c r="J425" i="5"/>
  <c r="I426" i="5"/>
  <c r="J426" i="5"/>
  <c r="I427" i="5"/>
  <c r="J427" i="5"/>
  <c r="I428" i="5"/>
  <c r="J428" i="5"/>
  <c r="I429" i="5"/>
  <c r="J429" i="5"/>
  <c r="I430" i="5"/>
  <c r="J430" i="5"/>
  <c r="I431" i="5"/>
  <c r="J431" i="5"/>
  <c r="I432" i="5"/>
  <c r="J432" i="5"/>
  <c r="I433" i="5"/>
  <c r="J433" i="5"/>
  <c r="I434" i="5"/>
  <c r="J434" i="5"/>
  <c r="I435" i="5"/>
  <c r="J435" i="5"/>
  <c r="I436" i="5"/>
  <c r="J436" i="5"/>
  <c r="I437" i="5"/>
  <c r="J437" i="5"/>
  <c r="I438" i="5"/>
  <c r="J438" i="5"/>
  <c r="I439" i="5"/>
  <c r="J439" i="5"/>
  <c r="I440" i="5"/>
  <c r="J440" i="5"/>
  <c r="I441" i="5"/>
  <c r="J441" i="5"/>
  <c r="I442" i="5"/>
  <c r="J442" i="5"/>
  <c r="I443" i="5"/>
  <c r="J443" i="5"/>
  <c r="I444" i="5"/>
  <c r="J444" i="5"/>
  <c r="I445" i="5"/>
  <c r="J445" i="5"/>
  <c r="I446" i="5"/>
  <c r="J446" i="5"/>
  <c r="I447" i="5"/>
  <c r="J447" i="5"/>
  <c r="I448" i="5"/>
  <c r="J448" i="5"/>
  <c r="I449" i="5"/>
  <c r="J449" i="5"/>
  <c r="I450" i="5"/>
  <c r="J450" i="5"/>
  <c r="I451" i="5"/>
  <c r="J451" i="5"/>
  <c r="I452" i="5"/>
  <c r="J452" i="5"/>
  <c r="I453" i="5"/>
  <c r="J453" i="5"/>
  <c r="I454" i="5"/>
  <c r="J454" i="5"/>
  <c r="I455" i="5"/>
  <c r="J455" i="5"/>
  <c r="I456" i="5"/>
  <c r="J456" i="5"/>
  <c r="I457" i="5"/>
  <c r="J457" i="5"/>
  <c r="I458" i="5"/>
  <c r="J458" i="5"/>
  <c r="I459" i="5"/>
  <c r="J459" i="5"/>
  <c r="I460" i="5"/>
  <c r="J460" i="5"/>
  <c r="I461" i="5"/>
  <c r="J461" i="5"/>
  <c r="I462" i="5"/>
  <c r="J462" i="5"/>
  <c r="I463" i="5"/>
  <c r="J463" i="5"/>
  <c r="I464" i="5"/>
  <c r="J464" i="5"/>
  <c r="I465" i="5"/>
  <c r="J465" i="5"/>
  <c r="I466" i="5"/>
  <c r="J466" i="5"/>
  <c r="I467" i="5"/>
  <c r="J467" i="5"/>
  <c r="I468" i="5"/>
  <c r="J468" i="5"/>
  <c r="I469" i="5"/>
  <c r="J469" i="5"/>
  <c r="I470" i="5"/>
  <c r="J470" i="5"/>
  <c r="I471" i="5"/>
  <c r="J471" i="5"/>
  <c r="I472" i="5"/>
  <c r="J472" i="5"/>
  <c r="I473" i="5"/>
  <c r="J473" i="5"/>
  <c r="I474" i="5"/>
  <c r="J474" i="5"/>
  <c r="I475" i="5"/>
  <c r="J475" i="5"/>
  <c r="I476" i="5"/>
  <c r="J476" i="5"/>
  <c r="I477" i="5"/>
  <c r="J477" i="5"/>
  <c r="I478" i="5"/>
  <c r="J478" i="5"/>
  <c r="I479" i="5"/>
  <c r="J479" i="5"/>
  <c r="I480" i="5"/>
  <c r="J480" i="5"/>
  <c r="I481" i="5"/>
  <c r="J481" i="5"/>
  <c r="I482" i="5"/>
  <c r="J482" i="5"/>
  <c r="I483" i="5"/>
  <c r="J483" i="5"/>
  <c r="I484" i="5"/>
  <c r="J484" i="5"/>
  <c r="I485" i="5"/>
  <c r="J485" i="5"/>
  <c r="I486" i="5"/>
  <c r="J486" i="5"/>
  <c r="I487" i="5"/>
  <c r="J487" i="5"/>
  <c r="I488" i="5"/>
  <c r="J488" i="5"/>
  <c r="I489" i="5"/>
  <c r="J489" i="5"/>
  <c r="I490" i="5"/>
  <c r="J490" i="5"/>
  <c r="I491" i="5"/>
  <c r="J491" i="5"/>
  <c r="I492" i="5"/>
  <c r="J492" i="5"/>
  <c r="I493" i="5"/>
  <c r="J493" i="5"/>
  <c r="I494" i="5"/>
  <c r="J494" i="5"/>
  <c r="I495" i="5"/>
  <c r="J495" i="5"/>
  <c r="I496" i="5"/>
  <c r="J496" i="5"/>
  <c r="I497" i="5"/>
  <c r="J497" i="5"/>
  <c r="I498" i="5"/>
  <c r="J498" i="5"/>
  <c r="I499" i="5"/>
  <c r="J499" i="5"/>
  <c r="I500" i="5"/>
  <c r="J500" i="5"/>
  <c r="I501" i="5"/>
  <c r="J501" i="5"/>
  <c r="I502" i="5"/>
  <c r="J502" i="5"/>
  <c r="I503" i="5"/>
  <c r="J503" i="5"/>
  <c r="I504" i="5"/>
  <c r="J504" i="5"/>
  <c r="I505" i="5"/>
  <c r="J505" i="5"/>
  <c r="I506" i="5"/>
  <c r="J506" i="5"/>
  <c r="I507" i="5"/>
  <c r="J507" i="5"/>
  <c r="I508" i="5"/>
  <c r="J508" i="5"/>
  <c r="I509" i="5"/>
  <c r="J509" i="5"/>
  <c r="I510" i="5"/>
  <c r="J510" i="5"/>
  <c r="I511" i="5"/>
  <c r="J511" i="5"/>
  <c r="I512" i="5"/>
  <c r="J512" i="5"/>
  <c r="I513" i="5"/>
  <c r="J513" i="5"/>
  <c r="I514" i="5"/>
  <c r="J514" i="5"/>
  <c r="I515" i="5"/>
  <c r="J515" i="5"/>
  <c r="I516" i="5"/>
  <c r="J516" i="5"/>
  <c r="I517" i="5"/>
  <c r="J517" i="5"/>
  <c r="I518" i="5"/>
  <c r="J518" i="5"/>
  <c r="I519" i="5"/>
  <c r="J519" i="5"/>
  <c r="I520" i="5"/>
  <c r="J520" i="5"/>
  <c r="I521" i="5"/>
  <c r="J521" i="5"/>
  <c r="I522" i="5"/>
  <c r="J522" i="5"/>
  <c r="I523" i="5"/>
  <c r="J523" i="5"/>
  <c r="I524" i="5"/>
  <c r="J524" i="5"/>
  <c r="I525" i="5"/>
  <c r="J525" i="5"/>
  <c r="I526" i="5"/>
  <c r="J526" i="5"/>
  <c r="I527" i="5"/>
  <c r="J527" i="5"/>
  <c r="I528" i="5"/>
  <c r="J528" i="5"/>
  <c r="I529" i="5"/>
  <c r="J529" i="5"/>
  <c r="I530" i="5"/>
  <c r="J530" i="5"/>
  <c r="I531" i="5"/>
  <c r="J531" i="5"/>
  <c r="I2" i="4"/>
  <c r="J2" i="4"/>
  <c r="L2" i="4"/>
  <c r="M2" i="4"/>
  <c r="O2" i="4"/>
  <c r="P2" i="4"/>
  <c r="I3" i="4"/>
  <c r="J3" i="4"/>
  <c r="L3" i="4"/>
  <c r="M3" i="4"/>
  <c r="O3" i="4"/>
  <c r="P3" i="4"/>
  <c r="I4" i="4"/>
  <c r="J4" i="4"/>
  <c r="L4" i="4"/>
  <c r="M4" i="4"/>
  <c r="O4" i="4"/>
  <c r="P4" i="4"/>
  <c r="I5" i="4"/>
  <c r="J5" i="4"/>
  <c r="L5" i="4"/>
  <c r="M5" i="4"/>
  <c r="O5" i="4"/>
  <c r="P5" i="4"/>
  <c r="I6" i="4"/>
  <c r="J6" i="4"/>
  <c r="L6" i="4"/>
  <c r="M6" i="4"/>
  <c r="O6" i="4"/>
  <c r="P6" i="4"/>
  <c r="I7" i="4"/>
  <c r="J7" i="4"/>
  <c r="L7" i="4"/>
  <c r="M7" i="4"/>
  <c r="O7" i="4"/>
  <c r="P7" i="4"/>
  <c r="I8" i="4"/>
  <c r="J8" i="4"/>
  <c r="L8" i="4"/>
  <c r="M8" i="4"/>
  <c r="O8" i="4"/>
  <c r="P8" i="4"/>
  <c r="I9" i="4"/>
  <c r="J9" i="4"/>
  <c r="L9" i="4"/>
  <c r="M9" i="4"/>
  <c r="O9" i="4"/>
  <c r="P9" i="4"/>
  <c r="I10" i="4"/>
  <c r="J10" i="4"/>
  <c r="L10" i="4"/>
  <c r="M10" i="4"/>
  <c r="O10" i="4"/>
  <c r="P10" i="4"/>
  <c r="I11" i="4"/>
  <c r="J11" i="4"/>
  <c r="L11" i="4"/>
  <c r="M11" i="4"/>
  <c r="O11" i="4"/>
  <c r="P11" i="4"/>
  <c r="I12" i="4"/>
  <c r="J12" i="4"/>
  <c r="L12" i="4"/>
  <c r="M12" i="4"/>
  <c r="O12" i="4"/>
  <c r="P12" i="4"/>
  <c r="I13" i="4"/>
  <c r="J13" i="4"/>
  <c r="L13" i="4"/>
  <c r="M13" i="4"/>
  <c r="O13" i="4"/>
  <c r="P13" i="4"/>
  <c r="I14" i="4"/>
  <c r="J14" i="4"/>
  <c r="L14" i="4"/>
  <c r="M14" i="4"/>
  <c r="O14" i="4"/>
  <c r="P14" i="4"/>
  <c r="I15" i="4"/>
  <c r="J15" i="4"/>
  <c r="L15" i="4"/>
  <c r="M15" i="4"/>
  <c r="O15" i="4"/>
  <c r="P15" i="4"/>
  <c r="I16" i="4"/>
  <c r="J16" i="4"/>
  <c r="L16" i="4"/>
  <c r="M16" i="4"/>
  <c r="O16" i="4"/>
  <c r="P16" i="4"/>
  <c r="I17" i="4"/>
  <c r="J17" i="4"/>
  <c r="L17" i="4"/>
  <c r="M17" i="4"/>
  <c r="O17" i="4"/>
  <c r="P17" i="4"/>
  <c r="I18" i="4"/>
  <c r="J18" i="4"/>
  <c r="L18" i="4"/>
  <c r="M18" i="4"/>
  <c r="O18" i="4"/>
  <c r="P18" i="4"/>
  <c r="I19" i="4"/>
  <c r="J19" i="4"/>
  <c r="L19" i="4"/>
  <c r="M19" i="4"/>
  <c r="O19" i="4"/>
  <c r="P19" i="4"/>
  <c r="I20" i="4"/>
  <c r="J20" i="4"/>
  <c r="L20" i="4"/>
  <c r="M20" i="4"/>
  <c r="O20" i="4"/>
  <c r="P20" i="4"/>
  <c r="S17" i="4"/>
  <c r="I21" i="4"/>
  <c r="J21" i="4"/>
  <c r="L21" i="4"/>
  <c r="M21" i="4"/>
  <c r="O21" i="4"/>
  <c r="P21" i="4"/>
  <c r="I22" i="4"/>
  <c r="J22" i="4"/>
  <c r="L22" i="4"/>
  <c r="M22" i="4"/>
  <c r="O22" i="4"/>
  <c r="P22" i="4"/>
  <c r="I23" i="4"/>
  <c r="J23" i="4"/>
  <c r="L23" i="4"/>
  <c r="M23" i="4"/>
  <c r="O23" i="4"/>
  <c r="P23" i="4"/>
  <c r="I24" i="4"/>
  <c r="J24" i="4"/>
  <c r="L24" i="4"/>
  <c r="M24" i="4"/>
  <c r="O24" i="4"/>
  <c r="P24" i="4"/>
  <c r="I25" i="4"/>
  <c r="J25" i="4"/>
  <c r="L25" i="4"/>
  <c r="M25" i="4"/>
  <c r="O25" i="4"/>
  <c r="P25" i="4"/>
  <c r="I26" i="4"/>
  <c r="J26" i="4"/>
  <c r="L26" i="4"/>
  <c r="M26" i="4"/>
  <c r="O26" i="4"/>
  <c r="P26" i="4"/>
  <c r="I27" i="4"/>
  <c r="J27" i="4"/>
  <c r="L27" i="4"/>
  <c r="M27" i="4"/>
  <c r="O27" i="4"/>
  <c r="P27" i="4"/>
  <c r="I28" i="4"/>
  <c r="J28" i="4"/>
  <c r="L28" i="4"/>
  <c r="M28" i="4"/>
  <c r="O28" i="4"/>
  <c r="P28" i="4"/>
  <c r="I29" i="4"/>
  <c r="J29" i="4"/>
  <c r="L29" i="4"/>
  <c r="M29" i="4"/>
  <c r="O29" i="4"/>
  <c r="P29" i="4"/>
  <c r="I30" i="4"/>
  <c r="J30" i="4"/>
  <c r="L30" i="4"/>
  <c r="M30" i="4"/>
  <c r="O30" i="4"/>
  <c r="P30" i="4"/>
  <c r="I31" i="4"/>
  <c r="J31" i="4"/>
  <c r="L31" i="4"/>
  <c r="M31" i="4"/>
  <c r="O31" i="4"/>
  <c r="P31" i="4"/>
  <c r="I32" i="4"/>
  <c r="J32" i="4"/>
  <c r="L32" i="4"/>
  <c r="M32" i="4"/>
  <c r="O32" i="4"/>
  <c r="P32" i="4"/>
  <c r="I33" i="4"/>
  <c r="J33" i="4"/>
  <c r="L33" i="4"/>
  <c r="M33" i="4"/>
  <c r="O33" i="4"/>
  <c r="P33" i="4"/>
  <c r="I34" i="4"/>
  <c r="J34" i="4"/>
  <c r="L34" i="4"/>
  <c r="M34" i="4"/>
  <c r="O34" i="4"/>
  <c r="P34" i="4"/>
  <c r="I35" i="4"/>
  <c r="J35" i="4"/>
  <c r="L35" i="4"/>
  <c r="M35" i="4"/>
  <c r="O35" i="4"/>
  <c r="P35" i="4"/>
  <c r="I36" i="4"/>
  <c r="J36" i="4"/>
  <c r="L36" i="4"/>
  <c r="M36" i="4"/>
  <c r="O36" i="4"/>
  <c r="P36" i="4"/>
  <c r="I37" i="4"/>
  <c r="J37" i="4"/>
  <c r="L37" i="4"/>
  <c r="M37" i="4"/>
  <c r="O37" i="4"/>
  <c r="P37" i="4"/>
  <c r="I38" i="4"/>
  <c r="J38" i="4"/>
  <c r="L38" i="4"/>
  <c r="M38" i="4"/>
  <c r="O38" i="4"/>
  <c r="P38" i="4"/>
  <c r="I39" i="4"/>
  <c r="J39" i="4"/>
  <c r="L39" i="4"/>
  <c r="M39" i="4"/>
  <c r="O39" i="4"/>
  <c r="P39" i="4"/>
  <c r="I40" i="4"/>
  <c r="J40" i="4"/>
  <c r="L40" i="4"/>
  <c r="M40" i="4"/>
  <c r="O40" i="4"/>
  <c r="P40" i="4"/>
  <c r="I41" i="4"/>
  <c r="J41" i="4"/>
  <c r="L41" i="4"/>
  <c r="M41" i="4"/>
  <c r="O41" i="4"/>
  <c r="P41" i="4"/>
  <c r="S33" i="4"/>
  <c r="I42" i="4"/>
  <c r="J42" i="4"/>
  <c r="L42" i="4"/>
  <c r="M42" i="4"/>
  <c r="O42" i="4"/>
  <c r="P42" i="4"/>
  <c r="I43" i="4"/>
  <c r="J43" i="4"/>
  <c r="L43" i="4"/>
  <c r="M43" i="4"/>
  <c r="O43" i="4"/>
  <c r="P43" i="4"/>
  <c r="I44" i="4"/>
  <c r="J44" i="4"/>
  <c r="L44" i="4"/>
  <c r="M44" i="4"/>
  <c r="O44" i="4"/>
  <c r="P44" i="4"/>
  <c r="I45" i="4"/>
  <c r="J45" i="4"/>
  <c r="L45" i="4"/>
  <c r="M45" i="4"/>
  <c r="O45" i="4"/>
  <c r="P45" i="4"/>
  <c r="I46" i="4"/>
  <c r="J46" i="4"/>
  <c r="L46" i="4"/>
  <c r="M46" i="4"/>
  <c r="O46" i="4"/>
  <c r="P46" i="4"/>
  <c r="I47" i="4"/>
  <c r="J47" i="4"/>
  <c r="L47" i="4"/>
  <c r="M47" i="4"/>
  <c r="O47" i="4"/>
  <c r="P47" i="4"/>
  <c r="I48" i="4"/>
  <c r="J48" i="4"/>
  <c r="L48" i="4"/>
  <c r="M48" i="4"/>
  <c r="O48" i="4"/>
  <c r="P48" i="4"/>
  <c r="I49" i="4"/>
  <c r="J49" i="4"/>
  <c r="L49" i="4"/>
  <c r="M49" i="4"/>
  <c r="O49" i="4"/>
  <c r="P49" i="4"/>
  <c r="I50" i="4"/>
  <c r="J50" i="4"/>
  <c r="L50" i="4"/>
  <c r="M50" i="4"/>
  <c r="O50" i="4"/>
  <c r="P50" i="4"/>
  <c r="I51" i="4"/>
  <c r="J51" i="4"/>
  <c r="L51" i="4"/>
  <c r="M51" i="4"/>
  <c r="O51" i="4"/>
  <c r="P51" i="4"/>
  <c r="I52" i="4"/>
  <c r="J52" i="4"/>
  <c r="L52" i="4"/>
  <c r="M52" i="4"/>
  <c r="O52" i="4"/>
  <c r="P52" i="4"/>
  <c r="I53" i="4"/>
  <c r="J53" i="4"/>
  <c r="L53" i="4"/>
  <c r="M53" i="4"/>
  <c r="O53" i="4"/>
  <c r="P53" i="4"/>
  <c r="I54" i="4"/>
  <c r="J54" i="4"/>
  <c r="L54" i="4"/>
  <c r="M54" i="4"/>
  <c r="O54" i="4"/>
  <c r="P54" i="4"/>
  <c r="I55" i="4"/>
  <c r="J55" i="4"/>
  <c r="L55" i="4"/>
  <c r="M55" i="4"/>
  <c r="O55" i="4"/>
  <c r="P55" i="4"/>
  <c r="I56" i="4"/>
  <c r="J56" i="4"/>
  <c r="L56" i="4"/>
  <c r="M56" i="4"/>
  <c r="O56" i="4"/>
  <c r="P56" i="4"/>
  <c r="I57" i="4"/>
  <c r="J57" i="4"/>
  <c r="L57" i="4"/>
  <c r="M57" i="4"/>
  <c r="O57" i="4"/>
  <c r="P57" i="4"/>
  <c r="I58" i="4"/>
  <c r="J58" i="4"/>
  <c r="L58" i="4"/>
  <c r="M58" i="4"/>
  <c r="O58" i="4"/>
  <c r="P58" i="4"/>
  <c r="I59" i="4"/>
  <c r="J59" i="4"/>
  <c r="L59" i="4"/>
  <c r="M59" i="4"/>
  <c r="O59" i="4"/>
  <c r="P59" i="4"/>
  <c r="I60" i="4"/>
  <c r="J60" i="4"/>
  <c r="L60" i="4"/>
  <c r="M60" i="4"/>
  <c r="O60" i="4"/>
  <c r="P60" i="4"/>
  <c r="I61" i="4"/>
  <c r="J61" i="4"/>
  <c r="L61" i="4"/>
  <c r="M61" i="4"/>
  <c r="O61" i="4"/>
  <c r="P61" i="4"/>
  <c r="I62" i="4"/>
  <c r="J62" i="4"/>
  <c r="L62" i="4"/>
  <c r="M62" i="4"/>
  <c r="O62" i="4"/>
  <c r="P62" i="4"/>
  <c r="I63" i="4"/>
  <c r="J63" i="4"/>
  <c r="L63" i="4"/>
  <c r="M63" i="4"/>
  <c r="O63" i="4"/>
  <c r="P63" i="4"/>
  <c r="I64" i="4"/>
  <c r="J64" i="4"/>
  <c r="L64" i="4"/>
  <c r="M64" i="4"/>
  <c r="O64" i="4"/>
  <c r="P64" i="4"/>
  <c r="I65" i="4"/>
  <c r="J65" i="4"/>
  <c r="L65" i="4"/>
  <c r="M65" i="4"/>
  <c r="O65" i="4"/>
  <c r="P65" i="4"/>
  <c r="I66" i="4"/>
  <c r="J66" i="4"/>
  <c r="L66" i="4"/>
  <c r="M66" i="4"/>
  <c r="O66" i="4"/>
  <c r="P66" i="4"/>
  <c r="I67" i="4"/>
  <c r="J67" i="4"/>
  <c r="L67" i="4"/>
  <c r="M67" i="4"/>
  <c r="O67" i="4"/>
  <c r="P67" i="4"/>
  <c r="I68" i="4"/>
  <c r="J68" i="4"/>
  <c r="L68" i="4"/>
  <c r="M68" i="4"/>
  <c r="O68" i="4"/>
  <c r="P68" i="4"/>
  <c r="I69" i="4"/>
  <c r="J69" i="4"/>
  <c r="L69" i="4"/>
  <c r="M69" i="4"/>
  <c r="O69" i="4"/>
  <c r="P69" i="4"/>
  <c r="I70" i="4"/>
  <c r="J70" i="4"/>
  <c r="L70" i="4"/>
  <c r="M70" i="4"/>
  <c r="O70" i="4"/>
  <c r="P70" i="4"/>
  <c r="I71" i="4"/>
  <c r="J71" i="4"/>
  <c r="L71" i="4"/>
  <c r="M71" i="4"/>
  <c r="O71" i="4"/>
  <c r="P71" i="4"/>
  <c r="I72" i="4"/>
  <c r="J72" i="4"/>
  <c r="L72" i="4"/>
  <c r="M72" i="4"/>
  <c r="O72" i="4"/>
  <c r="P72" i="4"/>
  <c r="I73" i="4"/>
  <c r="J73" i="4"/>
  <c r="L73" i="4"/>
  <c r="M73" i="4"/>
  <c r="O73" i="4"/>
  <c r="P73" i="4"/>
  <c r="I74" i="4"/>
  <c r="J74" i="4"/>
  <c r="L74" i="4"/>
  <c r="M74" i="4"/>
  <c r="O74" i="4"/>
  <c r="P74" i="4"/>
  <c r="I75" i="4"/>
  <c r="J75" i="4"/>
  <c r="L75" i="4"/>
  <c r="M75" i="4"/>
  <c r="O75" i="4"/>
  <c r="P75" i="4"/>
  <c r="I76" i="4"/>
  <c r="J76" i="4"/>
  <c r="L76" i="4"/>
  <c r="M76" i="4"/>
  <c r="O76" i="4"/>
  <c r="P76" i="4"/>
  <c r="I77" i="4"/>
  <c r="J77" i="4"/>
  <c r="L77" i="4"/>
  <c r="M77" i="4"/>
  <c r="O77" i="4"/>
  <c r="P77" i="4"/>
  <c r="I78" i="4"/>
  <c r="J78" i="4"/>
  <c r="L78" i="4"/>
  <c r="M78" i="4"/>
  <c r="O78" i="4"/>
  <c r="P78" i="4"/>
  <c r="I79" i="4"/>
  <c r="J79" i="4"/>
  <c r="L79" i="4"/>
  <c r="M79" i="4"/>
  <c r="O79" i="4"/>
  <c r="P79" i="4"/>
  <c r="I80" i="4"/>
  <c r="J80" i="4"/>
  <c r="L80" i="4"/>
  <c r="M80" i="4"/>
  <c r="O80" i="4"/>
  <c r="P80" i="4"/>
  <c r="I81" i="4"/>
  <c r="J81" i="4"/>
  <c r="L81" i="4"/>
  <c r="M81" i="4"/>
  <c r="O81" i="4"/>
  <c r="P81" i="4"/>
  <c r="I82" i="4"/>
  <c r="J82" i="4"/>
  <c r="L82" i="4"/>
  <c r="M82" i="4"/>
  <c r="O82" i="4"/>
  <c r="P82" i="4"/>
  <c r="I83" i="4"/>
  <c r="J83" i="4"/>
  <c r="L83" i="4"/>
  <c r="M83" i="4"/>
  <c r="O83" i="4"/>
  <c r="P83" i="4"/>
  <c r="I84" i="4"/>
  <c r="J84" i="4"/>
  <c r="L84" i="4"/>
  <c r="M84" i="4"/>
  <c r="O84" i="4"/>
  <c r="P84" i="4"/>
  <c r="I85" i="4"/>
  <c r="J85" i="4"/>
  <c r="L85" i="4"/>
  <c r="M85" i="4"/>
  <c r="O85" i="4"/>
  <c r="P85" i="4"/>
  <c r="I86" i="4"/>
  <c r="J86" i="4"/>
  <c r="L86" i="4"/>
  <c r="M86" i="4"/>
  <c r="O86" i="4"/>
  <c r="P86" i="4"/>
  <c r="I87" i="4"/>
  <c r="J87" i="4"/>
  <c r="L87" i="4"/>
  <c r="M87" i="4"/>
  <c r="O87" i="4"/>
  <c r="P87" i="4"/>
  <c r="I88" i="4"/>
  <c r="J88" i="4"/>
  <c r="L88" i="4"/>
  <c r="M88" i="4"/>
  <c r="O88" i="4"/>
  <c r="P88" i="4"/>
  <c r="I89" i="4"/>
  <c r="J89" i="4"/>
  <c r="L89" i="4"/>
  <c r="M89" i="4"/>
  <c r="O89" i="4"/>
  <c r="P89" i="4"/>
  <c r="I90" i="4"/>
  <c r="J90" i="4"/>
  <c r="L90" i="4"/>
  <c r="M90" i="4"/>
  <c r="O90" i="4"/>
  <c r="P90" i="4"/>
  <c r="I91" i="4"/>
  <c r="J91" i="4"/>
  <c r="L91" i="4"/>
  <c r="M91" i="4"/>
  <c r="O91" i="4"/>
  <c r="P91" i="4"/>
  <c r="I92" i="4"/>
  <c r="J92" i="4"/>
  <c r="L92" i="4"/>
  <c r="M92" i="4"/>
  <c r="O92" i="4"/>
  <c r="P92" i="4"/>
  <c r="I93" i="4"/>
  <c r="J93" i="4"/>
  <c r="L93" i="4"/>
  <c r="M93" i="4"/>
  <c r="O93" i="4"/>
  <c r="P93" i="4"/>
  <c r="I94" i="4"/>
  <c r="J94" i="4"/>
  <c r="L94" i="4"/>
  <c r="M94" i="4"/>
  <c r="O94" i="4"/>
  <c r="P94" i="4"/>
  <c r="I95" i="4"/>
  <c r="J95" i="4"/>
  <c r="L95" i="4"/>
  <c r="M95" i="4"/>
  <c r="O95" i="4"/>
  <c r="P95" i="4"/>
  <c r="I96" i="4"/>
  <c r="J96" i="4"/>
  <c r="L96" i="4"/>
  <c r="M96" i="4"/>
  <c r="O96" i="4"/>
  <c r="P96" i="4"/>
  <c r="I97" i="4"/>
  <c r="J97" i="4"/>
  <c r="L97" i="4"/>
  <c r="M97" i="4"/>
  <c r="O97" i="4"/>
  <c r="P97" i="4"/>
  <c r="I98" i="4"/>
  <c r="J98" i="4"/>
  <c r="L98" i="4"/>
  <c r="M98" i="4"/>
  <c r="O98" i="4"/>
  <c r="P98" i="4"/>
  <c r="I99" i="4"/>
  <c r="J99" i="4"/>
  <c r="L99" i="4"/>
  <c r="M99" i="4"/>
  <c r="O99" i="4"/>
  <c r="P99" i="4"/>
  <c r="I100" i="4"/>
  <c r="J100" i="4"/>
  <c r="L100" i="4"/>
  <c r="M100" i="4"/>
  <c r="O100" i="4"/>
  <c r="P100" i="4"/>
  <c r="I101" i="4"/>
  <c r="J101" i="4"/>
  <c r="L101" i="4"/>
  <c r="M101" i="4"/>
  <c r="O101" i="4"/>
  <c r="P101" i="4"/>
  <c r="I102" i="4"/>
  <c r="J102" i="4"/>
  <c r="L102" i="4"/>
  <c r="M102" i="4"/>
  <c r="O102" i="4"/>
  <c r="P102" i="4"/>
  <c r="I103" i="4"/>
  <c r="J103" i="4"/>
  <c r="L103" i="4"/>
  <c r="M103" i="4"/>
  <c r="O103" i="4"/>
  <c r="P103" i="4"/>
  <c r="I104" i="4"/>
  <c r="J104" i="4"/>
  <c r="L104" i="4"/>
  <c r="M104" i="4"/>
  <c r="O104" i="4"/>
  <c r="P104" i="4"/>
  <c r="I105" i="4"/>
  <c r="J105" i="4"/>
  <c r="L105" i="4"/>
  <c r="M105" i="4"/>
  <c r="O105" i="4"/>
  <c r="P105" i="4"/>
  <c r="I106" i="4"/>
  <c r="J106" i="4"/>
  <c r="L106" i="4"/>
  <c r="M106" i="4"/>
  <c r="O106" i="4"/>
  <c r="P106" i="4"/>
  <c r="I107" i="4"/>
  <c r="J107" i="4"/>
  <c r="L107" i="4"/>
  <c r="M107" i="4"/>
  <c r="O107" i="4"/>
  <c r="P107" i="4"/>
  <c r="I108" i="4"/>
  <c r="J108" i="4"/>
  <c r="L108" i="4"/>
  <c r="M108" i="4"/>
  <c r="O108" i="4"/>
  <c r="P108" i="4"/>
  <c r="I109" i="4"/>
  <c r="J109" i="4"/>
  <c r="L109" i="4"/>
  <c r="M109" i="4"/>
  <c r="O109" i="4"/>
  <c r="P109" i="4"/>
  <c r="I110" i="4"/>
  <c r="J110" i="4"/>
  <c r="L110" i="4"/>
  <c r="M110" i="4"/>
  <c r="O110" i="4"/>
  <c r="P110" i="4"/>
  <c r="I111" i="4"/>
  <c r="J111" i="4"/>
  <c r="L111" i="4"/>
  <c r="M111" i="4"/>
  <c r="O111" i="4"/>
  <c r="P111" i="4"/>
  <c r="I112" i="4"/>
  <c r="J112" i="4"/>
  <c r="L112" i="4"/>
  <c r="M112" i="4"/>
  <c r="O112" i="4"/>
  <c r="P112" i="4"/>
  <c r="I113" i="4"/>
  <c r="J113" i="4"/>
  <c r="L113" i="4"/>
  <c r="M113" i="4"/>
  <c r="O113" i="4"/>
  <c r="P113" i="4"/>
  <c r="S113" i="4"/>
  <c r="I114" i="4"/>
  <c r="J114" i="4"/>
  <c r="L114" i="4"/>
  <c r="M114" i="4"/>
  <c r="O114" i="4"/>
  <c r="P114" i="4"/>
  <c r="I115" i="4"/>
  <c r="J115" i="4"/>
  <c r="L115" i="4"/>
  <c r="M115" i="4"/>
  <c r="O115" i="4"/>
  <c r="P115" i="4"/>
  <c r="I116" i="4"/>
  <c r="J116" i="4"/>
  <c r="L116" i="4"/>
  <c r="M116" i="4"/>
  <c r="O116" i="4"/>
  <c r="P116" i="4"/>
  <c r="I117" i="4"/>
  <c r="J117" i="4"/>
  <c r="L117" i="4"/>
  <c r="M117" i="4"/>
  <c r="O117" i="4"/>
  <c r="P117" i="4"/>
  <c r="I118" i="4"/>
  <c r="J118" i="4"/>
  <c r="L118" i="4"/>
  <c r="M118" i="4"/>
  <c r="O118" i="4"/>
  <c r="P118" i="4"/>
  <c r="I119" i="4"/>
  <c r="J119" i="4"/>
  <c r="L119" i="4"/>
  <c r="M119" i="4"/>
  <c r="O119" i="4"/>
  <c r="P119" i="4"/>
  <c r="I120" i="4"/>
  <c r="J120" i="4"/>
  <c r="L120" i="4"/>
  <c r="M120" i="4"/>
  <c r="O120" i="4"/>
  <c r="P120" i="4"/>
  <c r="I121" i="4"/>
  <c r="J121" i="4"/>
  <c r="L121" i="4"/>
  <c r="M121" i="4"/>
  <c r="O121" i="4"/>
  <c r="P121" i="4"/>
  <c r="I122" i="4"/>
  <c r="J122" i="4"/>
  <c r="L122" i="4"/>
  <c r="M122" i="4"/>
  <c r="O122" i="4"/>
  <c r="P122" i="4"/>
  <c r="I123" i="4"/>
  <c r="J123" i="4"/>
  <c r="L123" i="4"/>
  <c r="M123" i="4"/>
  <c r="O123" i="4"/>
  <c r="R122" i="4"/>
  <c r="P123" i="4"/>
  <c r="I124" i="4"/>
  <c r="J124" i="4"/>
  <c r="L124" i="4"/>
  <c r="M124" i="4"/>
  <c r="O124" i="4"/>
  <c r="P124" i="4"/>
  <c r="I125" i="4"/>
  <c r="J125" i="4"/>
  <c r="L125" i="4"/>
  <c r="M125" i="4"/>
  <c r="O125" i="4"/>
  <c r="P125" i="4"/>
  <c r="I126" i="4"/>
  <c r="J126" i="4"/>
  <c r="L126" i="4"/>
  <c r="M126" i="4"/>
  <c r="O126" i="4"/>
  <c r="P126" i="4"/>
  <c r="I127" i="4"/>
  <c r="J127" i="4"/>
  <c r="L127" i="4"/>
  <c r="M127" i="4"/>
  <c r="O127" i="4"/>
  <c r="P127" i="4"/>
  <c r="I128" i="4"/>
  <c r="J128" i="4"/>
  <c r="L128" i="4"/>
  <c r="M128" i="4"/>
  <c r="O128" i="4"/>
  <c r="P128" i="4"/>
  <c r="I129" i="4"/>
  <c r="J129" i="4"/>
  <c r="L129" i="4"/>
  <c r="M129" i="4"/>
  <c r="O129" i="4"/>
  <c r="P129" i="4"/>
  <c r="I130" i="4"/>
  <c r="J130" i="4"/>
  <c r="L130" i="4"/>
  <c r="M130" i="4"/>
  <c r="O130" i="4"/>
  <c r="P130" i="4"/>
  <c r="I131" i="4"/>
  <c r="J131" i="4"/>
  <c r="L131" i="4"/>
  <c r="M131" i="4"/>
  <c r="O131" i="4"/>
  <c r="P131" i="4"/>
  <c r="S129" i="4"/>
  <c r="I132" i="4"/>
  <c r="J132" i="4"/>
  <c r="L132" i="4"/>
  <c r="M132" i="4"/>
  <c r="O132" i="4"/>
  <c r="P132" i="4"/>
  <c r="I133" i="4"/>
  <c r="J133" i="4"/>
  <c r="L133" i="4"/>
  <c r="M133" i="4"/>
  <c r="O133" i="4"/>
  <c r="P133" i="4"/>
  <c r="I134" i="4"/>
  <c r="J134" i="4"/>
  <c r="L134" i="4"/>
  <c r="M134" i="4"/>
  <c r="O134" i="4"/>
  <c r="P134" i="4"/>
  <c r="I135" i="4"/>
  <c r="J135" i="4"/>
  <c r="L135" i="4"/>
  <c r="M135" i="4"/>
  <c r="O135" i="4"/>
  <c r="P135" i="4"/>
  <c r="I136" i="4"/>
  <c r="J136" i="4"/>
  <c r="L136" i="4"/>
  <c r="M136" i="4"/>
  <c r="O136" i="4"/>
  <c r="P136" i="4"/>
  <c r="I137" i="4"/>
  <c r="J137" i="4"/>
  <c r="L137" i="4"/>
  <c r="M137" i="4"/>
  <c r="O137" i="4"/>
  <c r="P137" i="4"/>
  <c r="I138" i="4"/>
  <c r="J138" i="4"/>
  <c r="L138" i="4"/>
  <c r="M138" i="4"/>
  <c r="O138" i="4"/>
  <c r="P138" i="4"/>
  <c r="I139" i="4"/>
  <c r="J139" i="4"/>
  <c r="L139" i="4"/>
  <c r="M139" i="4"/>
  <c r="O139" i="4"/>
  <c r="R138" i="4"/>
  <c r="P139" i="4"/>
  <c r="I140" i="4"/>
  <c r="J140" i="4"/>
  <c r="L140" i="4"/>
  <c r="M140" i="4"/>
  <c r="O140" i="4"/>
  <c r="P140" i="4"/>
  <c r="I141" i="4"/>
  <c r="J141" i="4"/>
  <c r="L141" i="4"/>
  <c r="M141" i="4"/>
  <c r="O141" i="4"/>
  <c r="P141" i="4"/>
  <c r="I142" i="4"/>
  <c r="J142" i="4"/>
  <c r="L142" i="4"/>
  <c r="M142" i="4"/>
  <c r="O142" i="4"/>
  <c r="P142" i="4"/>
  <c r="I143" i="4"/>
  <c r="J143" i="4"/>
  <c r="L143" i="4"/>
  <c r="M143" i="4"/>
  <c r="O143" i="4"/>
  <c r="P143" i="4"/>
  <c r="I144" i="4"/>
  <c r="J144" i="4"/>
  <c r="L144" i="4"/>
  <c r="M144" i="4"/>
  <c r="O144" i="4"/>
  <c r="P144" i="4"/>
  <c r="I145" i="4"/>
  <c r="J145" i="4"/>
  <c r="L145" i="4"/>
  <c r="M145" i="4"/>
  <c r="O145" i="4"/>
  <c r="P145" i="4"/>
  <c r="I146" i="4"/>
  <c r="J146" i="4"/>
  <c r="L146" i="4"/>
  <c r="M146" i="4"/>
  <c r="O146" i="4"/>
  <c r="P146" i="4"/>
  <c r="I147" i="4"/>
  <c r="J147" i="4"/>
  <c r="L147" i="4"/>
  <c r="M147" i="4"/>
  <c r="O147" i="4"/>
  <c r="P147" i="4"/>
  <c r="S145" i="4"/>
  <c r="I148" i="4"/>
  <c r="J148" i="4"/>
  <c r="L148" i="4"/>
  <c r="M148" i="4"/>
  <c r="O148" i="4"/>
  <c r="P148" i="4"/>
  <c r="I149" i="4"/>
  <c r="J149" i="4"/>
  <c r="L149" i="4"/>
  <c r="M149" i="4"/>
  <c r="O149" i="4"/>
  <c r="P149" i="4"/>
  <c r="I150" i="4"/>
  <c r="J150" i="4"/>
  <c r="L150" i="4"/>
  <c r="M150" i="4"/>
  <c r="O150" i="4"/>
  <c r="P150" i="4"/>
  <c r="I151" i="4"/>
  <c r="J151" i="4"/>
  <c r="L151" i="4"/>
  <c r="M151" i="4"/>
  <c r="O151" i="4"/>
  <c r="P151" i="4"/>
  <c r="I152" i="4"/>
  <c r="J152" i="4"/>
  <c r="L152" i="4"/>
  <c r="M152" i="4"/>
  <c r="O152" i="4"/>
  <c r="P152" i="4"/>
  <c r="I153" i="4"/>
  <c r="J153" i="4"/>
  <c r="L153" i="4"/>
  <c r="M153" i="4"/>
  <c r="O153" i="4"/>
  <c r="P153" i="4"/>
  <c r="I154" i="4"/>
  <c r="J154" i="4"/>
  <c r="L154" i="4"/>
  <c r="M154" i="4"/>
  <c r="O154" i="4"/>
  <c r="P154" i="4"/>
  <c r="I155" i="4"/>
  <c r="J155" i="4"/>
  <c r="L155" i="4"/>
  <c r="M155" i="4"/>
  <c r="O155" i="4"/>
  <c r="R154" i="4"/>
  <c r="P155" i="4"/>
  <c r="I156" i="4"/>
  <c r="J156" i="4"/>
  <c r="L156" i="4"/>
  <c r="M156" i="4"/>
  <c r="O156" i="4"/>
  <c r="P156" i="4"/>
  <c r="I157" i="4"/>
  <c r="J157" i="4"/>
  <c r="L157" i="4"/>
  <c r="M157" i="4"/>
  <c r="O157" i="4"/>
  <c r="P157" i="4"/>
  <c r="I158" i="4"/>
  <c r="J158" i="4"/>
  <c r="L158" i="4"/>
  <c r="M158" i="4"/>
  <c r="O158" i="4"/>
  <c r="P158" i="4"/>
  <c r="I159" i="4"/>
  <c r="J159" i="4"/>
  <c r="L159" i="4"/>
  <c r="M159" i="4"/>
  <c r="O159" i="4"/>
  <c r="P159" i="4"/>
  <c r="I160" i="4"/>
  <c r="J160" i="4"/>
  <c r="L160" i="4"/>
  <c r="M160" i="4"/>
  <c r="O160" i="4"/>
  <c r="P160" i="4"/>
  <c r="I161" i="4"/>
  <c r="J161" i="4"/>
  <c r="L161" i="4"/>
  <c r="M161" i="4"/>
  <c r="O161" i="4"/>
  <c r="P161" i="4"/>
  <c r="I162" i="4"/>
  <c r="J162" i="4"/>
  <c r="L162" i="4"/>
  <c r="M162" i="4"/>
  <c r="O162" i="4"/>
  <c r="P162" i="4"/>
  <c r="S161" i="4"/>
  <c r="I163" i="4"/>
  <c r="J163" i="4"/>
  <c r="L163" i="4"/>
  <c r="M163" i="4"/>
  <c r="O163" i="4"/>
  <c r="P163" i="4"/>
  <c r="I164" i="4"/>
  <c r="J164" i="4"/>
  <c r="L164" i="4"/>
  <c r="M164" i="4"/>
  <c r="O164" i="4"/>
  <c r="P164" i="4"/>
  <c r="I165" i="4"/>
  <c r="J165" i="4"/>
  <c r="L165" i="4"/>
  <c r="M165" i="4"/>
  <c r="O165" i="4"/>
  <c r="P165" i="4"/>
  <c r="I166" i="4"/>
  <c r="J166" i="4"/>
  <c r="L166" i="4"/>
  <c r="M166" i="4"/>
  <c r="O166" i="4"/>
  <c r="P166" i="4"/>
  <c r="I167" i="4"/>
  <c r="J167" i="4"/>
  <c r="L167" i="4"/>
  <c r="M167" i="4"/>
  <c r="O167" i="4"/>
  <c r="P167" i="4"/>
  <c r="I168" i="4"/>
  <c r="J168" i="4"/>
  <c r="L168" i="4"/>
  <c r="M168" i="4"/>
  <c r="O168" i="4"/>
  <c r="P168" i="4"/>
  <c r="I169" i="4"/>
  <c r="J169" i="4"/>
  <c r="L169" i="4"/>
  <c r="M169" i="4"/>
  <c r="O169" i="4"/>
  <c r="P169" i="4"/>
  <c r="I170" i="4"/>
  <c r="J170" i="4"/>
  <c r="L170" i="4"/>
  <c r="M170" i="4"/>
  <c r="O170" i="4"/>
  <c r="P170" i="4"/>
  <c r="I171" i="4"/>
  <c r="J171" i="4"/>
  <c r="L171" i="4"/>
  <c r="M171" i="4"/>
  <c r="O171" i="4"/>
  <c r="P171" i="4"/>
  <c r="I172" i="4"/>
  <c r="J172" i="4"/>
  <c r="L172" i="4"/>
  <c r="M172" i="4"/>
  <c r="O172" i="4"/>
  <c r="P172" i="4"/>
  <c r="I173" i="4"/>
  <c r="J173" i="4"/>
  <c r="L173" i="4"/>
  <c r="M173" i="4"/>
  <c r="O173" i="4"/>
  <c r="P173" i="4"/>
  <c r="I174" i="4"/>
  <c r="J174" i="4"/>
  <c r="L174" i="4"/>
  <c r="M174" i="4"/>
  <c r="O174" i="4"/>
  <c r="P174" i="4"/>
  <c r="I175" i="4"/>
  <c r="J175" i="4"/>
  <c r="L175" i="4"/>
  <c r="M175" i="4"/>
  <c r="O175" i="4"/>
  <c r="P175" i="4"/>
  <c r="I176" i="4"/>
  <c r="J176" i="4"/>
  <c r="L176" i="4"/>
  <c r="M176" i="4"/>
  <c r="O176" i="4"/>
  <c r="R170" i="4"/>
  <c r="P176" i="4"/>
  <c r="I177" i="4"/>
  <c r="J177" i="4"/>
  <c r="L177" i="4"/>
  <c r="M177" i="4"/>
  <c r="O177" i="4"/>
  <c r="P177" i="4"/>
  <c r="I178" i="4"/>
  <c r="J178" i="4"/>
  <c r="L178" i="4"/>
  <c r="M178" i="4"/>
  <c r="O178" i="4"/>
  <c r="P178" i="4"/>
  <c r="I179" i="4"/>
  <c r="J179" i="4"/>
  <c r="L179" i="4"/>
  <c r="M179" i="4"/>
  <c r="O179" i="4"/>
  <c r="P179" i="4"/>
  <c r="I180" i="4"/>
  <c r="J180" i="4"/>
  <c r="L180" i="4"/>
  <c r="M180" i="4"/>
  <c r="O180" i="4"/>
  <c r="P180" i="4"/>
  <c r="I181" i="4"/>
  <c r="J181" i="4"/>
  <c r="L181" i="4"/>
  <c r="M181" i="4"/>
  <c r="O181" i="4"/>
  <c r="P181" i="4"/>
  <c r="I182" i="4"/>
  <c r="J182" i="4"/>
  <c r="L182" i="4"/>
  <c r="M182" i="4"/>
  <c r="O182" i="4"/>
  <c r="P182" i="4"/>
  <c r="I183" i="4"/>
  <c r="J183" i="4"/>
  <c r="L183" i="4"/>
  <c r="M183" i="4"/>
  <c r="O183" i="4"/>
  <c r="P183" i="4"/>
  <c r="I184" i="4"/>
  <c r="J184" i="4"/>
  <c r="L184" i="4"/>
  <c r="M184" i="4"/>
  <c r="O184" i="4"/>
  <c r="P184" i="4"/>
  <c r="I185" i="4"/>
  <c r="J185" i="4"/>
  <c r="L185" i="4"/>
  <c r="M185" i="4"/>
  <c r="O185" i="4"/>
  <c r="P185" i="4"/>
  <c r="I186" i="4"/>
  <c r="J186" i="4"/>
  <c r="L186" i="4"/>
  <c r="M186" i="4"/>
  <c r="O186" i="4"/>
  <c r="R186" i="4"/>
  <c r="P186" i="4"/>
  <c r="I187" i="4"/>
  <c r="J187" i="4"/>
  <c r="L187" i="4"/>
  <c r="M187" i="4"/>
  <c r="O187" i="4"/>
  <c r="P187" i="4"/>
  <c r="I188" i="4"/>
  <c r="J188" i="4"/>
  <c r="L188" i="4"/>
  <c r="M188" i="4"/>
  <c r="O188" i="4"/>
  <c r="P188" i="4"/>
  <c r="I189" i="4"/>
  <c r="J189" i="4"/>
  <c r="L189" i="4"/>
  <c r="M189" i="4"/>
  <c r="O189" i="4"/>
  <c r="P189" i="4"/>
  <c r="I190" i="4"/>
  <c r="J190" i="4"/>
  <c r="L190" i="4"/>
  <c r="M190" i="4"/>
  <c r="O190" i="4"/>
  <c r="P190" i="4"/>
  <c r="I191" i="4"/>
  <c r="J191" i="4"/>
  <c r="L191" i="4"/>
  <c r="M191" i="4"/>
  <c r="O191" i="4"/>
  <c r="P191" i="4"/>
  <c r="I192" i="4"/>
  <c r="J192" i="4"/>
  <c r="L192" i="4"/>
  <c r="M192" i="4"/>
  <c r="O192" i="4"/>
  <c r="P192" i="4"/>
  <c r="I193" i="4"/>
  <c r="J193" i="4"/>
  <c r="L193" i="4"/>
  <c r="M193" i="4"/>
  <c r="O193" i="4"/>
  <c r="P193" i="4"/>
  <c r="I194" i="4"/>
  <c r="J194" i="4"/>
  <c r="L194" i="4"/>
  <c r="M194" i="4"/>
  <c r="O194" i="4"/>
  <c r="P194" i="4"/>
  <c r="I195" i="4"/>
  <c r="J195" i="4"/>
  <c r="L195" i="4"/>
  <c r="M195" i="4"/>
  <c r="O195" i="4"/>
  <c r="P195" i="4"/>
  <c r="I196" i="4"/>
  <c r="J196" i="4"/>
  <c r="L196" i="4"/>
  <c r="M196" i="4"/>
  <c r="O196" i="4"/>
  <c r="P196" i="4"/>
  <c r="I197" i="4"/>
  <c r="J197" i="4"/>
  <c r="L197" i="4"/>
  <c r="M197" i="4"/>
  <c r="O197" i="4"/>
  <c r="P197" i="4"/>
  <c r="I198" i="4"/>
  <c r="J198" i="4"/>
  <c r="L198" i="4"/>
  <c r="M198" i="4"/>
  <c r="O198" i="4"/>
  <c r="P198" i="4"/>
  <c r="I199" i="4"/>
  <c r="J199" i="4"/>
  <c r="L199" i="4"/>
  <c r="M199" i="4"/>
  <c r="O199" i="4"/>
  <c r="P199" i="4"/>
  <c r="I200" i="4"/>
  <c r="J200" i="4"/>
  <c r="L200" i="4"/>
  <c r="M200" i="4"/>
  <c r="O200" i="4"/>
  <c r="P200" i="4"/>
  <c r="I201" i="4"/>
  <c r="J201" i="4"/>
  <c r="L201" i="4"/>
  <c r="M201" i="4"/>
  <c r="O201" i="4"/>
  <c r="P201" i="4"/>
  <c r="I202" i="4"/>
  <c r="J202" i="4"/>
  <c r="L202" i="4"/>
  <c r="M202" i="4"/>
  <c r="O202" i="4"/>
  <c r="P202" i="4"/>
  <c r="I203" i="4"/>
  <c r="J203" i="4"/>
  <c r="L203" i="4"/>
  <c r="M203" i="4"/>
  <c r="O203" i="4"/>
  <c r="P203" i="4"/>
  <c r="I204" i="4"/>
  <c r="J204" i="4"/>
  <c r="L204" i="4"/>
  <c r="M204" i="4"/>
  <c r="O204" i="4"/>
  <c r="P204" i="4"/>
  <c r="I205" i="4"/>
  <c r="J205" i="4"/>
  <c r="L205" i="4"/>
  <c r="M205" i="4"/>
  <c r="O205" i="4"/>
  <c r="P205" i="4"/>
  <c r="I206" i="4"/>
  <c r="J206" i="4"/>
  <c r="L206" i="4"/>
  <c r="M206" i="4"/>
  <c r="O206" i="4"/>
  <c r="P206" i="4"/>
  <c r="I207" i="4"/>
  <c r="J207" i="4"/>
  <c r="L207" i="4"/>
  <c r="M207" i="4"/>
  <c r="O207" i="4"/>
  <c r="P207" i="4"/>
  <c r="I208" i="4"/>
  <c r="J208" i="4"/>
  <c r="L208" i="4"/>
  <c r="M208" i="4"/>
  <c r="O208" i="4"/>
  <c r="P208" i="4"/>
  <c r="I209" i="4"/>
  <c r="J209" i="4"/>
  <c r="L209" i="4"/>
  <c r="M209" i="4"/>
  <c r="O209" i="4"/>
  <c r="P209" i="4"/>
  <c r="I210" i="4"/>
  <c r="J210" i="4"/>
  <c r="L210" i="4"/>
  <c r="M210" i="4"/>
  <c r="O210" i="4"/>
  <c r="P210" i="4"/>
  <c r="I211" i="4"/>
  <c r="J211" i="4"/>
  <c r="L211" i="4"/>
  <c r="M211" i="4"/>
  <c r="O211" i="4"/>
  <c r="P211" i="4"/>
  <c r="I212" i="4"/>
  <c r="J212" i="4"/>
  <c r="L212" i="4"/>
  <c r="M212" i="4"/>
  <c r="O212" i="4"/>
  <c r="P212" i="4"/>
  <c r="I213" i="4"/>
  <c r="J213" i="4"/>
  <c r="L213" i="4"/>
  <c r="M213" i="4"/>
  <c r="O213" i="4"/>
  <c r="P213" i="4"/>
  <c r="I214" i="4"/>
  <c r="J214" i="4"/>
  <c r="L214" i="4"/>
  <c r="M214" i="4"/>
  <c r="O214" i="4"/>
  <c r="P214" i="4"/>
  <c r="I215" i="4"/>
  <c r="J215" i="4"/>
  <c r="L215" i="4"/>
  <c r="M215" i="4"/>
  <c r="O215" i="4"/>
  <c r="P215" i="4"/>
  <c r="I216" i="4"/>
  <c r="J216" i="4"/>
  <c r="L216" i="4"/>
  <c r="M216" i="4"/>
  <c r="O216" i="4"/>
  <c r="P216" i="4"/>
  <c r="I217" i="4"/>
  <c r="J217" i="4"/>
  <c r="L217" i="4"/>
  <c r="M217" i="4"/>
  <c r="O217" i="4"/>
  <c r="P217" i="4"/>
  <c r="I218" i="4"/>
  <c r="J218" i="4"/>
  <c r="L218" i="4"/>
  <c r="M218" i="4"/>
  <c r="O218" i="4"/>
  <c r="R218" i="4"/>
  <c r="P218" i="4"/>
  <c r="I219" i="4"/>
  <c r="J219" i="4"/>
  <c r="L219" i="4"/>
  <c r="M219" i="4"/>
  <c r="O219" i="4"/>
  <c r="P219" i="4"/>
  <c r="I220" i="4"/>
  <c r="J220" i="4"/>
  <c r="L220" i="4"/>
  <c r="M220" i="4"/>
  <c r="O220" i="4"/>
  <c r="P220" i="4"/>
  <c r="I221" i="4"/>
  <c r="J221" i="4"/>
  <c r="L221" i="4"/>
  <c r="M221" i="4"/>
  <c r="O221" i="4"/>
  <c r="P221" i="4"/>
  <c r="I222" i="4"/>
  <c r="J222" i="4"/>
  <c r="L222" i="4"/>
  <c r="M222" i="4"/>
  <c r="O222" i="4"/>
  <c r="P222" i="4"/>
  <c r="I223" i="4"/>
  <c r="J223" i="4"/>
  <c r="L223" i="4"/>
  <c r="M223" i="4"/>
  <c r="O223" i="4"/>
  <c r="P223" i="4"/>
  <c r="I224" i="4"/>
  <c r="J224" i="4"/>
  <c r="L224" i="4"/>
  <c r="M224" i="4"/>
  <c r="O224" i="4"/>
  <c r="P224" i="4"/>
  <c r="I225" i="4"/>
  <c r="J225" i="4"/>
  <c r="L225" i="4"/>
  <c r="M225" i="4"/>
  <c r="O225" i="4"/>
  <c r="P225" i="4"/>
  <c r="I226" i="4"/>
  <c r="J226" i="4"/>
  <c r="L226" i="4"/>
  <c r="M226" i="4"/>
  <c r="O226" i="4"/>
  <c r="P226" i="4"/>
  <c r="I227" i="4"/>
  <c r="J227" i="4"/>
  <c r="L227" i="4"/>
  <c r="M227" i="4"/>
  <c r="O227" i="4"/>
  <c r="P227" i="4"/>
  <c r="I228" i="4"/>
  <c r="J228" i="4"/>
  <c r="L228" i="4"/>
  <c r="M228" i="4"/>
  <c r="O228" i="4"/>
  <c r="P228" i="4"/>
  <c r="I229" i="4"/>
  <c r="J229" i="4"/>
  <c r="L229" i="4"/>
  <c r="M229" i="4"/>
  <c r="O229" i="4"/>
  <c r="P229" i="4"/>
  <c r="I230" i="4"/>
  <c r="J230" i="4"/>
  <c r="L230" i="4"/>
  <c r="M230" i="4"/>
  <c r="O230" i="4"/>
  <c r="P230" i="4"/>
  <c r="I231" i="4"/>
  <c r="J231" i="4"/>
  <c r="L231" i="4"/>
  <c r="M231" i="4"/>
  <c r="O231" i="4"/>
  <c r="P231" i="4"/>
  <c r="I232" i="4"/>
  <c r="J232" i="4"/>
  <c r="L232" i="4"/>
  <c r="M232" i="4"/>
  <c r="O232" i="4"/>
  <c r="P232" i="4"/>
  <c r="I233" i="4"/>
  <c r="J233" i="4"/>
  <c r="L233" i="4"/>
  <c r="M233" i="4"/>
  <c r="O233" i="4"/>
  <c r="P233" i="4"/>
  <c r="I234" i="4"/>
  <c r="J234" i="4"/>
  <c r="L234" i="4"/>
  <c r="M234" i="4"/>
  <c r="O234" i="4"/>
  <c r="P234" i="4"/>
  <c r="I235" i="4"/>
  <c r="J235" i="4"/>
  <c r="L235" i="4"/>
  <c r="M235" i="4"/>
  <c r="O235" i="4"/>
  <c r="P235" i="4"/>
  <c r="I236" i="4"/>
  <c r="J236" i="4"/>
  <c r="L236" i="4"/>
  <c r="M236" i="4"/>
  <c r="O236" i="4"/>
  <c r="P236" i="4"/>
  <c r="I237" i="4"/>
  <c r="J237" i="4"/>
  <c r="L237" i="4"/>
  <c r="M237" i="4"/>
  <c r="O237" i="4"/>
  <c r="P237" i="4"/>
  <c r="I238" i="4"/>
  <c r="J238" i="4"/>
  <c r="L238" i="4"/>
  <c r="M238" i="4"/>
  <c r="O238" i="4"/>
  <c r="P238" i="4"/>
  <c r="I239" i="4"/>
  <c r="J239" i="4"/>
  <c r="L239" i="4"/>
  <c r="M239" i="4"/>
  <c r="O239" i="4"/>
  <c r="P239" i="4"/>
  <c r="I240" i="4"/>
  <c r="J240" i="4"/>
  <c r="L240" i="4"/>
  <c r="M240" i="4"/>
  <c r="O240" i="4"/>
  <c r="P240" i="4"/>
  <c r="I241" i="4"/>
  <c r="J241" i="4"/>
  <c r="L241" i="4"/>
  <c r="M241" i="4"/>
  <c r="O241" i="4"/>
  <c r="P241" i="4"/>
  <c r="I242" i="4"/>
  <c r="J242" i="4"/>
  <c r="L242" i="4"/>
  <c r="M242" i="4"/>
  <c r="O242" i="4"/>
  <c r="P242" i="4"/>
  <c r="S241" i="4"/>
  <c r="I243" i="4"/>
  <c r="J243" i="4"/>
  <c r="L243" i="4"/>
  <c r="M243" i="4"/>
  <c r="O243" i="4"/>
  <c r="P243" i="4"/>
  <c r="I244" i="4"/>
  <c r="J244" i="4"/>
  <c r="L244" i="4"/>
  <c r="M244" i="4"/>
  <c r="O244" i="4"/>
  <c r="P244" i="4"/>
  <c r="I245" i="4"/>
  <c r="J245" i="4"/>
  <c r="L245" i="4"/>
  <c r="M245" i="4"/>
  <c r="O245" i="4"/>
  <c r="P245" i="4"/>
  <c r="I246" i="4"/>
  <c r="J246" i="4"/>
  <c r="L246" i="4"/>
  <c r="M246" i="4"/>
  <c r="O246" i="4"/>
  <c r="P246" i="4"/>
  <c r="I247" i="4"/>
  <c r="J247" i="4"/>
  <c r="L247" i="4"/>
  <c r="M247" i="4"/>
  <c r="O247" i="4"/>
  <c r="P247" i="4"/>
  <c r="I248" i="4"/>
  <c r="J248" i="4"/>
  <c r="L248" i="4"/>
  <c r="M248" i="4"/>
  <c r="O248" i="4"/>
  <c r="P248" i="4"/>
  <c r="I249" i="4"/>
  <c r="J249" i="4"/>
  <c r="L249" i="4"/>
  <c r="M249" i="4"/>
  <c r="O249" i="4"/>
  <c r="P249" i="4"/>
  <c r="I250" i="4"/>
  <c r="J250" i="4"/>
  <c r="L250" i="4"/>
  <c r="M250" i="4"/>
  <c r="O250" i="4"/>
  <c r="P250" i="4"/>
  <c r="I251" i="4"/>
  <c r="J251" i="4"/>
  <c r="L251" i="4"/>
  <c r="M251" i="4"/>
  <c r="O251" i="4"/>
  <c r="P251" i="4"/>
  <c r="I252" i="4"/>
  <c r="J252" i="4"/>
  <c r="L252" i="4"/>
  <c r="M252" i="4"/>
  <c r="O252" i="4"/>
  <c r="P252" i="4"/>
  <c r="I253" i="4"/>
  <c r="J253" i="4"/>
  <c r="L253" i="4"/>
  <c r="M253" i="4"/>
  <c r="O253" i="4"/>
  <c r="P253" i="4"/>
  <c r="I254" i="4"/>
  <c r="J254" i="4"/>
  <c r="L254" i="4"/>
  <c r="M254" i="4"/>
  <c r="O254" i="4"/>
  <c r="P254" i="4"/>
  <c r="I255" i="4"/>
  <c r="J255" i="4"/>
  <c r="L255" i="4"/>
  <c r="M255" i="4"/>
  <c r="O255" i="4"/>
  <c r="P255" i="4"/>
  <c r="I256" i="4"/>
  <c r="J256" i="4"/>
  <c r="L256" i="4"/>
  <c r="M256" i="4"/>
  <c r="O256" i="4"/>
  <c r="P256" i="4"/>
  <c r="I257" i="4"/>
  <c r="J257" i="4"/>
  <c r="L257" i="4"/>
  <c r="M257" i="4"/>
  <c r="O257" i="4"/>
  <c r="P257" i="4"/>
  <c r="S257" i="4"/>
  <c r="I258" i="4"/>
  <c r="J258" i="4"/>
  <c r="L258" i="4"/>
  <c r="M258" i="4"/>
  <c r="O258" i="4"/>
  <c r="P258" i="4"/>
  <c r="I259" i="4"/>
  <c r="J259" i="4"/>
  <c r="L259" i="4"/>
  <c r="M259" i="4"/>
  <c r="O259" i="4"/>
  <c r="P259" i="4"/>
  <c r="I260" i="4"/>
  <c r="J260" i="4"/>
  <c r="L260" i="4"/>
  <c r="M260" i="4"/>
  <c r="O260" i="4"/>
  <c r="P260" i="4"/>
  <c r="I261" i="4"/>
  <c r="J261" i="4"/>
  <c r="L261" i="4"/>
  <c r="M261" i="4"/>
  <c r="O261" i="4"/>
  <c r="P261" i="4"/>
  <c r="I262" i="4"/>
  <c r="J262" i="4"/>
  <c r="L262" i="4"/>
  <c r="M262" i="4"/>
  <c r="O262" i="4"/>
  <c r="P262" i="4"/>
  <c r="I263" i="4"/>
  <c r="J263" i="4"/>
  <c r="L263" i="4"/>
  <c r="M263" i="4"/>
  <c r="O263" i="4"/>
  <c r="P263" i="4"/>
  <c r="I264" i="4"/>
  <c r="J264" i="4"/>
  <c r="L264" i="4"/>
  <c r="M264" i="4"/>
  <c r="O264" i="4"/>
  <c r="P264" i="4"/>
  <c r="I265" i="4"/>
  <c r="J265" i="4"/>
  <c r="L265" i="4"/>
  <c r="M265" i="4"/>
  <c r="O265" i="4"/>
  <c r="P265" i="4"/>
  <c r="I266" i="4"/>
  <c r="J266" i="4"/>
  <c r="L266" i="4"/>
  <c r="M266" i="4"/>
  <c r="O266" i="4"/>
  <c r="P266" i="4"/>
  <c r="I267" i="4"/>
  <c r="J267" i="4"/>
  <c r="L267" i="4"/>
  <c r="M267" i="4"/>
  <c r="O267" i="4"/>
  <c r="P267" i="4"/>
  <c r="I268" i="4"/>
  <c r="J268" i="4"/>
  <c r="L268" i="4"/>
  <c r="M268" i="4"/>
  <c r="O268" i="4"/>
  <c r="P268" i="4"/>
  <c r="I269" i="4"/>
  <c r="J269" i="4"/>
  <c r="L269" i="4"/>
  <c r="M269" i="4"/>
  <c r="O269" i="4"/>
  <c r="P269" i="4"/>
  <c r="I270" i="4"/>
  <c r="J270" i="4"/>
  <c r="L270" i="4"/>
  <c r="M270" i="4"/>
  <c r="O270" i="4"/>
  <c r="P270" i="4"/>
  <c r="I271" i="4"/>
  <c r="J271" i="4"/>
  <c r="L271" i="4"/>
  <c r="M271" i="4"/>
  <c r="O271" i="4"/>
  <c r="P271" i="4"/>
  <c r="I272" i="4"/>
  <c r="J272" i="4"/>
  <c r="L272" i="4"/>
  <c r="M272" i="4"/>
  <c r="O272" i="4"/>
  <c r="P272" i="4"/>
  <c r="I273" i="4"/>
  <c r="J273" i="4"/>
  <c r="L273" i="4"/>
  <c r="M273" i="4"/>
  <c r="O273" i="4"/>
  <c r="P273" i="4"/>
  <c r="I274" i="4"/>
  <c r="J274" i="4"/>
  <c r="L274" i="4"/>
  <c r="M274" i="4"/>
  <c r="O274" i="4"/>
  <c r="R274" i="4"/>
  <c r="P274" i="4"/>
  <c r="I275" i="4"/>
  <c r="J275" i="4"/>
  <c r="L275" i="4"/>
  <c r="M275" i="4"/>
  <c r="O275" i="4"/>
  <c r="P275" i="4"/>
  <c r="I276" i="4"/>
  <c r="J276" i="4"/>
  <c r="L276" i="4"/>
  <c r="M276" i="4"/>
  <c r="O276" i="4"/>
  <c r="P276" i="4"/>
  <c r="I277" i="4"/>
  <c r="J277" i="4"/>
  <c r="L277" i="4"/>
  <c r="M277" i="4"/>
  <c r="O277" i="4"/>
  <c r="P277" i="4"/>
  <c r="I278" i="4"/>
  <c r="J278" i="4"/>
  <c r="L278" i="4"/>
  <c r="M278" i="4"/>
  <c r="O278" i="4"/>
  <c r="P278" i="4"/>
  <c r="I279" i="4"/>
  <c r="J279" i="4"/>
  <c r="L279" i="4"/>
  <c r="M279" i="4"/>
  <c r="O279" i="4"/>
  <c r="P279" i="4"/>
  <c r="I280" i="4"/>
  <c r="J280" i="4"/>
  <c r="L280" i="4"/>
  <c r="M280" i="4"/>
  <c r="O280" i="4"/>
  <c r="P280" i="4"/>
  <c r="I281" i="4"/>
  <c r="J281" i="4"/>
  <c r="L281" i="4"/>
  <c r="M281" i="4"/>
  <c r="O281" i="4"/>
  <c r="P281" i="4"/>
  <c r="I282" i="4"/>
  <c r="J282" i="4"/>
  <c r="L282" i="4"/>
  <c r="M282" i="4"/>
  <c r="O282" i="4"/>
  <c r="R280" i="4"/>
  <c r="P282" i="4"/>
  <c r="I283" i="4"/>
  <c r="J283" i="4"/>
  <c r="L283" i="4"/>
  <c r="M283" i="4"/>
  <c r="O283" i="4"/>
  <c r="P283" i="4"/>
  <c r="I284" i="4"/>
  <c r="J284" i="4"/>
  <c r="L284" i="4"/>
  <c r="M284" i="4"/>
  <c r="O284" i="4"/>
  <c r="P284" i="4"/>
  <c r="I285" i="4"/>
  <c r="J285" i="4"/>
  <c r="L285" i="4"/>
  <c r="M285" i="4"/>
  <c r="O285" i="4"/>
  <c r="P285" i="4"/>
  <c r="I286" i="4"/>
  <c r="J286" i="4"/>
  <c r="L286" i="4"/>
  <c r="M286" i="4"/>
  <c r="O286" i="4"/>
  <c r="P286" i="4"/>
  <c r="I287" i="4"/>
  <c r="J287" i="4"/>
  <c r="L287" i="4"/>
  <c r="M287" i="4"/>
  <c r="O287" i="4"/>
  <c r="R285" i="4"/>
  <c r="P287" i="4"/>
  <c r="I288" i="4"/>
  <c r="J288" i="4"/>
  <c r="L288" i="4"/>
  <c r="M288" i="4"/>
  <c r="O288" i="4"/>
  <c r="P288" i="4"/>
  <c r="I289" i="4"/>
  <c r="J289" i="4"/>
  <c r="L289" i="4"/>
  <c r="M289" i="4"/>
  <c r="O289" i="4"/>
  <c r="P289" i="4"/>
  <c r="S289" i="4"/>
  <c r="I290" i="4"/>
  <c r="J290" i="4"/>
  <c r="L290" i="4"/>
  <c r="M290" i="4"/>
  <c r="O290" i="4"/>
  <c r="P290" i="4"/>
  <c r="I291" i="4"/>
  <c r="J291" i="4"/>
  <c r="L291" i="4"/>
  <c r="M291" i="4"/>
  <c r="O291" i="4"/>
  <c r="P291" i="4"/>
  <c r="I292" i="4"/>
  <c r="J292" i="4"/>
  <c r="L292" i="4"/>
  <c r="M292" i="4"/>
  <c r="O292" i="4"/>
  <c r="P292" i="4"/>
  <c r="I293" i="4"/>
  <c r="J293" i="4"/>
  <c r="L293" i="4"/>
  <c r="M293" i="4"/>
  <c r="O293" i="4"/>
  <c r="P293" i="4"/>
  <c r="I294" i="4"/>
  <c r="J294" i="4"/>
  <c r="L294" i="4"/>
  <c r="M294" i="4"/>
  <c r="O294" i="4"/>
  <c r="P294" i="4"/>
  <c r="I295" i="4"/>
  <c r="J295" i="4"/>
  <c r="L295" i="4"/>
  <c r="M295" i="4"/>
  <c r="O295" i="4"/>
  <c r="P295" i="4"/>
  <c r="I296" i="4"/>
  <c r="J296" i="4"/>
  <c r="L296" i="4"/>
  <c r="M296" i="4"/>
  <c r="O296" i="4"/>
  <c r="P296" i="4"/>
  <c r="I297" i="4"/>
  <c r="J297" i="4"/>
  <c r="L297" i="4"/>
  <c r="M297" i="4"/>
  <c r="O297" i="4"/>
  <c r="P297" i="4"/>
  <c r="I298" i="4"/>
  <c r="J298" i="4"/>
  <c r="L298" i="4"/>
  <c r="M298" i="4"/>
  <c r="O298" i="4"/>
  <c r="P298" i="4"/>
  <c r="I299" i="4"/>
  <c r="J299" i="4"/>
  <c r="L299" i="4"/>
  <c r="M299" i="4"/>
  <c r="O299" i="4"/>
  <c r="P299" i="4"/>
  <c r="I300" i="4"/>
  <c r="J300" i="4"/>
  <c r="L300" i="4"/>
  <c r="M300" i="4"/>
  <c r="O300" i="4"/>
  <c r="P300" i="4"/>
  <c r="I301" i="4"/>
  <c r="J301" i="4"/>
  <c r="L301" i="4"/>
  <c r="M301" i="4"/>
  <c r="O301" i="4"/>
  <c r="P301" i="4"/>
  <c r="I302" i="4"/>
  <c r="J302" i="4"/>
  <c r="L302" i="4"/>
  <c r="M302" i="4"/>
  <c r="O302" i="4"/>
  <c r="P302" i="4"/>
  <c r="I303" i="4"/>
  <c r="J303" i="4"/>
  <c r="L303" i="4"/>
  <c r="M303" i="4"/>
  <c r="O303" i="4"/>
  <c r="R303" i="4"/>
  <c r="P303" i="4"/>
  <c r="I304" i="4"/>
  <c r="J304" i="4"/>
  <c r="L304" i="4"/>
  <c r="M304" i="4"/>
  <c r="O304" i="4"/>
  <c r="P304" i="4"/>
  <c r="I305" i="4"/>
  <c r="J305" i="4"/>
  <c r="L305" i="4"/>
  <c r="M305" i="4"/>
  <c r="O305" i="4"/>
  <c r="P305" i="4"/>
  <c r="I306" i="4"/>
  <c r="J306" i="4"/>
  <c r="L306" i="4"/>
  <c r="M306" i="4"/>
  <c r="O306" i="4"/>
  <c r="P306" i="4"/>
  <c r="I307" i="4"/>
  <c r="J307" i="4"/>
  <c r="L307" i="4"/>
  <c r="M307" i="4"/>
  <c r="O307" i="4"/>
  <c r="P307" i="4"/>
  <c r="I308" i="4"/>
  <c r="J308" i="4"/>
  <c r="L308" i="4"/>
  <c r="M308" i="4"/>
  <c r="O308" i="4"/>
  <c r="P308" i="4"/>
  <c r="I309" i="4"/>
  <c r="J309" i="4"/>
  <c r="L309" i="4"/>
  <c r="M309" i="4"/>
  <c r="O309" i="4"/>
  <c r="P309" i="4"/>
  <c r="I310" i="4"/>
  <c r="J310" i="4"/>
  <c r="L310" i="4"/>
  <c r="M310" i="4"/>
  <c r="O310" i="4"/>
  <c r="P310" i="4"/>
  <c r="I311" i="4"/>
  <c r="J311" i="4"/>
  <c r="L311" i="4"/>
  <c r="M311" i="4"/>
  <c r="O311" i="4"/>
  <c r="P311" i="4"/>
  <c r="I312" i="4"/>
  <c r="J312" i="4"/>
  <c r="L312" i="4"/>
  <c r="M312" i="4"/>
  <c r="O312" i="4"/>
  <c r="P312" i="4"/>
  <c r="I313" i="4"/>
  <c r="J313" i="4"/>
  <c r="L313" i="4"/>
  <c r="M313" i="4"/>
  <c r="O313" i="4"/>
  <c r="P313" i="4"/>
  <c r="I314" i="4"/>
  <c r="J314" i="4"/>
  <c r="L314" i="4"/>
  <c r="M314" i="4"/>
  <c r="O314" i="4"/>
  <c r="P314" i="4"/>
  <c r="I315" i="4"/>
  <c r="J315" i="4"/>
  <c r="L315" i="4"/>
  <c r="M315" i="4"/>
  <c r="O315" i="4"/>
  <c r="P315" i="4"/>
  <c r="I316" i="4"/>
  <c r="J316" i="4"/>
  <c r="L316" i="4"/>
  <c r="M316" i="4"/>
  <c r="O316" i="4"/>
  <c r="P316" i="4"/>
  <c r="I317" i="4"/>
  <c r="J317" i="4"/>
  <c r="L317" i="4"/>
  <c r="M317" i="4"/>
  <c r="O317" i="4"/>
  <c r="P317" i="4"/>
  <c r="I318" i="4"/>
  <c r="J318" i="4"/>
  <c r="L318" i="4"/>
  <c r="M318" i="4"/>
  <c r="O318" i="4"/>
  <c r="P318" i="4"/>
  <c r="I319" i="4"/>
  <c r="J319" i="4"/>
  <c r="L319" i="4"/>
  <c r="M319" i="4"/>
  <c r="O319" i="4"/>
  <c r="P319" i="4"/>
  <c r="I320" i="4"/>
  <c r="J320" i="4"/>
  <c r="L320" i="4"/>
  <c r="M320" i="4"/>
  <c r="O320" i="4"/>
  <c r="P320" i="4"/>
  <c r="I321" i="4"/>
  <c r="J321" i="4"/>
  <c r="L321" i="4"/>
  <c r="M321" i="4"/>
  <c r="O321" i="4"/>
  <c r="P321" i="4"/>
  <c r="I322" i="4"/>
  <c r="J322" i="4"/>
  <c r="L322" i="4"/>
  <c r="M322" i="4"/>
  <c r="O322" i="4"/>
  <c r="P322" i="4"/>
  <c r="I323" i="4"/>
  <c r="J323" i="4"/>
  <c r="L323" i="4"/>
  <c r="M323" i="4"/>
  <c r="O323" i="4"/>
  <c r="P323" i="4"/>
  <c r="I324" i="4"/>
  <c r="J324" i="4"/>
  <c r="L324" i="4"/>
  <c r="M324" i="4"/>
  <c r="O324" i="4"/>
  <c r="P324" i="4"/>
  <c r="I325" i="4"/>
  <c r="J325" i="4"/>
  <c r="L325" i="4"/>
  <c r="M325" i="4"/>
  <c r="O325" i="4"/>
  <c r="P325" i="4"/>
  <c r="I326" i="4"/>
  <c r="J326" i="4"/>
  <c r="L326" i="4"/>
  <c r="M326" i="4"/>
  <c r="O326" i="4"/>
  <c r="P326" i="4"/>
  <c r="I327" i="4"/>
  <c r="J327" i="4"/>
  <c r="L327" i="4"/>
  <c r="M327" i="4"/>
  <c r="O327" i="4"/>
  <c r="P327" i="4"/>
  <c r="I328" i="4"/>
  <c r="J328" i="4"/>
  <c r="L328" i="4"/>
  <c r="M328" i="4"/>
  <c r="O328" i="4"/>
  <c r="P328" i="4"/>
  <c r="I329" i="4"/>
  <c r="J329" i="4"/>
  <c r="L329" i="4"/>
  <c r="M329" i="4"/>
  <c r="O329" i="4"/>
  <c r="P329" i="4"/>
  <c r="I330" i="4"/>
  <c r="J330" i="4"/>
  <c r="L330" i="4"/>
  <c r="M330" i="4"/>
  <c r="O330" i="4"/>
  <c r="R330" i="4"/>
  <c r="P330" i="4"/>
  <c r="I331" i="4"/>
  <c r="J331" i="4"/>
  <c r="L331" i="4"/>
  <c r="M331" i="4"/>
  <c r="O331" i="4"/>
  <c r="P331" i="4"/>
  <c r="I332" i="4"/>
  <c r="J332" i="4"/>
  <c r="L332" i="4"/>
  <c r="M332" i="4"/>
  <c r="O332" i="4"/>
  <c r="P332" i="4"/>
  <c r="I333" i="4"/>
  <c r="J333" i="4"/>
  <c r="L333" i="4"/>
  <c r="M333" i="4"/>
  <c r="O333" i="4"/>
  <c r="P333" i="4"/>
  <c r="I334" i="4"/>
  <c r="J334" i="4"/>
  <c r="L334" i="4"/>
  <c r="M334" i="4"/>
  <c r="O334" i="4"/>
  <c r="P334" i="4"/>
  <c r="I335" i="4"/>
  <c r="J335" i="4"/>
  <c r="L335" i="4"/>
  <c r="M335" i="4"/>
  <c r="O335" i="4"/>
  <c r="P335" i="4"/>
  <c r="I336" i="4"/>
  <c r="J336" i="4"/>
  <c r="L336" i="4"/>
  <c r="M336" i="4"/>
  <c r="O336" i="4"/>
  <c r="P336" i="4"/>
  <c r="I337" i="4"/>
  <c r="J337" i="4"/>
  <c r="L337" i="4"/>
  <c r="M337" i="4"/>
  <c r="O337" i="4"/>
  <c r="P337" i="4"/>
  <c r="I338" i="4"/>
  <c r="J338" i="4"/>
  <c r="L338" i="4"/>
  <c r="M338" i="4"/>
  <c r="O338" i="4"/>
  <c r="P338" i="4"/>
  <c r="I339" i="4"/>
  <c r="J339" i="4"/>
  <c r="L339" i="4"/>
  <c r="M339" i="4"/>
  <c r="O339" i="4"/>
  <c r="P339" i="4"/>
  <c r="I340" i="4"/>
  <c r="J340" i="4"/>
  <c r="L340" i="4"/>
  <c r="M340" i="4"/>
  <c r="O340" i="4"/>
  <c r="P340" i="4"/>
  <c r="S340" i="4"/>
  <c r="I341" i="4"/>
  <c r="J341" i="4"/>
  <c r="L341" i="4"/>
  <c r="M341" i="4"/>
  <c r="O341" i="4"/>
  <c r="P341" i="4"/>
  <c r="I342" i="4"/>
  <c r="J342" i="4"/>
  <c r="L342" i="4"/>
  <c r="M342" i="4"/>
  <c r="O342" i="4"/>
  <c r="P342" i="4"/>
  <c r="I343" i="4"/>
  <c r="J343" i="4"/>
  <c r="L343" i="4"/>
  <c r="M343" i="4"/>
  <c r="O343" i="4"/>
  <c r="P343" i="4"/>
  <c r="I344" i="4"/>
  <c r="J344" i="4"/>
  <c r="L344" i="4"/>
  <c r="M344" i="4"/>
  <c r="O344" i="4"/>
  <c r="P344" i="4"/>
  <c r="I345" i="4"/>
  <c r="J345" i="4"/>
  <c r="L345" i="4"/>
  <c r="M345" i="4"/>
  <c r="O345" i="4"/>
  <c r="P345" i="4"/>
  <c r="I346" i="4"/>
  <c r="J346" i="4"/>
  <c r="L346" i="4"/>
  <c r="M346" i="4"/>
  <c r="O346" i="4"/>
  <c r="R346" i="4"/>
  <c r="P346" i="4"/>
  <c r="I347" i="4"/>
  <c r="J347" i="4"/>
  <c r="L347" i="4"/>
  <c r="M347" i="4"/>
  <c r="O347" i="4"/>
  <c r="P347" i="4"/>
  <c r="I348" i="4"/>
  <c r="J348" i="4"/>
  <c r="L348" i="4"/>
  <c r="M348" i="4"/>
  <c r="O348" i="4"/>
  <c r="P348" i="4"/>
  <c r="I349" i="4"/>
  <c r="J349" i="4"/>
  <c r="L349" i="4"/>
  <c r="M349" i="4"/>
  <c r="O349" i="4"/>
  <c r="P349" i="4"/>
  <c r="I350" i="4"/>
  <c r="J350" i="4"/>
  <c r="L350" i="4"/>
  <c r="M350" i="4"/>
  <c r="O350" i="4"/>
  <c r="P350" i="4"/>
  <c r="I351" i="4"/>
  <c r="J351" i="4"/>
  <c r="L351" i="4"/>
  <c r="M351" i="4"/>
  <c r="O351" i="4"/>
  <c r="P351" i="4"/>
  <c r="I352" i="4"/>
  <c r="J352" i="4"/>
  <c r="L352" i="4"/>
  <c r="M352" i="4"/>
  <c r="O352" i="4"/>
  <c r="P352" i="4"/>
  <c r="I353" i="4"/>
  <c r="J353" i="4"/>
  <c r="L353" i="4"/>
  <c r="M353" i="4"/>
  <c r="O353" i="4"/>
  <c r="P353" i="4"/>
  <c r="S353" i="4"/>
  <c r="I354" i="4"/>
  <c r="J354" i="4"/>
  <c r="L354" i="4"/>
  <c r="M354" i="4"/>
  <c r="O354" i="4"/>
  <c r="P354" i="4"/>
  <c r="I355" i="4"/>
  <c r="J355" i="4"/>
  <c r="L355" i="4"/>
  <c r="M355" i="4"/>
  <c r="O355" i="4"/>
  <c r="P355" i="4"/>
  <c r="I356" i="4"/>
  <c r="J356" i="4"/>
  <c r="L356" i="4"/>
  <c r="M356" i="4"/>
  <c r="O356" i="4"/>
  <c r="P356" i="4"/>
  <c r="I357" i="4"/>
  <c r="J357" i="4"/>
  <c r="L357" i="4"/>
  <c r="M357" i="4"/>
  <c r="O357" i="4"/>
  <c r="P357" i="4"/>
  <c r="I358" i="4"/>
  <c r="J358" i="4"/>
  <c r="L358" i="4"/>
  <c r="M358" i="4"/>
  <c r="O358" i="4"/>
  <c r="P358" i="4"/>
  <c r="I359" i="4"/>
  <c r="J359" i="4"/>
  <c r="L359" i="4"/>
  <c r="M359" i="4"/>
  <c r="O359" i="4"/>
  <c r="P359" i="4"/>
  <c r="I360" i="4"/>
  <c r="J360" i="4"/>
  <c r="L360" i="4"/>
  <c r="M360" i="4"/>
  <c r="O360" i="4"/>
  <c r="P360" i="4"/>
  <c r="I361" i="4"/>
  <c r="J361" i="4"/>
  <c r="L361" i="4"/>
  <c r="M361" i="4"/>
  <c r="O361" i="4"/>
  <c r="P361" i="4"/>
  <c r="I362" i="4"/>
  <c r="J362" i="4"/>
  <c r="L362" i="4"/>
  <c r="M362" i="4"/>
  <c r="O362" i="4"/>
  <c r="P362" i="4"/>
  <c r="I363" i="4"/>
  <c r="J363" i="4"/>
  <c r="L363" i="4"/>
  <c r="M363" i="4"/>
  <c r="O363" i="4"/>
  <c r="P363" i="4"/>
  <c r="I364" i="4"/>
  <c r="J364" i="4"/>
  <c r="L364" i="4"/>
  <c r="M364" i="4"/>
  <c r="O364" i="4"/>
  <c r="P364" i="4"/>
  <c r="I365" i="4"/>
  <c r="J365" i="4"/>
  <c r="L365" i="4"/>
  <c r="M365" i="4"/>
  <c r="O365" i="4"/>
  <c r="P365" i="4"/>
  <c r="I366" i="4"/>
  <c r="J366" i="4"/>
  <c r="L366" i="4"/>
  <c r="M366" i="4"/>
  <c r="O366" i="4"/>
  <c r="P366" i="4"/>
  <c r="I367" i="4"/>
  <c r="J367" i="4"/>
  <c r="L367" i="4"/>
  <c r="M367" i="4"/>
  <c r="O367" i="4"/>
  <c r="P367" i="4"/>
  <c r="I368" i="4"/>
  <c r="J368" i="4"/>
  <c r="L368" i="4"/>
  <c r="M368" i="4"/>
  <c r="O368" i="4"/>
  <c r="P368" i="4"/>
  <c r="I369" i="4"/>
  <c r="J369" i="4"/>
  <c r="L369" i="4"/>
  <c r="M369" i="4"/>
  <c r="O369" i="4"/>
  <c r="P369" i="4"/>
  <c r="I370" i="4"/>
  <c r="J370" i="4"/>
  <c r="L370" i="4"/>
  <c r="M370" i="4"/>
  <c r="O370" i="4"/>
  <c r="P370" i="4"/>
  <c r="I371" i="4"/>
  <c r="J371" i="4"/>
  <c r="L371" i="4"/>
  <c r="M371" i="4"/>
  <c r="O371" i="4"/>
  <c r="P371" i="4"/>
  <c r="I372" i="4"/>
  <c r="J372" i="4"/>
  <c r="L372" i="4"/>
  <c r="M372" i="4"/>
  <c r="O372" i="4"/>
  <c r="P372" i="4"/>
  <c r="I373" i="4"/>
  <c r="J373" i="4"/>
  <c r="L373" i="4"/>
  <c r="M373" i="4"/>
  <c r="O373" i="4"/>
  <c r="P373" i="4"/>
  <c r="I374" i="4"/>
  <c r="J374" i="4"/>
  <c r="L374" i="4"/>
  <c r="M374" i="4"/>
  <c r="O374" i="4"/>
  <c r="P374" i="4"/>
  <c r="I375" i="4"/>
  <c r="J375" i="4"/>
  <c r="L375" i="4"/>
  <c r="M375" i="4"/>
  <c r="O375" i="4"/>
  <c r="P375" i="4"/>
  <c r="I376" i="4"/>
  <c r="J376" i="4"/>
  <c r="L376" i="4"/>
  <c r="M376" i="4"/>
  <c r="O376" i="4"/>
  <c r="P376" i="4"/>
  <c r="I377" i="4"/>
  <c r="J377" i="4"/>
  <c r="L377" i="4"/>
  <c r="M377" i="4"/>
  <c r="O377" i="4"/>
  <c r="P377" i="4"/>
  <c r="I378" i="4"/>
  <c r="J378" i="4"/>
  <c r="L378" i="4"/>
  <c r="M378" i="4"/>
  <c r="O378" i="4"/>
  <c r="P378" i="4"/>
  <c r="I379" i="4"/>
  <c r="J379" i="4"/>
  <c r="L379" i="4"/>
  <c r="M379" i="4"/>
  <c r="O379" i="4"/>
  <c r="P379" i="4"/>
  <c r="I380" i="4"/>
  <c r="J380" i="4"/>
  <c r="L380" i="4"/>
  <c r="M380" i="4"/>
  <c r="O380" i="4"/>
  <c r="P380" i="4"/>
  <c r="I381" i="4"/>
  <c r="J381" i="4"/>
  <c r="L381" i="4"/>
  <c r="M381" i="4"/>
  <c r="O381" i="4"/>
  <c r="P381" i="4"/>
  <c r="I382" i="4"/>
  <c r="J382" i="4"/>
  <c r="L382" i="4"/>
  <c r="M382" i="4"/>
  <c r="O382" i="4"/>
  <c r="P382" i="4"/>
  <c r="I383" i="4"/>
  <c r="J383" i="4"/>
  <c r="L383" i="4"/>
  <c r="M383" i="4"/>
  <c r="O383" i="4"/>
  <c r="P383" i="4"/>
  <c r="I384" i="4"/>
  <c r="J384" i="4"/>
  <c r="L384" i="4"/>
  <c r="M384" i="4"/>
  <c r="O384" i="4"/>
  <c r="P384" i="4"/>
  <c r="I385" i="4"/>
  <c r="J385" i="4"/>
  <c r="L385" i="4"/>
  <c r="M385" i="4"/>
  <c r="O385" i="4"/>
  <c r="P385" i="4"/>
  <c r="I386" i="4"/>
  <c r="J386" i="4"/>
  <c r="L386" i="4"/>
  <c r="M386" i="4"/>
  <c r="O386" i="4"/>
  <c r="P386" i="4"/>
  <c r="I387" i="4"/>
  <c r="J387" i="4"/>
  <c r="L387" i="4"/>
  <c r="M387" i="4"/>
  <c r="O387" i="4"/>
  <c r="P387" i="4"/>
  <c r="I388" i="4"/>
  <c r="J388" i="4"/>
  <c r="L388" i="4"/>
  <c r="M388" i="4"/>
  <c r="O388" i="4"/>
  <c r="P388" i="4"/>
  <c r="I389" i="4"/>
  <c r="J389" i="4"/>
  <c r="L389" i="4"/>
  <c r="M389" i="4"/>
  <c r="O389" i="4"/>
  <c r="P389" i="4"/>
  <c r="I390" i="4"/>
  <c r="J390" i="4"/>
  <c r="L390" i="4"/>
  <c r="M390" i="4"/>
  <c r="O390" i="4"/>
  <c r="P390" i="4"/>
  <c r="I391" i="4"/>
  <c r="J391" i="4"/>
  <c r="L391" i="4"/>
  <c r="M391" i="4"/>
  <c r="O391" i="4"/>
  <c r="P391" i="4"/>
  <c r="I392" i="4"/>
  <c r="J392" i="4"/>
  <c r="L392" i="4"/>
  <c r="M392" i="4"/>
  <c r="O392" i="4"/>
  <c r="P392" i="4"/>
  <c r="I393" i="4"/>
  <c r="J393" i="4"/>
  <c r="L393" i="4"/>
  <c r="M393" i="4"/>
  <c r="O393" i="4"/>
  <c r="P393" i="4"/>
  <c r="I394" i="4"/>
  <c r="J394" i="4"/>
  <c r="L394" i="4"/>
  <c r="M394" i="4"/>
  <c r="O394" i="4"/>
  <c r="P394" i="4"/>
  <c r="I395" i="4"/>
  <c r="J395" i="4"/>
  <c r="L395" i="4"/>
  <c r="M395" i="4"/>
  <c r="O395" i="4"/>
  <c r="P395" i="4"/>
  <c r="I396" i="4"/>
  <c r="J396" i="4"/>
  <c r="L396" i="4"/>
  <c r="M396" i="4"/>
  <c r="O396" i="4"/>
  <c r="P396" i="4"/>
  <c r="I397" i="4"/>
  <c r="J397" i="4"/>
  <c r="L397" i="4"/>
  <c r="M397" i="4"/>
  <c r="O397" i="4"/>
  <c r="P397" i="4"/>
  <c r="I398" i="4"/>
  <c r="J398" i="4"/>
  <c r="L398" i="4"/>
  <c r="M398" i="4"/>
  <c r="O398" i="4"/>
  <c r="P398" i="4"/>
  <c r="I399" i="4"/>
  <c r="J399" i="4"/>
  <c r="L399" i="4"/>
  <c r="M399" i="4"/>
  <c r="O399" i="4"/>
  <c r="P399" i="4"/>
  <c r="I400" i="4"/>
  <c r="J400" i="4"/>
  <c r="L400" i="4"/>
  <c r="M400" i="4"/>
  <c r="O400" i="4"/>
  <c r="P400" i="4"/>
  <c r="I401" i="4"/>
  <c r="J401" i="4"/>
  <c r="L401" i="4"/>
  <c r="M401" i="4"/>
  <c r="O401" i="4"/>
  <c r="P401" i="4"/>
  <c r="I402" i="4"/>
  <c r="J402" i="4"/>
  <c r="L402" i="4"/>
  <c r="M402" i="4"/>
  <c r="O402" i="4"/>
  <c r="P402" i="4"/>
  <c r="I403" i="4"/>
  <c r="J403" i="4"/>
  <c r="L403" i="4"/>
  <c r="M403" i="4"/>
  <c r="O403" i="4"/>
  <c r="P403" i="4"/>
  <c r="I404" i="4"/>
  <c r="J404" i="4"/>
  <c r="L404" i="4"/>
  <c r="M404" i="4"/>
  <c r="O404" i="4"/>
  <c r="P404" i="4"/>
  <c r="I405" i="4"/>
  <c r="J405" i="4"/>
  <c r="L405" i="4"/>
  <c r="M405" i="4"/>
  <c r="O405" i="4"/>
  <c r="P405" i="4"/>
  <c r="I406" i="4"/>
  <c r="J406" i="4"/>
  <c r="L406" i="4"/>
  <c r="M406" i="4"/>
  <c r="O406" i="4"/>
  <c r="P406" i="4"/>
  <c r="I407" i="4"/>
  <c r="J407" i="4"/>
  <c r="L407" i="4"/>
  <c r="M407" i="4"/>
  <c r="O407" i="4"/>
  <c r="P407" i="4"/>
  <c r="I408" i="4"/>
  <c r="J408" i="4"/>
  <c r="L408" i="4"/>
  <c r="M408" i="4"/>
  <c r="O408" i="4"/>
  <c r="P408" i="4"/>
  <c r="I409" i="4"/>
  <c r="J409" i="4"/>
  <c r="L409" i="4"/>
  <c r="M409" i="4"/>
  <c r="O409" i="4"/>
  <c r="P409" i="4"/>
  <c r="I410" i="4"/>
  <c r="J410" i="4"/>
  <c r="L410" i="4"/>
  <c r="M410" i="4"/>
  <c r="O410" i="4"/>
  <c r="P410" i="4"/>
  <c r="I411" i="4"/>
  <c r="J411" i="4"/>
  <c r="L411" i="4"/>
  <c r="M411" i="4"/>
  <c r="O411" i="4"/>
  <c r="P411" i="4"/>
  <c r="I412" i="4"/>
  <c r="J412" i="4"/>
  <c r="L412" i="4"/>
  <c r="M412" i="4"/>
  <c r="O412" i="4"/>
  <c r="P412" i="4"/>
  <c r="I413" i="4"/>
  <c r="J413" i="4"/>
  <c r="L413" i="4"/>
  <c r="M413" i="4"/>
  <c r="O413" i="4"/>
  <c r="P413" i="4"/>
  <c r="I414" i="4"/>
  <c r="J414" i="4"/>
  <c r="L414" i="4"/>
  <c r="M414" i="4"/>
  <c r="O414" i="4"/>
  <c r="P414" i="4"/>
  <c r="I415" i="4"/>
  <c r="J415" i="4"/>
  <c r="L415" i="4"/>
  <c r="M415" i="4"/>
  <c r="O415" i="4"/>
  <c r="P415" i="4"/>
  <c r="I416" i="4"/>
  <c r="J416" i="4"/>
  <c r="L416" i="4"/>
  <c r="M416" i="4"/>
  <c r="O416" i="4"/>
  <c r="P416" i="4"/>
  <c r="I417" i="4"/>
  <c r="J417" i="4"/>
  <c r="L417" i="4"/>
  <c r="M417" i="4"/>
  <c r="O417" i="4"/>
  <c r="P417" i="4"/>
  <c r="I418" i="4"/>
  <c r="J418" i="4"/>
  <c r="L418" i="4"/>
  <c r="M418" i="4"/>
  <c r="O418" i="4"/>
  <c r="P418" i="4"/>
  <c r="I419" i="4"/>
  <c r="J419" i="4"/>
  <c r="L419" i="4"/>
  <c r="M419" i="4"/>
  <c r="O419" i="4"/>
  <c r="P419" i="4"/>
  <c r="I420" i="4"/>
  <c r="J420" i="4"/>
  <c r="L420" i="4"/>
  <c r="M420" i="4"/>
  <c r="O420" i="4"/>
  <c r="P420" i="4"/>
  <c r="I421" i="4"/>
  <c r="J421" i="4"/>
  <c r="L421" i="4"/>
  <c r="M421" i="4"/>
  <c r="O421" i="4"/>
  <c r="P421" i="4"/>
  <c r="I422" i="4"/>
  <c r="J422" i="4"/>
  <c r="L422" i="4"/>
  <c r="M422" i="4"/>
  <c r="O422" i="4"/>
  <c r="R421" i="4"/>
  <c r="P422" i="4"/>
  <c r="I423" i="4"/>
  <c r="J423" i="4"/>
  <c r="L423" i="4"/>
  <c r="M423" i="4"/>
  <c r="O423" i="4"/>
  <c r="P423" i="4"/>
  <c r="I424" i="4"/>
  <c r="J424" i="4"/>
  <c r="L424" i="4"/>
  <c r="M424" i="4"/>
  <c r="O424" i="4"/>
  <c r="P424" i="4"/>
  <c r="I425" i="4"/>
  <c r="J425" i="4"/>
  <c r="L425" i="4"/>
  <c r="M425" i="4"/>
  <c r="O425" i="4"/>
  <c r="P425" i="4"/>
  <c r="I426" i="4"/>
  <c r="J426" i="4"/>
  <c r="L426" i="4"/>
  <c r="M426" i="4"/>
  <c r="O426" i="4"/>
  <c r="P426" i="4"/>
  <c r="I427" i="4"/>
  <c r="J427" i="4"/>
  <c r="L427" i="4"/>
  <c r="M427" i="4"/>
  <c r="O427" i="4"/>
  <c r="P427" i="4"/>
  <c r="I428" i="4"/>
  <c r="J428" i="4"/>
  <c r="L428" i="4"/>
  <c r="M428" i="4"/>
  <c r="O428" i="4"/>
  <c r="P428" i="4"/>
  <c r="I429" i="4"/>
  <c r="J429" i="4"/>
  <c r="L429" i="4"/>
  <c r="M429" i="4"/>
  <c r="O429" i="4"/>
  <c r="P429" i="4"/>
  <c r="I430" i="4"/>
  <c r="J430" i="4"/>
  <c r="L430" i="4"/>
  <c r="M430" i="4"/>
  <c r="O430" i="4"/>
  <c r="P430" i="4"/>
  <c r="I431" i="4"/>
  <c r="J431" i="4"/>
  <c r="L431" i="4"/>
  <c r="M431" i="4"/>
  <c r="O431" i="4"/>
  <c r="P431" i="4"/>
  <c r="I432" i="4"/>
  <c r="J432" i="4"/>
  <c r="L432" i="4"/>
  <c r="M432" i="4"/>
  <c r="O432" i="4"/>
  <c r="P432" i="4"/>
  <c r="I433" i="4"/>
  <c r="J433" i="4"/>
  <c r="L433" i="4"/>
  <c r="M433" i="4"/>
  <c r="O433" i="4"/>
  <c r="P433" i="4"/>
  <c r="I434" i="4"/>
  <c r="J434" i="4"/>
  <c r="L434" i="4"/>
  <c r="M434" i="4"/>
  <c r="O434" i="4"/>
  <c r="P434" i="4"/>
  <c r="I435" i="4"/>
  <c r="J435" i="4"/>
  <c r="L435" i="4"/>
  <c r="M435" i="4"/>
  <c r="O435" i="4"/>
  <c r="P435" i="4"/>
  <c r="I436" i="4"/>
  <c r="J436" i="4"/>
  <c r="L436" i="4"/>
  <c r="M436" i="4"/>
  <c r="O436" i="4"/>
  <c r="P436" i="4"/>
  <c r="I437" i="4"/>
  <c r="J437" i="4"/>
  <c r="L437" i="4"/>
  <c r="M437" i="4"/>
  <c r="O437" i="4"/>
  <c r="P437" i="4"/>
  <c r="I438" i="4"/>
  <c r="J438" i="4"/>
  <c r="L438" i="4"/>
  <c r="M438" i="4"/>
  <c r="O438" i="4"/>
  <c r="P438" i="4"/>
  <c r="I439" i="4"/>
  <c r="J439" i="4"/>
  <c r="L439" i="4"/>
  <c r="M439" i="4"/>
  <c r="O439" i="4"/>
  <c r="P439" i="4"/>
  <c r="I440" i="4"/>
  <c r="J440" i="4"/>
  <c r="L440" i="4"/>
  <c r="M440" i="4"/>
  <c r="O440" i="4"/>
  <c r="P440" i="4"/>
  <c r="I441" i="4"/>
  <c r="J441" i="4"/>
  <c r="L441" i="4"/>
  <c r="M441" i="4"/>
  <c r="O441" i="4"/>
  <c r="P441" i="4"/>
  <c r="I442" i="4"/>
  <c r="J442" i="4"/>
  <c r="L442" i="4"/>
  <c r="M442" i="4"/>
  <c r="O442" i="4"/>
  <c r="P442" i="4"/>
  <c r="I443" i="4"/>
  <c r="J443" i="4"/>
  <c r="L443" i="4"/>
  <c r="M443" i="4"/>
  <c r="O443" i="4"/>
  <c r="R443" i="4"/>
  <c r="P443" i="4"/>
  <c r="I444" i="4"/>
  <c r="J444" i="4"/>
  <c r="L444" i="4"/>
  <c r="M444" i="4"/>
  <c r="O444" i="4"/>
  <c r="P444" i="4"/>
  <c r="I445" i="4"/>
  <c r="J445" i="4"/>
  <c r="L445" i="4"/>
  <c r="M445" i="4"/>
  <c r="O445" i="4"/>
  <c r="P445" i="4"/>
  <c r="I446" i="4"/>
  <c r="J446" i="4"/>
  <c r="L446" i="4"/>
  <c r="M446" i="4"/>
  <c r="O446" i="4"/>
  <c r="P446" i="4"/>
  <c r="I447" i="4"/>
  <c r="J447" i="4"/>
  <c r="L447" i="4"/>
  <c r="M447" i="4"/>
  <c r="O447" i="4"/>
  <c r="P447" i="4"/>
  <c r="I448" i="4"/>
  <c r="J448" i="4"/>
  <c r="L448" i="4"/>
  <c r="M448" i="4"/>
  <c r="O448" i="4"/>
  <c r="P448" i="4"/>
  <c r="I449" i="4"/>
  <c r="J449" i="4"/>
  <c r="L449" i="4"/>
  <c r="M449" i="4"/>
  <c r="O449" i="4"/>
  <c r="P449" i="4"/>
  <c r="I450" i="4"/>
  <c r="J450" i="4"/>
  <c r="L450" i="4"/>
  <c r="M450" i="4"/>
  <c r="O450" i="4"/>
  <c r="P450" i="4"/>
  <c r="I451" i="4"/>
  <c r="J451" i="4"/>
  <c r="L451" i="4"/>
  <c r="M451" i="4"/>
  <c r="O451" i="4"/>
  <c r="P451" i="4"/>
  <c r="I452" i="4"/>
  <c r="J452" i="4"/>
  <c r="L452" i="4"/>
  <c r="M452" i="4"/>
  <c r="O452" i="4"/>
  <c r="P452" i="4"/>
  <c r="I453" i="4"/>
  <c r="J453" i="4"/>
  <c r="L453" i="4"/>
  <c r="M453" i="4"/>
  <c r="O453" i="4"/>
  <c r="P453" i="4"/>
  <c r="I454" i="4"/>
  <c r="J454" i="4"/>
  <c r="L454" i="4"/>
  <c r="M454" i="4"/>
  <c r="O454" i="4"/>
  <c r="P454" i="4"/>
  <c r="I455" i="4"/>
  <c r="J455" i="4"/>
  <c r="L455" i="4"/>
  <c r="M455" i="4"/>
  <c r="O455" i="4"/>
  <c r="P455" i="4"/>
  <c r="I456" i="4"/>
  <c r="J456" i="4"/>
  <c r="L456" i="4"/>
  <c r="M456" i="4"/>
  <c r="O456" i="4"/>
  <c r="P456" i="4"/>
  <c r="I457" i="4"/>
  <c r="J457" i="4"/>
  <c r="L457" i="4"/>
  <c r="M457" i="4"/>
  <c r="O457" i="4"/>
  <c r="P457" i="4"/>
  <c r="I458" i="4"/>
  <c r="J458" i="4"/>
  <c r="L458" i="4"/>
  <c r="M458" i="4"/>
  <c r="O458" i="4"/>
  <c r="P458" i="4"/>
  <c r="I459" i="4"/>
  <c r="J459" i="4"/>
  <c r="L459" i="4"/>
  <c r="M459" i="4"/>
  <c r="O459" i="4"/>
  <c r="P459" i="4"/>
  <c r="I460" i="4"/>
  <c r="J460" i="4"/>
  <c r="L460" i="4"/>
  <c r="M460" i="4"/>
  <c r="O460" i="4"/>
  <c r="P460" i="4"/>
  <c r="I461" i="4"/>
  <c r="J461" i="4"/>
  <c r="L461" i="4"/>
  <c r="M461" i="4"/>
  <c r="O461" i="4"/>
  <c r="P461" i="4"/>
  <c r="I462" i="4"/>
  <c r="J462" i="4"/>
  <c r="L462" i="4"/>
  <c r="M462" i="4"/>
  <c r="O462" i="4"/>
  <c r="P462" i="4"/>
  <c r="I463" i="4"/>
  <c r="J463" i="4"/>
  <c r="L463" i="4"/>
  <c r="M463" i="4"/>
  <c r="O463" i="4"/>
  <c r="P463" i="4"/>
  <c r="I464" i="4"/>
  <c r="J464" i="4"/>
  <c r="L464" i="4"/>
  <c r="M464" i="4"/>
  <c r="O464" i="4"/>
  <c r="P464" i="4"/>
  <c r="I465" i="4"/>
  <c r="J465" i="4"/>
  <c r="L465" i="4"/>
  <c r="M465" i="4"/>
  <c r="O465" i="4"/>
  <c r="P465" i="4"/>
  <c r="I466" i="4"/>
  <c r="J466" i="4"/>
  <c r="L466" i="4"/>
  <c r="M466" i="4"/>
  <c r="O466" i="4"/>
  <c r="P466" i="4"/>
  <c r="I467" i="4"/>
  <c r="J467" i="4"/>
  <c r="L467" i="4"/>
  <c r="M467" i="4"/>
  <c r="O467" i="4"/>
  <c r="P467" i="4"/>
  <c r="I468" i="4"/>
  <c r="J468" i="4"/>
  <c r="L468" i="4"/>
  <c r="M468" i="4"/>
  <c r="O468" i="4"/>
  <c r="P468" i="4"/>
  <c r="I469" i="4"/>
  <c r="J469" i="4"/>
  <c r="L469" i="4"/>
  <c r="M469" i="4"/>
  <c r="O469" i="4"/>
  <c r="P469" i="4"/>
  <c r="S468" i="4"/>
  <c r="I470" i="4"/>
  <c r="J470" i="4"/>
  <c r="L470" i="4"/>
  <c r="M470" i="4"/>
  <c r="O470" i="4"/>
  <c r="P470" i="4"/>
  <c r="I471" i="4"/>
  <c r="J471" i="4"/>
  <c r="L471" i="4"/>
  <c r="M471" i="4"/>
  <c r="O471" i="4"/>
  <c r="P471" i="4"/>
  <c r="I472" i="4"/>
  <c r="J472" i="4"/>
  <c r="L472" i="4"/>
  <c r="M472" i="4"/>
  <c r="O472" i="4"/>
  <c r="P472" i="4"/>
  <c r="I473" i="4"/>
  <c r="J473" i="4"/>
  <c r="L473" i="4"/>
  <c r="M473" i="4"/>
  <c r="O473" i="4"/>
  <c r="P473" i="4"/>
  <c r="I474" i="4"/>
  <c r="J474" i="4"/>
  <c r="L474" i="4"/>
  <c r="M474" i="4"/>
  <c r="O474" i="4"/>
  <c r="P474" i="4"/>
  <c r="I475" i="4"/>
  <c r="J475" i="4"/>
  <c r="L475" i="4"/>
  <c r="M475" i="4"/>
  <c r="O475" i="4"/>
  <c r="P475" i="4"/>
  <c r="S474" i="4"/>
  <c r="I476" i="4"/>
  <c r="J476" i="4"/>
  <c r="L476" i="4"/>
  <c r="M476" i="4"/>
  <c r="O476" i="4"/>
  <c r="P476" i="4"/>
  <c r="I477" i="4"/>
  <c r="J477" i="4"/>
  <c r="L477" i="4"/>
  <c r="M477" i="4"/>
  <c r="O477" i="4"/>
  <c r="P477" i="4"/>
  <c r="I478" i="4"/>
  <c r="J478" i="4"/>
  <c r="L478" i="4"/>
  <c r="M478" i="4"/>
  <c r="O478" i="4"/>
  <c r="P478" i="4"/>
  <c r="I479" i="4"/>
  <c r="J479" i="4"/>
  <c r="L479" i="4"/>
  <c r="M479" i="4"/>
  <c r="O479" i="4"/>
  <c r="P479" i="4"/>
  <c r="I480" i="4"/>
  <c r="J480" i="4"/>
  <c r="L480" i="4"/>
  <c r="M480" i="4"/>
  <c r="O480" i="4"/>
  <c r="P480" i="4"/>
  <c r="I481" i="4"/>
  <c r="J481" i="4"/>
  <c r="L481" i="4"/>
  <c r="M481" i="4"/>
  <c r="O481" i="4"/>
  <c r="P481" i="4"/>
  <c r="I482" i="4"/>
  <c r="J482" i="4"/>
  <c r="L482" i="4"/>
  <c r="M482" i="4"/>
  <c r="O482" i="4"/>
  <c r="P482" i="4"/>
  <c r="I483" i="4"/>
  <c r="J483" i="4"/>
  <c r="L483" i="4"/>
  <c r="M483" i="4"/>
  <c r="O483" i="4"/>
  <c r="P483" i="4"/>
  <c r="I484" i="4"/>
  <c r="J484" i="4"/>
  <c r="L484" i="4"/>
  <c r="M484" i="4"/>
  <c r="O484" i="4"/>
  <c r="P484" i="4"/>
  <c r="I485" i="4"/>
  <c r="J485" i="4"/>
  <c r="L485" i="4"/>
  <c r="M485" i="4"/>
  <c r="O485" i="4"/>
  <c r="P485" i="4"/>
  <c r="I486" i="4"/>
  <c r="J486" i="4"/>
  <c r="L486" i="4"/>
  <c r="M486" i="4"/>
  <c r="O486" i="4"/>
  <c r="P486" i="4"/>
  <c r="I487" i="4"/>
  <c r="J487" i="4"/>
  <c r="L487" i="4"/>
  <c r="M487" i="4"/>
  <c r="O487" i="4"/>
  <c r="P487" i="4"/>
  <c r="I488" i="4"/>
  <c r="J488" i="4"/>
  <c r="L488" i="4"/>
  <c r="M488" i="4"/>
  <c r="O488" i="4"/>
  <c r="P488" i="4"/>
  <c r="I489" i="4"/>
  <c r="J489" i="4"/>
  <c r="L489" i="4"/>
  <c r="M489" i="4"/>
  <c r="O489" i="4"/>
  <c r="P489" i="4"/>
  <c r="I490" i="4"/>
  <c r="J490" i="4"/>
  <c r="L490" i="4"/>
  <c r="M490" i="4"/>
  <c r="O490" i="4"/>
  <c r="P490" i="4"/>
  <c r="I491" i="4"/>
  <c r="J491" i="4"/>
  <c r="L491" i="4"/>
  <c r="M491" i="4"/>
  <c r="O491" i="4"/>
  <c r="P491" i="4"/>
  <c r="S490" i="4"/>
  <c r="I492" i="4"/>
  <c r="J492" i="4"/>
  <c r="L492" i="4"/>
  <c r="M492" i="4"/>
  <c r="O492" i="4"/>
  <c r="P492" i="4"/>
  <c r="I493" i="4"/>
  <c r="J493" i="4"/>
  <c r="L493" i="4"/>
  <c r="M493" i="4"/>
  <c r="O493" i="4"/>
  <c r="P493" i="4"/>
  <c r="I494" i="4"/>
  <c r="J494" i="4"/>
  <c r="L494" i="4"/>
  <c r="M494" i="4"/>
  <c r="O494" i="4"/>
  <c r="P494" i="4"/>
  <c r="I495" i="4"/>
  <c r="J495" i="4"/>
  <c r="L495" i="4"/>
  <c r="M495" i="4"/>
  <c r="O495" i="4"/>
  <c r="P495" i="4"/>
  <c r="I496" i="4"/>
  <c r="J496" i="4"/>
  <c r="L496" i="4"/>
  <c r="M496" i="4"/>
  <c r="O496" i="4"/>
  <c r="P496" i="4"/>
  <c r="I497" i="4"/>
  <c r="J497" i="4"/>
  <c r="L497" i="4"/>
  <c r="M497" i="4"/>
  <c r="O497" i="4"/>
  <c r="P497" i="4"/>
  <c r="I498" i="4"/>
  <c r="J498" i="4"/>
  <c r="L498" i="4"/>
  <c r="M498" i="4"/>
  <c r="O498" i="4"/>
  <c r="P498" i="4"/>
  <c r="I499" i="4"/>
  <c r="J499" i="4"/>
  <c r="L499" i="4"/>
  <c r="M499" i="4"/>
  <c r="O499" i="4"/>
  <c r="P499" i="4"/>
  <c r="I500" i="4"/>
  <c r="J500" i="4"/>
  <c r="L500" i="4"/>
  <c r="M500" i="4"/>
  <c r="O500" i="4"/>
  <c r="P500" i="4"/>
  <c r="I501" i="4"/>
  <c r="J501" i="4"/>
  <c r="L501" i="4"/>
  <c r="M501" i="4"/>
  <c r="O501" i="4"/>
  <c r="P501" i="4"/>
  <c r="I502" i="4"/>
  <c r="J502" i="4"/>
  <c r="L502" i="4"/>
  <c r="M502" i="4"/>
  <c r="O502" i="4"/>
  <c r="P502" i="4"/>
  <c r="I503" i="4"/>
  <c r="J503" i="4"/>
  <c r="L503" i="4"/>
  <c r="M503" i="4"/>
  <c r="O503" i="4"/>
  <c r="P503" i="4"/>
  <c r="I504" i="4"/>
  <c r="J504" i="4"/>
  <c r="L504" i="4"/>
  <c r="M504" i="4"/>
  <c r="O504" i="4"/>
  <c r="P504" i="4"/>
  <c r="I505" i="4"/>
  <c r="J505" i="4"/>
  <c r="L505" i="4"/>
  <c r="M505" i="4"/>
  <c r="O505" i="4"/>
  <c r="P505" i="4"/>
  <c r="I506" i="4"/>
  <c r="J506" i="4"/>
  <c r="L506" i="4"/>
  <c r="M506" i="4"/>
  <c r="O506" i="4"/>
  <c r="P506" i="4"/>
  <c r="I507" i="4"/>
  <c r="J507" i="4"/>
  <c r="L507" i="4"/>
  <c r="M507" i="4"/>
  <c r="O507" i="4"/>
  <c r="P507" i="4"/>
  <c r="I508" i="4"/>
  <c r="J508" i="4"/>
  <c r="L508" i="4"/>
  <c r="M508" i="4"/>
  <c r="O508" i="4"/>
  <c r="P508" i="4"/>
  <c r="I509" i="4"/>
  <c r="J509" i="4"/>
  <c r="L509" i="4"/>
  <c r="M509" i="4"/>
  <c r="O509" i="4"/>
  <c r="P509" i="4"/>
  <c r="I510" i="4"/>
  <c r="J510" i="4"/>
  <c r="L510" i="4"/>
  <c r="M510" i="4"/>
  <c r="O510" i="4"/>
  <c r="P510" i="4"/>
  <c r="I511" i="4"/>
  <c r="J511" i="4"/>
  <c r="L511" i="4"/>
  <c r="M511" i="4"/>
  <c r="O511" i="4"/>
  <c r="P511" i="4"/>
  <c r="I512" i="4"/>
  <c r="J512" i="4"/>
  <c r="L512" i="4"/>
  <c r="M512" i="4"/>
  <c r="O512" i="4"/>
  <c r="P512" i="4"/>
  <c r="I513" i="4"/>
  <c r="J513" i="4"/>
  <c r="L513" i="4"/>
  <c r="M513" i="4"/>
  <c r="O513" i="4"/>
  <c r="P513" i="4"/>
  <c r="I514" i="4"/>
  <c r="J514" i="4"/>
  <c r="L514" i="4"/>
  <c r="M514" i="4"/>
  <c r="O514" i="4"/>
  <c r="P514" i="4"/>
  <c r="I515" i="4"/>
  <c r="J515" i="4"/>
  <c r="L515" i="4"/>
  <c r="M515" i="4"/>
  <c r="O515" i="4"/>
  <c r="P515" i="4"/>
  <c r="S513" i="4"/>
  <c r="I516" i="4"/>
  <c r="J516" i="4"/>
  <c r="L516" i="4"/>
  <c r="M516" i="4"/>
  <c r="O516" i="4"/>
  <c r="P516" i="4"/>
  <c r="I517" i="4"/>
  <c r="J517" i="4"/>
  <c r="L517" i="4"/>
  <c r="M517" i="4"/>
  <c r="O517" i="4"/>
  <c r="P517" i="4"/>
  <c r="I518" i="4"/>
  <c r="J518" i="4"/>
  <c r="L518" i="4"/>
  <c r="M518" i="4"/>
  <c r="O518" i="4"/>
  <c r="P518" i="4"/>
  <c r="I519" i="4"/>
  <c r="J519" i="4"/>
  <c r="L519" i="4"/>
  <c r="M519" i="4"/>
  <c r="O519" i="4"/>
  <c r="P519" i="4"/>
  <c r="I520" i="4"/>
  <c r="J520" i="4"/>
  <c r="L520" i="4"/>
  <c r="M520" i="4"/>
  <c r="O520" i="4"/>
  <c r="P520" i="4"/>
  <c r="I521" i="4"/>
  <c r="J521" i="4"/>
  <c r="L521" i="4"/>
  <c r="M521" i="4"/>
  <c r="O521" i="4"/>
  <c r="P521" i="4"/>
  <c r="I522" i="4"/>
  <c r="J522" i="4"/>
  <c r="L522" i="4"/>
  <c r="M522" i="4"/>
  <c r="O522" i="4"/>
  <c r="P522" i="4"/>
  <c r="I523" i="4"/>
  <c r="J523" i="4"/>
  <c r="L523" i="4"/>
  <c r="M523" i="4"/>
  <c r="O523" i="4"/>
  <c r="P523" i="4"/>
  <c r="S521" i="4"/>
  <c r="I524" i="4"/>
  <c r="J524" i="4"/>
  <c r="L524" i="4"/>
  <c r="M524" i="4"/>
  <c r="O524" i="4"/>
  <c r="P524" i="4"/>
  <c r="I525" i="4"/>
  <c r="J525" i="4"/>
  <c r="L525" i="4"/>
  <c r="M525" i="4"/>
  <c r="O525" i="4"/>
  <c r="P525" i="4"/>
  <c r="I526" i="4"/>
  <c r="J526" i="4"/>
  <c r="L526" i="4"/>
  <c r="M526" i="4"/>
  <c r="O526" i="4"/>
  <c r="R525" i="4"/>
  <c r="P526" i="4"/>
  <c r="I527" i="4"/>
  <c r="J527" i="4"/>
  <c r="L527" i="4"/>
  <c r="M527" i="4"/>
  <c r="O527" i="4"/>
  <c r="P527" i="4"/>
  <c r="I528" i="4"/>
  <c r="J528" i="4"/>
  <c r="L528" i="4"/>
  <c r="M528" i="4"/>
  <c r="O528" i="4"/>
  <c r="P528" i="4"/>
  <c r="I529" i="4"/>
  <c r="J529" i="4"/>
  <c r="L529" i="4"/>
  <c r="M529" i="4"/>
  <c r="O529" i="4"/>
  <c r="P529" i="4"/>
  <c r="I530" i="4"/>
  <c r="J530" i="4"/>
  <c r="L530" i="4"/>
  <c r="M530" i="4"/>
  <c r="O530" i="4"/>
  <c r="P530" i="4"/>
  <c r="I531" i="4"/>
  <c r="J531" i="4"/>
  <c r="L531" i="4"/>
  <c r="M531" i="4"/>
  <c r="O531" i="4"/>
  <c r="R529" i="4"/>
  <c r="U529" i="4"/>
  <c r="P531" i="4"/>
  <c r="S529" i="4"/>
  <c r="R493" i="4"/>
  <c r="U493" i="4"/>
  <c r="S461" i="4"/>
  <c r="R439" i="4"/>
  <c r="R433" i="4"/>
  <c r="R425" i="4"/>
  <c r="S273" i="4"/>
  <c r="R216" i="4"/>
  <c r="R200" i="4"/>
  <c r="R191" i="4"/>
  <c r="R162" i="4"/>
  <c r="R127" i="4"/>
  <c r="R106" i="4"/>
  <c r="R26" i="4"/>
  <c r="R454" i="4"/>
  <c r="S197" i="4"/>
  <c r="S465" i="4"/>
  <c r="S454" i="4"/>
  <c r="S449" i="4"/>
  <c r="R436" i="4"/>
  <c r="S412" i="4"/>
  <c r="S404" i="4"/>
  <c r="S369" i="4"/>
  <c r="R205" i="4"/>
  <c r="S181" i="4"/>
  <c r="R147" i="4"/>
  <c r="R111" i="4"/>
  <c r="R95" i="4"/>
  <c r="R81" i="4"/>
  <c r="U81" i="4"/>
  <c r="R10" i="4"/>
  <c r="R528" i="4"/>
  <c r="R449" i="4"/>
  <c r="U449" i="4"/>
  <c r="S434" i="4"/>
  <c r="S348" i="4"/>
  <c r="R324" i="4"/>
  <c r="R314" i="4"/>
  <c r="R279" i="4"/>
  <c r="S247" i="4"/>
  <c r="S165" i="4"/>
  <c r="R160" i="4"/>
  <c r="S152" i="4"/>
  <c r="R496" i="4"/>
  <c r="R480" i="4"/>
  <c r="R434" i="4"/>
  <c r="S419" i="4"/>
  <c r="R349" i="4"/>
  <c r="S238" i="4"/>
  <c r="R210" i="4"/>
  <c r="R194" i="4"/>
  <c r="S156" i="4"/>
  <c r="S115" i="4"/>
  <c r="R109" i="4"/>
  <c r="R93" i="4"/>
  <c r="R45" i="4"/>
  <c r="S28" i="4"/>
  <c r="R9" i="4"/>
  <c r="R446" i="4"/>
  <c r="R464" i="4"/>
  <c r="R447" i="4"/>
  <c r="S440" i="4"/>
  <c r="S424" i="4"/>
  <c r="R397" i="4"/>
  <c r="R365" i="4"/>
  <c r="R342" i="4"/>
  <c r="U342" i="4"/>
  <c r="R329" i="4"/>
  <c r="R282" i="4"/>
  <c r="U282" i="4"/>
  <c r="R266" i="4"/>
  <c r="R238" i="4"/>
  <c r="R177" i="4"/>
  <c r="U177" i="4"/>
  <c r="S148" i="4"/>
  <c r="R114" i="4"/>
  <c r="S99" i="4"/>
  <c r="S90" i="4"/>
  <c r="S65" i="4"/>
  <c r="S49" i="4"/>
  <c r="R20" i="4"/>
  <c r="S12" i="4"/>
  <c r="S506" i="4"/>
  <c r="R485" i="4"/>
  <c r="R469" i="4"/>
  <c r="S452" i="4"/>
  <c r="R333" i="4"/>
  <c r="U333" i="4"/>
  <c r="S324" i="4"/>
  <c r="S305" i="4"/>
  <c r="S292" i="4"/>
  <c r="S263" i="4"/>
  <c r="R207" i="4"/>
  <c r="U207" i="4"/>
  <c r="S132" i="4"/>
  <c r="R126" i="4"/>
  <c r="S118" i="4"/>
  <c r="R98" i="4"/>
  <c r="R90" i="4"/>
  <c r="U90" i="4"/>
  <c r="R58" i="4"/>
  <c r="R42" i="4"/>
  <c r="R517" i="4"/>
  <c r="S436" i="4"/>
  <c r="U436" i="4"/>
  <c r="S427" i="4"/>
  <c r="R376" i="4"/>
  <c r="S337" i="4"/>
  <c r="R318" i="4"/>
  <c r="S286" i="4"/>
  <c r="R281" i="4"/>
  <c r="R272" i="4"/>
  <c r="R265" i="4"/>
  <c r="S196" i="4"/>
  <c r="S86" i="4"/>
  <c r="S54" i="4"/>
  <c r="S40" i="4"/>
  <c r="R221" i="4"/>
  <c r="U221" i="4"/>
  <c r="R501" i="4"/>
  <c r="S520" i="4"/>
  <c r="R445" i="4"/>
  <c r="U445" i="4"/>
  <c r="R384" i="4"/>
  <c r="R520" i="4"/>
  <c r="U520" i="4"/>
  <c r="R513" i="4"/>
  <c r="U513" i="4"/>
  <c r="R504" i="4"/>
  <c r="R497" i="4"/>
  <c r="R488" i="4"/>
  <c r="R481" i="4"/>
  <c r="U481" i="4"/>
  <c r="R472" i="4"/>
  <c r="R427" i="4"/>
  <c r="U427" i="4"/>
  <c r="S405" i="4"/>
  <c r="S396" i="4"/>
  <c r="S356" i="4"/>
  <c r="R338" i="4"/>
  <c r="S278" i="4"/>
  <c r="S270" i="4"/>
  <c r="S262" i="4"/>
  <c r="R196" i="4"/>
  <c r="U196" i="4"/>
  <c r="S159" i="4"/>
  <c r="R146" i="4"/>
  <c r="S116" i="4"/>
  <c r="R110" i="4"/>
  <c r="R72" i="4"/>
  <c r="S32" i="4"/>
  <c r="S24" i="4"/>
  <c r="R530" i="4"/>
  <c r="S519" i="4"/>
  <c r="S503" i="4"/>
  <c r="S487" i="4"/>
  <c r="S471" i="4"/>
  <c r="R465" i="4"/>
  <c r="R456" i="4"/>
  <c r="S442" i="4"/>
  <c r="S426" i="4"/>
  <c r="R277" i="4"/>
  <c r="S164" i="4"/>
  <c r="S143" i="4"/>
  <c r="S91" i="4"/>
  <c r="S68" i="4"/>
  <c r="S59" i="4"/>
  <c r="S52" i="4"/>
  <c r="S43" i="4"/>
  <c r="S497" i="4"/>
  <c r="R317" i="4"/>
  <c r="S126" i="4"/>
  <c r="R527" i="4"/>
  <c r="U527" i="4"/>
  <c r="R518" i="4"/>
  <c r="R511" i="4"/>
  <c r="R502" i="4"/>
  <c r="U502" i="4"/>
  <c r="R495" i="4"/>
  <c r="R486" i="4"/>
  <c r="R479" i="4"/>
  <c r="R470" i="4"/>
  <c r="S445" i="4"/>
  <c r="R442" i="4"/>
  <c r="R426" i="4"/>
  <c r="U426" i="4"/>
  <c r="S409" i="4"/>
  <c r="S380" i="4"/>
  <c r="S295" i="4"/>
  <c r="R254" i="4"/>
  <c r="R217" i="4"/>
  <c r="R208" i="4"/>
  <c r="S176" i="4"/>
  <c r="S27" i="4"/>
  <c r="S522" i="4"/>
  <c r="S492" i="4"/>
  <c r="S476" i="4"/>
  <c r="R463" i="4"/>
  <c r="R455" i="4"/>
  <c r="S438" i="4"/>
  <c r="S431" i="4"/>
  <c r="S423" i="4"/>
  <c r="S333" i="4"/>
  <c r="R275" i="4"/>
  <c r="R222" i="4"/>
  <c r="R176" i="4"/>
  <c r="S105" i="4"/>
  <c r="S89" i="4"/>
  <c r="S81" i="4"/>
  <c r="S58" i="4"/>
  <c r="S41" i="4"/>
  <c r="S481" i="4"/>
  <c r="R512" i="4"/>
  <c r="S508" i="4"/>
  <c r="S527" i="4"/>
  <c r="R522" i="4"/>
  <c r="R515" i="4"/>
  <c r="R506" i="4"/>
  <c r="U506" i="4"/>
  <c r="R499" i="4"/>
  <c r="R490" i="4"/>
  <c r="U490" i="4"/>
  <c r="R483" i="4"/>
  <c r="R474" i="4"/>
  <c r="U474" i="4"/>
  <c r="S460" i="4"/>
  <c r="S443" i="4"/>
  <c r="U443" i="4"/>
  <c r="R429" i="4"/>
  <c r="U429" i="4"/>
  <c r="S383" i="4"/>
  <c r="S359" i="4"/>
  <c r="S279" i="4"/>
  <c r="S225" i="4"/>
  <c r="R206" i="4"/>
  <c r="R190" i="4"/>
  <c r="S160" i="4"/>
  <c r="U160" i="4"/>
  <c r="S117" i="4"/>
  <c r="R89" i="4"/>
  <c r="U89" i="4"/>
  <c r="S429" i="4"/>
  <c r="S73" i="4"/>
  <c r="S511" i="4"/>
  <c r="S504" i="4"/>
  <c r="S495" i="4"/>
  <c r="S488" i="4"/>
  <c r="S479" i="4"/>
  <c r="S472" i="4"/>
  <c r="R467" i="4"/>
  <c r="R458" i="4"/>
  <c r="R389" i="4"/>
  <c r="S209" i="4"/>
  <c r="S193" i="4"/>
  <c r="R174" i="4"/>
  <c r="U174" i="4"/>
  <c r="S153" i="4"/>
  <c r="S101" i="4"/>
  <c r="S95" i="4"/>
  <c r="S69" i="4"/>
  <c r="S53" i="4"/>
  <c r="S525" i="4"/>
  <c r="S463" i="4"/>
  <c r="S456" i="4"/>
  <c r="S420" i="4"/>
  <c r="S297" i="4"/>
  <c r="S284" i="4"/>
  <c r="S240" i="4"/>
  <c r="R202" i="4"/>
  <c r="S179" i="4"/>
  <c r="S158" i="4"/>
  <c r="R143" i="4"/>
  <c r="U143" i="4"/>
  <c r="S137" i="4"/>
  <c r="S31" i="4"/>
  <c r="R531" i="4"/>
  <c r="S518" i="4"/>
  <c r="S509" i="4"/>
  <c r="S502" i="4"/>
  <c r="S493" i="4"/>
  <c r="S486" i="4"/>
  <c r="S477" i="4"/>
  <c r="S470" i="4"/>
  <c r="S441" i="4"/>
  <c r="S425" i="4"/>
  <c r="R413" i="4"/>
  <c r="R362" i="4"/>
  <c r="S347" i="4"/>
  <c r="R341" i="4"/>
  <c r="S208" i="4"/>
  <c r="S142" i="4"/>
  <c r="S15" i="4"/>
  <c r="U290" i="6"/>
  <c r="U274" i="6"/>
  <c r="U493" i="6"/>
  <c r="U517" i="6"/>
  <c r="U469" i="6"/>
  <c r="U494" i="6"/>
  <c r="U486" i="6"/>
  <c r="U477" i="6"/>
  <c r="U470" i="6"/>
  <c r="U461" i="6"/>
  <c r="U484" i="6"/>
  <c r="U468" i="6"/>
  <c r="U434" i="6"/>
  <c r="U50" i="6"/>
  <c r="U527" i="6"/>
  <c r="U520" i="6"/>
  <c r="U511" i="6"/>
  <c r="U504" i="6"/>
  <c r="U495" i="6"/>
  <c r="U224" i="6"/>
  <c r="U479" i="6"/>
  <c r="U472" i="6"/>
  <c r="U463" i="6"/>
  <c r="U384" i="6"/>
  <c r="U450" i="6"/>
  <c r="S530" i="6"/>
  <c r="U530" i="6"/>
  <c r="R523" i="6"/>
  <c r="U523" i="6"/>
  <c r="S482" i="6"/>
  <c r="R475" i="6"/>
  <c r="U475" i="6"/>
  <c r="S466" i="6"/>
  <c r="R459" i="6"/>
  <c r="U459" i="6"/>
  <c r="R430" i="6"/>
  <c r="S407" i="6"/>
  <c r="R389" i="6"/>
  <c r="S376" i="6"/>
  <c r="S363" i="6"/>
  <c r="S362" i="6"/>
  <c r="S332" i="6"/>
  <c r="S301" i="6"/>
  <c r="R295" i="6"/>
  <c r="R281" i="6"/>
  <c r="U281" i="6"/>
  <c r="S275" i="6"/>
  <c r="R265" i="6"/>
  <c r="U265" i="6"/>
  <c r="S256" i="6"/>
  <c r="S244" i="6"/>
  <c r="S224" i="6"/>
  <c r="S206" i="6"/>
  <c r="R193" i="6"/>
  <c r="R190" i="6"/>
  <c r="R175" i="6"/>
  <c r="S169" i="6"/>
  <c r="R164" i="6"/>
  <c r="R144" i="6"/>
  <c r="S138" i="6"/>
  <c r="S118" i="6"/>
  <c r="S107" i="6"/>
  <c r="S87" i="6"/>
  <c r="U87" i="6"/>
  <c r="R69" i="6"/>
  <c r="R56" i="6"/>
  <c r="R38" i="6"/>
  <c r="R27" i="6"/>
  <c r="S12" i="6"/>
  <c r="R7" i="6"/>
  <c r="U7" i="6"/>
  <c r="S521" i="6"/>
  <c r="R514" i="6"/>
  <c r="U514" i="6"/>
  <c r="S505" i="6"/>
  <c r="R498" i="6"/>
  <c r="U498" i="6"/>
  <c r="S489" i="6"/>
  <c r="R482" i="6"/>
  <c r="U482" i="6"/>
  <c r="S473" i="6"/>
  <c r="U473" i="6"/>
  <c r="R466" i="6"/>
  <c r="U466" i="6"/>
  <c r="S457" i="6"/>
  <c r="U457" i="6"/>
  <c r="R423" i="6"/>
  <c r="S412" i="6"/>
  <c r="R394" i="6"/>
  <c r="R343" i="6"/>
  <c r="S337" i="6"/>
  <c r="S324" i="6"/>
  <c r="R301" i="6"/>
  <c r="U301" i="6"/>
  <c r="S293" i="6"/>
  <c r="S287" i="6"/>
  <c r="R275" i="6"/>
  <c r="U275" i="6"/>
  <c r="R268" i="6"/>
  <c r="U268" i="6"/>
  <c r="R244" i="6"/>
  <c r="R243" i="6"/>
  <c r="S229" i="6"/>
  <c r="S216" i="6"/>
  <c r="U213" i="6"/>
  <c r="S198" i="6"/>
  <c r="U198" i="6"/>
  <c r="S167" i="6"/>
  <c r="U167" i="6"/>
  <c r="R138" i="6"/>
  <c r="U138" i="6"/>
  <c r="R107" i="6"/>
  <c r="S92" i="6"/>
  <c r="U76" i="6"/>
  <c r="S50" i="6"/>
  <c r="R19" i="6"/>
  <c r="U19" i="6"/>
  <c r="R12" i="6"/>
  <c r="U12" i="6"/>
  <c r="S528" i="6"/>
  <c r="R521" i="6"/>
  <c r="S512" i="6"/>
  <c r="R505" i="6"/>
  <c r="S496" i="6"/>
  <c r="R489" i="6"/>
  <c r="U489" i="6"/>
  <c r="S455" i="6"/>
  <c r="S437" i="6"/>
  <c r="S427" i="6"/>
  <c r="S426" i="6"/>
  <c r="U380" i="6"/>
  <c r="R350" i="6"/>
  <c r="U350" i="6"/>
  <c r="R324" i="6"/>
  <c r="U324" i="6"/>
  <c r="R323" i="6"/>
  <c r="S309" i="6"/>
  <c r="R293" i="6"/>
  <c r="U293" i="6"/>
  <c r="R287" i="6"/>
  <c r="R262" i="6"/>
  <c r="U218" i="6"/>
  <c r="R99" i="6"/>
  <c r="U99" i="6"/>
  <c r="R93" i="6"/>
  <c r="S85" i="6"/>
  <c r="U79" i="6"/>
  <c r="R68" i="6"/>
  <c r="R61" i="6"/>
  <c r="U61" i="6"/>
  <c r="R48" i="6"/>
  <c r="S42" i="6"/>
  <c r="S11" i="6"/>
  <c r="R528" i="6"/>
  <c r="U528" i="6"/>
  <c r="S519" i="6"/>
  <c r="R512" i="6"/>
  <c r="S503" i="6"/>
  <c r="R496" i="6"/>
  <c r="S487" i="6"/>
  <c r="R480" i="6"/>
  <c r="U480" i="6"/>
  <c r="S471" i="6"/>
  <c r="R464" i="6"/>
  <c r="U464" i="6"/>
  <c r="R455" i="6"/>
  <c r="U455" i="6"/>
  <c r="R437" i="6"/>
  <c r="S430" i="6"/>
  <c r="S432" i="6"/>
  <c r="S431" i="6"/>
  <c r="R422" i="6"/>
  <c r="R415" i="6"/>
  <c r="R404" i="6"/>
  <c r="R403" i="6"/>
  <c r="U403" i="6"/>
  <c r="S391" i="6"/>
  <c r="U373" i="6"/>
  <c r="R368" i="6"/>
  <c r="U368" i="6"/>
  <c r="S347" i="6"/>
  <c r="S346" i="6"/>
  <c r="R298" i="6"/>
  <c r="R279" i="6"/>
  <c r="U279" i="6"/>
  <c r="R267" i="6"/>
  <c r="U267" i="6"/>
  <c r="S259" i="6"/>
  <c r="R249" i="6"/>
  <c r="U249" i="6"/>
  <c r="R236" i="6"/>
  <c r="U236" i="6"/>
  <c r="S210" i="6"/>
  <c r="U210" i="6"/>
  <c r="S190" i="6"/>
  <c r="R179" i="6"/>
  <c r="U179" i="6"/>
  <c r="R174" i="6"/>
  <c r="R159" i="6"/>
  <c r="R148" i="6"/>
  <c r="U148" i="6"/>
  <c r="R128" i="6"/>
  <c r="S122" i="6"/>
  <c r="S102" i="6"/>
  <c r="S91" i="6"/>
  <c r="U91" i="6"/>
  <c r="U85" i="6"/>
  <c r="S71" i="6"/>
  <c r="R53" i="6"/>
  <c r="R41" i="6"/>
  <c r="U41" i="6"/>
  <c r="R22" i="6"/>
  <c r="U22" i="6"/>
  <c r="R11" i="6"/>
  <c r="U11" i="6"/>
  <c r="S526" i="6"/>
  <c r="R519" i="6"/>
  <c r="U519" i="6"/>
  <c r="S510" i="6"/>
  <c r="R503" i="6"/>
  <c r="S494" i="6"/>
  <c r="R487" i="6"/>
  <c r="U487" i="6"/>
  <c r="S478" i="6"/>
  <c r="R471" i="6"/>
  <c r="U471" i="6"/>
  <c r="S462" i="6"/>
  <c r="S453" i="6"/>
  <c r="S451" i="6"/>
  <c r="S447" i="6"/>
  <c r="U447" i="6"/>
  <c r="R443" i="6"/>
  <c r="U443" i="6"/>
  <c r="R432" i="6"/>
  <c r="U432" i="6"/>
  <c r="S419" i="6"/>
  <c r="R359" i="6"/>
  <c r="S339" i="6"/>
  <c r="S308" i="6"/>
  <c r="S302" i="6"/>
  <c r="S290" i="6"/>
  <c r="R284" i="6"/>
  <c r="U284" i="6"/>
  <c r="R257" i="6"/>
  <c r="R254" i="6"/>
  <c r="R222" i="6"/>
  <c r="U222" i="6"/>
  <c r="S214" i="6"/>
  <c r="S200" i="6"/>
  <c r="R133" i="6"/>
  <c r="R122" i="6"/>
  <c r="R114" i="6"/>
  <c r="S83" i="6"/>
  <c r="U71" i="6"/>
  <c r="R60" i="6"/>
  <c r="U60" i="6"/>
  <c r="R28" i="6"/>
  <c r="U28" i="6"/>
  <c r="R3" i="6"/>
  <c r="U3" i="6"/>
  <c r="R526" i="6"/>
  <c r="S517" i="6"/>
  <c r="R510" i="6"/>
  <c r="S501" i="6"/>
  <c r="U501" i="6"/>
  <c r="S485" i="6"/>
  <c r="U485" i="6"/>
  <c r="R478" i="6"/>
  <c r="U478" i="6"/>
  <c r="S469" i="6"/>
  <c r="R462" i="6"/>
  <c r="U462" i="6"/>
  <c r="R453" i="6"/>
  <c r="R451" i="6"/>
  <c r="S445" i="6"/>
  <c r="S439" i="6"/>
  <c r="U439" i="6"/>
  <c r="S429" i="6"/>
  <c r="S418" i="6"/>
  <c r="R407" i="6"/>
  <c r="S401" i="6"/>
  <c r="S387" i="6"/>
  <c r="S382" i="6"/>
  <c r="R364" i="6"/>
  <c r="U364" i="6"/>
  <c r="S357" i="6"/>
  <c r="R334" i="6"/>
  <c r="U334" i="6"/>
  <c r="R321" i="6"/>
  <c r="U321" i="6"/>
  <c r="R308" i="6"/>
  <c r="R307" i="6"/>
  <c r="U307" i="6"/>
  <c r="S294" i="6"/>
  <c r="S282" i="6"/>
  <c r="R277" i="6"/>
  <c r="U277" i="6"/>
  <c r="R271" i="6"/>
  <c r="U271" i="6"/>
  <c r="S263" i="6"/>
  <c r="S251" i="6"/>
  <c r="S250" i="6"/>
  <c r="U246" i="6"/>
  <c r="R202" i="6"/>
  <c r="R194" i="6"/>
  <c r="R171" i="6"/>
  <c r="U171" i="6"/>
  <c r="S163" i="6"/>
  <c r="S157" i="6"/>
  <c r="U151" i="6"/>
  <c r="S145" i="6"/>
  <c r="R140" i="6"/>
  <c r="U140" i="6"/>
  <c r="S131" i="6"/>
  <c r="S114" i="6"/>
  <c r="S100" i="6"/>
  <c r="R83" i="6"/>
  <c r="U83" i="6"/>
  <c r="S68" i="6"/>
  <c r="R63" i="6"/>
  <c r="U63" i="6"/>
  <c r="S57" i="6"/>
  <c r="R52" i="6"/>
  <c r="U52" i="6"/>
  <c r="R46" i="6"/>
  <c r="R32" i="6"/>
  <c r="U32" i="6"/>
  <c r="S26" i="6"/>
  <c r="S6" i="6"/>
  <c r="S449" i="6"/>
  <c r="R445" i="6"/>
  <c r="U445" i="6"/>
  <c r="R429" i="6"/>
  <c r="S422" i="6"/>
  <c r="R414" i="6"/>
  <c r="U414" i="6"/>
  <c r="R399" i="6"/>
  <c r="U399" i="6"/>
  <c r="R388" i="6"/>
  <c r="R387" i="6"/>
  <c r="U387" i="6"/>
  <c r="R357" i="6"/>
  <c r="U357" i="6"/>
  <c r="R351" i="6"/>
  <c r="U351" i="6"/>
  <c r="S343" i="6"/>
  <c r="S331" i="6"/>
  <c r="S330" i="6"/>
  <c r="R326" i="6"/>
  <c r="S312" i="6"/>
  <c r="S300" i="6"/>
  <c r="S269" i="6"/>
  <c r="R263" i="6"/>
  <c r="R251" i="6"/>
  <c r="S243" i="6"/>
  <c r="R231" i="6"/>
  <c r="S225" i="6"/>
  <c r="R220" i="6"/>
  <c r="S194" i="6"/>
  <c r="S181" i="6"/>
  <c r="S174" i="6"/>
  <c r="R163" i="6"/>
  <c r="R158" i="6"/>
  <c r="U158" i="6"/>
  <c r="R143" i="6"/>
  <c r="S137" i="6"/>
  <c r="R132" i="6"/>
  <c r="U132" i="6"/>
  <c r="R126" i="6"/>
  <c r="U126" i="6"/>
  <c r="R112" i="6"/>
  <c r="S106" i="6"/>
  <c r="S86" i="6"/>
  <c r="S75" i="6"/>
  <c r="S55" i="6"/>
  <c r="R37" i="6"/>
  <c r="U37" i="6"/>
  <c r="R25" i="6"/>
  <c r="U25" i="6"/>
  <c r="S524" i="6"/>
  <c r="U524" i="6"/>
  <c r="S515" i="6"/>
  <c r="R508" i="6"/>
  <c r="U508" i="6"/>
  <c r="S499" i="6"/>
  <c r="R492" i="6"/>
  <c r="U492" i="6"/>
  <c r="S483" i="6"/>
  <c r="R476" i="6"/>
  <c r="U476" i="6"/>
  <c r="S467" i="6"/>
  <c r="R460" i="6"/>
  <c r="U460" i="6"/>
  <c r="R441" i="6"/>
  <c r="U441" i="6"/>
  <c r="S411" i="6"/>
  <c r="S410" i="6"/>
  <c r="R406" i="6"/>
  <c r="U406" i="6"/>
  <c r="S380" i="6"/>
  <c r="S349" i="6"/>
  <c r="R344" i="6"/>
  <c r="S323" i="6"/>
  <c r="R313" i="6"/>
  <c r="U313" i="6"/>
  <c r="R300" i="6"/>
  <c r="S292" i="6"/>
  <c r="S286" i="6"/>
  <c r="S274" i="6"/>
  <c r="R269" i="6"/>
  <c r="S261" i="6"/>
  <c r="S255" i="6"/>
  <c r="R238" i="6"/>
  <c r="U238" i="6"/>
  <c r="S217" i="6"/>
  <c r="R212" i="6"/>
  <c r="R206" i="6"/>
  <c r="U206" i="6"/>
  <c r="R192" i="6"/>
  <c r="S186" i="6"/>
  <c r="U186" i="6"/>
  <c r="R181" i="6"/>
  <c r="S166" i="6"/>
  <c r="U166" i="6"/>
  <c r="S155" i="6"/>
  <c r="U155" i="6"/>
  <c r="R149" i="6"/>
  <c r="U149" i="6"/>
  <c r="S135" i="6"/>
  <c r="U117" i="6"/>
  <c r="R106" i="6"/>
  <c r="R86" i="6"/>
  <c r="U86" i="6"/>
  <c r="R75" i="6"/>
  <c r="U75" i="6"/>
  <c r="S67" i="6"/>
  <c r="R55" i="6"/>
  <c r="U55" i="6"/>
  <c r="S48" i="6"/>
  <c r="R44" i="6"/>
  <c r="U44" i="6"/>
  <c r="S35" i="6"/>
  <c r="S29" i="6"/>
  <c r="S18" i="6"/>
  <c r="U18" i="6"/>
  <c r="S3" i="6"/>
  <c r="S522" i="6"/>
  <c r="U522" i="6"/>
  <c r="R515" i="6"/>
  <c r="U515" i="6"/>
  <c r="S506" i="6"/>
  <c r="U506" i="6"/>
  <c r="R499" i="6"/>
  <c r="U499" i="6"/>
  <c r="S490" i="6"/>
  <c r="U490" i="6"/>
  <c r="R483" i="6"/>
  <c r="U483" i="6"/>
  <c r="S474" i="6"/>
  <c r="U474" i="6"/>
  <c r="R467" i="6"/>
  <c r="U467" i="6"/>
  <c r="S458" i="6"/>
  <c r="U458" i="6"/>
  <c r="R449" i="6"/>
  <c r="U449" i="6"/>
  <c r="S436" i="6"/>
  <c r="S421" i="6"/>
  <c r="U391" i="6"/>
  <c r="R349" i="6"/>
  <c r="S341" i="6"/>
  <c r="R318" i="6"/>
  <c r="U318" i="6"/>
  <c r="R304" i="6"/>
  <c r="U304" i="6"/>
  <c r="R292" i="6"/>
  <c r="U292" i="6"/>
  <c r="R291" i="6"/>
  <c r="R273" i="6"/>
  <c r="S266" i="6"/>
  <c r="R261" i="6"/>
  <c r="R256" i="6"/>
  <c r="U256" i="6"/>
  <c r="S247" i="6"/>
  <c r="U247" i="6"/>
  <c r="S235" i="6"/>
  <c r="S234" i="6"/>
  <c r="U178" i="6"/>
  <c r="U135" i="6"/>
  <c r="R124" i="6"/>
  <c r="U124" i="6"/>
  <c r="S84" i="6"/>
  <c r="R67" i="6"/>
  <c r="S53" i="6"/>
  <c r="R47" i="6"/>
  <c r="R36" i="6"/>
  <c r="R29" i="6"/>
  <c r="U29" i="6"/>
  <c r="S10" i="6"/>
  <c r="R436" i="6"/>
  <c r="U436" i="6"/>
  <c r="R435" i="6"/>
  <c r="U435" i="6"/>
  <c r="U421" i="6"/>
  <c r="R398" i="6"/>
  <c r="U398" i="6"/>
  <c r="R372" i="6"/>
  <c r="U372" i="6"/>
  <c r="R371" i="6"/>
  <c r="U371" i="6"/>
  <c r="U341" i="6"/>
  <c r="S315" i="6"/>
  <c r="S314" i="6"/>
  <c r="U310" i="6"/>
  <c r="U233" i="6"/>
  <c r="R147" i="6"/>
  <c r="U147" i="6"/>
  <c r="R142" i="6"/>
  <c r="U142" i="6"/>
  <c r="R110" i="6"/>
  <c r="U110" i="6"/>
  <c r="S90" i="6"/>
  <c r="R529" i="6"/>
  <c r="U529" i="6"/>
  <c r="S520" i="6"/>
  <c r="R513" i="6"/>
  <c r="U513" i="6"/>
  <c r="S504" i="6"/>
  <c r="R497" i="6"/>
  <c r="U497" i="6"/>
  <c r="S488" i="6"/>
  <c r="U488" i="6"/>
  <c r="R481" i="6"/>
  <c r="U481" i="6"/>
  <c r="S472" i="6"/>
  <c r="R465" i="6"/>
  <c r="U465" i="6"/>
  <c r="R456" i="6"/>
  <c r="R416" i="6"/>
  <c r="S395" i="6"/>
  <c r="S394" i="6"/>
  <c r="R390" i="6"/>
  <c r="U390" i="6"/>
  <c r="S333" i="6"/>
  <c r="U327" i="6"/>
  <c r="S307" i="6"/>
  <c r="R297" i="6"/>
  <c r="U297" i="6"/>
  <c r="S288" i="6"/>
  <c r="S258" i="6"/>
  <c r="U258" i="6"/>
  <c r="R252" i="6"/>
  <c r="S245" i="6"/>
  <c r="U245" i="6"/>
  <c r="R225" i="6"/>
  <c r="R221" i="6"/>
  <c r="U221" i="6"/>
  <c r="S213" i="6"/>
  <c r="S201" i="6"/>
  <c r="R189" i="6"/>
  <c r="U189" i="6"/>
  <c r="S170" i="6"/>
  <c r="U170" i="6"/>
  <c r="R165" i="6"/>
  <c r="U165" i="6"/>
  <c r="R134" i="6"/>
  <c r="R101" i="6"/>
  <c r="R88" i="6"/>
  <c r="R70" i="6"/>
  <c r="U70" i="6"/>
  <c r="R59" i="6"/>
  <c r="U59" i="6"/>
  <c r="S51" i="6"/>
  <c r="U39" i="6"/>
  <c r="S32" i="6"/>
  <c r="S456" i="6"/>
  <c r="S454" i="6"/>
  <c r="U454" i="6"/>
  <c r="R428" i="6"/>
  <c r="U418" i="6"/>
  <c r="S413" i="6"/>
  <c r="R408" i="6"/>
  <c r="U408" i="6"/>
  <c r="R377" i="6"/>
  <c r="U377" i="6"/>
  <c r="R363" i="6"/>
  <c r="U363" i="6"/>
  <c r="U332" i="6"/>
  <c r="S320" i="6"/>
  <c r="R302" i="6"/>
  <c r="U302" i="6"/>
  <c r="R288" i="6"/>
  <c r="U288" i="6"/>
  <c r="R276" i="6"/>
  <c r="U276" i="6"/>
  <c r="S262" i="6"/>
  <c r="S199" i="6"/>
  <c r="U199" i="6"/>
  <c r="U162" i="6"/>
  <c r="R139" i="6"/>
  <c r="U139" i="6"/>
  <c r="R108" i="6"/>
  <c r="U108" i="6"/>
  <c r="S82" i="6"/>
  <c r="U82" i="6"/>
  <c r="R51" i="6"/>
  <c r="R31" i="6"/>
  <c r="R20" i="6"/>
  <c r="U20" i="6"/>
  <c r="R13" i="6"/>
  <c r="R444" i="6"/>
  <c r="U444" i="6"/>
  <c r="R438" i="6"/>
  <c r="S428" i="6"/>
  <c r="S423" i="6"/>
  <c r="R412" i="6"/>
  <c r="R382" i="6"/>
  <c r="R369" i="6"/>
  <c r="R356" i="6"/>
  <c r="R355" i="6"/>
  <c r="U355" i="6"/>
  <c r="S342" i="6"/>
  <c r="U342" i="6"/>
  <c r="R325" i="6"/>
  <c r="U325" i="6"/>
  <c r="R320" i="6"/>
  <c r="U320" i="6"/>
  <c r="S311" i="6"/>
  <c r="S299" i="6"/>
  <c r="S298" i="6"/>
  <c r="R294" i="6"/>
  <c r="U294" i="6"/>
  <c r="R250" i="6"/>
  <c r="U250" i="6"/>
  <c r="S237" i="6"/>
  <c r="R219" i="6"/>
  <c r="U219" i="6"/>
  <c r="S193" i="6"/>
  <c r="U188" i="6"/>
  <c r="S162" i="6"/>
  <c r="R131" i="6"/>
  <c r="U131" i="6"/>
  <c r="R125" i="6"/>
  <c r="U125" i="6"/>
  <c r="R111" i="6"/>
  <c r="U111" i="6"/>
  <c r="R100" i="6"/>
  <c r="U100" i="6"/>
  <c r="R94" i="6"/>
  <c r="U94" i="6"/>
  <c r="S74" i="6"/>
  <c r="R62" i="6"/>
  <c r="U62" i="6"/>
  <c r="S54" i="6"/>
  <c r="S43" i="6"/>
  <c r="R5" i="6"/>
  <c r="R452" i="6"/>
  <c r="R446" i="6"/>
  <c r="U446" i="6"/>
  <c r="S444" i="6"/>
  <c r="R442" i="6"/>
  <c r="U442" i="6"/>
  <c r="R431" i="6"/>
  <c r="U431" i="6"/>
  <c r="R427" i="6"/>
  <c r="R405" i="6"/>
  <c r="U405" i="6"/>
  <c r="R400" i="6"/>
  <c r="S390" i="6"/>
  <c r="S379" i="6"/>
  <c r="S378" i="6"/>
  <c r="U378" i="6"/>
  <c r="S359" i="6"/>
  <c r="S348" i="6"/>
  <c r="U330" i="6"/>
  <c r="R322" i="6"/>
  <c r="U322" i="6"/>
  <c r="R311" i="6"/>
  <c r="S291" i="6"/>
  <c r="S254" i="6"/>
  <c r="S242" i="6"/>
  <c r="U242" i="6"/>
  <c r="R237" i="6"/>
  <c r="S228" i="6"/>
  <c r="U228" i="6"/>
  <c r="S222" i="6"/>
  <c r="R209" i="6"/>
  <c r="U209" i="6"/>
  <c r="S197" i="6"/>
  <c r="U197" i="6"/>
  <c r="R191" i="6"/>
  <c r="S185" i="6"/>
  <c r="R180" i="6"/>
  <c r="U180" i="6"/>
  <c r="R160" i="6"/>
  <c r="S154" i="6"/>
  <c r="S134" i="6"/>
  <c r="S103" i="6"/>
  <c r="R66" i="6"/>
  <c r="U66" i="6"/>
  <c r="R54" i="6"/>
  <c r="U54" i="6"/>
  <c r="R43" i="6"/>
  <c r="R23" i="6"/>
  <c r="U23" i="6"/>
  <c r="S452" i="6"/>
  <c r="S448" i="6"/>
  <c r="S438" i="6"/>
  <c r="S440" i="6"/>
  <c r="U440" i="6"/>
  <c r="S435" i="6"/>
  <c r="S420" i="6"/>
  <c r="R410" i="6"/>
  <c r="U410" i="6"/>
  <c r="R361" i="6"/>
  <c r="U361" i="6"/>
  <c r="R348" i="6"/>
  <c r="U348" i="6"/>
  <c r="S340" i="6"/>
  <c r="R317" i="6"/>
  <c r="U317" i="6"/>
  <c r="S304" i="6"/>
  <c r="R286" i="6"/>
  <c r="U286" i="6"/>
  <c r="R260" i="6"/>
  <c r="U260" i="6"/>
  <c r="R259" i="6"/>
  <c r="S232" i="6"/>
  <c r="U229" i="6"/>
  <c r="U154" i="6"/>
  <c r="R103" i="6"/>
  <c r="U103" i="6"/>
  <c r="U92" i="6"/>
  <c r="S46" i="6"/>
  <c r="R35" i="6"/>
  <c r="U35" i="6"/>
  <c r="R30" i="6"/>
  <c r="U30" i="6"/>
  <c r="R4" i="6"/>
  <c r="R448" i="6"/>
  <c r="U448" i="6"/>
  <c r="S434" i="6"/>
  <c r="S425" i="6"/>
  <c r="R420" i="6"/>
  <c r="U420" i="6"/>
  <c r="R419" i="6"/>
  <c r="U419" i="6"/>
  <c r="R396" i="6"/>
  <c r="U396" i="6"/>
  <c r="S389" i="6"/>
  <c r="S384" i="6"/>
  <c r="R366" i="6"/>
  <c r="U366" i="6"/>
  <c r="R353" i="6"/>
  <c r="S345" i="6"/>
  <c r="R340" i="6"/>
  <c r="U340" i="6"/>
  <c r="R339" i="6"/>
  <c r="U339" i="6"/>
  <c r="S325" i="6"/>
  <c r="R309" i="6"/>
  <c r="U309" i="6"/>
  <c r="R303" i="6"/>
  <c r="S295" i="6"/>
  <c r="S283" i="6"/>
  <c r="S264" i="6"/>
  <c r="S252" i="6"/>
  <c r="R234" i="6"/>
  <c r="R226" i="6"/>
  <c r="S220" i="6"/>
  <c r="R214" i="6"/>
  <c r="R203" i="6"/>
  <c r="U203" i="6"/>
  <c r="S195" i="6"/>
  <c r="R183" i="6"/>
  <c r="U183" i="6"/>
  <c r="S177" i="6"/>
  <c r="R172" i="6"/>
  <c r="U172" i="6"/>
  <c r="S164" i="6"/>
  <c r="S146" i="6"/>
  <c r="U146" i="6"/>
  <c r="R141" i="6"/>
  <c r="U141" i="6"/>
  <c r="S133" i="6"/>
  <c r="S126" i="6"/>
  <c r="R115" i="6"/>
  <c r="U115" i="6"/>
  <c r="S101" i="6"/>
  <c r="R95" i="6"/>
  <c r="U95" i="6"/>
  <c r="S89" i="6"/>
  <c r="R84" i="6"/>
  <c r="R77" i="6"/>
  <c r="U77" i="6"/>
  <c r="S69" i="6"/>
  <c r="R64" i="6"/>
  <c r="S58" i="6"/>
  <c r="S38" i="6"/>
  <c r="S27" i="6"/>
  <c r="S7" i="6"/>
  <c r="R227" i="6"/>
  <c r="U227" i="6"/>
  <c r="S218" i="6"/>
  <c r="R211" i="6"/>
  <c r="U211" i="6"/>
  <c r="S202" i="6"/>
  <c r="R195" i="6"/>
  <c r="U195" i="6"/>
  <c r="S433" i="6"/>
  <c r="R426" i="6"/>
  <c r="U426" i="6"/>
  <c r="S417" i="6"/>
  <c r="S369" i="6"/>
  <c r="R362" i="6"/>
  <c r="S353" i="6"/>
  <c r="R346" i="6"/>
  <c r="U346" i="6"/>
  <c r="R314" i="6"/>
  <c r="U314" i="6"/>
  <c r="S305" i="6"/>
  <c r="S289" i="6"/>
  <c r="R282" i="6"/>
  <c r="S273" i="6"/>
  <c r="R266" i="6"/>
  <c r="S257" i="6"/>
  <c r="S241" i="6"/>
  <c r="U241" i="6"/>
  <c r="S97" i="6"/>
  <c r="R90" i="6"/>
  <c r="U90" i="6"/>
  <c r="S81" i="6"/>
  <c r="R74" i="6"/>
  <c r="U74" i="6"/>
  <c r="S65" i="6"/>
  <c r="R58" i="6"/>
  <c r="S49" i="6"/>
  <c r="R42" i="6"/>
  <c r="U42" i="6"/>
  <c r="S33" i="6"/>
  <c r="R26" i="6"/>
  <c r="U26" i="6"/>
  <c r="S17" i="6"/>
  <c r="R10" i="6"/>
  <c r="R433" i="6"/>
  <c r="S424" i="6"/>
  <c r="R417" i="6"/>
  <c r="U417" i="6"/>
  <c r="S408" i="6"/>
  <c r="R401" i="6"/>
  <c r="U401" i="6"/>
  <c r="S392" i="6"/>
  <c r="R385" i="6"/>
  <c r="U385" i="6"/>
  <c r="S360" i="6"/>
  <c r="S344" i="6"/>
  <c r="R337" i="6"/>
  <c r="S328" i="6"/>
  <c r="R305" i="6"/>
  <c r="R289" i="6"/>
  <c r="U289" i="6"/>
  <c r="S184" i="6"/>
  <c r="R177" i="6"/>
  <c r="S168" i="6"/>
  <c r="R161" i="6"/>
  <c r="U161" i="6"/>
  <c r="S152" i="6"/>
  <c r="R145" i="6"/>
  <c r="U145" i="6"/>
  <c r="S136" i="6"/>
  <c r="R129" i="6"/>
  <c r="U129" i="6"/>
  <c r="S120" i="6"/>
  <c r="R113" i="6"/>
  <c r="U113" i="6"/>
  <c r="S104" i="6"/>
  <c r="R97" i="6"/>
  <c r="U97" i="6"/>
  <c r="S88" i="6"/>
  <c r="R81" i="6"/>
  <c r="U81" i="6"/>
  <c r="S72" i="6"/>
  <c r="U72" i="6"/>
  <c r="R65" i="6"/>
  <c r="U65" i="6"/>
  <c r="S56" i="6"/>
  <c r="R49" i="6"/>
  <c r="U49" i="6"/>
  <c r="S40" i="6"/>
  <c r="R33" i="6"/>
  <c r="U33" i="6"/>
  <c r="S24" i="6"/>
  <c r="R17" i="6"/>
  <c r="U17" i="6"/>
  <c r="S8" i="6"/>
  <c r="R424" i="6"/>
  <c r="U424" i="6"/>
  <c r="S415" i="6"/>
  <c r="S399" i="6"/>
  <c r="R392" i="6"/>
  <c r="S383" i="6"/>
  <c r="R376" i="6"/>
  <c r="U376" i="6"/>
  <c r="S367" i="6"/>
  <c r="R360" i="6"/>
  <c r="U360" i="6"/>
  <c r="S335" i="6"/>
  <c r="R328" i="6"/>
  <c r="U328" i="6"/>
  <c r="S319" i="6"/>
  <c r="R312" i="6"/>
  <c r="S303" i="6"/>
  <c r="R296" i="6"/>
  <c r="U296" i="6"/>
  <c r="R280" i="6"/>
  <c r="U280" i="6"/>
  <c r="S271" i="6"/>
  <c r="R264" i="6"/>
  <c r="U264" i="6"/>
  <c r="R248" i="6"/>
  <c r="U248" i="6"/>
  <c r="S239" i="6"/>
  <c r="R232" i="6"/>
  <c r="S223" i="6"/>
  <c r="R216" i="6"/>
  <c r="S207" i="6"/>
  <c r="R200" i="6"/>
  <c r="U200" i="6"/>
  <c r="S191" i="6"/>
  <c r="R184" i="6"/>
  <c r="U184" i="6"/>
  <c r="S175" i="6"/>
  <c r="R168" i="6"/>
  <c r="U168" i="6"/>
  <c r="S159" i="6"/>
  <c r="R152" i="6"/>
  <c r="U152" i="6"/>
  <c r="S143" i="6"/>
  <c r="R136" i="6"/>
  <c r="U136" i="6"/>
  <c r="S127" i="6"/>
  <c r="U127" i="6"/>
  <c r="R120" i="6"/>
  <c r="U120" i="6"/>
  <c r="S111" i="6"/>
  <c r="R104" i="6"/>
  <c r="U104" i="6"/>
  <c r="S47" i="6"/>
  <c r="R40" i="6"/>
  <c r="S31" i="6"/>
  <c r="R24" i="6"/>
  <c r="U24" i="6"/>
  <c r="S15" i="6"/>
  <c r="U15" i="6"/>
  <c r="R8" i="6"/>
  <c r="U8" i="6"/>
  <c r="R383" i="6"/>
  <c r="U383" i="6"/>
  <c r="S374" i="6"/>
  <c r="R367" i="6"/>
  <c r="R335" i="6"/>
  <c r="S326" i="6"/>
  <c r="R319" i="6"/>
  <c r="S310" i="6"/>
  <c r="S278" i="6"/>
  <c r="R255" i="6"/>
  <c r="R239" i="6"/>
  <c r="S230" i="6"/>
  <c r="U230" i="6"/>
  <c r="R223" i="6"/>
  <c r="R207" i="6"/>
  <c r="U207" i="6"/>
  <c r="R374" i="6"/>
  <c r="U374" i="6"/>
  <c r="S365" i="6"/>
  <c r="R358" i="6"/>
  <c r="U358" i="6"/>
  <c r="R278" i="6"/>
  <c r="S221" i="6"/>
  <c r="R150" i="6"/>
  <c r="U150" i="6"/>
  <c r="R118" i="6"/>
  <c r="S109" i="6"/>
  <c r="R102" i="6"/>
  <c r="S93" i="6"/>
  <c r="S13" i="6"/>
  <c r="R6" i="6"/>
  <c r="R413" i="6"/>
  <c r="S404" i="6"/>
  <c r="R397" i="6"/>
  <c r="U397" i="6"/>
  <c r="S388" i="6"/>
  <c r="R381" i="6"/>
  <c r="U381" i="6"/>
  <c r="R365" i="6"/>
  <c r="U365" i="6"/>
  <c r="S356" i="6"/>
  <c r="R333" i="6"/>
  <c r="U333" i="6"/>
  <c r="R285" i="6"/>
  <c r="U285" i="6"/>
  <c r="S260" i="6"/>
  <c r="R253" i="6"/>
  <c r="U253" i="6"/>
  <c r="S212" i="6"/>
  <c r="R205" i="6"/>
  <c r="U205" i="6"/>
  <c r="S196" i="6"/>
  <c r="U196" i="6"/>
  <c r="R157" i="6"/>
  <c r="U157" i="6"/>
  <c r="S148" i="6"/>
  <c r="S132" i="6"/>
  <c r="R109" i="6"/>
  <c r="U109" i="6"/>
  <c r="S52" i="6"/>
  <c r="R45" i="6"/>
  <c r="U45" i="6"/>
  <c r="S36" i="6"/>
  <c r="S4" i="6"/>
  <c r="R411" i="6"/>
  <c r="U411" i="6"/>
  <c r="S402" i="6"/>
  <c r="U402" i="6"/>
  <c r="R395" i="6"/>
  <c r="S386" i="6"/>
  <c r="U386" i="6"/>
  <c r="R379" i="6"/>
  <c r="S370" i="6"/>
  <c r="U370" i="6"/>
  <c r="R347" i="6"/>
  <c r="S338" i="6"/>
  <c r="U338" i="6"/>
  <c r="R331" i="6"/>
  <c r="U331" i="6"/>
  <c r="S322" i="6"/>
  <c r="R315" i="6"/>
  <c r="U315" i="6"/>
  <c r="S306" i="6"/>
  <c r="U306" i="6"/>
  <c r="R299" i="6"/>
  <c r="U299" i="6"/>
  <c r="R283" i="6"/>
  <c r="U283" i="6"/>
  <c r="R235" i="6"/>
  <c r="U235" i="6"/>
  <c r="S226" i="6"/>
  <c r="R425" i="6"/>
  <c r="U425" i="6"/>
  <c r="S416" i="6"/>
  <c r="R409" i="6"/>
  <c r="U409" i="6"/>
  <c r="S400" i="6"/>
  <c r="R393" i="6"/>
  <c r="U393" i="6"/>
  <c r="S352" i="6"/>
  <c r="U352" i="6"/>
  <c r="R345" i="6"/>
  <c r="S336" i="6"/>
  <c r="U336" i="6"/>
  <c r="S272" i="6"/>
  <c r="U272" i="6"/>
  <c r="S240" i="6"/>
  <c r="U240" i="6"/>
  <c r="R217" i="6"/>
  <c r="S208" i="6"/>
  <c r="U208" i="6"/>
  <c r="R201" i="6"/>
  <c r="S192" i="6"/>
  <c r="R185" i="6"/>
  <c r="S176" i="6"/>
  <c r="U176" i="6"/>
  <c r="R169" i="6"/>
  <c r="U169" i="6"/>
  <c r="S160" i="6"/>
  <c r="R153" i="6"/>
  <c r="U153" i="6"/>
  <c r="S144" i="6"/>
  <c r="R137" i="6"/>
  <c r="S128" i="6"/>
  <c r="R121" i="6"/>
  <c r="U121" i="6"/>
  <c r="S112" i="6"/>
  <c r="R105" i="6"/>
  <c r="U105" i="6"/>
  <c r="S96" i="6"/>
  <c r="U96" i="6"/>
  <c r="R89" i="6"/>
  <c r="U89" i="6"/>
  <c r="S80" i="6"/>
  <c r="U80" i="6"/>
  <c r="R73" i="6"/>
  <c r="U73" i="6"/>
  <c r="S64" i="6"/>
  <c r="R57" i="6"/>
  <c r="U57" i="6"/>
  <c r="S231" i="6"/>
  <c r="R270" i="6"/>
  <c r="U270" i="6"/>
  <c r="S21" i="6"/>
  <c r="U21" i="6"/>
  <c r="R14" i="6"/>
  <c r="U14" i="6"/>
  <c r="S5" i="6"/>
  <c r="U525" i="4"/>
  <c r="U480" i="4"/>
  <c r="U434" i="4"/>
  <c r="U421" i="4"/>
  <c r="U465" i="4"/>
  <c r="U456" i="4"/>
  <c r="U463" i="4"/>
  <c r="U531" i="4"/>
  <c r="U425" i="4"/>
  <c r="U454" i="4"/>
  <c r="R27" i="4"/>
  <c r="U27" i="4"/>
  <c r="S523" i="4"/>
  <c r="R516" i="4"/>
  <c r="S507" i="4"/>
  <c r="R500" i="4"/>
  <c r="S491" i="4"/>
  <c r="R484" i="4"/>
  <c r="S475" i="4"/>
  <c r="R468" i="4"/>
  <c r="U468" i="4"/>
  <c r="S459" i="4"/>
  <c r="S450" i="4"/>
  <c r="S439" i="4"/>
  <c r="U439" i="4"/>
  <c r="S432" i="4"/>
  <c r="S430" i="4"/>
  <c r="S400" i="4"/>
  <c r="R386" i="4"/>
  <c r="R382" i="4"/>
  <c r="R383" i="4"/>
  <c r="U383" i="4"/>
  <c r="R378" i="4"/>
  <c r="S368" i="4"/>
  <c r="S357" i="4"/>
  <c r="S358" i="4"/>
  <c r="R348" i="4"/>
  <c r="U348" i="4"/>
  <c r="R347" i="4"/>
  <c r="U347" i="4"/>
  <c r="S343" i="4"/>
  <c r="R322" i="4"/>
  <c r="R313" i="4"/>
  <c r="R308" i="4"/>
  <c r="S275" i="4"/>
  <c r="U275" i="4"/>
  <c r="S274" i="4"/>
  <c r="R270" i="4"/>
  <c r="U270" i="4"/>
  <c r="S255" i="4"/>
  <c r="U238" i="4"/>
  <c r="R226" i="4"/>
  <c r="U226" i="4"/>
  <c r="U218" i="4"/>
  <c r="S213" i="4"/>
  <c r="R195" i="4"/>
  <c r="U176" i="4"/>
  <c r="S169" i="4"/>
  <c r="S149" i="4"/>
  <c r="S138" i="4"/>
  <c r="U138" i="4"/>
  <c r="S124" i="4"/>
  <c r="R101" i="4"/>
  <c r="S92" i="4"/>
  <c r="R76" i="4"/>
  <c r="R69" i="4"/>
  <c r="U69" i="4"/>
  <c r="S63" i="4"/>
  <c r="R40" i="4"/>
  <c r="U40" i="4"/>
  <c r="S19" i="4"/>
  <c r="R477" i="4"/>
  <c r="U477" i="4"/>
  <c r="S530" i="4"/>
  <c r="U530" i="4"/>
  <c r="R523" i="4"/>
  <c r="S514" i="4"/>
  <c r="R507" i="4"/>
  <c r="S498" i="4"/>
  <c r="R491" i="4"/>
  <c r="S482" i="4"/>
  <c r="R475" i="4"/>
  <c r="U475" i="4"/>
  <c r="S466" i="4"/>
  <c r="R459" i="4"/>
  <c r="U459" i="4"/>
  <c r="R450" i="4"/>
  <c r="R430" i="4"/>
  <c r="U430" i="4"/>
  <c r="R419" i="4"/>
  <c r="U419" i="4"/>
  <c r="S411" i="4"/>
  <c r="R400" i="4"/>
  <c r="U400" i="4"/>
  <c r="S395" i="4"/>
  <c r="S390" i="4"/>
  <c r="S377" i="4"/>
  <c r="R368" i="4"/>
  <c r="R356" i="4"/>
  <c r="U356" i="4"/>
  <c r="R328" i="4"/>
  <c r="R256" i="4"/>
  <c r="U256" i="4"/>
  <c r="S218" i="4"/>
  <c r="S204" i="4"/>
  <c r="S200" i="4"/>
  <c r="U200" i="4"/>
  <c r="R181" i="4"/>
  <c r="U181" i="4"/>
  <c r="S174" i="4"/>
  <c r="R156" i="4"/>
  <c r="U156" i="4"/>
  <c r="R151" i="4"/>
  <c r="R137" i="4"/>
  <c r="U137" i="4"/>
  <c r="R50" i="4"/>
  <c r="R30" i="4"/>
  <c r="R19" i="4"/>
  <c r="R514" i="4"/>
  <c r="S473" i="4"/>
  <c r="R441" i="4"/>
  <c r="R412" i="4"/>
  <c r="R411" i="4"/>
  <c r="S407" i="4"/>
  <c r="S385" i="4"/>
  <c r="S325" i="4"/>
  <c r="S320" i="4"/>
  <c r="S315" i="4"/>
  <c r="S309" i="4"/>
  <c r="S310" i="4"/>
  <c r="R300" i="4"/>
  <c r="R299" i="4"/>
  <c r="U299" i="4"/>
  <c r="R290" i="4"/>
  <c r="R261" i="4"/>
  <c r="R249" i="4"/>
  <c r="R236" i="4"/>
  <c r="R235" i="4"/>
  <c r="R231" i="4"/>
  <c r="S192" i="4"/>
  <c r="R11" i="4"/>
  <c r="R4" i="4"/>
  <c r="S484" i="4"/>
  <c r="R498" i="4"/>
  <c r="U498" i="4"/>
  <c r="R482" i="4"/>
  <c r="S414" i="4"/>
  <c r="S528" i="4"/>
  <c r="U528" i="4"/>
  <c r="R521" i="4"/>
  <c r="U521" i="4"/>
  <c r="S512" i="4"/>
  <c r="U512" i="4"/>
  <c r="R505" i="4"/>
  <c r="S496" i="4"/>
  <c r="R489" i="4"/>
  <c r="S480" i="4"/>
  <c r="R473" i="4"/>
  <c r="U473" i="4"/>
  <c r="S464" i="4"/>
  <c r="R457" i="4"/>
  <c r="S455" i="4"/>
  <c r="U455" i="4"/>
  <c r="S448" i="4"/>
  <c r="S446" i="4"/>
  <c r="U446" i="4"/>
  <c r="R437" i="4"/>
  <c r="R428" i="4"/>
  <c r="R414" i="4"/>
  <c r="U414" i="4"/>
  <c r="R407" i="4"/>
  <c r="R406" i="4"/>
  <c r="S365" i="4"/>
  <c r="U365" i="4"/>
  <c r="S355" i="4"/>
  <c r="S354" i="4"/>
  <c r="R335" i="4"/>
  <c r="S329" i="4"/>
  <c r="R320" i="4"/>
  <c r="U320" i="4"/>
  <c r="R304" i="4"/>
  <c r="R295" i="4"/>
  <c r="S272" i="4"/>
  <c r="S259" i="4"/>
  <c r="S258" i="4"/>
  <c r="R178" i="4"/>
  <c r="R159" i="4"/>
  <c r="S133" i="4"/>
  <c r="S121" i="4"/>
  <c r="S108" i="4"/>
  <c r="S102" i="4"/>
  <c r="R91" i="4"/>
  <c r="R84" i="4"/>
  <c r="S76" i="4"/>
  <c r="R73" i="4"/>
  <c r="U73" i="4"/>
  <c r="R60" i="4"/>
  <c r="R53" i="4"/>
  <c r="S47" i="4"/>
  <c r="S34" i="4"/>
  <c r="R24" i="4"/>
  <c r="U24" i="4"/>
  <c r="S16" i="4"/>
  <c r="S3" i="4"/>
  <c r="R466" i="4"/>
  <c r="U466" i="4"/>
  <c r="S457" i="4"/>
  <c r="R448" i="4"/>
  <c r="S437" i="4"/>
  <c r="R390" i="4"/>
  <c r="S435" i="4"/>
  <c r="R385" i="4"/>
  <c r="U385" i="4"/>
  <c r="R380" i="4"/>
  <c r="U380" i="4"/>
  <c r="R379" i="4"/>
  <c r="S375" i="4"/>
  <c r="R370" i="4"/>
  <c r="R355" i="4"/>
  <c r="R345" i="4"/>
  <c r="R340" i="4"/>
  <c r="U340" i="4"/>
  <c r="S301" i="4"/>
  <c r="S277" i="4"/>
  <c r="R259" i="4"/>
  <c r="S251" i="4"/>
  <c r="S245" i="4"/>
  <c r="R228" i="4"/>
  <c r="S202" i="4"/>
  <c r="S188" i="4"/>
  <c r="S183" i="4"/>
  <c r="R165" i="4"/>
  <c r="R140" i="4"/>
  <c r="R139" i="4"/>
  <c r="R135" i="4"/>
  <c r="R121" i="4"/>
  <c r="S114" i="4"/>
  <c r="R104" i="4"/>
  <c r="S83" i="4"/>
  <c r="S82" i="4"/>
  <c r="R77" i="4"/>
  <c r="S64" i="4"/>
  <c r="R34" i="4"/>
  <c r="R14" i="4"/>
  <c r="R3" i="4"/>
  <c r="S516" i="4"/>
  <c r="R432" i="4"/>
  <c r="U432" i="4"/>
  <c r="R252" i="4"/>
  <c r="R251" i="4"/>
  <c r="S505" i="4"/>
  <c r="S489" i="4"/>
  <c r="S428" i="4"/>
  <c r="S418" i="4"/>
  <c r="S526" i="4"/>
  <c r="R519" i="4"/>
  <c r="U519" i="4"/>
  <c r="S510" i="4"/>
  <c r="R503" i="4"/>
  <c r="U503" i="4"/>
  <c r="S494" i="4"/>
  <c r="R487" i="4"/>
  <c r="U487" i="4"/>
  <c r="S478" i="4"/>
  <c r="R471" i="4"/>
  <c r="S462" i="4"/>
  <c r="S453" i="4"/>
  <c r="S444" i="4"/>
  <c r="R435" i="4"/>
  <c r="U435" i="4"/>
  <c r="S382" i="4"/>
  <c r="R373" i="4"/>
  <c r="R360" i="4"/>
  <c r="S307" i="4"/>
  <c r="S306" i="4"/>
  <c r="R302" i="4"/>
  <c r="S296" i="4"/>
  <c r="R287" i="4"/>
  <c r="S282" i="4"/>
  <c r="S268" i="4"/>
  <c r="R244" i="4"/>
  <c r="R233" i="4"/>
  <c r="R220" i="4"/>
  <c r="R219" i="4"/>
  <c r="R215" i="4"/>
  <c r="S207" i="4"/>
  <c r="R189" i="4"/>
  <c r="R184" i="4"/>
  <c r="S163" i="4"/>
  <c r="S162" i="4"/>
  <c r="U162" i="4"/>
  <c r="R158" i="4"/>
  <c r="U158" i="4"/>
  <c r="S144" i="4"/>
  <c r="S100" i="4"/>
  <c r="R94" i="4"/>
  <c r="R83" i="4"/>
  <c r="U83" i="4"/>
  <c r="R63" i="4"/>
  <c r="S57" i="4"/>
  <c r="S37" i="4"/>
  <c r="S26" i="4"/>
  <c r="U26" i="4"/>
  <c r="S11" i="4"/>
  <c r="S8" i="4"/>
  <c r="R509" i="4"/>
  <c r="U509" i="4"/>
  <c r="S417" i="4"/>
  <c r="S485" i="4"/>
  <c r="U485" i="4"/>
  <c r="R478" i="4"/>
  <c r="S469" i="4"/>
  <c r="R462" i="4"/>
  <c r="R453" i="4"/>
  <c r="R444" i="4"/>
  <c r="S433" i="4"/>
  <c r="U433" i="4"/>
  <c r="R424" i="4"/>
  <c r="R422" i="4"/>
  <c r="S416" i="4"/>
  <c r="R409" i="4"/>
  <c r="U409" i="4"/>
  <c r="S387" i="4"/>
  <c r="S386" i="4"/>
  <c r="S372" i="4"/>
  <c r="S367" i="4"/>
  <c r="S352" i="4"/>
  <c r="S341" i="4"/>
  <c r="U341" i="4"/>
  <c r="S342" i="4"/>
  <c r="R332" i="4"/>
  <c r="R331" i="4"/>
  <c r="S327" i="4"/>
  <c r="R306" i="4"/>
  <c r="U306" i="4"/>
  <c r="R297" i="4"/>
  <c r="U297" i="4"/>
  <c r="R292" i="4"/>
  <c r="R263" i="4"/>
  <c r="U263" i="4"/>
  <c r="S256" i="4"/>
  <c r="S243" i="4"/>
  <c r="S242" i="4"/>
  <c r="U186" i="4"/>
  <c r="R75" i="4"/>
  <c r="R68" i="4"/>
  <c r="U68" i="4"/>
  <c r="S60" i="4"/>
  <c r="R57" i="4"/>
  <c r="R44" i="4"/>
  <c r="R43" i="4"/>
  <c r="U43" i="4"/>
  <c r="R37" i="4"/>
  <c r="U37" i="4"/>
  <c r="S18" i="4"/>
  <c r="R8" i="4"/>
  <c r="R393" i="4"/>
  <c r="S501" i="4"/>
  <c r="U501" i="4"/>
  <c r="S451" i="4"/>
  <c r="S422" i="4"/>
  <c r="R404" i="4"/>
  <c r="U404" i="4"/>
  <c r="R399" i="4"/>
  <c r="R394" i="4"/>
  <c r="S376" i="4"/>
  <c r="R366" i="4"/>
  <c r="R367" i="4"/>
  <c r="S361" i="4"/>
  <c r="R352" i="4"/>
  <c r="R325" i="4"/>
  <c r="U325" i="4"/>
  <c r="R312" i="4"/>
  <c r="U274" i="4"/>
  <c r="S261" i="4"/>
  <c r="R255" i="4"/>
  <c r="U255" i="4"/>
  <c r="R242" i="4"/>
  <c r="R224" i="4"/>
  <c r="S217" i="4"/>
  <c r="S199" i="4"/>
  <c r="S186" i="4"/>
  <c r="S172" i="4"/>
  <c r="S167" i="4"/>
  <c r="R155" i="4"/>
  <c r="R149" i="4"/>
  <c r="U149" i="4"/>
  <c r="R124" i="4"/>
  <c r="R123" i="4"/>
  <c r="R119" i="4"/>
  <c r="R105" i="4"/>
  <c r="U105" i="4"/>
  <c r="S98" i="4"/>
  <c r="U98" i="4"/>
  <c r="S80" i="4"/>
  <c r="S67" i="4"/>
  <c r="S66" i="4"/>
  <c r="R61" i="4"/>
  <c r="R29" i="4"/>
  <c r="R18" i="4"/>
  <c r="S4" i="4"/>
  <c r="R526" i="4"/>
  <c r="U526" i="4"/>
  <c r="S517" i="4"/>
  <c r="U517" i="4"/>
  <c r="R510" i="4"/>
  <c r="U510" i="4"/>
  <c r="R494" i="4"/>
  <c r="S524" i="4"/>
  <c r="S531" i="4"/>
  <c r="R524" i="4"/>
  <c r="U524" i="4"/>
  <c r="S515" i="4"/>
  <c r="U515" i="4"/>
  <c r="R508" i="4"/>
  <c r="U508" i="4"/>
  <c r="S499" i="4"/>
  <c r="U499" i="4"/>
  <c r="R492" i="4"/>
  <c r="U492" i="4"/>
  <c r="S483" i="4"/>
  <c r="R476" i="4"/>
  <c r="U476" i="4"/>
  <c r="S467" i="4"/>
  <c r="R460" i="4"/>
  <c r="U460" i="4"/>
  <c r="R451" i="4"/>
  <c r="R431" i="4"/>
  <c r="U431" i="4"/>
  <c r="R420" i="4"/>
  <c r="U420" i="4"/>
  <c r="S413" i="4"/>
  <c r="S406" i="4"/>
  <c r="S393" i="4"/>
  <c r="S389" i="4"/>
  <c r="R377" i="4"/>
  <c r="U377" i="4"/>
  <c r="S332" i="4"/>
  <c r="S319" i="4"/>
  <c r="S304" i="4"/>
  <c r="S299" i="4"/>
  <c r="S294" i="4"/>
  <c r="S287" i="4"/>
  <c r="R284" i="4"/>
  <c r="R283" i="4"/>
  <c r="S266" i="4"/>
  <c r="U266" i="4"/>
  <c r="S252" i="4"/>
  <c r="S248" i="4"/>
  <c r="R229" i="4"/>
  <c r="U229" i="4"/>
  <c r="S222" i="4"/>
  <c r="U217" i="4"/>
  <c r="R204" i="4"/>
  <c r="U204" i="4"/>
  <c r="R203" i="4"/>
  <c r="R199" i="4"/>
  <c r="S191" i="4"/>
  <c r="U191" i="4"/>
  <c r="S178" i="4"/>
  <c r="R173" i="4"/>
  <c r="S147" i="4"/>
  <c r="S146" i="4"/>
  <c r="U146" i="4"/>
  <c r="R141" i="4"/>
  <c r="S128" i="4"/>
  <c r="S84" i="4"/>
  <c r="R78" i="4"/>
  <c r="R66" i="4"/>
  <c r="R49" i="4"/>
  <c r="U49" i="4"/>
  <c r="S21" i="4"/>
  <c r="S10" i="4"/>
  <c r="U10" i="4"/>
  <c r="S500" i="4"/>
  <c r="R452" i="4"/>
  <c r="U452" i="4"/>
  <c r="S458" i="4"/>
  <c r="U458" i="4"/>
  <c r="R440" i="4"/>
  <c r="U440" i="4"/>
  <c r="S401" i="4"/>
  <c r="S384" i="4"/>
  <c r="S363" i="4"/>
  <c r="S339" i="4"/>
  <c r="S338" i="4"/>
  <c r="U338" i="4"/>
  <c r="R334" i="4"/>
  <c r="R319" i="4"/>
  <c r="S313" i="4"/>
  <c r="R309" i="4"/>
  <c r="R293" i="4"/>
  <c r="R288" i="4"/>
  <c r="U279" i="4"/>
  <c r="R264" i="4"/>
  <c r="R247" i="4"/>
  <c r="U247" i="4"/>
  <c r="S227" i="4"/>
  <c r="S226" i="4"/>
  <c r="U222" i="4"/>
  <c r="U147" i="4"/>
  <c r="S75" i="4"/>
  <c r="S72" i="4"/>
  <c r="U72" i="4"/>
  <c r="R59" i="4"/>
  <c r="R52" i="4"/>
  <c r="U52" i="4"/>
  <c r="S44" i="4"/>
  <c r="R41" i="4"/>
  <c r="R28" i="4"/>
  <c r="R21" i="4"/>
  <c r="U21" i="4"/>
  <c r="S2" i="4"/>
  <c r="R461" i="4"/>
  <c r="U461" i="4"/>
  <c r="S323" i="4"/>
  <c r="S322" i="4"/>
  <c r="S447" i="4"/>
  <c r="U447" i="4"/>
  <c r="U384" i="4"/>
  <c r="S373" i="4"/>
  <c r="S374" i="4"/>
  <c r="R364" i="4"/>
  <c r="R363" i="4"/>
  <c r="U363" i="4"/>
  <c r="R354" i="4"/>
  <c r="U354" i="4"/>
  <c r="U329" i="4"/>
  <c r="U324" i="4"/>
  <c r="R301" i="4"/>
  <c r="R258" i="4"/>
  <c r="R250" i="4"/>
  <c r="R240" i="4"/>
  <c r="U240" i="4"/>
  <c r="R227" i="4"/>
  <c r="U208" i="4"/>
  <c r="S201" i="4"/>
  <c r="S170" i="4"/>
  <c r="U170" i="4"/>
  <c r="R133" i="4"/>
  <c r="R108" i="4"/>
  <c r="U108" i="4"/>
  <c r="R107" i="4"/>
  <c r="R103" i="4"/>
  <c r="S51" i="4"/>
  <c r="S50" i="4"/>
  <c r="R13" i="4"/>
  <c r="R438" i="4"/>
  <c r="U438" i="4"/>
  <c r="R416" i="4"/>
  <c r="U416" i="4"/>
  <c r="R396" i="4"/>
  <c r="U396" i="4"/>
  <c r="R395" i="4"/>
  <c r="S391" i="4"/>
  <c r="R381" i="4"/>
  <c r="R372" i="4"/>
  <c r="U372" i="4"/>
  <c r="R357" i="4"/>
  <c r="U357" i="4"/>
  <c r="R344" i="4"/>
  <c r="S321" i="4"/>
  <c r="S300" i="4"/>
  <c r="S291" i="4"/>
  <c r="S290" i="4"/>
  <c r="R286" i="4"/>
  <c r="U286" i="4"/>
  <c r="S281" i="4"/>
  <c r="U281" i="4"/>
  <c r="S249" i="4"/>
  <c r="R245" i="4"/>
  <c r="U245" i="4"/>
  <c r="S236" i="4"/>
  <c r="S231" i="4"/>
  <c r="R213" i="4"/>
  <c r="U213" i="4"/>
  <c r="S206" i="4"/>
  <c r="U206" i="4"/>
  <c r="R201" i="4"/>
  <c r="R188" i="4"/>
  <c r="U188" i="4"/>
  <c r="R187" i="4"/>
  <c r="R183" i="4"/>
  <c r="U183" i="4"/>
  <c r="R169" i="4"/>
  <c r="R157" i="4"/>
  <c r="R152" i="4"/>
  <c r="U152" i="4"/>
  <c r="S131" i="4"/>
  <c r="S130" i="4"/>
  <c r="R125" i="4"/>
  <c r="S112" i="4"/>
  <c r="R82" i="4"/>
  <c r="R74" i="4"/>
  <c r="U74" i="4"/>
  <c r="R62" i="4"/>
  <c r="R51" i="4"/>
  <c r="S36" i="4"/>
  <c r="R33" i="4"/>
  <c r="U33" i="4"/>
  <c r="S25" i="4"/>
  <c r="S5" i="4"/>
  <c r="S195" i="4"/>
  <c r="S194" i="4"/>
  <c r="U194" i="4"/>
  <c r="S415" i="4"/>
  <c r="S398" i="4"/>
  <c r="S397" i="4"/>
  <c r="U397" i="4"/>
  <c r="R391" i="4"/>
  <c r="S379" i="4"/>
  <c r="S364" i="4"/>
  <c r="S351" i="4"/>
  <c r="U346" i="4"/>
  <c r="S336" i="4"/>
  <c r="S331" i="4"/>
  <c r="S326" i="4"/>
  <c r="R316" i="4"/>
  <c r="R315" i="4"/>
  <c r="U315" i="4"/>
  <c r="S311" i="4"/>
  <c r="R291" i="4"/>
  <c r="R268" i="4"/>
  <c r="U268" i="4"/>
  <c r="R267" i="4"/>
  <c r="R262" i="4"/>
  <c r="S254" i="4"/>
  <c r="U254" i="4"/>
  <c r="R232" i="4"/>
  <c r="S224" i="4"/>
  <c r="S211" i="4"/>
  <c r="S210" i="4"/>
  <c r="R142" i="4"/>
  <c r="U142" i="4"/>
  <c r="R130" i="4"/>
  <c r="S85" i="4"/>
  <c r="S74" i="4"/>
  <c r="R36" i="4"/>
  <c r="R25" i="4"/>
  <c r="R12" i="4"/>
  <c r="U12" i="4"/>
  <c r="R5" i="4"/>
  <c r="R415" i="4"/>
  <c r="U415" i="4"/>
  <c r="R408" i="4"/>
  <c r="S403" i="4"/>
  <c r="S402" i="4"/>
  <c r="R398" i="4"/>
  <c r="U398" i="4"/>
  <c r="S371" i="4"/>
  <c r="S370" i="4"/>
  <c r="R350" i="4"/>
  <c r="R351" i="4"/>
  <c r="S345" i="4"/>
  <c r="R336" i="4"/>
  <c r="R326" i="4"/>
  <c r="R311" i="4"/>
  <c r="S271" i="4"/>
  <c r="R241" i="4"/>
  <c r="U241" i="4"/>
  <c r="R234" i="4"/>
  <c r="S229" i="4"/>
  <c r="R211" i="4"/>
  <c r="R192" i="4"/>
  <c r="U192" i="4"/>
  <c r="S185" i="4"/>
  <c r="S154" i="4"/>
  <c r="U154" i="4"/>
  <c r="S140" i="4"/>
  <c r="S134" i="4"/>
  <c r="R117" i="4"/>
  <c r="U117" i="4"/>
  <c r="S110" i="4"/>
  <c r="U110" i="4"/>
  <c r="S97" i="4"/>
  <c r="R92" i="4"/>
  <c r="U92" i="4"/>
  <c r="R85" i="4"/>
  <c r="S79" i="4"/>
  <c r="R56" i="4"/>
  <c r="S48" i="4"/>
  <c r="S35" i="4"/>
  <c r="R423" i="4"/>
  <c r="S421" i="4"/>
  <c r="R410" i="4"/>
  <c r="R405" i="4"/>
  <c r="U405" i="4"/>
  <c r="R402" i="4"/>
  <c r="U402" i="4"/>
  <c r="S392" i="4"/>
  <c r="S388" i="4"/>
  <c r="R371" i="4"/>
  <c r="U371" i="4"/>
  <c r="R361" i="4"/>
  <c r="U361" i="4"/>
  <c r="S316" i="4"/>
  <c r="S308" i="4"/>
  <c r="S302" i="4"/>
  <c r="R298" i="4"/>
  <c r="S293" i="4"/>
  <c r="S288" i="4"/>
  <c r="U272" i="4"/>
  <c r="R260" i="4"/>
  <c r="S233" i="4"/>
  <c r="S220" i="4"/>
  <c r="S215" i="4"/>
  <c r="R197" i="4"/>
  <c r="S190" i="4"/>
  <c r="U190" i="4"/>
  <c r="R185" i="4"/>
  <c r="U185" i="4"/>
  <c r="S177" i="4"/>
  <c r="R172" i="4"/>
  <c r="U172" i="4"/>
  <c r="R171" i="4"/>
  <c r="R167" i="4"/>
  <c r="U167" i="4"/>
  <c r="R153" i="4"/>
  <c r="U153" i="4"/>
  <c r="S96" i="4"/>
  <c r="R46" i="4"/>
  <c r="R35" i="4"/>
  <c r="S20" i="4"/>
  <c r="U20" i="4"/>
  <c r="R17" i="4"/>
  <c r="U17" i="4"/>
  <c r="S9" i="4"/>
  <c r="U9" i="4"/>
  <c r="R2" i="4"/>
  <c r="U2" i="4"/>
  <c r="S410" i="4"/>
  <c r="R403" i="4"/>
  <c r="U403" i="4"/>
  <c r="S394" i="4"/>
  <c r="R387" i="4"/>
  <c r="S378" i="4"/>
  <c r="S362" i="4"/>
  <c r="U362" i="4"/>
  <c r="S346" i="4"/>
  <c r="R339" i="4"/>
  <c r="U339" i="4"/>
  <c r="S330" i="4"/>
  <c r="U330" i="4"/>
  <c r="R323" i="4"/>
  <c r="S314" i="4"/>
  <c r="U314" i="4"/>
  <c r="R307" i="4"/>
  <c r="U307" i="4"/>
  <c r="S298" i="4"/>
  <c r="S250" i="4"/>
  <c r="R243" i="4"/>
  <c r="U243" i="4"/>
  <c r="S234" i="4"/>
  <c r="R179" i="4"/>
  <c r="U179" i="4"/>
  <c r="R163" i="4"/>
  <c r="U163" i="4"/>
  <c r="R131" i="4"/>
  <c r="S122" i="4"/>
  <c r="U122" i="4"/>
  <c r="R115" i="4"/>
  <c r="U115" i="4"/>
  <c r="S106" i="4"/>
  <c r="U106" i="4"/>
  <c r="R99" i="4"/>
  <c r="U99" i="4"/>
  <c r="R67" i="4"/>
  <c r="U67" i="4"/>
  <c r="S42" i="4"/>
  <c r="U42" i="4"/>
  <c r="R417" i="4"/>
  <c r="U417" i="4"/>
  <c r="S408" i="4"/>
  <c r="R401" i="4"/>
  <c r="R369" i="4"/>
  <c r="U369" i="4"/>
  <c r="S360" i="4"/>
  <c r="R353" i="4"/>
  <c r="U353" i="4"/>
  <c r="S344" i="4"/>
  <c r="R337" i="4"/>
  <c r="U337" i="4"/>
  <c r="S328" i="4"/>
  <c r="R321" i="4"/>
  <c r="U321" i="4"/>
  <c r="S312" i="4"/>
  <c r="R305" i="4"/>
  <c r="U305" i="4"/>
  <c r="R289" i="4"/>
  <c r="U289" i="4"/>
  <c r="S280" i="4"/>
  <c r="U280" i="4"/>
  <c r="R273" i="4"/>
  <c r="U273" i="4"/>
  <c r="S264" i="4"/>
  <c r="R257" i="4"/>
  <c r="U257" i="4"/>
  <c r="S232" i="4"/>
  <c r="R225" i="4"/>
  <c r="U225" i="4"/>
  <c r="S216" i="4"/>
  <c r="U216" i="4"/>
  <c r="R209" i="4"/>
  <c r="U209" i="4"/>
  <c r="R193" i="4"/>
  <c r="U193" i="4"/>
  <c r="S184" i="4"/>
  <c r="S168" i="4"/>
  <c r="R161" i="4"/>
  <c r="U161" i="4"/>
  <c r="R145" i="4"/>
  <c r="U145" i="4"/>
  <c r="S136" i="4"/>
  <c r="R129" i="4"/>
  <c r="U129" i="4"/>
  <c r="S120" i="4"/>
  <c r="R113" i="4"/>
  <c r="U113" i="4"/>
  <c r="S104" i="4"/>
  <c r="R97" i="4"/>
  <c r="S88" i="4"/>
  <c r="R65" i="4"/>
  <c r="U65" i="4"/>
  <c r="S56" i="4"/>
  <c r="S399" i="4"/>
  <c r="R392" i="4"/>
  <c r="S335" i="4"/>
  <c r="S303" i="4"/>
  <c r="U303" i="4"/>
  <c r="R296" i="4"/>
  <c r="R248" i="4"/>
  <c r="U248" i="4"/>
  <c r="S239" i="4"/>
  <c r="S223" i="4"/>
  <c r="S175" i="4"/>
  <c r="R168" i="4"/>
  <c r="R136" i="4"/>
  <c r="S127" i="4"/>
  <c r="U127" i="4"/>
  <c r="R120" i="4"/>
  <c r="S111" i="4"/>
  <c r="U111" i="4"/>
  <c r="R88" i="4"/>
  <c r="R271" i="4"/>
  <c r="S246" i="4"/>
  <c r="R239" i="4"/>
  <c r="S230" i="4"/>
  <c r="R223" i="4"/>
  <c r="U223" i="4"/>
  <c r="S214" i="4"/>
  <c r="S198" i="4"/>
  <c r="S182" i="4"/>
  <c r="R175" i="4"/>
  <c r="S166" i="4"/>
  <c r="S150" i="4"/>
  <c r="R79" i="4"/>
  <c r="S70" i="4"/>
  <c r="R47" i="4"/>
  <c r="S38" i="4"/>
  <c r="R31" i="4"/>
  <c r="U31" i="4"/>
  <c r="S22" i="4"/>
  <c r="R15" i="4"/>
  <c r="U15" i="4"/>
  <c r="S6" i="4"/>
  <c r="S381" i="4"/>
  <c r="R374" i="4"/>
  <c r="U374" i="4"/>
  <c r="R358" i="4"/>
  <c r="S349" i="4"/>
  <c r="U349" i="4"/>
  <c r="S317" i="4"/>
  <c r="U317" i="4"/>
  <c r="R310" i="4"/>
  <c r="U310" i="4"/>
  <c r="R294" i="4"/>
  <c r="U294" i="4"/>
  <c r="S285" i="4"/>
  <c r="U285" i="4"/>
  <c r="R278" i="4"/>
  <c r="U278" i="4"/>
  <c r="S269" i="4"/>
  <c r="S253" i="4"/>
  <c r="R246" i="4"/>
  <c r="U246" i="4"/>
  <c r="S237" i="4"/>
  <c r="R230" i="4"/>
  <c r="U230" i="4"/>
  <c r="S221" i="4"/>
  <c r="R214" i="4"/>
  <c r="S205" i="4"/>
  <c r="U205" i="4"/>
  <c r="R198" i="4"/>
  <c r="S189" i="4"/>
  <c r="R182" i="4"/>
  <c r="U182" i="4"/>
  <c r="S173" i="4"/>
  <c r="R166" i="4"/>
  <c r="S157" i="4"/>
  <c r="R150" i="4"/>
  <c r="U150" i="4"/>
  <c r="S141" i="4"/>
  <c r="R134" i="4"/>
  <c r="S125" i="4"/>
  <c r="R118" i="4"/>
  <c r="U118" i="4"/>
  <c r="S109" i="4"/>
  <c r="U109" i="4"/>
  <c r="R102" i="4"/>
  <c r="S93" i="4"/>
  <c r="U93" i="4"/>
  <c r="R86" i="4"/>
  <c r="U86" i="4"/>
  <c r="S77" i="4"/>
  <c r="R70" i="4"/>
  <c r="U70" i="4"/>
  <c r="S61" i="4"/>
  <c r="R54" i="4"/>
  <c r="U54" i="4"/>
  <c r="S45" i="4"/>
  <c r="U45" i="4"/>
  <c r="R38" i="4"/>
  <c r="S29" i="4"/>
  <c r="R22" i="4"/>
  <c r="S13" i="4"/>
  <c r="R6" i="4"/>
  <c r="S276" i="4"/>
  <c r="R269" i="4"/>
  <c r="U269" i="4"/>
  <c r="S260" i="4"/>
  <c r="R253" i="4"/>
  <c r="U253" i="4"/>
  <c r="S244" i="4"/>
  <c r="R237" i="4"/>
  <c r="S228" i="4"/>
  <c r="S212" i="4"/>
  <c r="S180" i="4"/>
  <c r="R388" i="4"/>
  <c r="U388" i="4"/>
  <c r="S283" i="4"/>
  <c r="R276" i="4"/>
  <c r="U276" i="4"/>
  <c r="S267" i="4"/>
  <c r="S235" i="4"/>
  <c r="S219" i="4"/>
  <c r="R212" i="4"/>
  <c r="S203" i="4"/>
  <c r="S187" i="4"/>
  <c r="R180" i="4"/>
  <c r="S171" i="4"/>
  <c r="R164" i="4"/>
  <c r="U164" i="4"/>
  <c r="S155" i="4"/>
  <c r="R148" i="4"/>
  <c r="U148" i="4"/>
  <c r="S139" i="4"/>
  <c r="R132" i="4"/>
  <c r="U132" i="4"/>
  <c r="S123" i="4"/>
  <c r="R116" i="4"/>
  <c r="U116" i="4"/>
  <c r="S107" i="4"/>
  <c r="R100" i="4"/>
  <c r="U100" i="4"/>
  <c r="R418" i="4"/>
  <c r="U418" i="4"/>
  <c r="S265" i="4"/>
  <c r="U265" i="4"/>
  <c r="S151" i="4"/>
  <c r="R144" i="4"/>
  <c r="S135" i="4"/>
  <c r="R128" i="4"/>
  <c r="U128" i="4"/>
  <c r="S119" i="4"/>
  <c r="R112" i="4"/>
  <c r="U112" i="4"/>
  <c r="S103" i="4"/>
  <c r="R96" i="4"/>
  <c r="S87" i="4"/>
  <c r="R80" i="4"/>
  <c r="S71" i="4"/>
  <c r="R64" i="4"/>
  <c r="S55" i="4"/>
  <c r="R48" i="4"/>
  <c r="U48" i="4"/>
  <c r="S39" i="4"/>
  <c r="R32" i="4"/>
  <c r="U32" i="4"/>
  <c r="S23" i="4"/>
  <c r="R16" i="4"/>
  <c r="U16" i="4"/>
  <c r="S7" i="4"/>
  <c r="R375" i="4"/>
  <c r="U375" i="4"/>
  <c r="S366" i="4"/>
  <c r="R359" i="4"/>
  <c r="S350" i="4"/>
  <c r="R343" i="4"/>
  <c r="S334" i="4"/>
  <c r="R327" i="4"/>
  <c r="S318" i="4"/>
  <c r="U318" i="4"/>
  <c r="S94" i="4"/>
  <c r="R87" i="4"/>
  <c r="S78" i="4"/>
  <c r="R71" i="4"/>
  <c r="S62" i="4"/>
  <c r="R55" i="4"/>
  <c r="S46" i="4"/>
  <c r="R39" i="4"/>
  <c r="U39" i="4"/>
  <c r="S30" i="4"/>
  <c r="R23" i="4"/>
  <c r="S14" i="4"/>
  <c r="R7" i="4"/>
  <c r="I2" i="3"/>
  <c r="J2" i="3"/>
  <c r="L2" i="3"/>
  <c r="M2" i="3"/>
  <c r="O2" i="3"/>
  <c r="P2" i="3"/>
  <c r="I3" i="3"/>
  <c r="J3" i="3"/>
  <c r="L3" i="3"/>
  <c r="M3" i="3"/>
  <c r="O3" i="3"/>
  <c r="P3" i="3"/>
  <c r="S3" i="3"/>
  <c r="I4" i="3"/>
  <c r="J4" i="3"/>
  <c r="L4" i="3"/>
  <c r="M4" i="3"/>
  <c r="O4" i="3"/>
  <c r="P4" i="3"/>
  <c r="I5" i="3"/>
  <c r="J5" i="3"/>
  <c r="L5" i="3"/>
  <c r="M5" i="3"/>
  <c r="O5" i="3"/>
  <c r="P5" i="3"/>
  <c r="I6" i="3"/>
  <c r="J6" i="3"/>
  <c r="L6" i="3"/>
  <c r="M6" i="3"/>
  <c r="O6" i="3"/>
  <c r="R4" i="3"/>
  <c r="P6" i="3"/>
  <c r="I7" i="3"/>
  <c r="J7" i="3"/>
  <c r="L7" i="3"/>
  <c r="M7" i="3"/>
  <c r="O7" i="3"/>
  <c r="P7" i="3"/>
  <c r="I8" i="3"/>
  <c r="J8" i="3"/>
  <c r="L8" i="3"/>
  <c r="R5" i="3"/>
  <c r="M8" i="3"/>
  <c r="O8" i="3"/>
  <c r="P8" i="3"/>
  <c r="S8" i="3"/>
  <c r="I9" i="3"/>
  <c r="J9" i="3"/>
  <c r="L9" i="3"/>
  <c r="M9" i="3"/>
  <c r="O9" i="3"/>
  <c r="P9" i="3"/>
  <c r="I10" i="3"/>
  <c r="J10" i="3"/>
  <c r="L10" i="3"/>
  <c r="M10" i="3"/>
  <c r="O10" i="3"/>
  <c r="P10" i="3"/>
  <c r="I11" i="3"/>
  <c r="J11" i="3"/>
  <c r="L11" i="3"/>
  <c r="M11" i="3"/>
  <c r="O11" i="3"/>
  <c r="P11" i="3"/>
  <c r="I12" i="3"/>
  <c r="J12" i="3"/>
  <c r="L12" i="3"/>
  <c r="M12" i="3"/>
  <c r="O12" i="3"/>
  <c r="P12" i="3"/>
  <c r="I13" i="3"/>
  <c r="J13" i="3"/>
  <c r="L13" i="3"/>
  <c r="M13" i="3"/>
  <c r="O13" i="3"/>
  <c r="P13" i="3"/>
  <c r="S11" i="3"/>
  <c r="I14" i="3"/>
  <c r="J14" i="3"/>
  <c r="L14" i="3"/>
  <c r="M14" i="3"/>
  <c r="O14" i="3"/>
  <c r="P14" i="3"/>
  <c r="I15" i="3"/>
  <c r="J15" i="3"/>
  <c r="L15" i="3"/>
  <c r="M15" i="3"/>
  <c r="S12" i="3"/>
  <c r="O15" i="3"/>
  <c r="P15" i="3"/>
  <c r="I16" i="3"/>
  <c r="J16" i="3"/>
  <c r="L16" i="3"/>
  <c r="M16" i="3"/>
  <c r="O16" i="3"/>
  <c r="P16" i="3"/>
  <c r="I17" i="3"/>
  <c r="J17" i="3"/>
  <c r="L17" i="3"/>
  <c r="M17" i="3"/>
  <c r="O17" i="3"/>
  <c r="P17" i="3"/>
  <c r="I18" i="3"/>
  <c r="J18" i="3"/>
  <c r="L18" i="3"/>
  <c r="M18" i="3"/>
  <c r="O18" i="3"/>
  <c r="P18" i="3"/>
  <c r="S18" i="3"/>
  <c r="I19" i="3"/>
  <c r="J19" i="3"/>
  <c r="L19" i="3"/>
  <c r="M19" i="3"/>
  <c r="O19" i="3"/>
  <c r="P19" i="3"/>
  <c r="I20" i="3"/>
  <c r="J20" i="3"/>
  <c r="L20" i="3"/>
  <c r="M20" i="3"/>
  <c r="O20" i="3"/>
  <c r="P20" i="3"/>
  <c r="I21" i="3"/>
  <c r="J21" i="3"/>
  <c r="L21" i="3"/>
  <c r="M21" i="3"/>
  <c r="O21" i="3"/>
  <c r="P21" i="3"/>
  <c r="I22" i="3"/>
  <c r="J22" i="3"/>
  <c r="L22" i="3"/>
  <c r="M22" i="3"/>
  <c r="O22" i="3"/>
  <c r="P22" i="3"/>
  <c r="I23" i="3"/>
  <c r="J23" i="3"/>
  <c r="L23" i="3"/>
  <c r="M23" i="3"/>
  <c r="O23" i="3"/>
  <c r="P23" i="3"/>
  <c r="I24" i="3"/>
  <c r="J24" i="3"/>
  <c r="L24" i="3"/>
  <c r="M24" i="3"/>
  <c r="O24" i="3"/>
  <c r="P24" i="3"/>
  <c r="I25" i="3"/>
  <c r="J25" i="3"/>
  <c r="L25" i="3"/>
  <c r="M25" i="3"/>
  <c r="O25" i="3"/>
  <c r="P25" i="3"/>
  <c r="I26" i="3"/>
  <c r="J26" i="3"/>
  <c r="L26" i="3"/>
  <c r="M26" i="3"/>
  <c r="O26" i="3"/>
  <c r="P26" i="3"/>
  <c r="I27" i="3"/>
  <c r="J27" i="3"/>
  <c r="L27" i="3"/>
  <c r="M27" i="3"/>
  <c r="O27" i="3"/>
  <c r="P27" i="3"/>
  <c r="I28" i="3"/>
  <c r="J28" i="3"/>
  <c r="L28" i="3"/>
  <c r="M28" i="3"/>
  <c r="O28" i="3"/>
  <c r="P28" i="3"/>
  <c r="I29" i="3"/>
  <c r="J29" i="3"/>
  <c r="L29" i="3"/>
  <c r="M29" i="3"/>
  <c r="O29" i="3"/>
  <c r="P29" i="3"/>
  <c r="I30" i="3"/>
  <c r="J30" i="3"/>
  <c r="L30" i="3"/>
  <c r="M30" i="3"/>
  <c r="O30" i="3"/>
  <c r="R20" i="3"/>
  <c r="P30" i="3"/>
  <c r="S30" i="3"/>
  <c r="I31" i="3"/>
  <c r="J31" i="3"/>
  <c r="L31" i="3"/>
  <c r="M31" i="3"/>
  <c r="O31" i="3"/>
  <c r="P31" i="3"/>
  <c r="I32" i="3"/>
  <c r="J32" i="3"/>
  <c r="L32" i="3"/>
  <c r="M32" i="3"/>
  <c r="O32" i="3"/>
  <c r="P32" i="3"/>
  <c r="I33" i="3"/>
  <c r="J33" i="3"/>
  <c r="L33" i="3"/>
  <c r="M33" i="3"/>
  <c r="O33" i="3"/>
  <c r="P33" i="3"/>
  <c r="I34" i="3"/>
  <c r="J34" i="3"/>
  <c r="L34" i="3"/>
  <c r="M34" i="3"/>
  <c r="O34" i="3"/>
  <c r="P34" i="3"/>
  <c r="I35" i="3"/>
  <c r="J35" i="3"/>
  <c r="L35" i="3"/>
  <c r="M35" i="3"/>
  <c r="O35" i="3"/>
  <c r="P35" i="3"/>
  <c r="S35" i="3"/>
  <c r="I36" i="3"/>
  <c r="J36" i="3"/>
  <c r="L36" i="3"/>
  <c r="M36" i="3"/>
  <c r="O36" i="3"/>
  <c r="P36" i="3"/>
  <c r="I37" i="3"/>
  <c r="J37" i="3"/>
  <c r="L37" i="3"/>
  <c r="M37" i="3"/>
  <c r="O37" i="3"/>
  <c r="P37" i="3"/>
  <c r="S37" i="3"/>
  <c r="R37" i="3"/>
  <c r="U37" i="3"/>
  <c r="I38" i="3"/>
  <c r="J38" i="3"/>
  <c r="L38" i="3"/>
  <c r="M38" i="3"/>
  <c r="O38" i="3"/>
  <c r="R36" i="3"/>
  <c r="P38" i="3"/>
  <c r="I39" i="3"/>
  <c r="J39" i="3"/>
  <c r="L39" i="3"/>
  <c r="M39" i="3"/>
  <c r="O39" i="3"/>
  <c r="P39" i="3"/>
  <c r="S39" i="3"/>
  <c r="I40" i="3"/>
  <c r="J40" i="3"/>
  <c r="L40" i="3"/>
  <c r="M40" i="3"/>
  <c r="O40" i="3"/>
  <c r="P40" i="3"/>
  <c r="I41" i="3"/>
  <c r="J41" i="3"/>
  <c r="L41" i="3"/>
  <c r="M41" i="3"/>
  <c r="O41" i="3"/>
  <c r="P41" i="3"/>
  <c r="I42" i="3"/>
  <c r="J42" i="3"/>
  <c r="L42" i="3"/>
  <c r="M42" i="3"/>
  <c r="O42" i="3"/>
  <c r="P42" i="3"/>
  <c r="I43" i="3"/>
  <c r="J43" i="3"/>
  <c r="L43" i="3"/>
  <c r="M43" i="3"/>
  <c r="O43" i="3"/>
  <c r="P43" i="3"/>
  <c r="S41" i="3"/>
  <c r="I44" i="3"/>
  <c r="J44" i="3"/>
  <c r="L44" i="3"/>
  <c r="M44" i="3"/>
  <c r="O44" i="3"/>
  <c r="P44" i="3"/>
  <c r="S42" i="3"/>
  <c r="R44" i="3"/>
  <c r="I45" i="3"/>
  <c r="J45" i="3"/>
  <c r="L45" i="3"/>
  <c r="M45" i="3"/>
  <c r="O45" i="3"/>
  <c r="P45" i="3"/>
  <c r="I46" i="3"/>
  <c r="J46" i="3"/>
  <c r="L46" i="3"/>
  <c r="M46" i="3"/>
  <c r="O46" i="3"/>
  <c r="P46" i="3"/>
  <c r="S46" i="3"/>
  <c r="I47" i="3"/>
  <c r="J47" i="3"/>
  <c r="L47" i="3"/>
  <c r="M47" i="3"/>
  <c r="O47" i="3"/>
  <c r="R47" i="3"/>
  <c r="P47" i="3"/>
  <c r="I48" i="3"/>
  <c r="J48" i="3"/>
  <c r="L48" i="3"/>
  <c r="M48" i="3"/>
  <c r="O48" i="3"/>
  <c r="R48" i="3"/>
  <c r="P48" i="3"/>
  <c r="I49" i="3"/>
  <c r="J49" i="3"/>
  <c r="L49" i="3"/>
  <c r="M49" i="3"/>
  <c r="O49" i="3"/>
  <c r="P49" i="3"/>
  <c r="S48" i="3"/>
  <c r="I50" i="3"/>
  <c r="J50" i="3"/>
  <c r="L50" i="3"/>
  <c r="M50" i="3"/>
  <c r="O50" i="3"/>
  <c r="P50" i="3"/>
  <c r="I51" i="3"/>
  <c r="J51" i="3"/>
  <c r="L51" i="3"/>
  <c r="M51" i="3"/>
  <c r="O51" i="3"/>
  <c r="P51" i="3"/>
  <c r="I52" i="3"/>
  <c r="J52" i="3"/>
  <c r="L52" i="3"/>
  <c r="M52" i="3"/>
  <c r="O52" i="3"/>
  <c r="P52" i="3"/>
  <c r="S52" i="3"/>
  <c r="I53" i="3"/>
  <c r="J53" i="3"/>
  <c r="L53" i="3"/>
  <c r="M53" i="3"/>
  <c r="O53" i="3"/>
  <c r="P53" i="3"/>
  <c r="I54" i="3"/>
  <c r="J54" i="3"/>
  <c r="L54" i="3"/>
  <c r="M54" i="3"/>
  <c r="O54" i="3"/>
  <c r="P54" i="3"/>
  <c r="S54" i="3"/>
  <c r="I55" i="3"/>
  <c r="J55" i="3"/>
  <c r="L55" i="3"/>
  <c r="M55" i="3"/>
  <c r="O55" i="3"/>
  <c r="P55" i="3"/>
  <c r="I56" i="3"/>
  <c r="J56" i="3"/>
  <c r="L56" i="3"/>
  <c r="M56" i="3"/>
  <c r="O56" i="3"/>
  <c r="P56" i="3"/>
  <c r="I57" i="3"/>
  <c r="J57" i="3"/>
  <c r="L57" i="3"/>
  <c r="M57" i="3"/>
  <c r="O57" i="3"/>
  <c r="P57" i="3"/>
  <c r="I58" i="3"/>
  <c r="J58" i="3"/>
  <c r="L58" i="3"/>
  <c r="M58" i="3"/>
  <c r="O58" i="3"/>
  <c r="P58" i="3"/>
  <c r="I59" i="3"/>
  <c r="J59" i="3"/>
  <c r="L59" i="3"/>
  <c r="M59" i="3"/>
  <c r="O59" i="3"/>
  <c r="P59" i="3"/>
  <c r="I60" i="3"/>
  <c r="J60" i="3"/>
  <c r="L60" i="3"/>
  <c r="M60" i="3"/>
  <c r="O60" i="3"/>
  <c r="P60" i="3"/>
  <c r="I61" i="3"/>
  <c r="J61" i="3"/>
  <c r="L61" i="3"/>
  <c r="M61" i="3"/>
  <c r="O61" i="3"/>
  <c r="P61" i="3"/>
  <c r="I62" i="3"/>
  <c r="J62" i="3"/>
  <c r="L62" i="3"/>
  <c r="M62" i="3"/>
  <c r="O62" i="3"/>
  <c r="R60" i="3"/>
  <c r="P62" i="3"/>
  <c r="I63" i="3"/>
  <c r="J63" i="3"/>
  <c r="L63" i="3"/>
  <c r="M63" i="3"/>
  <c r="O63" i="3"/>
  <c r="P63" i="3"/>
  <c r="I64" i="3"/>
  <c r="J64" i="3"/>
  <c r="L64" i="3"/>
  <c r="M64" i="3"/>
  <c r="O64" i="3"/>
  <c r="P64" i="3"/>
  <c r="I65" i="3"/>
  <c r="J65" i="3"/>
  <c r="L65" i="3"/>
  <c r="M65" i="3"/>
  <c r="O65" i="3"/>
  <c r="P65" i="3"/>
  <c r="I66" i="3"/>
  <c r="J66" i="3"/>
  <c r="L66" i="3"/>
  <c r="M66" i="3"/>
  <c r="O66" i="3"/>
  <c r="P66" i="3"/>
  <c r="I67" i="3"/>
  <c r="J67" i="3"/>
  <c r="L67" i="3"/>
  <c r="M67" i="3"/>
  <c r="O67" i="3"/>
  <c r="P67" i="3"/>
  <c r="I68" i="3"/>
  <c r="J68" i="3"/>
  <c r="L68" i="3"/>
  <c r="M68" i="3"/>
  <c r="O68" i="3"/>
  <c r="P68" i="3"/>
  <c r="I69" i="3"/>
  <c r="J69" i="3"/>
  <c r="L69" i="3"/>
  <c r="M69" i="3"/>
  <c r="O69" i="3"/>
  <c r="R67" i="3"/>
  <c r="P69" i="3"/>
  <c r="I70" i="3"/>
  <c r="J70" i="3"/>
  <c r="L70" i="3"/>
  <c r="M70" i="3"/>
  <c r="O70" i="3"/>
  <c r="P70" i="3"/>
  <c r="I71" i="3"/>
  <c r="J71" i="3"/>
  <c r="L71" i="3"/>
  <c r="M71" i="3"/>
  <c r="O71" i="3"/>
  <c r="P71" i="3"/>
  <c r="I72" i="3"/>
  <c r="J72" i="3"/>
  <c r="L72" i="3"/>
  <c r="M72" i="3"/>
  <c r="O72" i="3"/>
  <c r="P72" i="3"/>
  <c r="I73" i="3"/>
  <c r="J73" i="3"/>
  <c r="L73" i="3"/>
  <c r="M73" i="3"/>
  <c r="O73" i="3"/>
  <c r="P73" i="3"/>
  <c r="I74" i="3"/>
  <c r="J74" i="3"/>
  <c r="L74" i="3"/>
  <c r="M74" i="3"/>
  <c r="O74" i="3"/>
  <c r="P74" i="3"/>
  <c r="I75" i="3"/>
  <c r="J75" i="3"/>
  <c r="L75" i="3"/>
  <c r="M75" i="3"/>
  <c r="O75" i="3"/>
  <c r="P75" i="3"/>
  <c r="I76" i="3"/>
  <c r="J76" i="3"/>
  <c r="L76" i="3"/>
  <c r="M76" i="3"/>
  <c r="O76" i="3"/>
  <c r="P76" i="3"/>
  <c r="I77" i="3"/>
  <c r="J77" i="3"/>
  <c r="L77" i="3"/>
  <c r="M77" i="3"/>
  <c r="O77" i="3"/>
  <c r="P77" i="3"/>
  <c r="I78" i="3"/>
  <c r="J78" i="3"/>
  <c r="L78" i="3"/>
  <c r="M78" i="3"/>
  <c r="O78" i="3"/>
  <c r="P78" i="3"/>
  <c r="I79" i="3"/>
  <c r="J79" i="3"/>
  <c r="L79" i="3"/>
  <c r="M79" i="3"/>
  <c r="S76" i="3"/>
  <c r="O79" i="3"/>
  <c r="P79" i="3"/>
  <c r="I80" i="3"/>
  <c r="J80" i="3"/>
  <c r="L80" i="3"/>
  <c r="M80" i="3"/>
  <c r="O80" i="3"/>
  <c r="P80" i="3"/>
  <c r="I81" i="3"/>
  <c r="J81" i="3"/>
  <c r="L81" i="3"/>
  <c r="M81" i="3"/>
  <c r="O81" i="3"/>
  <c r="P81" i="3"/>
  <c r="I82" i="3"/>
  <c r="J82" i="3"/>
  <c r="L82" i="3"/>
  <c r="M82" i="3"/>
  <c r="O82" i="3"/>
  <c r="P82" i="3"/>
  <c r="I83" i="3"/>
  <c r="J83" i="3"/>
  <c r="L83" i="3"/>
  <c r="M83" i="3"/>
  <c r="O83" i="3"/>
  <c r="P83" i="3"/>
  <c r="I84" i="3"/>
  <c r="J84" i="3"/>
  <c r="L84" i="3"/>
  <c r="M84" i="3"/>
  <c r="O84" i="3"/>
  <c r="P84" i="3"/>
  <c r="I85" i="3"/>
  <c r="J85" i="3"/>
  <c r="L85" i="3"/>
  <c r="M85" i="3"/>
  <c r="O85" i="3"/>
  <c r="P85" i="3"/>
  <c r="I86" i="3"/>
  <c r="J86" i="3"/>
  <c r="L86" i="3"/>
  <c r="M86" i="3"/>
  <c r="O86" i="3"/>
  <c r="R76" i="3"/>
  <c r="U76" i="3"/>
  <c r="P86" i="3"/>
  <c r="S86" i="3"/>
  <c r="I87" i="3"/>
  <c r="J87" i="3"/>
  <c r="L87" i="3"/>
  <c r="M87" i="3"/>
  <c r="O87" i="3"/>
  <c r="P87" i="3"/>
  <c r="I88" i="3"/>
  <c r="J88" i="3"/>
  <c r="L88" i="3"/>
  <c r="M88" i="3"/>
  <c r="O88" i="3"/>
  <c r="P88" i="3"/>
  <c r="I89" i="3"/>
  <c r="J89" i="3"/>
  <c r="L89" i="3"/>
  <c r="M89" i="3"/>
  <c r="O89" i="3"/>
  <c r="P89" i="3"/>
  <c r="I90" i="3"/>
  <c r="J90" i="3"/>
  <c r="L90" i="3"/>
  <c r="M90" i="3"/>
  <c r="O90" i="3"/>
  <c r="P90" i="3"/>
  <c r="I91" i="3"/>
  <c r="J91" i="3"/>
  <c r="L91" i="3"/>
  <c r="M91" i="3"/>
  <c r="O91" i="3"/>
  <c r="P91" i="3"/>
  <c r="S91" i="3"/>
  <c r="I92" i="3"/>
  <c r="J92" i="3"/>
  <c r="L92" i="3"/>
  <c r="M92" i="3"/>
  <c r="O92" i="3"/>
  <c r="P92" i="3"/>
  <c r="I93" i="3"/>
  <c r="J93" i="3"/>
  <c r="L93" i="3"/>
  <c r="M93" i="3"/>
  <c r="O93" i="3"/>
  <c r="P93" i="3"/>
  <c r="I94" i="3"/>
  <c r="J94" i="3"/>
  <c r="L94" i="3"/>
  <c r="M94" i="3"/>
  <c r="O94" i="3"/>
  <c r="P94" i="3"/>
  <c r="I95" i="3"/>
  <c r="J95" i="3"/>
  <c r="L95" i="3"/>
  <c r="M95" i="3"/>
  <c r="O95" i="3"/>
  <c r="P95" i="3"/>
  <c r="I96" i="3"/>
  <c r="J96" i="3"/>
  <c r="L96" i="3"/>
  <c r="M96" i="3"/>
  <c r="O96" i="3"/>
  <c r="P96" i="3"/>
  <c r="I97" i="3"/>
  <c r="J97" i="3"/>
  <c r="L97" i="3"/>
  <c r="M97" i="3"/>
  <c r="O97" i="3"/>
  <c r="P97" i="3"/>
  <c r="I98" i="3"/>
  <c r="J98" i="3"/>
  <c r="L98" i="3"/>
  <c r="M98" i="3"/>
  <c r="O98" i="3"/>
  <c r="P98" i="3"/>
  <c r="S98" i="3"/>
  <c r="I99" i="3"/>
  <c r="J99" i="3"/>
  <c r="L99" i="3"/>
  <c r="M99" i="3"/>
  <c r="O99" i="3"/>
  <c r="P99" i="3"/>
  <c r="S99" i="3"/>
  <c r="I100" i="3"/>
  <c r="J100" i="3"/>
  <c r="L100" i="3"/>
  <c r="M100" i="3"/>
  <c r="O100" i="3"/>
  <c r="P100" i="3"/>
  <c r="S100" i="3"/>
  <c r="I101" i="3"/>
  <c r="J101" i="3"/>
  <c r="L101" i="3"/>
  <c r="M101" i="3"/>
  <c r="O101" i="3"/>
  <c r="P101" i="3"/>
  <c r="I102" i="3"/>
  <c r="J102" i="3"/>
  <c r="L102" i="3"/>
  <c r="M102" i="3"/>
  <c r="O102" i="3"/>
  <c r="P102" i="3"/>
  <c r="S102" i="3"/>
  <c r="I103" i="3"/>
  <c r="J103" i="3"/>
  <c r="L103" i="3"/>
  <c r="M103" i="3"/>
  <c r="O103" i="3"/>
  <c r="R103" i="3"/>
  <c r="U103" i="3"/>
  <c r="P103" i="3"/>
  <c r="I104" i="3"/>
  <c r="J104" i="3"/>
  <c r="L104" i="3"/>
  <c r="M104" i="3"/>
  <c r="O104" i="3"/>
  <c r="P104" i="3"/>
  <c r="I105" i="3"/>
  <c r="J105" i="3"/>
  <c r="L105" i="3"/>
  <c r="M105" i="3"/>
  <c r="O105" i="3"/>
  <c r="P105" i="3"/>
  <c r="S103" i="3"/>
  <c r="I106" i="3"/>
  <c r="J106" i="3"/>
  <c r="L106" i="3"/>
  <c r="M106" i="3"/>
  <c r="O106" i="3"/>
  <c r="R105" i="3"/>
  <c r="P106" i="3"/>
  <c r="I107" i="3"/>
  <c r="J107" i="3"/>
  <c r="L107" i="3"/>
  <c r="M107" i="3"/>
  <c r="O107" i="3"/>
  <c r="P107" i="3"/>
  <c r="I108" i="3"/>
  <c r="J108" i="3"/>
  <c r="L108" i="3"/>
  <c r="M108" i="3"/>
  <c r="O108" i="3"/>
  <c r="P108" i="3"/>
  <c r="S106" i="3"/>
  <c r="R108" i="3"/>
  <c r="I109" i="3"/>
  <c r="J109" i="3"/>
  <c r="L109" i="3"/>
  <c r="M109" i="3"/>
  <c r="O109" i="3"/>
  <c r="P109" i="3"/>
  <c r="I110" i="3"/>
  <c r="J110" i="3"/>
  <c r="L110" i="3"/>
  <c r="M110" i="3"/>
  <c r="O110" i="3"/>
  <c r="P110" i="3"/>
  <c r="I111" i="3"/>
  <c r="J111" i="3"/>
  <c r="L111" i="3"/>
  <c r="M111" i="3"/>
  <c r="O111" i="3"/>
  <c r="P111" i="3"/>
  <c r="I112" i="3"/>
  <c r="J112" i="3"/>
  <c r="L112" i="3"/>
  <c r="M112" i="3"/>
  <c r="O112" i="3"/>
  <c r="P112" i="3"/>
  <c r="I113" i="3"/>
  <c r="J113" i="3"/>
  <c r="L113" i="3"/>
  <c r="M113" i="3"/>
  <c r="O113" i="3"/>
  <c r="P113" i="3"/>
  <c r="S112" i="3"/>
  <c r="I114" i="3"/>
  <c r="J114" i="3"/>
  <c r="L114" i="3"/>
  <c r="M114" i="3"/>
  <c r="O114" i="3"/>
  <c r="P114" i="3"/>
  <c r="I115" i="3"/>
  <c r="J115" i="3"/>
  <c r="L115" i="3"/>
  <c r="M115" i="3"/>
  <c r="O115" i="3"/>
  <c r="P115" i="3"/>
  <c r="I116" i="3"/>
  <c r="J116" i="3"/>
  <c r="L116" i="3"/>
  <c r="M116" i="3"/>
  <c r="O116" i="3"/>
  <c r="P116" i="3"/>
  <c r="I117" i="3"/>
  <c r="J117" i="3"/>
  <c r="L117" i="3"/>
  <c r="M117" i="3"/>
  <c r="O117" i="3"/>
  <c r="P117" i="3"/>
  <c r="S115" i="3"/>
  <c r="I118" i="3"/>
  <c r="J118" i="3"/>
  <c r="L118" i="3"/>
  <c r="M118" i="3"/>
  <c r="O118" i="3"/>
  <c r="R116" i="3"/>
  <c r="P118" i="3"/>
  <c r="I119" i="3"/>
  <c r="J119" i="3"/>
  <c r="L119" i="3"/>
  <c r="M119" i="3"/>
  <c r="O119" i="3"/>
  <c r="P119" i="3"/>
  <c r="I120" i="3"/>
  <c r="J120" i="3"/>
  <c r="L120" i="3"/>
  <c r="R117" i="3"/>
  <c r="M120" i="3"/>
  <c r="O120" i="3"/>
  <c r="P120" i="3"/>
  <c r="I121" i="3"/>
  <c r="J121" i="3"/>
  <c r="L121" i="3"/>
  <c r="M121" i="3"/>
  <c r="O121" i="3"/>
  <c r="P121" i="3"/>
  <c r="I122" i="3"/>
  <c r="J122" i="3"/>
  <c r="L122" i="3"/>
  <c r="M122" i="3"/>
  <c r="O122" i="3"/>
  <c r="P122" i="3"/>
  <c r="I123" i="3"/>
  <c r="J123" i="3"/>
  <c r="L123" i="3"/>
  <c r="M123" i="3"/>
  <c r="O123" i="3"/>
  <c r="P123" i="3"/>
  <c r="I124" i="3"/>
  <c r="J124" i="3"/>
  <c r="L124" i="3"/>
  <c r="M124" i="3"/>
  <c r="O124" i="3"/>
  <c r="P124" i="3"/>
  <c r="I125" i="3"/>
  <c r="J125" i="3"/>
  <c r="L125" i="3"/>
  <c r="M125" i="3"/>
  <c r="O125" i="3"/>
  <c r="R125" i="3"/>
  <c r="P125" i="3"/>
  <c r="I126" i="3"/>
  <c r="J126" i="3"/>
  <c r="L126" i="3"/>
  <c r="M126" i="3"/>
  <c r="O126" i="3"/>
  <c r="P126" i="3"/>
  <c r="I127" i="3"/>
  <c r="J127" i="3"/>
  <c r="L127" i="3"/>
  <c r="M127" i="3"/>
  <c r="O127" i="3"/>
  <c r="P127" i="3"/>
  <c r="I128" i="3"/>
  <c r="J128" i="3"/>
  <c r="L128" i="3"/>
  <c r="M128" i="3"/>
  <c r="O128" i="3"/>
  <c r="P128" i="3"/>
  <c r="I129" i="3"/>
  <c r="J129" i="3"/>
  <c r="L129" i="3"/>
  <c r="M129" i="3"/>
  <c r="O129" i="3"/>
  <c r="P129" i="3"/>
  <c r="I130" i="3"/>
  <c r="J130" i="3"/>
  <c r="L130" i="3"/>
  <c r="M130" i="3"/>
  <c r="O130" i="3"/>
  <c r="P130" i="3"/>
  <c r="I131" i="3"/>
  <c r="J131" i="3"/>
  <c r="L131" i="3"/>
  <c r="M131" i="3"/>
  <c r="O131" i="3"/>
  <c r="P131" i="3"/>
  <c r="I132" i="3"/>
  <c r="J132" i="3"/>
  <c r="L132" i="3"/>
  <c r="M132" i="3"/>
  <c r="O132" i="3"/>
  <c r="P132" i="3"/>
  <c r="I133" i="3"/>
  <c r="J133" i="3"/>
  <c r="L133" i="3"/>
  <c r="M133" i="3"/>
  <c r="O133" i="3"/>
  <c r="P133" i="3"/>
  <c r="S131" i="3"/>
  <c r="I134" i="3"/>
  <c r="J134" i="3"/>
  <c r="L134" i="3"/>
  <c r="M134" i="3"/>
  <c r="O134" i="3"/>
  <c r="P134" i="3"/>
  <c r="I135" i="3"/>
  <c r="J135" i="3"/>
  <c r="L135" i="3"/>
  <c r="M135" i="3"/>
  <c r="O135" i="3"/>
  <c r="R135" i="3"/>
  <c r="P135" i="3"/>
  <c r="I136" i="3"/>
  <c r="J136" i="3"/>
  <c r="L136" i="3"/>
  <c r="M136" i="3"/>
  <c r="O136" i="3"/>
  <c r="P136" i="3"/>
  <c r="I137" i="3"/>
  <c r="J137" i="3"/>
  <c r="L137" i="3"/>
  <c r="M137" i="3"/>
  <c r="O137" i="3"/>
  <c r="P137" i="3"/>
  <c r="I138" i="3"/>
  <c r="J138" i="3"/>
  <c r="L138" i="3"/>
  <c r="M138" i="3"/>
  <c r="O138" i="3"/>
  <c r="P138" i="3"/>
  <c r="I139" i="3"/>
  <c r="J139" i="3"/>
  <c r="L139" i="3"/>
  <c r="M139" i="3"/>
  <c r="O139" i="3"/>
  <c r="P139" i="3"/>
  <c r="I140" i="3"/>
  <c r="J140" i="3"/>
  <c r="L140" i="3"/>
  <c r="M140" i="3"/>
  <c r="O140" i="3"/>
  <c r="P140" i="3"/>
  <c r="I141" i="3"/>
  <c r="J141" i="3"/>
  <c r="L141" i="3"/>
  <c r="M141" i="3"/>
  <c r="O141" i="3"/>
  <c r="P141" i="3"/>
  <c r="I142" i="3"/>
  <c r="J142" i="3"/>
  <c r="L142" i="3"/>
  <c r="M142" i="3"/>
  <c r="O142" i="3"/>
  <c r="R142" i="3"/>
  <c r="P142" i="3"/>
  <c r="S142" i="3"/>
  <c r="I143" i="3"/>
  <c r="J143" i="3"/>
  <c r="L143" i="3"/>
  <c r="M143" i="3"/>
  <c r="O143" i="3"/>
  <c r="P143" i="3"/>
  <c r="I144" i="3"/>
  <c r="J144" i="3"/>
  <c r="L144" i="3"/>
  <c r="M144" i="3"/>
  <c r="O144" i="3"/>
  <c r="P144" i="3"/>
  <c r="I145" i="3"/>
  <c r="J145" i="3"/>
  <c r="L145" i="3"/>
  <c r="M145" i="3"/>
  <c r="O145" i="3"/>
  <c r="R144" i="3"/>
  <c r="P145" i="3"/>
  <c r="I146" i="3"/>
  <c r="J146" i="3"/>
  <c r="L146" i="3"/>
  <c r="M146" i="3"/>
  <c r="O146" i="3"/>
  <c r="P146" i="3"/>
  <c r="I147" i="3"/>
  <c r="J147" i="3"/>
  <c r="L147" i="3"/>
  <c r="M147" i="3"/>
  <c r="O147" i="3"/>
  <c r="P147" i="3"/>
  <c r="S147" i="3"/>
  <c r="I148" i="3"/>
  <c r="J148" i="3"/>
  <c r="L148" i="3"/>
  <c r="M148" i="3"/>
  <c r="O148" i="3"/>
  <c r="P148" i="3"/>
  <c r="I149" i="3"/>
  <c r="J149" i="3"/>
  <c r="L149" i="3"/>
  <c r="M149" i="3"/>
  <c r="O149" i="3"/>
  <c r="P149" i="3"/>
  <c r="R149" i="3"/>
  <c r="I150" i="3"/>
  <c r="J150" i="3"/>
  <c r="L150" i="3"/>
  <c r="M150" i="3"/>
  <c r="O150" i="3"/>
  <c r="P150" i="3"/>
  <c r="I151" i="3"/>
  <c r="J151" i="3"/>
  <c r="L151" i="3"/>
  <c r="M151" i="3"/>
  <c r="O151" i="3"/>
  <c r="R151" i="3"/>
  <c r="P151" i="3"/>
  <c r="I152" i="3"/>
  <c r="J152" i="3"/>
  <c r="L152" i="3"/>
  <c r="M152" i="3"/>
  <c r="O152" i="3"/>
  <c r="P152" i="3"/>
  <c r="S151" i="3"/>
  <c r="I153" i="3"/>
  <c r="J153" i="3"/>
  <c r="L153" i="3"/>
  <c r="M153" i="3"/>
  <c r="O153" i="3"/>
  <c r="P153" i="3"/>
  <c r="I154" i="3"/>
  <c r="J154" i="3"/>
  <c r="L154" i="3"/>
  <c r="M154" i="3"/>
  <c r="O154" i="3"/>
  <c r="R153" i="3"/>
  <c r="P154" i="3"/>
  <c r="I155" i="3"/>
  <c r="J155" i="3"/>
  <c r="L155" i="3"/>
  <c r="M155" i="3"/>
  <c r="O155" i="3"/>
  <c r="P155" i="3"/>
  <c r="S155" i="3"/>
  <c r="I156" i="3"/>
  <c r="J156" i="3"/>
  <c r="L156" i="3"/>
  <c r="M156" i="3"/>
  <c r="O156" i="3"/>
  <c r="P156" i="3"/>
  <c r="R156" i="3"/>
  <c r="I157" i="3"/>
  <c r="J157" i="3"/>
  <c r="L157" i="3"/>
  <c r="M157" i="3"/>
  <c r="O157" i="3"/>
  <c r="P157" i="3"/>
  <c r="I158" i="3"/>
  <c r="J158" i="3"/>
  <c r="L158" i="3"/>
  <c r="M158" i="3"/>
  <c r="O158" i="3"/>
  <c r="P158" i="3"/>
  <c r="I159" i="3"/>
  <c r="J159" i="3"/>
  <c r="L159" i="3"/>
  <c r="M159" i="3"/>
  <c r="S156" i="3"/>
  <c r="O159" i="3"/>
  <c r="P159" i="3"/>
  <c r="I160" i="3"/>
  <c r="J160" i="3"/>
  <c r="L160" i="3"/>
  <c r="M160" i="3"/>
  <c r="O160" i="3"/>
  <c r="P160" i="3"/>
  <c r="I161" i="3"/>
  <c r="J161" i="3"/>
  <c r="L161" i="3"/>
  <c r="M161" i="3"/>
  <c r="O161" i="3"/>
  <c r="P161" i="3"/>
  <c r="I162" i="3"/>
  <c r="J162" i="3"/>
  <c r="L162" i="3"/>
  <c r="M162" i="3"/>
  <c r="O162" i="3"/>
  <c r="R162" i="3"/>
  <c r="U162" i="3"/>
  <c r="P162" i="3"/>
  <c r="S162" i="3"/>
  <c r="I163" i="3"/>
  <c r="J163" i="3"/>
  <c r="L163" i="3"/>
  <c r="M163" i="3"/>
  <c r="O163" i="3"/>
  <c r="P163" i="3"/>
  <c r="I164" i="3"/>
  <c r="J164" i="3"/>
  <c r="L164" i="3"/>
  <c r="M164" i="3"/>
  <c r="O164" i="3"/>
  <c r="P164" i="3"/>
  <c r="S164" i="3"/>
  <c r="I165" i="3"/>
  <c r="J165" i="3"/>
  <c r="L165" i="3"/>
  <c r="M165" i="3"/>
  <c r="O165" i="3"/>
  <c r="P165" i="3"/>
  <c r="S163" i="3"/>
  <c r="I166" i="3"/>
  <c r="J166" i="3"/>
  <c r="L166" i="3"/>
  <c r="M166" i="3"/>
  <c r="O166" i="3"/>
  <c r="P166" i="3"/>
  <c r="I167" i="3"/>
  <c r="J167" i="3"/>
  <c r="L167" i="3"/>
  <c r="M167" i="3"/>
  <c r="O167" i="3"/>
  <c r="P167" i="3"/>
  <c r="I168" i="3"/>
  <c r="J168" i="3"/>
  <c r="L168" i="3"/>
  <c r="M168" i="3"/>
  <c r="O168" i="3"/>
  <c r="P168" i="3"/>
  <c r="I169" i="3"/>
  <c r="J169" i="3"/>
  <c r="L169" i="3"/>
  <c r="M169" i="3"/>
  <c r="O169" i="3"/>
  <c r="P169" i="3"/>
  <c r="I170" i="3"/>
  <c r="J170" i="3"/>
  <c r="L170" i="3"/>
  <c r="M170" i="3"/>
  <c r="O170" i="3"/>
  <c r="P170" i="3"/>
  <c r="I171" i="3"/>
  <c r="J171" i="3"/>
  <c r="L171" i="3"/>
  <c r="M171" i="3"/>
  <c r="O171" i="3"/>
  <c r="P171" i="3"/>
  <c r="I172" i="3"/>
  <c r="J172" i="3"/>
  <c r="L172" i="3"/>
  <c r="M172" i="3"/>
  <c r="O172" i="3"/>
  <c r="P172" i="3"/>
  <c r="I173" i="3"/>
  <c r="J173" i="3"/>
  <c r="L173" i="3"/>
  <c r="M173" i="3"/>
  <c r="O173" i="3"/>
  <c r="P173" i="3"/>
  <c r="S171" i="3"/>
  <c r="I174" i="3"/>
  <c r="J174" i="3"/>
  <c r="L174" i="3"/>
  <c r="M174" i="3"/>
  <c r="O174" i="3"/>
  <c r="P174" i="3"/>
  <c r="I175" i="3"/>
  <c r="J175" i="3"/>
  <c r="L175" i="3"/>
  <c r="M175" i="3"/>
  <c r="O175" i="3"/>
  <c r="P175" i="3"/>
  <c r="I176" i="3"/>
  <c r="J176" i="3"/>
  <c r="L176" i="3"/>
  <c r="M176" i="3"/>
  <c r="O176" i="3"/>
  <c r="P176" i="3"/>
  <c r="I177" i="3"/>
  <c r="J177" i="3"/>
  <c r="L177" i="3"/>
  <c r="M177" i="3"/>
  <c r="O177" i="3"/>
  <c r="P177" i="3"/>
  <c r="I178" i="3"/>
  <c r="J178" i="3"/>
  <c r="L178" i="3"/>
  <c r="M178" i="3"/>
  <c r="O178" i="3"/>
  <c r="P178" i="3"/>
  <c r="I179" i="3"/>
  <c r="J179" i="3"/>
  <c r="L179" i="3"/>
  <c r="M179" i="3"/>
  <c r="O179" i="3"/>
  <c r="P179" i="3"/>
  <c r="I180" i="3"/>
  <c r="J180" i="3"/>
  <c r="L180" i="3"/>
  <c r="M180" i="3"/>
  <c r="O180" i="3"/>
  <c r="P180" i="3"/>
  <c r="I181" i="3"/>
  <c r="J181" i="3"/>
  <c r="L181" i="3"/>
  <c r="M181" i="3"/>
  <c r="O181" i="3"/>
  <c r="P181" i="3"/>
  <c r="S181" i="3"/>
  <c r="I182" i="3"/>
  <c r="J182" i="3"/>
  <c r="L182" i="3"/>
  <c r="M182" i="3"/>
  <c r="O182" i="3"/>
  <c r="P182" i="3"/>
  <c r="I183" i="3"/>
  <c r="J183" i="3"/>
  <c r="L183" i="3"/>
  <c r="M183" i="3"/>
  <c r="O183" i="3"/>
  <c r="P183" i="3"/>
  <c r="I184" i="3"/>
  <c r="J184" i="3"/>
  <c r="L184" i="3"/>
  <c r="R181" i="3"/>
  <c r="U181" i="3"/>
  <c r="M184" i="3"/>
  <c r="O184" i="3"/>
  <c r="P184" i="3"/>
  <c r="I185" i="3"/>
  <c r="J185" i="3"/>
  <c r="L185" i="3"/>
  <c r="M185" i="3"/>
  <c r="O185" i="3"/>
  <c r="P185" i="3"/>
  <c r="I186" i="3"/>
  <c r="J186" i="3"/>
  <c r="L186" i="3"/>
  <c r="M186" i="3"/>
  <c r="O186" i="3"/>
  <c r="P186" i="3"/>
  <c r="I187" i="3"/>
  <c r="J187" i="3"/>
  <c r="L187" i="3"/>
  <c r="M187" i="3"/>
  <c r="O187" i="3"/>
  <c r="P187" i="3"/>
  <c r="I188" i="3"/>
  <c r="J188" i="3"/>
  <c r="L188" i="3"/>
  <c r="M188" i="3"/>
  <c r="O188" i="3"/>
  <c r="P188" i="3"/>
  <c r="I189" i="3"/>
  <c r="J189" i="3"/>
  <c r="L189" i="3"/>
  <c r="M189" i="3"/>
  <c r="O189" i="3"/>
  <c r="P189" i="3"/>
  <c r="S187" i="3"/>
  <c r="I190" i="3"/>
  <c r="J190" i="3"/>
  <c r="L190" i="3"/>
  <c r="M190" i="3"/>
  <c r="O190" i="3"/>
  <c r="R188" i="3"/>
  <c r="P190" i="3"/>
  <c r="I191" i="3"/>
  <c r="J191" i="3"/>
  <c r="L191" i="3"/>
  <c r="M191" i="3"/>
  <c r="S188" i="3"/>
  <c r="O191" i="3"/>
  <c r="P191" i="3"/>
  <c r="I192" i="3"/>
  <c r="J192" i="3"/>
  <c r="L192" i="3"/>
  <c r="M192" i="3"/>
  <c r="O192" i="3"/>
  <c r="P192" i="3"/>
  <c r="I193" i="3"/>
  <c r="J193" i="3"/>
  <c r="L193" i="3"/>
  <c r="M193" i="3"/>
  <c r="O193" i="3"/>
  <c r="P193" i="3"/>
  <c r="I194" i="3"/>
  <c r="J194" i="3"/>
  <c r="L194" i="3"/>
  <c r="M194" i="3"/>
  <c r="O194" i="3"/>
  <c r="P194" i="3"/>
  <c r="I195" i="3"/>
  <c r="J195" i="3"/>
  <c r="L195" i="3"/>
  <c r="M195" i="3"/>
  <c r="O195" i="3"/>
  <c r="P195" i="3"/>
  <c r="I196" i="3"/>
  <c r="J196" i="3"/>
  <c r="L196" i="3"/>
  <c r="M196" i="3"/>
  <c r="O196" i="3"/>
  <c r="P196" i="3"/>
  <c r="I197" i="3"/>
  <c r="J197" i="3"/>
  <c r="L197" i="3"/>
  <c r="M197" i="3"/>
  <c r="O197" i="3"/>
  <c r="P197" i="3"/>
  <c r="S195" i="3"/>
  <c r="I198" i="3"/>
  <c r="J198" i="3"/>
  <c r="L198" i="3"/>
  <c r="M198" i="3"/>
  <c r="O198" i="3"/>
  <c r="P198" i="3"/>
  <c r="I199" i="3"/>
  <c r="J199" i="3"/>
  <c r="L199" i="3"/>
  <c r="M199" i="3"/>
  <c r="O199" i="3"/>
  <c r="P199" i="3"/>
  <c r="I200" i="3"/>
  <c r="J200" i="3"/>
  <c r="L200" i="3"/>
  <c r="M200" i="3"/>
  <c r="O200" i="3"/>
  <c r="P200" i="3"/>
  <c r="S199" i="3"/>
  <c r="I201" i="3"/>
  <c r="J201" i="3"/>
  <c r="L201" i="3"/>
  <c r="M201" i="3"/>
  <c r="O201" i="3"/>
  <c r="P201" i="3"/>
  <c r="I202" i="3"/>
  <c r="J202" i="3"/>
  <c r="L202" i="3"/>
  <c r="M202" i="3"/>
  <c r="O202" i="3"/>
  <c r="P202" i="3"/>
  <c r="I203" i="3"/>
  <c r="J203" i="3"/>
  <c r="L203" i="3"/>
  <c r="M203" i="3"/>
  <c r="O203" i="3"/>
  <c r="P203" i="3"/>
  <c r="S203" i="3"/>
  <c r="I204" i="3"/>
  <c r="J204" i="3"/>
  <c r="L204" i="3"/>
  <c r="M204" i="3"/>
  <c r="O204" i="3"/>
  <c r="P204" i="3"/>
  <c r="I205" i="3"/>
  <c r="J205" i="3"/>
  <c r="L205" i="3"/>
  <c r="M205" i="3"/>
  <c r="O205" i="3"/>
  <c r="P205" i="3"/>
  <c r="I206" i="3"/>
  <c r="J206" i="3"/>
  <c r="L206" i="3"/>
  <c r="M206" i="3"/>
  <c r="O206" i="3"/>
  <c r="R204" i="3"/>
  <c r="P206" i="3"/>
  <c r="I207" i="3"/>
  <c r="J207" i="3"/>
  <c r="L207" i="3"/>
  <c r="M207" i="3"/>
  <c r="O207" i="3"/>
  <c r="P207" i="3"/>
  <c r="I208" i="3"/>
  <c r="J208" i="3"/>
  <c r="L208" i="3"/>
  <c r="M208" i="3"/>
  <c r="O208" i="3"/>
  <c r="P208" i="3"/>
  <c r="I209" i="3"/>
  <c r="J209" i="3"/>
  <c r="L209" i="3"/>
  <c r="M209" i="3"/>
  <c r="O209" i="3"/>
  <c r="R208" i="3"/>
  <c r="P209" i="3"/>
  <c r="I210" i="3"/>
  <c r="J210" i="3"/>
  <c r="L210" i="3"/>
  <c r="M210" i="3"/>
  <c r="O210" i="3"/>
  <c r="P210" i="3"/>
  <c r="I211" i="3"/>
  <c r="J211" i="3"/>
  <c r="L211" i="3"/>
  <c r="M211" i="3"/>
  <c r="O211" i="3"/>
  <c r="P211" i="3"/>
  <c r="I212" i="3"/>
  <c r="J212" i="3"/>
  <c r="L212" i="3"/>
  <c r="M212" i="3"/>
  <c r="O212" i="3"/>
  <c r="P212" i="3"/>
  <c r="I213" i="3"/>
  <c r="J213" i="3"/>
  <c r="L213" i="3"/>
  <c r="M213" i="3"/>
  <c r="O213" i="3"/>
  <c r="P213" i="3"/>
  <c r="S211" i="3"/>
  <c r="I214" i="3"/>
  <c r="J214" i="3"/>
  <c r="L214" i="3"/>
  <c r="M214" i="3"/>
  <c r="O214" i="3"/>
  <c r="P214" i="3"/>
  <c r="I215" i="3"/>
  <c r="J215" i="3"/>
  <c r="L215" i="3"/>
  <c r="M215" i="3"/>
  <c r="O215" i="3"/>
  <c r="P215" i="3"/>
  <c r="I216" i="3"/>
  <c r="J216" i="3"/>
  <c r="L216" i="3"/>
  <c r="M216" i="3"/>
  <c r="O216" i="3"/>
  <c r="P216" i="3"/>
  <c r="I217" i="3"/>
  <c r="J217" i="3"/>
  <c r="L217" i="3"/>
  <c r="M217" i="3"/>
  <c r="O217" i="3"/>
  <c r="P217" i="3"/>
  <c r="I218" i="3"/>
  <c r="J218" i="3"/>
  <c r="L218" i="3"/>
  <c r="M218" i="3"/>
  <c r="O218" i="3"/>
  <c r="R217" i="3"/>
  <c r="P218" i="3"/>
  <c r="I219" i="3"/>
  <c r="J219" i="3"/>
  <c r="L219" i="3"/>
  <c r="M219" i="3"/>
  <c r="O219" i="3"/>
  <c r="P219" i="3"/>
  <c r="I220" i="3"/>
  <c r="J220" i="3"/>
  <c r="L220" i="3"/>
  <c r="M220" i="3"/>
  <c r="O220" i="3"/>
  <c r="P220" i="3"/>
  <c r="R220" i="3"/>
  <c r="I221" i="3"/>
  <c r="J221" i="3"/>
  <c r="L221" i="3"/>
  <c r="M221" i="3"/>
  <c r="O221" i="3"/>
  <c r="P221" i="3"/>
  <c r="I222" i="3"/>
  <c r="J222" i="3"/>
  <c r="L222" i="3"/>
  <c r="M222" i="3"/>
  <c r="O222" i="3"/>
  <c r="P222" i="3"/>
  <c r="I223" i="3"/>
  <c r="J223" i="3"/>
  <c r="L223" i="3"/>
  <c r="M223" i="3"/>
  <c r="S220" i="3"/>
  <c r="O223" i="3"/>
  <c r="P223" i="3"/>
  <c r="I224" i="3"/>
  <c r="J224" i="3"/>
  <c r="L224" i="3"/>
  <c r="M224" i="3"/>
  <c r="O224" i="3"/>
  <c r="P224" i="3"/>
  <c r="I225" i="3"/>
  <c r="J225" i="3"/>
  <c r="L225" i="3"/>
  <c r="M225" i="3"/>
  <c r="O225" i="3"/>
  <c r="P225" i="3"/>
  <c r="I226" i="3"/>
  <c r="J226" i="3"/>
  <c r="L226" i="3"/>
  <c r="M226" i="3"/>
  <c r="O226" i="3"/>
  <c r="P226" i="3"/>
  <c r="I227" i="3"/>
  <c r="J227" i="3"/>
  <c r="L227" i="3"/>
  <c r="M227" i="3"/>
  <c r="O227" i="3"/>
  <c r="P227" i="3"/>
  <c r="I228" i="3"/>
  <c r="J228" i="3"/>
  <c r="L228" i="3"/>
  <c r="M228" i="3"/>
  <c r="O228" i="3"/>
  <c r="P228" i="3"/>
  <c r="I229" i="3"/>
  <c r="J229" i="3"/>
  <c r="L229" i="3"/>
  <c r="M229" i="3"/>
  <c r="O229" i="3"/>
  <c r="P229" i="3"/>
  <c r="I230" i="3"/>
  <c r="J230" i="3"/>
  <c r="L230" i="3"/>
  <c r="M230" i="3"/>
  <c r="O230" i="3"/>
  <c r="P230" i="3"/>
  <c r="I231" i="3"/>
  <c r="J231" i="3"/>
  <c r="L231" i="3"/>
  <c r="M231" i="3"/>
  <c r="O231" i="3"/>
  <c r="P231" i="3"/>
  <c r="I232" i="3"/>
  <c r="J232" i="3"/>
  <c r="L232" i="3"/>
  <c r="M232" i="3"/>
  <c r="O232" i="3"/>
  <c r="P232" i="3"/>
  <c r="I233" i="3"/>
  <c r="J233" i="3"/>
  <c r="L233" i="3"/>
  <c r="M233" i="3"/>
  <c r="O233" i="3"/>
  <c r="P233" i="3"/>
  <c r="I234" i="3"/>
  <c r="J234" i="3"/>
  <c r="L234" i="3"/>
  <c r="M234" i="3"/>
  <c r="O234" i="3"/>
  <c r="P234" i="3"/>
  <c r="I235" i="3"/>
  <c r="J235" i="3"/>
  <c r="L235" i="3"/>
  <c r="M235" i="3"/>
  <c r="O235" i="3"/>
  <c r="R235" i="3"/>
  <c r="P235" i="3"/>
  <c r="I236" i="3"/>
  <c r="J236" i="3"/>
  <c r="L236" i="3"/>
  <c r="M236" i="3"/>
  <c r="O236" i="3"/>
  <c r="P236" i="3"/>
  <c r="I237" i="3"/>
  <c r="J237" i="3"/>
  <c r="L237" i="3"/>
  <c r="M237" i="3"/>
  <c r="O237" i="3"/>
  <c r="P237" i="3"/>
  <c r="S237" i="3"/>
  <c r="I238" i="3"/>
  <c r="J238" i="3"/>
  <c r="L238" i="3"/>
  <c r="M238" i="3"/>
  <c r="O238" i="3"/>
  <c r="R236" i="3"/>
  <c r="P238" i="3"/>
  <c r="I239" i="3"/>
  <c r="J239" i="3"/>
  <c r="L239" i="3"/>
  <c r="M239" i="3"/>
  <c r="O239" i="3"/>
  <c r="P239" i="3"/>
  <c r="I240" i="3"/>
  <c r="J240" i="3"/>
  <c r="L240" i="3"/>
  <c r="M240" i="3"/>
  <c r="O240" i="3"/>
  <c r="P240" i="3"/>
  <c r="I241" i="3"/>
  <c r="J241" i="3"/>
  <c r="L241" i="3"/>
  <c r="M241" i="3"/>
  <c r="O241" i="3"/>
  <c r="P241" i="3"/>
  <c r="I242" i="3"/>
  <c r="J242" i="3"/>
  <c r="L242" i="3"/>
  <c r="M242" i="3"/>
  <c r="O242" i="3"/>
  <c r="P242" i="3"/>
  <c r="I243" i="3"/>
  <c r="J243" i="3"/>
  <c r="L243" i="3"/>
  <c r="M243" i="3"/>
  <c r="O243" i="3"/>
  <c r="P243" i="3"/>
  <c r="I244" i="3"/>
  <c r="J244" i="3"/>
  <c r="L244" i="3"/>
  <c r="M244" i="3"/>
  <c r="O244" i="3"/>
  <c r="P244" i="3"/>
  <c r="I245" i="3"/>
  <c r="J245" i="3"/>
  <c r="L245" i="3"/>
  <c r="M245" i="3"/>
  <c r="O245" i="3"/>
  <c r="P245" i="3"/>
  <c r="S243" i="3"/>
  <c r="I246" i="3"/>
  <c r="J246" i="3"/>
  <c r="L246" i="3"/>
  <c r="M246" i="3"/>
  <c r="O246" i="3"/>
  <c r="R244" i="3"/>
  <c r="P246" i="3"/>
  <c r="I247" i="3"/>
  <c r="J247" i="3"/>
  <c r="L247" i="3"/>
  <c r="M247" i="3"/>
  <c r="O247" i="3"/>
  <c r="R247" i="3"/>
  <c r="P247" i="3"/>
  <c r="I248" i="3"/>
  <c r="J248" i="3"/>
  <c r="L248" i="3"/>
  <c r="M248" i="3"/>
  <c r="O248" i="3"/>
  <c r="P248" i="3"/>
  <c r="I249" i="3"/>
  <c r="J249" i="3"/>
  <c r="L249" i="3"/>
  <c r="M249" i="3"/>
  <c r="O249" i="3"/>
  <c r="P249" i="3"/>
  <c r="I250" i="3"/>
  <c r="J250" i="3"/>
  <c r="L250" i="3"/>
  <c r="M250" i="3"/>
  <c r="O250" i="3"/>
  <c r="P250" i="3"/>
  <c r="I251" i="3"/>
  <c r="J251" i="3"/>
  <c r="L251" i="3"/>
  <c r="M251" i="3"/>
  <c r="O251" i="3"/>
  <c r="P251" i="3"/>
  <c r="I252" i="3"/>
  <c r="J252" i="3"/>
  <c r="L252" i="3"/>
  <c r="M252" i="3"/>
  <c r="O252" i="3"/>
  <c r="P252" i="3"/>
  <c r="I253" i="3"/>
  <c r="J253" i="3"/>
  <c r="L253" i="3"/>
  <c r="M253" i="3"/>
  <c r="O253" i="3"/>
  <c r="P253" i="3"/>
  <c r="S251" i="3"/>
  <c r="I254" i="3"/>
  <c r="J254" i="3"/>
  <c r="L254" i="3"/>
  <c r="M254" i="3"/>
  <c r="O254" i="3"/>
  <c r="P254" i="3"/>
  <c r="S254" i="3"/>
  <c r="I255" i="3"/>
  <c r="J255" i="3"/>
  <c r="L255" i="3"/>
  <c r="M255" i="3"/>
  <c r="O255" i="3"/>
  <c r="P255" i="3"/>
  <c r="I256" i="3"/>
  <c r="J256" i="3"/>
  <c r="L256" i="3"/>
  <c r="M256" i="3"/>
  <c r="O256" i="3"/>
  <c r="P256" i="3"/>
  <c r="I257" i="3"/>
  <c r="J257" i="3"/>
  <c r="L257" i="3"/>
  <c r="M257" i="3"/>
  <c r="O257" i="3"/>
  <c r="R256" i="3"/>
  <c r="U256" i="3"/>
  <c r="P257" i="3"/>
  <c r="S256" i="3"/>
  <c r="I258" i="3"/>
  <c r="J258" i="3"/>
  <c r="L258" i="3"/>
  <c r="M258" i="3"/>
  <c r="O258" i="3"/>
  <c r="P258" i="3"/>
  <c r="I259" i="3"/>
  <c r="J259" i="3"/>
  <c r="L259" i="3"/>
  <c r="M259" i="3"/>
  <c r="O259" i="3"/>
  <c r="P259" i="3"/>
  <c r="S259" i="3"/>
  <c r="I260" i="3"/>
  <c r="J260" i="3"/>
  <c r="L260" i="3"/>
  <c r="M260" i="3"/>
  <c r="O260" i="3"/>
  <c r="P260" i="3"/>
  <c r="I261" i="3"/>
  <c r="J261" i="3"/>
  <c r="L261" i="3"/>
  <c r="M261" i="3"/>
  <c r="O261" i="3"/>
  <c r="P261" i="3"/>
  <c r="I262" i="3"/>
  <c r="J262" i="3"/>
  <c r="L262" i="3"/>
  <c r="M262" i="3"/>
  <c r="O262" i="3"/>
  <c r="R260" i="3"/>
  <c r="P262" i="3"/>
  <c r="I263" i="3"/>
  <c r="J263" i="3"/>
  <c r="L263" i="3"/>
  <c r="M263" i="3"/>
  <c r="O263" i="3"/>
  <c r="R261" i="3"/>
  <c r="P263" i="3"/>
  <c r="I264" i="3"/>
  <c r="J264" i="3"/>
  <c r="L264" i="3"/>
  <c r="M264" i="3"/>
  <c r="O264" i="3"/>
  <c r="P264" i="3"/>
  <c r="S263" i="3"/>
  <c r="I265" i="3"/>
  <c r="J265" i="3"/>
  <c r="L265" i="3"/>
  <c r="M265" i="3"/>
  <c r="O265" i="3"/>
  <c r="P265" i="3"/>
  <c r="I266" i="3"/>
  <c r="J266" i="3"/>
  <c r="L266" i="3"/>
  <c r="M266" i="3"/>
  <c r="O266" i="3"/>
  <c r="P266" i="3"/>
  <c r="I267" i="3"/>
  <c r="J267" i="3"/>
  <c r="L267" i="3"/>
  <c r="M267" i="3"/>
  <c r="O267" i="3"/>
  <c r="P267" i="3"/>
  <c r="I268" i="3"/>
  <c r="J268" i="3"/>
  <c r="L268" i="3"/>
  <c r="M268" i="3"/>
  <c r="O268" i="3"/>
  <c r="P268" i="3"/>
  <c r="I269" i="3"/>
  <c r="J269" i="3"/>
  <c r="L269" i="3"/>
  <c r="M269" i="3"/>
  <c r="O269" i="3"/>
  <c r="P269" i="3"/>
  <c r="S267" i="3"/>
  <c r="I270" i="3"/>
  <c r="J270" i="3"/>
  <c r="L270" i="3"/>
  <c r="M270" i="3"/>
  <c r="O270" i="3"/>
  <c r="R268" i="3"/>
  <c r="U268" i="3"/>
  <c r="P270" i="3"/>
  <c r="I271" i="3"/>
  <c r="J271" i="3"/>
  <c r="L271" i="3"/>
  <c r="M271" i="3"/>
  <c r="S268" i="3"/>
  <c r="O271" i="3"/>
  <c r="P271" i="3"/>
  <c r="I272" i="3"/>
  <c r="J272" i="3"/>
  <c r="L272" i="3"/>
  <c r="M272" i="3"/>
  <c r="O272" i="3"/>
  <c r="P272" i="3"/>
  <c r="I273" i="3"/>
  <c r="J273" i="3"/>
  <c r="L273" i="3"/>
  <c r="M273" i="3"/>
  <c r="O273" i="3"/>
  <c r="P273" i="3"/>
  <c r="I274" i="3"/>
  <c r="J274" i="3"/>
  <c r="L274" i="3"/>
  <c r="M274" i="3"/>
  <c r="O274" i="3"/>
  <c r="P274" i="3"/>
  <c r="S274" i="3"/>
  <c r="I275" i="3"/>
  <c r="J275" i="3"/>
  <c r="L275" i="3"/>
  <c r="M275" i="3"/>
  <c r="O275" i="3"/>
  <c r="P275" i="3"/>
  <c r="I276" i="3"/>
  <c r="J276" i="3"/>
  <c r="L276" i="3"/>
  <c r="M276" i="3"/>
  <c r="O276" i="3"/>
  <c r="P276" i="3"/>
  <c r="R276" i="3"/>
  <c r="I277" i="3"/>
  <c r="J277" i="3"/>
  <c r="L277" i="3"/>
  <c r="M277" i="3"/>
  <c r="O277" i="3"/>
  <c r="P277" i="3"/>
  <c r="I278" i="3"/>
  <c r="J278" i="3"/>
  <c r="L278" i="3"/>
  <c r="M278" i="3"/>
  <c r="O278" i="3"/>
  <c r="P278" i="3"/>
  <c r="I279" i="3"/>
  <c r="J279" i="3"/>
  <c r="L279" i="3"/>
  <c r="M279" i="3"/>
  <c r="O279" i="3"/>
  <c r="P279" i="3"/>
  <c r="I280" i="3"/>
  <c r="J280" i="3"/>
  <c r="L280" i="3"/>
  <c r="M280" i="3"/>
  <c r="O280" i="3"/>
  <c r="P280" i="3"/>
  <c r="I281" i="3"/>
  <c r="J281" i="3"/>
  <c r="L281" i="3"/>
  <c r="M281" i="3"/>
  <c r="O281" i="3"/>
  <c r="P281" i="3"/>
  <c r="I282" i="3"/>
  <c r="J282" i="3"/>
  <c r="L282" i="3"/>
  <c r="M282" i="3"/>
  <c r="O282" i="3"/>
  <c r="P282" i="3"/>
  <c r="I283" i="3"/>
  <c r="J283" i="3"/>
  <c r="L283" i="3"/>
  <c r="M283" i="3"/>
  <c r="O283" i="3"/>
  <c r="P283" i="3"/>
  <c r="I284" i="3"/>
  <c r="J284" i="3"/>
  <c r="L284" i="3"/>
  <c r="M284" i="3"/>
  <c r="O284" i="3"/>
  <c r="P284" i="3"/>
  <c r="I285" i="3"/>
  <c r="J285" i="3"/>
  <c r="L285" i="3"/>
  <c r="M285" i="3"/>
  <c r="O285" i="3"/>
  <c r="P285" i="3"/>
  <c r="I286" i="3"/>
  <c r="J286" i="3"/>
  <c r="L286" i="3"/>
  <c r="M286" i="3"/>
  <c r="O286" i="3"/>
  <c r="R286" i="3"/>
  <c r="U286" i="3"/>
  <c r="P286" i="3"/>
  <c r="S286" i="3"/>
  <c r="I287" i="3"/>
  <c r="J287" i="3"/>
  <c r="L287" i="3"/>
  <c r="M287" i="3"/>
  <c r="O287" i="3"/>
  <c r="P287" i="3"/>
  <c r="I288" i="3"/>
  <c r="J288" i="3"/>
  <c r="L288" i="3"/>
  <c r="M288" i="3"/>
  <c r="O288" i="3"/>
  <c r="P288" i="3"/>
  <c r="I289" i="3"/>
  <c r="J289" i="3"/>
  <c r="L289" i="3"/>
  <c r="M289" i="3"/>
  <c r="O289" i="3"/>
  <c r="P289" i="3"/>
  <c r="I290" i="3"/>
  <c r="J290" i="3"/>
  <c r="L290" i="3"/>
  <c r="M290" i="3"/>
  <c r="O290" i="3"/>
  <c r="P290" i="3"/>
  <c r="I291" i="3"/>
  <c r="J291" i="3"/>
  <c r="L291" i="3"/>
  <c r="M291" i="3"/>
  <c r="O291" i="3"/>
  <c r="P291" i="3"/>
  <c r="S291" i="3"/>
  <c r="I292" i="3"/>
  <c r="J292" i="3"/>
  <c r="L292" i="3"/>
  <c r="M292" i="3"/>
  <c r="O292" i="3"/>
  <c r="P292" i="3"/>
  <c r="I293" i="3"/>
  <c r="J293" i="3"/>
  <c r="L293" i="3"/>
  <c r="M293" i="3"/>
  <c r="O293" i="3"/>
  <c r="P293" i="3"/>
  <c r="R293" i="3"/>
  <c r="I294" i="3"/>
  <c r="J294" i="3"/>
  <c r="L294" i="3"/>
  <c r="M294" i="3"/>
  <c r="O294" i="3"/>
  <c r="R292" i="3"/>
  <c r="P294" i="3"/>
  <c r="I295" i="3"/>
  <c r="J295" i="3"/>
  <c r="L295" i="3"/>
  <c r="M295" i="3"/>
  <c r="O295" i="3"/>
  <c r="P295" i="3"/>
  <c r="I296" i="3"/>
  <c r="J296" i="3"/>
  <c r="L296" i="3"/>
  <c r="M296" i="3"/>
  <c r="O296" i="3"/>
  <c r="P296" i="3"/>
  <c r="I297" i="3"/>
  <c r="J297" i="3"/>
  <c r="L297" i="3"/>
  <c r="M297" i="3"/>
  <c r="O297" i="3"/>
  <c r="P297" i="3"/>
  <c r="I298" i="3"/>
  <c r="J298" i="3"/>
  <c r="L298" i="3"/>
  <c r="M298" i="3"/>
  <c r="O298" i="3"/>
  <c r="P298" i="3"/>
  <c r="I299" i="3"/>
  <c r="J299" i="3"/>
  <c r="L299" i="3"/>
  <c r="M299" i="3"/>
  <c r="O299" i="3"/>
  <c r="P299" i="3"/>
  <c r="I300" i="3"/>
  <c r="J300" i="3"/>
  <c r="L300" i="3"/>
  <c r="M300" i="3"/>
  <c r="O300" i="3"/>
  <c r="P300" i="3"/>
  <c r="S298" i="3"/>
  <c r="R300" i="3"/>
  <c r="I301" i="3"/>
  <c r="J301" i="3"/>
  <c r="L301" i="3"/>
  <c r="M301" i="3"/>
  <c r="O301" i="3"/>
  <c r="P301" i="3"/>
  <c r="S299" i="3"/>
  <c r="I302" i="3"/>
  <c r="J302" i="3"/>
  <c r="L302" i="3"/>
  <c r="M302" i="3"/>
  <c r="O302" i="3"/>
  <c r="P302" i="3"/>
  <c r="S302" i="3"/>
  <c r="I303" i="3"/>
  <c r="J303" i="3"/>
  <c r="L303" i="3"/>
  <c r="M303" i="3"/>
  <c r="O303" i="3"/>
  <c r="P303" i="3"/>
  <c r="I304" i="3"/>
  <c r="J304" i="3"/>
  <c r="L304" i="3"/>
  <c r="M304" i="3"/>
  <c r="O304" i="3"/>
  <c r="P304" i="3"/>
  <c r="I305" i="3"/>
  <c r="J305" i="3"/>
  <c r="L305" i="3"/>
  <c r="M305" i="3"/>
  <c r="O305" i="3"/>
  <c r="P305" i="3"/>
  <c r="S304" i="3"/>
  <c r="I306" i="3"/>
  <c r="J306" i="3"/>
  <c r="L306" i="3"/>
  <c r="M306" i="3"/>
  <c r="O306" i="3"/>
  <c r="R306" i="3"/>
  <c r="P306" i="3"/>
  <c r="I307" i="3"/>
  <c r="J307" i="3"/>
  <c r="L307" i="3"/>
  <c r="M307" i="3"/>
  <c r="O307" i="3"/>
  <c r="P307" i="3"/>
  <c r="I308" i="3"/>
  <c r="J308" i="3"/>
  <c r="L308" i="3"/>
  <c r="M308" i="3"/>
  <c r="O308" i="3"/>
  <c r="P308" i="3"/>
  <c r="I309" i="3"/>
  <c r="J309" i="3"/>
  <c r="L309" i="3"/>
  <c r="M309" i="3"/>
  <c r="O309" i="3"/>
  <c r="P309" i="3"/>
  <c r="I310" i="3"/>
  <c r="J310" i="3"/>
  <c r="L310" i="3"/>
  <c r="M310" i="3"/>
  <c r="O310" i="3"/>
  <c r="P310" i="3"/>
  <c r="I311" i="3"/>
  <c r="J311" i="3"/>
  <c r="L311" i="3"/>
  <c r="M311" i="3"/>
  <c r="O311" i="3"/>
  <c r="P311" i="3"/>
  <c r="I312" i="3"/>
  <c r="J312" i="3"/>
  <c r="L312" i="3"/>
  <c r="M312" i="3"/>
  <c r="O312" i="3"/>
  <c r="P312" i="3"/>
  <c r="I313" i="3"/>
  <c r="J313" i="3"/>
  <c r="L313" i="3"/>
  <c r="M313" i="3"/>
  <c r="O313" i="3"/>
  <c r="P313" i="3"/>
  <c r="I314" i="3"/>
  <c r="J314" i="3"/>
  <c r="L314" i="3"/>
  <c r="M314" i="3"/>
  <c r="O314" i="3"/>
  <c r="P314" i="3"/>
  <c r="I315" i="3"/>
  <c r="J315" i="3"/>
  <c r="L315" i="3"/>
  <c r="M315" i="3"/>
  <c r="O315" i="3"/>
  <c r="P315" i="3"/>
  <c r="I316" i="3"/>
  <c r="J316" i="3"/>
  <c r="L316" i="3"/>
  <c r="M316" i="3"/>
  <c r="O316" i="3"/>
  <c r="P316" i="3"/>
  <c r="I317" i="3"/>
  <c r="J317" i="3"/>
  <c r="L317" i="3"/>
  <c r="M317" i="3"/>
  <c r="O317" i="3"/>
  <c r="P317" i="3"/>
  <c r="I318" i="3"/>
  <c r="J318" i="3"/>
  <c r="L318" i="3"/>
  <c r="M318" i="3"/>
  <c r="O318" i="3"/>
  <c r="R316" i="3"/>
  <c r="P318" i="3"/>
  <c r="I319" i="3"/>
  <c r="J319" i="3"/>
  <c r="L319" i="3"/>
  <c r="M319" i="3"/>
  <c r="O319" i="3"/>
  <c r="P319" i="3"/>
  <c r="I320" i="3"/>
  <c r="J320" i="3"/>
  <c r="L320" i="3"/>
  <c r="R309" i="3"/>
  <c r="M320" i="3"/>
  <c r="O320" i="3"/>
  <c r="P320" i="3"/>
  <c r="I321" i="3"/>
  <c r="J321" i="3"/>
  <c r="L321" i="3"/>
  <c r="M321" i="3"/>
  <c r="O321" i="3"/>
  <c r="P321" i="3"/>
  <c r="I322" i="3"/>
  <c r="J322" i="3"/>
  <c r="L322" i="3"/>
  <c r="M322" i="3"/>
  <c r="O322" i="3"/>
  <c r="P322" i="3"/>
  <c r="I323" i="3"/>
  <c r="J323" i="3"/>
  <c r="L323" i="3"/>
  <c r="M323" i="3"/>
  <c r="O323" i="3"/>
  <c r="P323" i="3"/>
  <c r="I324" i="3"/>
  <c r="J324" i="3"/>
  <c r="L324" i="3"/>
  <c r="M324" i="3"/>
  <c r="O324" i="3"/>
  <c r="P324" i="3"/>
  <c r="I325" i="3"/>
  <c r="J325" i="3"/>
  <c r="L325" i="3"/>
  <c r="M325" i="3"/>
  <c r="O325" i="3"/>
  <c r="P325" i="3"/>
  <c r="I326" i="3"/>
  <c r="J326" i="3"/>
  <c r="L326" i="3"/>
  <c r="M326" i="3"/>
  <c r="O326" i="3"/>
  <c r="R324" i="3"/>
  <c r="P326" i="3"/>
  <c r="I327" i="3"/>
  <c r="J327" i="3"/>
  <c r="L327" i="3"/>
  <c r="M327" i="3"/>
  <c r="O327" i="3"/>
  <c r="P327" i="3"/>
  <c r="I328" i="3"/>
  <c r="J328" i="3"/>
  <c r="L328" i="3"/>
  <c r="M328" i="3"/>
  <c r="O328" i="3"/>
  <c r="P328" i="3"/>
  <c r="I329" i="3"/>
  <c r="J329" i="3"/>
  <c r="L329" i="3"/>
  <c r="M329" i="3"/>
  <c r="O329" i="3"/>
  <c r="P329" i="3"/>
  <c r="I330" i="3"/>
  <c r="J330" i="3"/>
  <c r="L330" i="3"/>
  <c r="M330" i="3"/>
  <c r="O330" i="3"/>
  <c r="P330" i="3"/>
  <c r="S329" i="3"/>
  <c r="I331" i="3"/>
  <c r="J331" i="3"/>
  <c r="L331" i="3"/>
  <c r="M331" i="3"/>
  <c r="O331" i="3"/>
  <c r="P331" i="3"/>
  <c r="I332" i="3"/>
  <c r="J332" i="3"/>
  <c r="L332" i="3"/>
  <c r="M332" i="3"/>
  <c r="O332" i="3"/>
  <c r="P332" i="3"/>
  <c r="S332" i="3"/>
  <c r="I333" i="3"/>
  <c r="J333" i="3"/>
  <c r="L333" i="3"/>
  <c r="M333" i="3"/>
  <c r="O333" i="3"/>
  <c r="P333" i="3"/>
  <c r="I334" i="3"/>
  <c r="J334" i="3"/>
  <c r="L334" i="3"/>
  <c r="M334" i="3"/>
  <c r="O334" i="3"/>
  <c r="P334" i="3"/>
  <c r="I335" i="3"/>
  <c r="J335" i="3"/>
  <c r="L335" i="3"/>
  <c r="M335" i="3"/>
  <c r="O335" i="3"/>
  <c r="P335" i="3"/>
  <c r="I336" i="3"/>
  <c r="J336" i="3"/>
  <c r="L336" i="3"/>
  <c r="M336" i="3"/>
  <c r="O336" i="3"/>
  <c r="P336" i="3"/>
  <c r="I337" i="3"/>
  <c r="J337" i="3"/>
  <c r="L337" i="3"/>
  <c r="M337" i="3"/>
  <c r="O337" i="3"/>
  <c r="P337" i="3"/>
  <c r="I338" i="3"/>
  <c r="J338" i="3"/>
  <c r="L338" i="3"/>
  <c r="M338" i="3"/>
  <c r="O338" i="3"/>
  <c r="P338" i="3"/>
  <c r="I339" i="3"/>
  <c r="J339" i="3"/>
  <c r="L339" i="3"/>
  <c r="M339" i="3"/>
  <c r="O339" i="3"/>
  <c r="P339" i="3"/>
  <c r="I340" i="3"/>
  <c r="J340" i="3"/>
  <c r="L340" i="3"/>
  <c r="M340" i="3"/>
  <c r="O340" i="3"/>
  <c r="P340" i="3"/>
  <c r="I341" i="3"/>
  <c r="J341" i="3"/>
  <c r="L341" i="3"/>
  <c r="M341" i="3"/>
  <c r="O341" i="3"/>
  <c r="P341" i="3"/>
  <c r="I342" i="3"/>
  <c r="J342" i="3"/>
  <c r="L342" i="3"/>
  <c r="M342" i="3"/>
  <c r="O342" i="3"/>
  <c r="R340" i="3"/>
  <c r="P342" i="3"/>
  <c r="I343" i="3"/>
  <c r="J343" i="3"/>
  <c r="L343" i="3"/>
  <c r="M343" i="3"/>
  <c r="O343" i="3"/>
  <c r="P343" i="3"/>
  <c r="I344" i="3"/>
  <c r="J344" i="3"/>
  <c r="L344" i="3"/>
  <c r="M344" i="3"/>
  <c r="O344" i="3"/>
  <c r="P344" i="3"/>
  <c r="I345" i="3"/>
  <c r="J345" i="3"/>
  <c r="L345" i="3"/>
  <c r="M345" i="3"/>
  <c r="O345" i="3"/>
  <c r="P345" i="3"/>
  <c r="I346" i="3"/>
  <c r="J346" i="3"/>
  <c r="L346" i="3"/>
  <c r="M346" i="3"/>
  <c r="O346" i="3"/>
  <c r="P346" i="3"/>
  <c r="I347" i="3"/>
  <c r="J347" i="3"/>
  <c r="L347" i="3"/>
  <c r="M347" i="3"/>
  <c r="O347" i="3"/>
  <c r="P347" i="3"/>
  <c r="I348" i="3"/>
  <c r="J348" i="3"/>
  <c r="L348" i="3"/>
  <c r="M348" i="3"/>
  <c r="O348" i="3"/>
  <c r="P348" i="3"/>
  <c r="I349" i="3"/>
  <c r="J349" i="3"/>
  <c r="L349" i="3"/>
  <c r="M349" i="3"/>
  <c r="O349" i="3"/>
  <c r="P349" i="3"/>
  <c r="I350" i="3"/>
  <c r="J350" i="3"/>
  <c r="L350" i="3"/>
  <c r="M350" i="3"/>
  <c r="O350" i="3"/>
  <c r="P350" i="3"/>
  <c r="I351" i="3"/>
  <c r="J351" i="3"/>
  <c r="L351" i="3"/>
  <c r="M351" i="3"/>
  <c r="O351" i="3"/>
  <c r="P351" i="3"/>
  <c r="I352" i="3"/>
  <c r="J352" i="3"/>
  <c r="L352" i="3"/>
  <c r="M352" i="3"/>
  <c r="O352" i="3"/>
  <c r="P352" i="3"/>
  <c r="I353" i="3"/>
  <c r="J353" i="3"/>
  <c r="L353" i="3"/>
  <c r="M353" i="3"/>
  <c r="O353" i="3"/>
  <c r="P353" i="3"/>
  <c r="I354" i="3"/>
  <c r="J354" i="3"/>
  <c r="L354" i="3"/>
  <c r="M354" i="3"/>
  <c r="O354" i="3"/>
  <c r="P354" i="3"/>
  <c r="S354" i="3"/>
  <c r="I355" i="3"/>
  <c r="J355" i="3"/>
  <c r="L355" i="3"/>
  <c r="M355" i="3"/>
  <c r="O355" i="3"/>
  <c r="P355" i="3"/>
  <c r="I356" i="3"/>
  <c r="J356" i="3"/>
  <c r="L356" i="3"/>
  <c r="M356" i="3"/>
  <c r="O356" i="3"/>
  <c r="P356" i="3"/>
  <c r="R356" i="3"/>
  <c r="I357" i="3"/>
  <c r="J357" i="3"/>
  <c r="L357" i="3"/>
  <c r="M357" i="3"/>
  <c r="O357" i="3"/>
  <c r="P357" i="3"/>
  <c r="I358" i="3"/>
  <c r="J358" i="3"/>
  <c r="L358" i="3"/>
  <c r="M358" i="3"/>
  <c r="O358" i="3"/>
  <c r="P358" i="3"/>
  <c r="I359" i="3"/>
  <c r="J359" i="3"/>
  <c r="L359" i="3"/>
  <c r="M359" i="3"/>
  <c r="O359" i="3"/>
  <c r="P359" i="3"/>
  <c r="I360" i="3"/>
  <c r="J360" i="3"/>
  <c r="L360" i="3"/>
  <c r="M360" i="3"/>
  <c r="O360" i="3"/>
  <c r="P360" i="3"/>
  <c r="I361" i="3"/>
  <c r="J361" i="3"/>
  <c r="L361" i="3"/>
  <c r="M361" i="3"/>
  <c r="O361" i="3"/>
  <c r="P361" i="3"/>
  <c r="S361" i="3"/>
  <c r="I362" i="3"/>
  <c r="J362" i="3"/>
  <c r="L362" i="3"/>
  <c r="M362" i="3"/>
  <c r="O362" i="3"/>
  <c r="P362" i="3"/>
  <c r="I363" i="3"/>
  <c r="J363" i="3"/>
  <c r="L363" i="3"/>
  <c r="M363" i="3"/>
  <c r="O363" i="3"/>
  <c r="P363" i="3"/>
  <c r="S363" i="3"/>
  <c r="I364" i="3"/>
  <c r="J364" i="3"/>
  <c r="L364" i="3"/>
  <c r="M364" i="3"/>
  <c r="O364" i="3"/>
  <c r="P364" i="3"/>
  <c r="I365" i="3"/>
  <c r="J365" i="3"/>
  <c r="L365" i="3"/>
  <c r="M365" i="3"/>
  <c r="O365" i="3"/>
  <c r="R363" i="3"/>
  <c r="U363" i="3"/>
  <c r="P365" i="3"/>
  <c r="I366" i="3"/>
  <c r="J366" i="3"/>
  <c r="L366" i="3"/>
  <c r="M366" i="3"/>
  <c r="O366" i="3"/>
  <c r="P366" i="3"/>
  <c r="I367" i="3"/>
  <c r="J367" i="3"/>
  <c r="L367" i="3"/>
  <c r="M367" i="3"/>
  <c r="O367" i="3"/>
  <c r="P367" i="3"/>
  <c r="I368" i="3"/>
  <c r="J368" i="3"/>
  <c r="L368" i="3"/>
  <c r="M368" i="3"/>
  <c r="O368" i="3"/>
  <c r="P368" i="3"/>
  <c r="I369" i="3"/>
  <c r="J369" i="3"/>
  <c r="L369" i="3"/>
  <c r="M369" i="3"/>
  <c r="O369" i="3"/>
  <c r="P369" i="3"/>
  <c r="S368" i="3"/>
  <c r="I370" i="3"/>
  <c r="J370" i="3"/>
  <c r="L370" i="3"/>
  <c r="M370" i="3"/>
  <c r="O370" i="3"/>
  <c r="R370" i="3"/>
  <c r="P370" i="3"/>
  <c r="I371" i="3"/>
  <c r="J371" i="3"/>
  <c r="L371" i="3"/>
  <c r="M371" i="3"/>
  <c r="O371" i="3"/>
  <c r="P371" i="3"/>
  <c r="I372" i="3"/>
  <c r="J372" i="3"/>
  <c r="L372" i="3"/>
  <c r="M372" i="3"/>
  <c r="O372" i="3"/>
  <c r="R371" i="3"/>
  <c r="P372" i="3"/>
  <c r="R372" i="3"/>
  <c r="I373" i="3"/>
  <c r="J373" i="3"/>
  <c r="L373" i="3"/>
  <c r="M373" i="3"/>
  <c r="O373" i="3"/>
  <c r="P373" i="3"/>
  <c r="I374" i="3"/>
  <c r="J374" i="3"/>
  <c r="L374" i="3"/>
  <c r="M374" i="3"/>
  <c r="O374" i="3"/>
  <c r="P374" i="3"/>
  <c r="I375" i="3"/>
  <c r="J375" i="3"/>
  <c r="L375" i="3"/>
  <c r="M375" i="3"/>
  <c r="O375" i="3"/>
  <c r="P375" i="3"/>
  <c r="I376" i="3"/>
  <c r="J376" i="3"/>
  <c r="L376" i="3"/>
  <c r="M376" i="3"/>
  <c r="O376" i="3"/>
  <c r="P376" i="3"/>
  <c r="I377" i="3"/>
  <c r="J377" i="3"/>
  <c r="L377" i="3"/>
  <c r="M377" i="3"/>
  <c r="O377" i="3"/>
  <c r="R377" i="3"/>
  <c r="P377" i="3"/>
  <c r="I378" i="3"/>
  <c r="J378" i="3"/>
  <c r="L378" i="3"/>
  <c r="M378" i="3"/>
  <c r="O378" i="3"/>
  <c r="R376" i="3"/>
  <c r="P378" i="3"/>
  <c r="I379" i="3"/>
  <c r="J379" i="3"/>
  <c r="L379" i="3"/>
  <c r="M379" i="3"/>
  <c r="O379" i="3"/>
  <c r="P379" i="3"/>
  <c r="I380" i="3"/>
  <c r="J380" i="3"/>
  <c r="L380" i="3"/>
  <c r="M380" i="3"/>
  <c r="O380" i="3"/>
  <c r="P380" i="3"/>
  <c r="I381" i="3"/>
  <c r="J381" i="3"/>
  <c r="L381" i="3"/>
  <c r="M381" i="3"/>
  <c r="O381" i="3"/>
  <c r="P381" i="3"/>
  <c r="S379" i="3"/>
  <c r="I382" i="3"/>
  <c r="J382" i="3"/>
  <c r="L382" i="3"/>
  <c r="M382" i="3"/>
  <c r="O382" i="3"/>
  <c r="P382" i="3"/>
  <c r="S382" i="3"/>
  <c r="I383" i="3"/>
  <c r="J383" i="3"/>
  <c r="L383" i="3"/>
  <c r="M383" i="3"/>
  <c r="O383" i="3"/>
  <c r="P383" i="3"/>
  <c r="I384" i="3"/>
  <c r="J384" i="3"/>
  <c r="L384" i="3"/>
  <c r="M384" i="3"/>
  <c r="O384" i="3"/>
  <c r="P384" i="3"/>
  <c r="I385" i="3"/>
  <c r="J385" i="3"/>
  <c r="L385" i="3"/>
  <c r="M385" i="3"/>
  <c r="O385" i="3"/>
  <c r="R384" i="3"/>
  <c r="P385" i="3"/>
  <c r="S383" i="3"/>
  <c r="I386" i="3"/>
  <c r="J386" i="3"/>
  <c r="L386" i="3"/>
  <c r="M386" i="3"/>
  <c r="O386" i="3"/>
  <c r="P386" i="3"/>
  <c r="I387" i="3"/>
  <c r="J387" i="3"/>
  <c r="L387" i="3"/>
  <c r="M387" i="3"/>
  <c r="O387" i="3"/>
  <c r="P387" i="3"/>
  <c r="S387" i="3"/>
  <c r="I388" i="3"/>
  <c r="J388" i="3"/>
  <c r="L388" i="3"/>
  <c r="M388" i="3"/>
  <c r="O388" i="3"/>
  <c r="P388" i="3"/>
  <c r="S386" i="3"/>
  <c r="I389" i="3"/>
  <c r="J389" i="3"/>
  <c r="L389" i="3"/>
  <c r="M389" i="3"/>
  <c r="O389" i="3"/>
  <c r="P389" i="3"/>
  <c r="R389" i="3"/>
  <c r="I390" i="3"/>
  <c r="J390" i="3"/>
  <c r="L390" i="3"/>
  <c r="M390" i="3"/>
  <c r="O390" i="3"/>
  <c r="P390" i="3"/>
  <c r="I391" i="3"/>
  <c r="J391" i="3"/>
  <c r="L391" i="3"/>
  <c r="M391" i="3"/>
  <c r="O391" i="3"/>
  <c r="P391" i="3"/>
  <c r="I392" i="3"/>
  <c r="J392" i="3"/>
  <c r="L392" i="3"/>
  <c r="M392" i="3"/>
  <c r="O392" i="3"/>
  <c r="P392" i="3"/>
  <c r="S391" i="3"/>
  <c r="I393" i="3"/>
  <c r="J393" i="3"/>
  <c r="L393" i="3"/>
  <c r="M393" i="3"/>
  <c r="O393" i="3"/>
  <c r="P393" i="3"/>
  <c r="I394" i="3"/>
  <c r="J394" i="3"/>
  <c r="L394" i="3"/>
  <c r="M394" i="3"/>
  <c r="O394" i="3"/>
  <c r="R392" i="3"/>
  <c r="P394" i="3"/>
  <c r="I395" i="3"/>
  <c r="J395" i="3"/>
  <c r="L395" i="3"/>
  <c r="M395" i="3"/>
  <c r="O395" i="3"/>
  <c r="P395" i="3"/>
  <c r="I396" i="3"/>
  <c r="J396" i="3"/>
  <c r="L396" i="3"/>
  <c r="M396" i="3"/>
  <c r="O396" i="3"/>
  <c r="P396" i="3"/>
  <c r="I397" i="3"/>
  <c r="J397" i="3"/>
  <c r="L397" i="3"/>
  <c r="M397" i="3"/>
  <c r="O397" i="3"/>
  <c r="P397" i="3"/>
  <c r="S395" i="3"/>
  <c r="I398" i="3"/>
  <c r="J398" i="3"/>
  <c r="L398" i="3"/>
  <c r="M398" i="3"/>
  <c r="O398" i="3"/>
  <c r="R396" i="3"/>
  <c r="P398" i="3"/>
  <c r="I399" i="3"/>
  <c r="J399" i="3"/>
  <c r="L399" i="3"/>
  <c r="M399" i="3"/>
  <c r="S396" i="3"/>
  <c r="O399" i="3"/>
  <c r="P399" i="3"/>
  <c r="I400" i="3"/>
  <c r="J400" i="3"/>
  <c r="L400" i="3"/>
  <c r="M400" i="3"/>
  <c r="O400" i="3"/>
  <c r="P400" i="3"/>
  <c r="I401" i="3"/>
  <c r="J401" i="3"/>
  <c r="L401" i="3"/>
  <c r="M401" i="3"/>
  <c r="O401" i="3"/>
  <c r="P401" i="3"/>
  <c r="I402" i="3"/>
  <c r="J402" i="3"/>
  <c r="L402" i="3"/>
  <c r="M402" i="3"/>
  <c r="O402" i="3"/>
  <c r="P402" i="3"/>
  <c r="I403" i="3"/>
  <c r="J403" i="3"/>
  <c r="L403" i="3"/>
  <c r="M403" i="3"/>
  <c r="O403" i="3"/>
  <c r="P403" i="3"/>
  <c r="I404" i="3"/>
  <c r="J404" i="3"/>
  <c r="L404" i="3"/>
  <c r="M404" i="3"/>
  <c r="O404" i="3"/>
  <c r="P404" i="3"/>
  <c r="I405" i="3"/>
  <c r="J405" i="3"/>
  <c r="L405" i="3"/>
  <c r="M405" i="3"/>
  <c r="O405" i="3"/>
  <c r="P405" i="3"/>
  <c r="I406" i="3"/>
  <c r="J406" i="3"/>
  <c r="L406" i="3"/>
  <c r="M406" i="3"/>
  <c r="O406" i="3"/>
  <c r="P406" i="3"/>
  <c r="I407" i="3"/>
  <c r="J407" i="3"/>
  <c r="L407" i="3"/>
  <c r="M407" i="3"/>
  <c r="O407" i="3"/>
  <c r="P407" i="3"/>
  <c r="I408" i="3"/>
  <c r="J408" i="3"/>
  <c r="L408" i="3"/>
  <c r="M408" i="3"/>
  <c r="O408" i="3"/>
  <c r="P408" i="3"/>
  <c r="I409" i="3"/>
  <c r="J409" i="3"/>
  <c r="L409" i="3"/>
  <c r="M409" i="3"/>
  <c r="O409" i="3"/>
  <c r="P409" i="3"/>
  <c r="I410" i="3"/>
  <c r="J410" i="3"/>
  <c r="L410" i="3"/>
  <c r="M410" i="3"/>
  <c r="O410" i="3"/>
  <c r="P410" i="3"/>
  <c r="I411" i="3"/>
  <c r="J411" i="3"/>
  <c r="L411" i="3"/>
  <c r="M411" i="3"/>
  <c r="O411" i="3"/>
  <c r="P411" i="3"/>
  <c r="I412" i="3"/>
  <c r="J412" i="3"/>
  <c r="L412" i="3"/>
  <c r="M412" i="3"/>
  <c r="O412" i="3"/>
  <c r="P412" i="3"/>
  <c r="I413" i="3"/>
  <c r="J413" i="3"/>
  <c r="L413" i="3"/>
  <c r="M413" i="3"/>
  <c r="O413" i="3"/>
  <c r="P413" i="3"/>
  <c r="I414" i="3"/>
  <c r="J414" i="3"/>
  <c r="L414" i="3"/>
  <c r="M414" i="3"/>
  <c r="O414" i="3"/>
  <c r="P414" i="3"/>
  <c r="I415" i="3"/>
  <c r="J415" i="3"/>
  <c r="L415" i="3"/>
  <c r="M415" i="3"/>
  <c r="O415" i="3"/>
  <c r="P415" i="3"/>
  <c r="I416" i="3"/>
  <c r="J416" i="3"/>
  <c r="L416" i="3"/>
  <c r="M416" i="3"/>
  <c r="O416" i="3"/>
  <c r="P416" i="3"/>
  <c r="I417" i="3"/>
  <c r="J417" i="3"/>
  <c r="L417" i="3"/>
  <c r="M417" i="3"/>
  <c r="O417" i="3"/>
  <c r="P417" i="3"/>
  <c r="I418" i="3"/>
  <c r="J418" i="3"/>
  <c r="L418" i="3"/>
  <c r="M418" i="3"/>
  <c r="O418" i="3"/>
  <c r="P418" i="3"/>
  <c r="S418" i="3"/>
  <c r="I419" i="3"/>
  <c r="J419" i="3"/>
  <c r="L419" i="3"/>
  <c r="M419" i="3"/>
  <c r="O419" i="3"/>
  <c r="P419" i="3"/>
  <c r="I420" i="3"/>
  <c r="J420" i="3"/>
  <c r="L420" i="3"/>
  <c r="M420" i="3"/>
  <c r="O420" i="3"/>
  <c r="P420" i="3"/>
  <c r="R420" i="3"/>
  <c r="I421" i="3"/>
  <c r="J421" i="3"/>
  <c r="L421" i="3"/>
  <c r="M421" i="3"/>
  <c r="O421" i="3"/>
  <c r="P421" i="3"/>
  <c r="I422" i="3"/>
  <c r="J422" i="3"/>
  <c r="L422" i="3"/>
  <c r="M422" i="3"/>
  <c r="O422" i="3"/>
  <c r="P422" i="3"/>
  <c r="I423" i="3"/>
  <c r="J423" i="3"/>
  <c r="L423" i="3"/>
  <c r="M423" i="3"/>
  <c r="O423" i="3"/>
  <c r="P423" i="3"/>
  <c r="I424" i="3"/>
  <c r="J424" i="3"/>
  <c r="L424" i="3"/>
  <c r="M424" i="3"/>
  <c r="O424" i="3"/>
  <c r="P424" i="3"/>
  <c r="I425" i="3"/>
  <c r="J425" i="3"/>
  <c r="L425" i="3"/>
  <c r="M425" i="3"/>
  <c r="O425" i="3"/>
  <c r="P425" i="3"/>
  <c r="I426" i="3"/>
  <c r="J426" i="3"/>
  <c r="L426" i="3"/>
  <c r="M426" i="3"/>
  <c r="O426" i="3"/>
  <c r="P426" i="3"/>
  <c r="I427" i="3"/>
  <c r="J427" i="3"/>
  <c r="L427" i="3"/>
  <c r="M427" i="3"/>
  <c r="O427" i="3"/>
  <c r="P427" i="3"/>
  <c r="I428" i="3"/>
  <c r="J428" i="3"/>
  <c r="L428" i="3"/>
  <c r="M428" i="3"/>
  <c r="O428" i="3"/>
  <c r="P428" i="3"/>
  <c r="I429" i="3"/>
  <c r="J429" i="3"/>
  <c r="L429" i="3"/>
  <c r="M429" i="3"/>
  <c r="O429" i="3"/>
  <c r="R427" i="3"/>
  <c r="P429" i="3"/>
  <c r="I430" i="3"/>
  <c r="J430" i="3"/>
  <c r="L430" i="3"/>
  <c r="M430" i="3"/>
  <c r="O430" i="3"/>
  <c r="P430" i="3"/>
  <c r="I431" i="3"/>
  <c r="J431" i="3"/>
  <c r="L431" i="3"/>
  <c r="M431" i="3"/>
  <c r="O431" i="3"/>
  <c r="P431" i="3"/>
  <c r="I432" i="3"/>
  <c r="J432" i="3"/>
  <c r="L432" i="3"/>
  <c r="M432" i="3"/>
  <c r="O432" i="3"/>
  <c r="P432" i="3"/>
  <c r="I433" i="3"/>
  <c r="J433" i="3"/>
  <c r="L433" i="3"/>
  <c r="M433" i="3"/>
  <c r="O433" i="3"/>
  <c r="P433" i="3"/>
  <c r="I434" i="3"/>
  <c r="J434" i="3"/>
  <c r="L434" i="3"/>
  <c r="M434" i="3"/>
  <c r="O434" i="3"/>
  <c r="P434" i="3"/>
  <c r="I435" i="3"/>
  <c r="J435" i="3"/>
  <c r="L435" i="3"/>
  <c r="M435" i="3"/>
  <c r="O435" i="3"/>
  <c r="P435" i="3"/>
  <c r="I436" i="3"/>
  <c r="J436" i="3"/>
  <c r="L436" i="3"/>
  <c r="M436" i="3"/>
  <c r="O436" i="3"/>
  <c r="P436" i="3"/>
  <c r="I437" i="3"/>
  <c r="J437" i="3"/>
  <c r="L437" i="3"/>
  <c r="M437" i="3"/>
  <c r="O437" i="3"/>
  <c r="P437" i="3"/>
  <c r="S437" i="3"/>
  <c r="I438" i="3"/>
  <c r="J438" i="3"/>
  <c r="L438" i="3"/>
  <c r="M438" i="3"/>
  <c r="O438" i="3"/>
  <c r="P438" i="3"/>
  <c r="I439" i="3"/>
  <c r="J439" i="3"/>
  <c r="L439" i="3"/>
  <c r="M439" i="3"/>
  <c r="O439" i="3"/>
  <c r="R439" i="3"/>
  <c r="P439" i="3"/>
  <c r="I440" i="3"/>
  <c r="J440" i="3"/>
  <c r="L440" i="3"/>
  <c r="M440" i="3"/>
  <c r="O440" i="3"/>
  <c r="P440" i="3"/>
  <c r="I441" i="3"/>
  <c r="J441" i="3"/>
  <c r="L441" i="3"/>
  <c r="M441" i="3"/>
  <c r="O441" i="3"/>
  <c r="P441" i="3"/>
  <c r="I442" i="3"/>
  <c r="J442" i="3"/>
  <c r="L442" i="3"/>
  <c r="M442" i="3"/>
  <c r="O442" i="3"/>
  <c r="R440" i="3"/>
  <c r="P442" i="3"/>
  <c r="I443" i="3"/>
  <c r="J443" i="3"/>
  <c r="L443" i="3"/>
  <c r="M443" i="3"/>
  <c r="O443" i="3"/>
  <c r="P443" i="3"/>
  <c r="I444" i="3"/>
  <c r="J444" i="3"/>
  <c r="L444" i="3"/>
  <c r="M444" i="3"/>
  <c r="O444" i="3"/>
  <c r="P444" i="3"/>
  <c r="I445" i="3"/>
  <c r="J445" i="3"/>
  <c r="L445" i="3"/>
  <c r="M445" i="3"/>
  <c r="O445" i="3"/>
  <c r="R443" i="3"/>
  <c r="P445" i="3"/>
  <c r="S443" i="3"/>
  <c r="I446" i="3"/>
  <c r="J446" i="3"/>
  <c r="L446" i="3"/>
  <c r="M446" i="3"/>
  <c r="O446" i="3"/>
  <c r="R446" i="3"/>
  <c r="P446" i="3"/>
  <c r="I447" i="3"/>
  <c r="J447" i="3"/>
  <c r="L447" i="3"/>
  <c r="M447" i="3"/>
  <c r="O447" i="3"/>
  <c r="P447" i="3"/>
  <c r="I448" i="3"/>
  <c r="J448" i="3"/>
  <c r="L448" i="3"/>
  <c r="M448" i="3"/>
  <c r="O448" i="3"/>
  <c r="P448" i="3"/>
  <c r="I449" i="3"/>
  <c r="J449" i="3"/>
  <c r="L449" i="3"/>
  <c r="M449" i="3"/>
  <c r="O449" i="3"/>
  <c r="P449" i="3"/>
  <c r="I450" i="3"/>
  <c r="J450" i="3"/>
  <c r="L450" i="3"/>
  <c r="M450" i="3"/>
  <c r="O450" i="3"/>
  <c r="P450" i="3"/>
  <c r="I451" i="3"/>
  <c r="J451" i="3"/>
  <c r="L451" i="3"/>
  <c r="M451" i="3"/>
  <c r="O451" i="3"/>
  <c r="P451" i="3"/>
  <c r="I452" i="3"/>
  <c r="J452" i="3"/>
  <c r="L452" i="3"/>
  <c r="M452" i="3"/>
  <c r="O452" i="3"/>
  <c r="P452" i="3"/>
  <c r="I453" i="3"/>
  <c r="J453" i="3"/>
  <c r="L453" i="3"/>
  <c r="M453" i="3"/>
  <c r="O453" i="3"/>
  <c r="R453" i="3"/>
  <c r="P453" i="3"/>
  <c r="S453" i="3"/>
  <c r="I454" i="3"/>
  <c r="J454" i="3"/>
  <c r="L454" i="3"/>
  <c r="M454" i="3"/>
  <c r="O454" i="3"/>
  <c r="P454" i="3"/>
  <c r="S454" i="3"/>
  <c r="I455" i="3"/>
  <c r="J455" i="3"/>
  <c r="L455" i="3"/>
  <c r="M455" i="3"/>
  <c r="O455" i="3"/>
  <c r="P455" i="3"/>
  <c r="I456" i="3"/>
  <c r="J456" i="3"/>
  <c r="L456" i="3"/>
  <c r="M456" i="3"/>
  <c r="O456" i="3"/>
  <c r="R455" i="3"/>
  <c r="P456" i="3"/>
  <c r="S456" i="3"/>
  <c r="I457" i="3"/>
  <c r="J457" i="3"/>
  <c r="L457" i="3"/>
  <c r="M457" i="3"/>
  <c r="O457" i="3"/>
  <c r="P457" i="3"/>
  <c r="S457" i="3"/>
  <c r="I458" i="3"/>
  <c r="J458" i="3"/>
  <c r="L458" i="3"/>
  <c r="M458" i="3"/>
  <c r="O458" i="3"/>
  <c r="R458" i="3"/>
  <c r="P458" i="3"/>
  <c r="I459" i="3"/>
  <c r="J459" i="3"/>
  <c r="L459" i="3"/>
  <c r="M459" i="3"/>
  <c r="O459" i="3"/>
  <c r="P459" i="3"/>
  <c r="S458" i="3"/>
  <c r="I460" i="3"/>
  <c r="J460" i="3"/>
  <c r="L460" i="3"/>
  <c r="M460" i="3"/>
  <c r="O460" i="3"/>
  <c r="P460" i="3"/>
  <c r="S460" i="3"/>
  <c r="I461" i="3"/>
  <c r="J461" i="3"/>
  <c r="L461" i="3"/>
  <c r="M461" i="3"/>
  <c r="O461" i="3"/>
  <c r="R460" i="3"/>
  <c r="P461" i="3"/>
  <c r="S459" i="3"/>
  <c r="I462" i="3"/>
  <c r="J462" i="3"/>
  <c r="L462" i="3"/>
  <c r="M462" i="3"/>
  <c r="O462" i="3"/>
  <c r="R462" i="3"/>
  <c r="P462" i="3"/>
  <c r="I463" i="3"/>
  <c r="J463" i="3"/>
  <c r="L463" i="3"/>
  <c r="M463" i="3"/>
  <c r="O463" i="3"/>
  <c r="P463" i="3"/>
  <c r="S462" i="3"/>
  <c r="I464" i="3"/>
  <c r="J464" i="3"/>
  <c r="L464" i="3"/>
  <c r="M464" i="3"/>
  <c r="O464" i="3"/>
  <c r="P464" i="3"/>
  <c r="I465" i="3"/>
  <c r="J465" i="3"/>
  <c r="L465" i="3"/>
  <c r="M465" i="3"/>
  <c r="O465" i="3"/>
  <c r="R465" i="3"/>
  <c r="U465" i="3"/>
  <c r="P465" i="3"/>
  <c r="S465" i="3"/>
  <c r="I466" i="3"/>
  <c r="J466" i="3"/>
  <c r="L466" i="3"/>
  <c r="M466" i="3"/>
  <c r="O466" i="3"/>
  <c r="R466" i="3"/>
  <c r="P466" i="3"/>
  <c r="I467" i="3"/>
  <c r="J467" i="3"/>
  <c r="L467" i="3"/>
  <c r="M467" i="3"/>
  <c r="O467" i="3"/>
  <c r="P467" i="3"/>
  <c r="I468" i="3"/>
  <c r="J468" i="3"/>
  <c r="L468" i="3"/>
  <c r="M468" i="3"/>
  <c r="O468" i="3"/>
  <c r="P468" i="3"/>
  <c r="S467" i="3"/>
  <c r="I469" i="3"/>
  <c r="J469" i="3"/>
  <c r="L469" i="3"/>
  <c r="M469" i="3"/>
  <c r="O469" i="3"/>
  <c r="R467" i="3"/>
  <c r="P469" i="3"/>
  <c r="S469" i="3"/>
  <c r="I470" i="3"/>
  <c r="J470" i="3"/>
  <c r="L470" i="3"/>
  <c r="M470" i="3"/>
  <c r="O470" i="3"/>
  <c r="R468" i="3"/>
  <c r="P470" i="3"/>
  <c r="I471" i="3"/>
  <c r="J471" i="3"/>
  <c r="L471" i="3"/>
  <c r="M471" i="3"/>
  <c r="O471" i="3"/>
  <c r="P471" i="3"/>
  <c r="I472" i="3"/>
  <c r="J472" i="3"/>
  <c r="L472" i="3"/>
  <c r="M472" i="3"/>
  <c r="O472" i="3"/>
  <c r="R471" i="3"/>
  <c r="P472" i="3"/>
  <c r="S472" i="3"/>
  <c r="I473" i="3"/>
  <c r="J473" i="3"/>
  <c r="L473" i="3"/>
  <c r="M473" i="3"/>
  <c r="O473" i="3"/>
  <c r="P473" i="3"/>
  <c r="S473" i="3"/>
  <c r="I474" i="3"/>
  <c r="J474" i="3"/>
  <c r="L474" i="3"/>
  <c r="M474" i="3"/>
  <c r="O474" i="3"/>
  <c r="R474" i="3"/>
  <c r="P474" i="3"/>
  <c r="I475" i="3"/>
  <c r="J475" i="3"/>
  <c r="L475" i="3"/>
  <c r="M475" i="3"/>
  <c r="O475" i="3"/>
  <c r="P475" i="3"/>
  <c r="I476" i="3"/>
  <c r="J476" i="3"/>
  <c r="L476" i="3"/>
  <c r="M476" i="3"/>
  <c r="O476" i="3"/>
  <c r="P476" i="3"/>
  <c r="S474" i="3"/>
  <c r="I477" i="3"/>
  <c r="J477" i="3"/>
  <c r="L477" i="3"/>
  <c r="M477" i="3"/>
  <c r="O477" i="3"/>
  <c r="R476" i="3"/>
  <c r="P477" i="3"/>
  <c r="S475" i="3"/>
  <c r="I478" i="3"/>
  <c r="J478" i="3"/>
  <c r="L478" i="3"/>
  <c r="M478" i="3"/>
  <c r="O478" i="3"/>
  <c r="R478" i="3"/>
  <c r="U478" i="3"/>
  <c r="P478" i="3"/>
  <c r="I479" i="3"/>
  <c r="J479" i="3"/>
  <c r="L479" i="3"/>
  <c r="M479" i="3"/>
  <c r="O479" i="3"/>
  <c r="P479" i="3"/>
  <c r="S478" i="3"/>
  <c r="I480" i="3"/>
  <c r="J480" i="3"/>
  <c r="L480" i="3"/>
  <c r="M480" i="3"/>
  <c r="O480" i="3"/>
  <c r="P480" i="3"/>
  <c r="I481" i="3"/>
  <c r="J481" i="3"/>
  <c r="L481" i="3"/>
  <c r="M481" i="3"/>
  <c r="O481" i="3"/>
  <c r="R481" i="3"/>
  <c r="U481" i="3"/>
  <c r="P481" i="3"/>
  <c r="S481" i="3"/>
  <c r="I482" i="3"/>
  <c r="J482" i="3"/>
  <c r="L482" i="3"/>
  <c r="M482" i="3"/>
  <c r="O482" i="3"/>
  <c r="R482" i="3"/>
  <c r="P482" i="3"/>
  <c r="I483" i="3"/>
  <c r="J483" i="3"/>
  <c r="L483" i="3"/>
  <c r="M483" i="3"/>
  <c r="O483" i="3"/>
  <c r="P483" i="3"/>
  <c r="I484" i="3"/>
  <c r="J484" i="3"/>
  <c r="L484" i="3"/>
  <c r="M484" i="3"/>
  <c r="O484" i="3"/>
  <c r="R483" i="3"/>
  <c r="P484" i="3"/>
  <c r="S483" i="3"/>
  <c r="I485" i="3"/>
  <c r="J485" i="3"/>
  <c r="L485" i="3"/>
  <c r="M485" i="3"/>
  <c r="O485" i="3"/>
  <c r="R485" i="3"/>
  <c r="U485" i="3"/>
  <c r="P485" i="3"/>
  <c r="S485" i="3"/>
  <c r="I486" i="3"/>
  <c r="J486" i="3"/>
  <c r="L486" i="3"/>
  <c r="M486" i="3"/>
  <c r="O486" i="3"/>
  <c r="R484" i="3"/>
  <c r="P486" i="3"/>
  <c r="I487" i="3"/>
  <c r="J487" i="3"/>
  <c r="L487" i="3"/>
  <c r="M487" i="3"/>
  <c r="O487" i="3"/>
  <c r="R487" i="3"/>
  <c r="P487" i="3"/>
  <c r="I488" i="3"/>
  <c r="J488" i="3"/>
  <c r="L488" i="3"/>
  <c r="M488" i="3"/>
  <c r="O488" i="3"/>
  <c r="R486" i="3"/>
  <c r="P488" i="3"/>
  <c r="S488" i="3"/>
  <c r="I489" i="3"/>
  <c r="J489" i="3"/>
  <c r="L489" i="3"/>
  <c r="M489" i="3"/>
  <c r="O489" i="3"/>
  <c r="P489" i="3"/>
  <c r="S489" i="3"/>
  <c r="I490" i="3"/>
  <c r="J490" i="3"/>
  <c r="L490" i="3"/>
  <c r="M490" i="3"/>
  <c r="O490" i="3"/>
  <c r="R490" i="3"/>
  <c r="P490" i="3"/>
  <c r="I491" i="3"/>
  <c r="J491" i="3"/>
  <c r="L491" i="3"/>
  <c r="M491" i="3"/>
  <c r="O491" i="3"/>
  <c r="P491" i="3"/>
  <c r="S490" i="3"/>
  <c r="I492" i="3"/>
  <c r="J492" i="3"/>
  <c r="L492" i="3"/>
  <c r="M492" i="3"/>
  <c r="O492" i="3"/>
  <c r="P492" i="3"/>
  <c r="S492" i="3"/>
  <c r="I493" i="3"/>
  <c r="J493" i="3"/>
  <c r="L493" i="3"/>
  <c r="M493" i="3"/>
  <c r="O493" i="3"/>
  <c r="R492" i="3"/>
  <c r="P493" i="3"/>
  <c r="S491" i="3"/>
  <c r="I494" i="3"/>
  <c r="J494" i="3"/>
  <c r="L494" i="3"/>
  <c r="M494" i="3"/>
  <c r="O494" i="3"/>
  <c r="R494" i="3"/>
  <c r="U494" i="3"/>
  <c r="P494" i="3"/>
  <c r="I495" i="3"/>
  <c r="J495" i="3"/>
  <c r="L495" i="3"/>
  <c r="M495" i="3"/>
  <c r="O495" i="3"/>
  <c r="P495" i="3"/>
  <c r="S494" i="3"/>
  <c r="I496" i="3"/>
  <c r="J496" i="3"/>
  <c r="L496" i="3"/>
  <c r="M496" i="3"/>
  <c r="O496" i="3"/>
  <c r="P496" i="3"/>
  <c r="I497" i="3"/>
  <c r="J497" i="3"/>
  <c r="L497" i="3"/>
  <c r="M497" i="3"/>
  <c r="O497" i="3"/>
  <c r="R497" i="3"/>
  <c r="U497" i="3"/>
  <c r="P497" i="3"/>
  <c r="S497" i="3"/>
  <c r="I498" i="3"/>
  <c r="J498" i="3"/>
  <c r="L498" i="3"/>
  <c r="M498" i="3"/>
  <c r="O498" i="3"/>
  <c r="R498" i="3"/>
  <c r="P498" i="3"/>
  <c r="I499" i="3"/>
  <c r="J499" i="3"/>
  <c r="L499" i="3"/>
  <c r="M499" i="3"/>
  <c r="O499" i="3"/>
  <c r="P499" i="3"/>
  <c r="I500" i="3"/>
  <c r="J500" i="3"/>
  <c r="L500" i="3"/>
  <c r="M500" i="3"/>
  <c r="O500" i="3"/>
  <c r="R499" i="3"/>
  <c r="P500" i="3"/>
  <c r="S499" i="3"/>
  <c r="I501" i="3"/>
  <c r="J501" i="3"/>
  <c r="L501" i="3"/>
  <c r="M501" i="3"/>
  <c r="O501" i="3"/>
  <c r="R501" i="3"/>
  <c r="U501" i="3"/>
  <c r="P501" i="3"/>
  <c r="S501" i="3"/>
  <c r="I502" i="3"/>
  <c r="J502" i="3"/>
  <c r="L502" i="3"/>
  <c r="M502" i="3"/>
  <c r="O502" i="3"/>
  <c r="R500" i="3"/>
  <c r="P502" i="3"/>
  <c r="I503" i="3"/>
  <c r="J503" i="3"/>
  <c r="L503" i="3"/>
  <c r="M503" i="3"/>
  <c r="O503" i="3"/>
  <c r="P503" i="3"/>
  <c r="I504" i="3"/>
  <c r="J504" i="3"/>
  <c r="L504" i="3"/>
  <c r="M504" i="3"/>
  <c r="O504" i="3"/>
  <c r="R503" i="3"/>
  <c r="P504" i="3"/>
  <c r="S504" i="3"/>
  <c r="I505" i="3"/>
  <c r="J505" i="3"/>
  <c r="L505" i="3"/>
  <c r="M505" i="3"/>
  <c r="O505" i="3"/>
  <c r="P505" i="3"/>
  <c r="S505" i="3"/>
  <c r="I506" i="3"/>
  <c r="J506" i="3"/>
  <c r="L506" i="3"/>
  <c r="M506" i="3"/>
  <c r="O506" i="3"/>
  <c r="R506" i="3"/>
  <c r="U506" i="3"/>
  <c r="P506" i="3"/>
  <c r="I507" i="3"/>
  <c r="J507" i="3"/>
  <c r="L507" i="3"/>
  <c r="M507" i="3"/>
  <c r="O507" i="3"/>
  <c r="P507" i="3"/>
  <c r="S506" i="3"/>
  <c r="I508" i="3"/>
  <c r="J508" i="3"/>
  <c r="L508" i="3"/>
  <c r="M508" i="3"/>
  <c r="O508" i="3"/>
  <c r="P508" i="3"/>
  <c r="S508" i="3"/>
  <c r="I509" i="3"/>
  <c r="J509" i="3"/>
  <c r="L509" i="3"/>
  <c r="M509" i="3"/>
  <c r="O509" i="3"/>
  <c r="R508" i="3"/>
  <c r="P509" i="3"/>
  <c r="S507" i="3"/>
  <c r="I510" i="3"/>
  <c r="J510" i="3"/>
  <c r="L510" i="3"/>
  <c r="M510" i="3"/>
  <c r="O510" i="3"/>
  <c r="R510" i="3"/>
  <c r="U510" i="3"/>
  <c r="P510" i="3"/>
  <c r="I511" i="3"/>
  <c r="J511" i="3"/>
  <c r="L511" i="3"/>
  <c r="M511" i="3"/>
  <c r="O511" i="3"/>
  <c r="P511" i="3"/>
  <c r="S510" i="3"/>
  <c r="I512" i="3"/>
  <c r="J512" i="3"/>
  <c r="L512" i="3"/>
  <c r="M512" i="3"/>
  <c r="O512" i="3"/>
  <c r="P512" i="3"/>
  <c r="I513" i="3"/>
  <c r="J513" i="3"/>
  <c r="L513" i="3"/>
  <c r="M513" i="3"/>
  <c r="O513" i="3"/>
  <c r="R513" i="3"/>
  <c r="U513" i="3"/>
  <c r="P513" i="3"/>
  <c r="S513" i="3"/>
  <c r="I514" i="3"/>
  <c r="J514" i="3"/>
  <c r="L514" i="3"/>
  <c r="M514" i="3"/>
  <c r="O514" i="3"/>
  <c r="R514" i="3"/>
  <c r="P514" i="3"/>
  <c r="I515" i="3"/>
  <c r="J515" i="3"/>
  <c r="L515" i="3"/>
  <c r="M515" i="3"/>
  <c r="O515" i="3"/>
  <c r="P515" i="3"/>
  <c r="I516" i="3"/>
  <c r="J516" i="3"/>
  <c r="L516" i="3"/>
  <c r="M516" i="3"/>
  <c r="O516" i="3"/>
  <c r="R515" i="3"/>
  <c r="P516" i="3"/>
  <c r="S515" i="3"/>
  <c r="I517" i="3"/>
  <c r="J517" i="3"/>
  <c r="L517" i="3"/>
  <c r="M517" i="3"/>
  <c r="O517" i="3"/>
  <c r="R517" i="3"/>
  <c r="U517" i="3"/>
  <c r="P517" i="3"/>
  <c r="S517" i="3"/>
  <c r="I518" i="3"/>
  <c r="J518" i="3"/>
  <c r="L518" i="3"/>
  <c r="M518" i="3"/>
  <c r="O518" i="3"/>
  <c r="R516" i="3"/>
  <c r="P518" i="3"/>
  <c r="I519" i="3"/>
  <c r="J519" i="3"/>
  <c r="L519" i="3"/>
  <c r="M519" i="3"/>
  <c r="O519" i="3"/>
  <c r="P519" i="3"/>
  <c r="I520" i="3"/>
  <c r="J520" i="3"/>
  <c r="L520" i="3"/>
  <c r="M520" i="3"/>
  <c r="O520" i="3"/>
  <c r="R519" i="3"/>
  <c r="P520" i="3"/>
  <c r="S520" i="3"/>
  <c r="I521" i="3"/>
  <c r="J521" i="3"/>
  <c r="L521" i="3"/>
  <c r="M521" i="3"/>
  <c r="O521" i="3"/>
  <c r="P521" i="3"/>
  <c r="S521" i="3"/>
  <c r="I522" i="3"/>
  <c r="J522" i="3"/>
  <c r="L522" i="3"/>
  <c r="M522" i="3"/>
  <c r="O522" i="3"/>
  <c r="R522" i="3"/>
  <c r="U522" i="3"/>
  <c r="P522" i="3"/>
  <c r="I523" i="3"/>
  <c r="J523" i="3"/>
  <c r="L523" i="3"/>
  <c r="M523" i="3"/>
  <c r="O523" i="3"/>
  <c r="P523" i="3"/>
  <c r="S522" i="3"/>
  <c r="I524" i="3"/>
  <c r="J524" i="3"/>
  <c r="L524" i="3"/>
  <c r="M524" i="3"/>
  <c r="O524" i="3"/>
  <c r="P524" i="3"/>
  <c r="S524" i="3"/>
  <c r="I525" i="3"/>
  <c r="J525" i="3"/>
  <c r="L525" i="3"/>
  <c r="M525" i="3"/>
  <c r="O525" i="3"/>
  <c r="R524" i="3"/>
  <c r="P525" i="3"/>
  <c r="S523" i="3"/>
  <c r="I526" i="3"/>
  <c r="J526" i="3"/>
  <c r="L526" i="3"/>
  <c r="M526" i="3"/>
  <c r="O526" i="3"/>
  <c r="R526" i="3"/>
  <c r="U526" i="3"/>
  <c r="P526" i="3"/>
  <c r="I527" i="3"/>
  <c r="J527" i="3"/>
  <c r="L527" i="3"/>
  <c r="M527" i="3"/>
  <c r="O527" i="3"/>
  <c r="P527" i="3"/>
  <c r="S526" i="3"/>
  <c r="R527" i="3"/>
  <c r="I528" i="3"/>
  <c r="J528" i="3"/>
  <c r="L528" i="3"/>
  <c r="M528" i="3"/>
  <c r="O528" i="3"/>
  <c r="P528" i="3"/>
  <c r="I529" i="3"/>
  <c r="J529" i="3"/>
  <c r="L529" i="3"/>
  <c r="M529" i="3"/>
  <c r="O529" i="3"/>
  <c r="R529" i="3"/>
  <c r="P529" i="3"/>
  <c r="S529" i="3"/>
  <c r="I530" i="3"/>
  <c r="J530" i="3"/>
  <c r="L530" i="3"/>
  <c r="M530" i="3"/>
  <c r="O530" i="3"/>
  <c r="R530" i="3"/>
  <c r="P530" i="3"/>
  <c r="I531" i="3"/>
  <c r="J531" i="3"/>
  <c r="L531" i="3"/>
  <c r="R531" i="3"/>
  <c r="U531" i="3"/>
  <c r="M531" i="3"/>
  <c r="S531" i="3"/>
  <c r="O531" i="3"/>
  <c r="P531" i="3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2" i="1"/>
  <c r="U23" i="4"/>
  <c r="U102" i="4"/>
  <c r="U271" i="4"/>
  <c r="U401" i="4"/>
  <c r="U35" i="4"/>
  <c r="U187" i="4"/>
  <c r="U292" i="4"/>
  <c r="U424" i="4"/>
  <c r="U63" i="4"/>
  <c r="U34" i="4"/>
  <c r="U406" i="4"/>
  <c r="U30" i="4"/>
  <c r="U516" i="4"/>
  <c r="U495" i="4"/>
  <c r="U323" i="4"/>
  <c r="U298" i="4"/>
  <c r="U227" i="4"/>
  <c r="U511" i="4"/>
  <c r="U144" i="4"/>
  <c r="U120" i="4"/>
  <c r="U389" i="4"/>
  <c r="U453" i="4"/>
  <c r="U277" i="4"/>
  <c r="U159" i="4"/>
  <c r="U482" i="4"/>
  <c r="U518" i="4"/>
  <c r="U44" i="4"/>
  <c r="U58" i="4"/>
  <c r="U79" i="4"/>
  <c r="U130" i="4"/>
  <c r="U28" i="4"/>
  <c r="U494" i="4"/>
  <c r="U469" i="4"/>
  <c r="U95" i="4"/>
  <c r="U351" i="4"/>
  <c r="U301" i="4"/>
  <c r="U41" i="4"/>
  <c r="U413" i="4"/>
  <c r="U114" i="4"/>
  <c r="U210" i="4"/>
  <c r="U87" i="4"/>
  <c r="U387" i="4"/>
  <c r="U376" i="4"/>
  <c r="U184" i="4"/>
  <c r="U373" i="4"/>
  <c r="U135" i="4"/>
  <c r="U370" i="4"/>
  <c r="U295" i="4"/>
  <c r="U457" i="4"/>
  <c r="U101" i="4"/>
  <c r="U313" i="4"/>
  <c r="U126" i="4"/>
  <c r="U64" i="4"/>
  <c r="U59" i="4"/>
  <c r="U53" i="4"/>
  <c r="U464" i="4"/>
  <c r="U472" i="4"/>
  <c r="U197" i="4"/>
  <c r="U18" i="4"/>
  <c r="U399" i="4"/>
  <c r="U251" i="4"/>
  <c r="U80" i="4"/>
  <c r="U141" i="4"/>
  <c r="U284" i="4"/>
  <c r="U467" i="4"/>
  <c r="U215" i="4"/>
  <c r="U252" i="4"/>
  <c r="U165" i="4"/>
  <c r="U412" i="4"/>
  <c r="U442" i="4"/>
  <c r="U488" i="4"/>
  <c r="U262" i="4"/>
  <c r="U235" i="4"/>
  <c r="U441" i="4"/>
  <c r="U522" i="4"/>
  <c r="U497" i="4"/>
  <c r="U343" i="4"/>
  <c r="U483" i="4"/>
  <c r="U242" i="4"/>
  <c r="U496" i="4"/>
  <c r="U470" i="4"/>
  <c r="U504" i="4"/>
  <c r="U237" i="4"/>
  <c r="U214" i="4"/>
  <c r="U239" i="4"/>
  <c r="U423" i="4"/>
  <c r="U169" i="4"/>
  <c r="U133" i="4"/>
  <c r="U173" i="4"/>
  <c r="U471" i="4"/>
  <c r="U3" i="4"/>
  <c r="U202" i="4"/>
  <c r="U390" i="4"/>
  <c r="U91" i="4"/>
  <c r="U368" i="4"/>
  <c r="U195" i="4"/>
  <c r="U479" i="4"/>
  <c r="U359" i="4"/>
  <c r="U523" i="4"/>
  <c r="U486" i="4"/>
  <c r="U6" i="6"/>
  <c r="U255" i="6"/>
  <c r="U234" i="6"/>
  <c r="U259" i="6"/>
  <c r="U43" i="6"/>
  <c r="U412" i="6"/>
  <c r="U67" i="6"/>
  <c r="U291" i="6"/>
  <c r="U300" i="6"/>
  <c r="U503" i="6"/>
  <c r="U174" i="6"/>
  <c r="U287" i="6"/>
  <c r="U252" i="6"/>
  <c r="U404" i="6"/>
  <c r="U175" i="6"/>
  <c r="U389" i="6"/>
  <c r="U452" i="6"/>
  <c r="U415" i="6"/>
  <c r="U190" i="6"/>
  <c r="U345" i="6"/>
  <c r="U347" i="6"/>
  <c r="U102" i="6"/>
  <c r="U319" i="6"/>
  <c r="U311" i="6"/>
  <c r="U5" i="6"/>
  <c r="U438" i="6"/>
  <c r="U181" i="6"/>
  <c r="U344" i="6"/>
  <c r="U220" i="6"/>
  <c r="U388" i="6"/>
  <c r="U359" i="6"/>
  <c r="U422" i="6"/>
  <c r="U323" i="6"/>
  <c r="U193" i="6"/>
  <c r="U430" i="6"/>
  <c r="U451" i="6"/>
  <c r="U114" i="6"/>
  <c r="U48" i="6"/>
  <c r="U137" i="6"/>
  <c r="U379" i="6"/>
  <c r="U118" i="6"/>
  <c r="U335" i="6"/>
  <c r="U266" i="6"/>
  <c r="U303" i="6"/>
  <c r="U4" i="6"/>
  <c r="U13" i="6"/>
  <c r="U88" i="6"/>
  <c r="U349" i="6"/>
  <c r="U192" i="6"/>
  <c r="U231" i="6"/>
  <c r="U453" i="6"/>
  <c r="U122" i="6"/>
  <c r="U367" i="6"/>
  <c r="U433" i="6"/>
  <c r="U101" i="6"/>
  <c r="U133" i="6"/>
  <c r="U68" i="6"/>
  <c r="U27" i="6"/>
  <c r="U395" i="6"/>
  <c r="U312" i="6"/>
  <c r="U10" i="6"/>
  <c r="U282" i="6"/>
  <c r="U160" i="6"/>
  <c r="U31" i="6"/>
  <c r="U134" i="6"/>
  <c r="U212" i="6"/>
  <c r="U251" i="6"/>
  <c r="U429" i="6"/>
  <c r="U308" i="6"/>
  <c r="U53" i="6"/>
  <c r="U437" i="6"/>
  <c r="U107" i="6"/>
  <c r="U343" i="6"/>
  <c r="U38" i="6"/>
  <c r="U278" i="6"/>
  <c r="U177" i="6"/>
  <c r="U51" i="6"/>
  <c r="U263" i="6"/>
  <c r="U394" i="6"/>
  <c r="U56" i="6"/>
  <c r="U112" i="6"/>
  <c r="U298" i="6"/>
  <c r="U93" i="6"/>
  <c r="U69" i="6"/>
  <c r="U191" i="6"/>
  <c r="U423" i="6"/>
  <c r="U185" i="6"/>
  <c r="U305" i="6"/>
  <c r="U64" i="6"/>
  <c r="U353" i="6"/>
  <c r="U400" i="6"/>
  <c r="U428" i="6"/>
  <c r="U510" i="6"/>
  <c r="U295" i="6"/>
  <c r="U416" i="6"/>
  <c r="U269" i="6"/>
  <c r="U326" i="6"/>
  <c r="U194" i="6"/>
  <c r="U254" i="6"/>
  <c r="U201" i="6"/>
  <c r="U223" i="6"/>
  <c r="U40" i="6"/>
  <c r="U216" i="6"/>
  <c r="U337" i="6"/>
  <c r="U58" i="6"/>
  <c r="U362" i="6"/>
  <c r="U214" i="6"/>
  <c r="U427" i="6"/>
  <c r="U356" i="6"/>
  <c r="U456" i="6"/>
  <c r="U36" i="6"/>
  <c r="U261" i="6"/>
  <c r="U106" i="6"/>
  <c r="U143" i="6"/>
  <c r="U46" i="6"/>
  <c r="U202" i="6"/>
  <c r="U526" i="6"/>
  <c r="U257" i="6"/>
  <c r="U128" i="6"/>
  <c r="U496" i="6"/>
  <c r="U505" i="6"/>
  <c r="U84" i="6"/>
  <c r="U369" i="6"/>
  <c r="U47" i="6"/>
  <c r="U243" i="6"/>
  <c r="U144" i="6"/>
  <c r="U217" i="6"/>
  <c r="U413" i="6"/>
  <c r="U239" i="6"/>
  <c r="U232" i="6"/>
  <c r="U392" i="6"/>
  <c r="U226" i="6"/>
  <c r="U237" i="6"/>
  <c r="U382" i="6"/>
  <c r="U225" i="6"/>
  <c r="U273" i="6"/>
  <c r="U163" i="6"/>
  <c r="U407" i="6"/>
  <c r="U159" i="6"/>
  <c r="U512" i="6"/>
  <c r="U262" i="6"/>
  <c r="U521" i="6"/>
  <c r="U244" i="6"/>
  <c r="U164" i="6"/>
  <c r="U38" i="4"/>
  <c r="U166" i="4"/>
  <c r="U175" i="4"/>
  <c r="U29" i="4"/>
  <c r="U189" i="4"/>
  <c r="U139" i="4"/>
  <c r="U4" i="4"/>
  <c r="U300" i="4"/>
  <c r="U50" i="4"/>
  <c r="U500" i="4"/>
  <c r="U131" i="4"/>
  <c r="U350" i="4"/>
  <c r="U316" i="4"/>
  <c r="U201" i="4"/>
  <c r="U381" i="4"/>
  <c r="U61" i="4"/>
  <c r="U224" i="4"/>
  <c r="U140" i="4"/>
  <c r="U379" i="4"/>
  <c r="U60" i="4"/>
  <c r="U11" i="4"/>
  <c r="U378" i="4"/>
  <c r="U327" i="4"/>
  <c r="U358" i="4"/>
  <c r="U296" i="4"/>
  <c r="U51" i="4"/>
  <c r="U395" i="4"/>
  <c r="U219" i="4"/>
  <c r="U304" i="4"/>
  <c r="U151" i="4"/>
  <c r="U198" i="4"/>
  <c r="U62" i="4"/>
  <c r="U250" i="4"/>
  <c r="U220" i="4"/>
  <c r="U84" i="4"/>
  <c r="U382" i="4"/>
  <c r="U96" i="4"/>
  <c r="U410" i="4"/>
  <c r="U258" i="4"/>
  <c r="U199" i="4"/>
  <c r="U393" i="4"/>
  <c r="U233" i="4"/>
  <c r="U386" i="4"/>
  <c r="U7" i="4"/>
  <c r="U392" i="4"/>
  <c r="U82" i="4"/>
  <c r="U203" i="4"/>
  <c r="U312" i="4"/>
  <c r="U8" i="4"/>
  <c r="U422" i="4"/>
  <c r="U244" i="4"/>
  <c r="U14" i="4"/>
  <c r="U228" i="4"/>
  <c r="U335" i="4"/>
  <c r="U489" i="4"/>
  <c r="U260" i="4"/>
  <c r="U211" i="4"/>
  <c r="U408" i="4"/>
  <c r="U13" i="4"/>
  <c r="U264" i="4"/>
  <c r="U119" i="4"/>
  <c r="U448" i="4"/>
  <c r="U450" i="4"/>
  <c r="U76" i="4"/>
  <c r="U232" i="4"/>
  <c r="U125" i="4"/>
  <c r="U123" i="4"/>
  <c r="U505" i="4"/>
  <c r="U180" i="4"/>
  <c r="U88" i="4"/>
  <c r="U46" i="4"/>
  <c r="U234" i="4"/>
  <c r="U391" i="4"/>
  <c r="U288" i="4"/>
  <c r="U124" i="4"/>
  <c r="U352" i="4"/>
  <c r="U444" i="4"/>
  <c r="U94" i="4"/>
  <c r="U287" i="4"/>
  <c r="U77" i="4"/>
  <c r="U259" i="4"/>
  <c r="U231" i="4"/>
  <c r="U411" i="4"/>
  <c r="U308" i="4"/>
  <c r="U5" i="4"/>
  <c r="U293" i="4"/>
  <c r="U47" i="4"/>
  <c r="U97" i="4"/>
  <c r="U56" i="4"/>
  <c r="U267" i="4"/>
  <c r="U103" i="4"/>
  <c r="U309" i="4"/>
  <c r="U66" i="4"/>
  <c r="U155" i="4"/>
  <c r="U367" i="4"/>
  <c r="U57" i="4"/>
  <c r="U331" i="4"/>
  <c r="U462" i="4"/>
  <c r="U302" i="4"/>
  <c r="U178" i="4"/>
  <c r="U407" i="4"/>
  <c r="U236" i="4"/>
  <c r="U322" i="4"/>
  <c r="U55" i="4"/>
  <c r="U212" i="4"/>
  <c r="U6" i="4"/>
  <c r="U134" i="4"/>
  <c r="U311" i="4"/>
  <c r="U25" i="4"/>
  <c r="U157" i="4"/>
  <c r="U107" i="4"/>
  <c r="U364" i="4"/>
  <c r="U78" i="4"/>
  <c r="U366" i="4"/>
  <c r="U332" i="4"/>
  <c r="U104" i="4"/>
  <c r="U249" i="4"/>
  <c r="U328" i="4"/>
  <c r="U491" i="4"/>
  <c r="U136" i="4"/>
  <c r="U85" i="4"/>
  <c r="U326" i="4"/>
  <c r="U36" i="4"/>
  <c r="U319" i="4"/>
  <c r="U451" i="4"/>
  <c r="U478" i="4"/>
  <c r="U345" i="4"/>
  <c r="U428" i="4"/>
  <c r="U261" i="4"/>
  <c r="U514" i="4"/>
  <c r="U71" i="4"/>
  <c r="U22" i="4"/>
  <c r="U168" i="4"/>
  <c r="U171" i="4"/>
  <c r="U336" i="4"/>
  <c r="U291" i="4"/>
  <c r="U344" i="4"/>
  <c r="U334" i="4"/>
  <c r="U283" i="4"/>
  <c r="U394" i="4"/>
  <c r="U75" i="4"/>
  <c r="U360" i="4"/>
  <c r="U121" i="4"/>
  <c r="U355" i="4"/>
  <c r="U437" i="4"/>
  <c r="U290" i="4"/>
  <c r="U19" i="4"/>
  <c r="U507" i="4"/>
  <c r="U484" i="4"/>
  <c r="U529" i="3"/>
  <c r="U499" i="3"/>
  <c r="U500" i="3"/>
  <c r="U468" i="3"/>
  <c r="U462" i="3"/>
  <c r="U446" i="3"/>
  <c r="U188" i="3"/>
  <c r="U396" i="3"/>
  <c r="U486" i="3"/>
  <c r="U455" i="3"/>
  <c r="U116" i="3"/>
  <c r="U483" i="3"/>
  <c r="U524" i="3"/>
  <c r="U508" i="3"/>
  <c r="U492" i="3"/>
  <c r="U467" i="3"/>
  <c r="U460" i="3"/>
  <c r="U515" i="3"/>
  <c r="U453" i="3"/>
  <c r="U443" i="3"/>
  <c r="U427" i="3"/>
  <c r="U324" i="3"/>
  <c r="U527" i="3"/>
  <c r="U514" i="3"/>
  <c r="U490" i="3"/>
  <c r="U474" i="3"/>
  <c r="U466" i="3"/>
  <c r="U458" i="3"/>
  <c r="S527" i="3"/>
  <c r="R520" i="3"/>
  <c r="U520" i="3"/>
  <c r="S511" i="3"/>
  <c r="R504" i="3"/>
  <c r="U504" i="3"/>
  <c r="S495" i="3"/>
  <c r="R488" i="3"/>
  <c r="U488" i="3"/>
  <c r="S479" i="3"/>
  <c r="R472" i="3"/>
  <c r="U472" i="3"/>
  <c r="S463" i="3"/>
  <c r="R456" i="3"/>
  <c r="U456" i="3"/>
  <c r="R448" i="3"/>
  <c r="S439" i="3"/>
  <c r="U439" i="3"/>
  <c r="S438" i="3"/>
  <c r="R435" i="3"/>
  <c r="S413" i="3"/>
  <c r="S349" i="3"/>
  <c r="S325" i="3"/>
  <c r="S324" i="3"/>
  <c r="R323" i="3"/>
  <c r="U323" i="3"/>
  <c r="S313" i="3"/>
  <c r="S234" i="3"/>
  <c r="R230" i="3"/>
  <c r="S218" i="3"/>
  <c r="R174" i="3"/>
  <c r="R164" i="3"/>
  <c r="U164" i="3"/>
  <c r="U135" i="3"/>
  <c r="S125" i="3"/>
  <c r="R123" i="3"/>
  <c r="R79" i="3"/>
  <c r="S69" i="3"/>
  <c r="R66" i="3"/>
  <c r="R13" i="3"/>
  <c r="S502" i="3"/>
  <c r="S486" i="3"/>
  <c r="U356" i="3"/>
  <c r="U293" i="3"/>
  <c r="U220" i="3"/>
  <c r="S525" i="3"/>
  <c r="R518" i="3"/>
  <c r="S509" i="3"/>
  <c r="R502" i="3"/>
  <c r="U502" i="3"/>
  <c r="S493" i="3"/>
  <c r="S477" i="3"/>
  <c r="R470" i="3"/>
  <c r="S461" i="3"/>
  <c r="R454" i="3"/>
  <c r="U454" i="3"/>
  <c r="R452" i="3"/>
  <c r="S450" i="3"/>
  <c r="S432" i="3"/>
  <c r="S427" i="3"/>
  <c r="S425" i="3"/>
  <c r="S420" i="3"/>
  <c r="U420" i="3"/>
  <c r="S356" i="3"/>
  <c r="R332" i="3"/>
  <c r="U332" i="3"/>
  <c r="R329" i="3"/>
  <c r="U329" i="3"/>
  <c r="S315" i="3"/>
  <c r="S293" i="3"/>
  <c r="S292" i="3"/>
  <c r="U292" i="3"/>
  <c r="S281" i="3"/>
  <c r="R274" i="3"/>
  <c r="U274" i="3"/>
  <c r="R237" i="3"/>
  <c r="U237" i="3"/>
  <c r="S224" i="3"/>
  <c r="R198" i="3"/>
  <c r="S186" i="3"/>
  <c r="U142" i="3"/>
  <c r="R132" i="3"/>
  <c r="U132" i="3"/>
  <c r="S130" i="3"/>
  <c r="S93" i="3"/>
  <c r="R91" i="3"/>
  <c r="U91" i="3"/>
  <c r="R73" i="3"/>
  <c r="U73" i="3"/>
  <c r="S59" i="3"/>
  <c r="S24" i="3"/>
  <c r="S20" i="3"/>
  <c r="U20" i="3"/>
  <c r="R17" i="3"/>
  <c r="R511" i="3"/>
  <c r="U511" i="3"/>
  <c r="R463" i="3"/>
  <c r="U463" i="3"/>
  <c r="R349" i="3"/>
  <c r="U349" i="3"/>
  <c r="U247" i="3"/>
  <c r="R179" i="3"/>
  <c r="S169" i="3"/>
  <c r="U125" i="3"/>
  <c r="R86" i="3"/>
  <c r="U86" i="3"/>
  <c r="S73" i="3"/>
  <c r="R525" i="3"/>
  <c r="U525" i="3"/>
  <c r="S516" i="3"/>
  <c r="U516" i="3"/>
  <c r="R509" i="3"/>
  <c r="U509" i="3"/>
  <c r="S500" i="3"/>
  <c r="R493" i="3"/>
  <c r="U493" i="3"/>
  <c r="S484" i="3"/>
  <c r="U484" i="3"/>
  <c r="R477" i="3"/>
  <c r="U477" i="3"/>
  <c r="S468" i="3"/>
  <c r="R461" i="3"/>
  <c r="U461" i="3"/>
  <c r="S452" i="3"/>
  <c r="S441" i="3"/>
  <c r="R432" i="3"/>
  <c r="R425" i="3"/>
  <c r="U425" i="3"/>
  <c r="R418" i="3"/>
  <c r="U418" i="3"/>
  <c r="S389" i="3"/>
  <c r="U389" i="3"/>
  <c r="R382" i="3"/>
  <c r="U382" i="3"/>
  <c r="R375" i="3"/>
  <c r="R354" i="3"/>
  <c r="U354" i="3"/>
  <c r="S336" i="3"/>
  <c r="S327" i="3"/>
  <c r="R310" i="3"/>
  <c r="S300" i="3"/>
  <c r="R291" i="3"/>
  <c r="U291" i="3"/>
  <c r="R254" i="3"/>
  <c r="U254" i="3"/>
  <c r="R253" i="3"/>
  <c r="S242" i="3"/>
  <c r="S231" i="3"/>
  <c r="R224" i="3"/>
  <c r="U224" i="3"/>
  <c r="R215" i="3"/>
  <c r="S205" i="3"/>
  <c r="R203" i="3"/>
  <c r="U203" i="3"/>
  <c r="R185" i="3"/>
  <c r="S149" i="3"/>
  <c r="U149" i="3"/>
  <c r="R147" i="3"/>
  <c r="U147" i="3"/>
  <c r="S137" i="3"/>
  <c r="S132" i="3"/>
  <c r="R130" i="3"/>
  <c r="U130" i="3"/>
  <c r="S110" i="3"/>
  <c r="R93" i="3"/>
  <c r="U93" i="3"/>
  <c r="S80" i="3"/>
  <c r="S74" i="3"/>
  <c r="S71" i="3"/>
  <c r="R64" i="3"/>
  <c r="U64" i="3"/>
  <c r="R54" i="3"/>
  <c r="U54" i="3"/>
  <c r="S44" i="3"/>
  <c r="U44" i="3"/>
  <c r="S40" i="3"/>
  <c r="R35" i="3"/>
  <c r="U35" i="3"/>
  <c r="R18" i="3"/>
  <c r="U18" i="3"/>
  <c r="R406" i="3"/>
  <c r="U276" i="3"/>
  <c r="R451" i="3"/>
  <c r="R450" i="3"/>
  <c r="S445" i="3"/>
  <c r="R441" i="3"/>
  <c r="S429" i="3"/>
  <c r="S406" i="3"/>
  <c r="S399" i="3"/>
  <c r="S365" i="3"/>
  <c r="S342" i="3"/>
  <c r="R335" i="3"/>
  <c r="R327" i="3"/>
  <c r="U327" i="3"/>
  <c r="S317" i="3"/>
  <c r="R315" i="3"/>
  <c r="U315" i="3"/>
  <c r="U300" i="3"/>
  <c r="R297" i="3"/>
  <c r="S283" i="3"/>
  <c r="S261" i="3"/>
  <c r="U261" i="3"/>
  <c r="S260" i="3"/>
  <c r="U260" i="3"/>
  <c r="S249" i="3"/>
  <c r="S227" i="3"/>
  <c r="S222" i="3"/>
  <c r="S192" i="3"/>
  <c r="R166" i="3"/>
  <c r="S154" i="3"/>
  <c r="R110" i="3"/>
  <c r="U110" i="3"/>
  <c r="R100" i="3"/>
  <c r="U100" i="3"/>
  <c r="R71" i="3"/>
  <c r="S61" i="3"/>
  <c r="R59" i="3"/>
  <c r="U59" i="3"/>
  <c r="R41" i="3"/>
  <c r="U41" i="3"/>
  <c r="S27" i="3"/>
  <c r="S22" i="3"/>
  <c r="R15" i="3"/>
  <c r="S5" i="3"/>
  <c r="U5" i="3"/>
  <c r="S530" i="3"/>
  <c r="U530" i="3"/>
  <c r="R523" i="3"/>
  <c r="U523" i="3"/>
  <c r="S514" i="3"/>
  <c r="R507" i="3"/>
  <c r="U507" i="3"/>
  <c r="S498" i="3"/>
  <c r="U498" i="3"/>
  <c r="R491" i="3"/>
  <c r="U491" i="3"/>
  <c r="S482" i="3"/>
  <c r="U482" i="3"/>
  <c r="R475" i="3"/>
  <c r="U475" i="3"/>
  <c r="S466" i="3"/>
  <c r="R459" i="3"/>
  <c r="U459" i="3"/>
  <c r="S447" i="3"/>
  <c r="R445" i="3"/>
  <c r="R436" i="3"/>
  <c r="S434" i="3"/>
  <c r="R429" i="3"/>
  <c r="U429" i="3"/>
  <c r="R422" i="3"/>
  <c r="S403" i="3"/>
  <c r="R400" i="3"/>
  <c r="U400" i="3"/>
  <c r="U372" i="3"/>
  <c r="S370" i="3"/>
  <c r="U370" i="3"/>
  <c r="R365" i="3"/>
  <c r="U365" i="3"/>
  <c r="R358" i="3"/>
  <c r="U358" i="3"/>
  <c r="S339" i="3"/>
  <c r="S334" i="3"/>
  <c r="R278" i="3"/>
  <c r="R259" i="3"/>
  <c r="U259" i="3"/>
  <c r="R243" i="3"/>
  <c r="U243" i="3"/>
  <c r="R229" i="3"/>
  <c r="R222" i="3"/>
  <c r="R212" i="3"/>
  <c r="S210" i="3"/>
  <c r="R192" i="3"/>
  <c r="R183" i="3"/>
  <c r="S173" i="3"/>
  <c r="R171" i="3"/>
  <c r="U171" i="3"/>
  <c r="U156" i="3"/>
  <c r="U153" i="3"/>
  <c r="S139" i="3"/>
  <c r="R127" i="3"/>
  <c r="S117" i="3"/>
  <c r="U117" i="3"/>
  <c r="R96" i="3"/>
  <c r="S83" i="3"/>
  <c r="S78" i="3"/>
  <c r="R61" i="3"/>
  <c r="U61" i="3"/>
  <c r="R32" i="3"/>
  <c r="S25" i="3"/>
  <c r="R22" i="3"/>
  <c r="U22" i="3"/>
  <c r="R3" i="3"/>
  <c r="U3" i="3"/>
  <c r="R447" i="3"/>
  <c r="S436" i="3"/>
  <c r="S412" i="3"/>
  <c r="R405" i="3"/>
  <c r="U405" i="3"/>
  <c r="S398" i="3"/>
  <c r="S384" i="3"/>
  <c r="U384" i="3"/>
  <c r="S377" i="3"/>
  <c r="U377" i="3"/>
  <c r="S372" i="3"/>
  <c r="S348" i="3"/>
  <c r="R341" i="3"/>
  <c r="U341" i="3"/>
  <c r="R334" i="3"/>
  <c r="U334" i="3"/>
  <c r="R333" i="3"/>
  <c r="S322" i="3"/>
  <c r="S311" i="3"/>
  <c r="R304" i="3"/>
  <c r="U304" i="3"/>
  <c r="R295" i="3"/>
  <c r="S285" i="3"/>
  <c r="R283" i="3"/>
  <c r="U283" i="3"/>
  <c r="R265" i="3"/>
  <c r="U265" i="3"/>
  <c r="S229" i="3"/>
  <c r="R227" i="3"/>
  <c r="U227" i="3"/>
  <c r="S217" i="3"/>
  <c r="U217" i="3"/>
  <c r="S212" i="3"/>
  <c r="R210" i="3"/>
  <c r="S190" i="3"/>
  <c r="R173" i="3"/>
  <c r="U173" i="3"/>
  <c r="S160" i="3"/>
  <c r="R134" i="3"/>
  <c r="S124" i="3"/>
  <c r="R115" i="3"/>
  <c r="U115" i="3"/>
  <c r="R85" i="3"/>
  <c r="U85" i="3"/>
  <c r="R78" i="3"/>
  <c r="R68" i="3"/>
  <c r="S66" i="3"/>
  <c r="R39" i="3"/>
  <c r="U39" i="3"/>
  <c r="S29" i="3"/>
  <c r="R27" i="3"/>
  <c r="U27" i="3"/>
  <c r="R12" i="3"/>
  <c r="U12" i="3"/>
  <c r="R9" i="3"/>
  <c r="R413" i="3"/>
  <c r="U413" i="3"/>
  <c r="U235" i="3"/>
  <c r="S528" i="3"/>
  <c r="R521" i="3"/>
  <c r="U521" i="3"/>
  <c r="S512" i="3"/>
  <c r="R505" i="3"/>
  <c r="U505" i="3"/>
  <c r="S496" i="3"/>
  <c r="R489" i="3"/>
  <c r="U489" i="3"/>
  <c r="S480" i="3"/>
  <c r="R473" i="3"/>
  <c r="U473" i="3"/>
  <c r="S464" i="3"/>
  <c r="R457" i="3"/>
  <c r="U457" i="3"/>
  <c r="R434" i="3"/>
  <c r="U434" i="3"/>
  <c r="R412" i="3"/>
  <c r="U412" i="3"/>
  <c r="S410" i="3"/>
  <c r="S405" i="3"/>
  <c r="R403" i="3"/>
  <c r="U403" i="3"/>
  <c r="R398" i="3"/>
  <c r="R391" i="3"/>
  <c r="U391" i="3"/>
  <c r="R379" i="3"/>
  <c r="U379" i="3"/>
  <c r="R348" i="3"/>
  <c r="U348" i="3"/>
  <c r="S346" i="3"/>
  <c r="S341" i="3"/>
  <c r="S340" i="3"/>
  <c r="U340" i="3"/>
  <c r="R338" i="3"/>
  <c r="R322" i="3"/>
  <c r="U322" i="3"/>
  <c r="S307" i="3"/>
  <c r="R285" i="3"/>
  <c r="U285" i="3"/>
  <c r="S272" i="3"/>
  <c r="S266" i="3"/>
  <c r="S250" i="3"/>
  <c r="R246" i="3"/>
  <c r="S236" i="3"/>
  <c r="U236" i="3"/>
  <c r="R197" i="3"/>
  <c r="U197" i="3"/>
  <c r="R190" i="3"/>
  <c r="U190" i="3"/>
  <c r="R180" i="3"/>
  <c r="S178" i="3"/>
  <c r="S167" i="3"/>
  <c r="R160" i="3"/>
  <c r="U151" i="3"/>
  <c r="S141" i="3"/>
  <c r="R139" i="3"/>
  <c r="R124" i="3"/>
  <c r="U124" i="3"/>
  <c r="R121" i="3"/>
  <c r="S107" i="3"/>
  <c r="R95" i="3"/>
  <c r="U95" i="3"/>
  <c r="S85" i="3"/>
  <c r="R82" i="3"/>
  <c r="S68" i="3"/>
  <c r="S51" i="3"/>
  <c r="S16" i="3"/>
  <c r="S10" i="3"/>
  <c r="S7" i="3"/>
  <c r="R495" i="3"/>
  <c r="R528" i="3"/>
  <c r="S519" i="3"/>
  <c r="U519" i="3"/>
  <c r="R512" i="3"/>
  <c r="U512" i="3"/>
  <c r="S503" i="3"/>
  <c r="U503" i="3"/>
  <c r="R496" i="3"/>
  <c r="U496" i="3"/>
  <c r="S487" i="3"/>
  <c r="U487" i="3"/>
  <c r="R480" i="3"/>
  <c r="U480" i="3"/>
  <c r="S471" i="3"/>
  <c r="U471" i="3"/>
  <c r="R464" i="3"/>
  <c r="S455" i="3"/>
  <c r="R438" i="3"/>
  <c r="U438" i="3"/>
  <c r="S424" i="3"/>
  <c r="S415" i="3"/>
  <c r="R408" i="3"/>
  <c r="S381" i="3"/>
  <c r="S359" i="3"/>
  <c r="S352" i="3"/>
  <c r="R345" i="3"/>
  <c r="R302" i="3"/>
  <c r="U302" i="3"/>
  <c r="R301" i="3"/>
  <c r="S290" i="3"/>
  <c r="S279" i="3"/>
  <c r="R272" i="3"/>
  <c r="U272" i="3"/>
  <c r="R263" i="3"/>
  <c r="U263" i="3"/>
  <c r="S253" i="3"/>
  <c r="R251" i="3"/>
  <c r="U251" i="3"/>
  <c r="R233" i="3"/>
  <c r="U233" i="3"/>
  <c r="S219" i="3"/>
  <c r="S197" i="3"/>
  <c r="S196" i="3"/>
  <c r="R195" i="3"/>
  <c r="U195" i="3"/>
  <c r="S185" i="3"/>
  <c r="S180" i="3"/>
  <c r="R178" i="3"/>
  <c r="U178" i="3"/>
  <c r="S158" i="3"/>
  <c r="R141" i="3"/>
  <c r="U141" i="3"/>
  <c r="S128" i="3"/>
  <c r="S122" i="3"/>
  <c r="S105" i="3"/>
  <c r="U105" i="3"/>
  <c r="R102" i="3"/>
  <c r="U102" i="3"/>
  <c r="S92" i="3"/>
  <c r="S89" i="3"/>
  <c r="R83" i="3"/>
  <c r="U83" i="3"/>
  <c r="R53" i="3"/>
  <c r="U53" i="3"/>
  <c r="R46" i="3"/>
  <c r="U46" i="3"/>
  <c r="S34" i="3"/>
  <c r="R7" i="3"/>
  <c r="S449" i="3"/>
  <c r="S419" i="3"/>
  <c r="R417" i="3"/>
  <c r="R388" i="3"/>
  <c r="R381" i="3"/>
  <c r="U381" i="3"/>
  <c r="R374" i="3"/>
  <c r="S355" i="3"/>
  <c r="R352" i="3"/>
  <c r="U352" i="3"/>
  <c r="S331" i="3"/>
  <c r="S309" i="3"/>
  <c r="U309" i="3"/>
  <c r="S308" i="3"/>
  <c r="R307" i="3"/>
  <c r="U307" i="3"/>
  <c r="S297" i="3"/>
  <c r="R290" i="3"/>
  <c r="S275" i="3"/>
  <c r="S270" i="3"/>
  <c r="S240" i="3"/>
  <c r="R214" i="3"/>
  <c r="S204" i="3"/>
  <c r="U204" i="3"/>
  <c r="S202" i="3"/>
  <c r="R165" i="3"/>
  <c r="R158" i="3"/>
  <c r="R148" i="3"/>
  <c r="U148" i="3"/>
  <c r="S146" i="3"/>
  <c r="S135" i="3"/>
  <c r="R128" i="3"/>
  <c r="R119" i="3"/>
  <c r="S109" i="3"/>
  <c r="R107" i="3"/>
  <c r="R92" i="3"/>
  <c r="U92" i="3"/>
  <c r="R89" i="3"/>
  <c r="U89" i="3"/>
  <c r="S75" i="3"/>
  <c r="S70" i="3"/>
  <c r="R63" i="3"/>
  <c r="S53" i="3"/>
  <c r="R50" i="3"/>
  <c r="U50" i="3"/>
  <c r="S36" i="3"/>
  <c r="U36" i="3"/>
  <c r="R33" i="3"/>
  <c r="S19" i="3"/>
  <c r="S14" i="3"/>
  <c r="S518" i="3"/>
  <c r="S470" i="3"/>
  <c r="S451" i="3"/>
  <c r="R449" i="3"/>
  <c r="U449" i="3"/>
  <c r="S440" i="3"/>
  <c r="U440" i="3"/>
  <c r="S428" i="3"/>
  <c r="R421" i="3"/>
  <c r="S414" i="3"/>
  <c r="S407" i="3"/>
  <c r="S400" i="3"/>
  <c r="S393" i="3"/>
  <c r="S388" i="3"/>
  <c r="S364" i="3"/>
  <c r="R357" i="3"/>
  <c r="S350" i="3"/>
  <c r="S343" i="3"/>
  <c r="R336" i="3"/>
  <c r="R326" i="3"/>
  <c r="S316" i="3"/>
  <c r="U316" i="3"/>
  <c r="S314" i="3"/>
  <c r="R277" i="3"/>
  <c r="R270" i="3"/>
  <c r="U270" i="3"/>
  <c r="R269" i="3"/>
  <c r="S258" i="3"/>
  <c r="S247" i="3"/>
  <c r="R240" i="3"/>
  <c r="U240" i="3"/>
  <c r="R231" i="3"/>
  <c r="S221" i="3"/>
  <c r="R219" i="3"/>
  <c r="U219" i="3"/>
  <c r="R201" i="3"/>
  <c r="S165" i="3"/>
  <c r="R163" i="3"/>
  <c r="U163" i="3"/>
  <c r="S153" i="3"/>
  <c r="S148" i="3"/>
  <c r="R146" i="3"/>
  <c r="S126" i="3"/>
  <c r="R109" i="3"/>
  <c r="U109" i="3"/>
  <c r="S96" i="3"/>
  <c r="S90" i="3"/>
  <c r="R70" i="3"/>
  <c r="S60" i="3"/>
  <c r="U60" i="3"/>
  <c r="S57" i="3"/>
  <c r="R51" i="3"/>
  <c r="R34" i="3"/>
  <c r="U34" i="3"/>
  <c r="R21" i="3"/>
  <c r="U21" i="3"/>
  <c r="R14" i="3"/>
  <c r="S2" i="3"/>
  <c r="S476" i="3"/>
  <c r="U476" i="3"/>
  <c r="R469" i="3"/>
  <c r="U469" i="3"/>
  <c r="S444" i="3"/>
  <c r="R428" i="3"/>
  <c r="U428" i="3"/>
  <c r="S421" i="3"/>
  <c r="R419" i="3"/>
  <c r="U419" i="3"/>
  <c r="R414" i="3"/>
  <c r="U414" i="3"/>
  <c r="R407" i="3"/>
  <c r="U407" i="3"/>
  <c r="R395" i="3"/>
  <c r="U395" i="3"/>
  <c r="R393" i="3"/>
  <c r="U393" i="3"/>
  <c r="R387" i="3"/>
  <c r="U387" i="3"/>
  <c r="R386" i="3"/>
  <c r="U386" i="3"/>
  <c r="R364" i="3"/>
  <c r="S362" i="3"/>
  <c r="S357" i="3"/>
  <c r="R355" i="3"/>
  <c r="R350" i="3"/>
  <c r="U350" i="3"/>
  <c r="R343" i="3"/>
  <c r="S333" i="3"/>
  <c r="R331" i="3"/>
  <c r="U331" i="3"/>
  <c r="R313" i="3"/>
  <c r="U313" i="3"/>
  <c r="S277" i="3"/>
  <c r="S276" i="3"/>
  <c r="S265" i="3"/>
  <c r="R258" i="3"/>
  <c r="U258" i="3"/>
  <c r="S238" i="3"/>
  <c r="R221" i="3"/>
  <c r="S208" i="3"/>
  <c r="R182" i="3"/>
  <c r="U182" i="3"/>
  <c r="S172" i="3"/>
  <c r="S170" i="3"/>
  <c r="R133" i="3"/>
  <c r="U133" i="3"/>
  <c r="R126" i="3"/>
  <c r="U126" i="3"/>
  <c r="S114" i="3"/>
  <c r="R87" i="3"/>
  <c r="S77" i="3"/>
  <c r="R75" i="3"/>
  <c r="U75" i="3"/>
  <c r="R57" i="3"/>
  <c r="U57" i="3"/>
  <c r="S43" i="3"/>
  <c r="S38" i="3"/>
  <c r="R31" i="3"/>
  <c r="S21" i="3"/>
  <c r="S4" i="3"/>
  <c r="U4" i="3"/>
  <c r="R2" i="3"/>
  <c r="R444" i="3"/>
  <c r="U444" i="3"/>
  <c r="S442" i="3"/>
  <c r="S431" i="3"/>
  <c r="S426" i="3"/>
  <c r="R424" i="3"/>
  <c r="U424" i="3"/>
  <c r="S397" i="3"/>
  <c r="S394" i="3"/>
  <c r="S375" i="3"/>
  <c r="R361" i="3"/>
  <c r="U361" i="3"/>
  <c r="S320" i="3"/>
  <c r="R294" i="3"/>
  <c r="S284" i="3"/>
  <c r="R275" i="3"/>
  <c r="U275" i="3"/>
  <c r="R245" i="3"/>
  <c r="R238" i="3"/>
  <c r="U238" i="3"/>
  <c r="R228" i="3"/>
  <c r="U228" i="3"/>
  <c r="S226" i="3"/>
  <c r="S215" i="3"/>
  <c r="U208" i="3"/>
  <c r="R199" i="3"/>
  <c r="U199" i="3"/>
  <c r="S189" i="3"/>
  <c r="R187" i="3"/>
  <c r="U187" i="3"/>
  <c r="R172" i="3"/>
  <c r="R169" i="3"/>
  <c r="S133" i="3"/>
  <c r="S119" i="3"/>
  <c r="S116" i="3"/>
  <c r="R112" i="3"/>
  <c r="U112" i="3"/>
  <c r="S94" i="3"/>
  <c r="R77" i="3"/>
  <c r="U77" i="3"/>
  <c r="S64" i="3"/>
  <c r="S58" i="3"/>
  <c r="S55" i="3"/>
  <c r="U48" i="3"/>
  <c r="R38" i="3"/>
  <c r="S28" i="3"/>
  <c r="R19" i="3"/>
  <c r="U19" i="3"/>
  <c r="R30" i="3"/>
  <c r="U30" i="3"/>
  <c r="R29" i="3"/>
  <c r="U29" i="3"/>
  <c r="R442" i="3"/>
  <c r="S435" i="3"/>
  <c r="R433" i="3"/>
  <c r="U433" i="3"/>
  <c r="R404" i="3"/>
  <c r="S402" i="3"/>
  <c r="R397" i="3"/>
  <c r="U397" i="3"/>
  <c r="R390" i="3"/>
  <c r="S371" i="3"/>
  <c r="U371" i="3"/>
  <c r="R368" i="3"/>
  <c r="U368" i="3"/>
  <c r="S338" i="3"/>
  <c r="S326" i="3"/>
  <c r="R320" i="3"/>
  <c r="R311" i="3"/>
  <c r="U311" i="3"/>
  <c r="S301" i="3"/>
  <c r="R299" i="3"/>
  <c r="U299" i="3"/>
  <c r="R284" i="3"/>
  <c r="R281" i="3"/>
  <c r="U281" i="3"/>
  <c r="S245" i="3"/>
  <c r="S244" i="3"/>
  <c r="U244" i="3"/>
  <c r="R242" i="3"/>
  <c r="S233" i="3"/>
  <c r="S228" i="3"/>
  <c r="R226" i="3"/>
  <c r="S206" i="3"/>
  <c r="R189" i="3"/>
  <c r="S176" i="3"/>
  <c r="R150" i="3"/>
  <c r="U150" i="3"/>
  <c r="S140" i="3"/>
  <c r="R131" i="3"/>
  <c r="U131" i="3"/>
  <c r="R114" i="3"/>
  <c r="U114" i="3"/>
  <c r="R101" i="3"/>
  <c r="R94" i="3"/>
  <c r="U94" i="3"/>
  <c r="R84" i="3"/>
  <c r="S82" i="3"/>
  <c r="R55" i="3"/>
  <c r="U55" i="3"/>
  <c r="S45" i="3"/>
  <c r="R43" i="3"/>
  <c r="U43" i="3"/>
  <c r="R28" i="3"/>
  <c r="R25" i="3"/>
  <c r="U25" i="3"/>
  <c r="S6" i="3"/>
  <c r="S446" i="3"/>
  <c r="R437" i="3"/>
  <c r="U437" i="3"/>
  <c r="S430" i="3"/>
  <c r="S423" i="3"/>
  <c r="S416" i="3"/>
  <c r="S411" i="3"/>
  <c r="S409" i="3"/>
  <c r="S404" i="3"/>
  <c r="S380" i="3"/>
  <c r="R373" i="3"/>
  <c r="U373" i="3"/>
  <c r="S366" i="3"/>
  <c r="S347" i="3"/>
  <c r="S345" i="3"/>
  <c r="S323" i="3"/>
  <c r="S318" i="3"/>
  <c r="S288" i="3"/>
  <c r="S282" i="3"/>
  <c r="R262" i="3"/>
  <c r="S252" i="3"/>
  <c r="R213" i="3"/>
  <c r="R206" i="3"/>
  <c r="U206" i="3"/>
  <c r="R205" i="3"/>
  <c r="U205" i="3"/>
  <c r="R196" i="3"/>
  <c r="U196" i="3"/>
  <c r="S194" i="3"/>
  <c r="S183" i="3"/>
  <c r="R176" i="3"/>
  <c r="R167" i="3"/>
  <c r="U167" i="3"/>
  <c r="S157" i="3"/>
  <c r="R155" i="3"/>
  <c r="U155" i="3"/>
  <c r="R140" i="3"/>
  <c r="R137" i="3"/>
  <c r="S123" i="3"/>
  <c r="S118" i="3"/>
  <c r="R111" i="3"/>
  <c r="U111" i="3"/>
  <c r="S101" i="3"/>
  <c r="R98" i="3"/>
  <c r="U98" i="3"/>
  <c r="S87" i="3"/>
  <c r="S84" i="3"/>
  <c r="R80" i="3"/>
  <c r="U80" i="3"/>
  <c r="S67" i="3"/>
  <c r="U67" i="3"/>
  <c r="S62" i="3"/>
  <c r="R45" i="3"/>
  <c r="U45" i="3"/>
  <c r="S32" i="3"/>
  <c r="S26" i="3"/>
  <c r="S23" i="3"/>
  <c r="R16" i="3"/>
  <c r="S9" i="3"/>
  <c r="R6" i="3"/>
  <c r="U6" i="3"/>
  <c r="R479" i="3"/>
  <c r="R342" i="3"/>
  <c r="S448" i="3"/>
  <c r="R430" i="3"/>
  <c r="R423" i="3"/>
  <c r="U423" i="3"/>
  <c r="R416" i="3"/>
  <c r="U416" i="3"/>
  <c r="R411" i="3"/>
  <c r="R409" i="3"/>
  <c r="U409" i="3"/>
  <c r="R402" i="3"/>
  <c r="R380" i="3"/>
  <c r="U380" i="3"/>
  <c r="S378" i="3"/>
  <c r="S373" i="3"/>
  <c r="R366" i="3"/>
  <c r="R359" i="3"/>
  <c r="U359" i="3"/>
  <c r="R347" i="3"/>
  <c r="U347" i="3"/>
  <c r="R325" i="3"/>
  <c r="U325" i="3"/>
  <c r="R318" i="3"/>
  <c r="U318" i="3"/>
  <c r="R317" i="3"/>
  <c r="U317" i="3"/>
  <c r="R308" i="3"/>
  <c r="U308" i="3"/>
  <c r="S306" i="3"/>
  <c r="U306" i="3"/>
  <c r="S295" i="3"/>
  <c r="R288" i="3"/>
  <c r="U288" i="3"/>
  <c r="R279" i="3"/>
  <c r="S269" i="3"/>
  <c r="R267" i="3"/>
  <c r="U267" i="3"/>
  <c r="R252" i="3"/>
  <c r="R249" i="3"/>
  <c r="U249" i="3"/>
  <c r="S235" i="3"/>
  <c r="S213" i="3"/>
  <c r="R211" i="3"/>
  <c r="U211" i="3"/>
  <c r="S201" i="3"/>
  <c r="R194" i="3"/>
  <c r="U194" i="3"/>
  <c r="S179" i="3"/>
  <c r="S174" i="3"/>
  <c r="R157" i="3"/>
  <c r="U157" i="3"/>
  <c r="S144" i="3"/>
  <c r="U144" i="3"/>
  <c r="S138" i="3"/>
  <c r="S121" i="3"/>
  <c r="R118" i="3"/>
  <c r="U118" i="3"/>
  <c r="S108" i="3"/>
  <c r="U108" i="3"/>
  <c r="S104" i="3"/>
  <c r="R99" i="3"/>
  <c r="U99" i="3"/>
  <c r="R69" i="3"/>
  <c r="U69" i="3"/>
  <c r="R62" i="3"/>
  <c r="U62" i="3"/>
  <c r="R52" i="3"/>
  <c r="U52" i="3"/>
  <c r="S50" i="3"/>
  <c r="R23" i="3"/>
  <c r="S13" i="3"/>
  <c r="R11" i="3"/>
  <c r="U11" i="3"/>
  <c r="R339" i="3"/>
  <c r="U339" i="3"/>
  <c r="S330" i="3"/>
  <c r="S433" i="3"/>
  <c r="R426" i="3"/>
  <c r="U426" i="3"/>
  <c r="S417" i="3"/>
  <c r="R410" i="3"/>
  <c r="U410" i="3"/>
  <c r="S401" i="3"/>
  <c r="R394" i="3"/>
  <c r="U394" i="3"/>
  <c r="S385" i="3"/>
  <c r="R378" i="3"/>
  <c r="U378" i="3"/>
  <c r="S369" i="3"/>
  <c r="R362" i="3"/>
  <c r="S353" i="3"/>
  <c r="R346" i="3"/>
  <c r="U346" i="3"/>
  <c r="S337" i="3"/>
  <c r="R330" i="3"/>
  <c r="S321" i="3"/>
  <c r="R314" i="3"/>
  <c r="U314" i="3"/>
  <c r="S305" i="3"/>
  <c r="R298" i="3"/>
  <c r="U298" i="3"/>
  <c r="S289" i="3"/>
  <c r="R282" i="3"/>
  <c r="U282" i="3"/>
  <c r="S273" i="3"/>
  <c r="R266" i="3"/>
  <c r="S257" i="3"/>
  <c r="R250" i="3"/>
  <c r="U250" i="3"/>
  <c r="S241" i="3"/>
  <c r="R234" i="3"/>
  <c r="U234" i="3"/>
  <c r="S225" i="3"/>
  <c r="R218" i="3"/>
  <c r="S209" i="3"/>
  <c r="R202" i="3"/>
  <c r="S193" i="3"/>
  <c r="R186" i="3"/>
  <c r="U186" i="3"/>
  <c r="S177" i="3"/>
  <c r="R170" i="3"/>
  <c r="U170" i="3"/>
  <c r="S161" i="3"/>
  <c r="R154" i="3"/>
  <c r="S145" i="3"/>
  <c r="R138" i="3"/>
  <c r="S129" i="3"/>
  <c r="R122" i="3"/>
  <c r="S113" i="3"/>
  <c r="R106" i="3"/>
  <c r="U106" i="3"/>
  <c r="S97" i="3"/>
  <c r="R90" i="3"/>
  <c r="U90" i="3"/>
  <c r="S81" i="3"/>
  <c r="R74" i="3"/>
  <c r="U74" i="3"/>
  <c r="S65" i="3"/>
  <c r="R58" i="3"/>
  <c r="U58" i="3"/>
  <c r="S49" i="3"/>
  <c r="R42" i="3"/>
  <c r="U42" i="3"/>
  <c r="S33" i="3"/>
  <c r="R26" i="3"/>
  <c r="U26" i="3"/>
  <c r="S17" i="3"/>
  <c r="R10" i="3"/>
  <c r="U10" i="3"/>
  <c r="S408" i="3"/>
  <c r="R401" i="3"/>
  <c r="U401" i="3"/>
  <c r="S392" i="3"/>
  <c r="U392" i="3"/>
  <c r="R385" i="3"/>
  <c r="S376" i="3"/>
  <c r="U376" i="3"/>
  <c r="R369" i="3"/>
  <c r="U369" i="3"/>
  <c r="S360" i="3"/>
  <c r="R353" i="3"/>
  <c r="U353" i="3"/>
  <c r="S344" i="3"/>
  <c r="R337" i="3"/>
  <c r="U337" i="3"/>
  <c r="S328" i="3"/>
  <c r="R321" i="3"/>
  <c r="U321" i="3"/>
  <c r="S312" i="3"/>
  <c r="R305" i="3"/>
  <c r="U305" i="3"/>
  <c r="S296" i="3"/>
  <c r="R289" i="3"/>
  <c r="S280" i="3"/>
  <c r="R273" i="3"/>
  <c r="U273" i="3"/>
  <c r="S264" i="3"/>
  <c r="R257" i="3"/>
  <c r="S248" i="3"/>
  <c r="R241" i="3"/>
  <c r="U241" i="3"/>
  <c r="S232" i="3"/>
  <c r="R225" i="3"/>
  <c r="U225" i="3"/>
  <c r="S216" i="3"/>
  <c r="R209" i="3"/>
  <c r="U209" i="3"/>
  <c r="S200" i="3"/>
  <c r="R193" i="3"/>
  <c r="U193" i="3"/>
  <c r="S184" i="3"/>
  <c r="R177" i="3"/>
  <c r="U177" i="3"/>
  <c r="S168" i="3"/>
  <c r="R161" i="3"/>
  <c r="S152" i="3"/>
  <c r="R145" i="3"/>
  <c r="U145" i="3"/>
  <c r="S136" i="3"/>
  <c r="R129" i="3"/>
  <c r="S120" i="3"/>
  <c r="R113" i="3"/>
  <c r="U113" i="3"/>
  <c r="R97" i="3"/>
  <c r="U97" i="3"/>
  <c r="S88" i="3"/>
  <c r="R81" i="3"/>
  <c r="U81" i="3"/>
  <c r="S72" i="3"/>
  <c r="R65" i="3"/>
  <c r="S56" i="3"/>
  <c r="R49" i="3"/>
  <c r="U49" i="3"/>
  <c r="S367" i="3"/>
  <c r="R360" i="3"/>
  <c r="S351" i="3"/>
  <c r="R344" i="3"/>
  <c r="U344" i="3"/>
  <c r="S335" i="3"/>
  <c r="R328" i="3"/>
  <c r="S319" i="3"/>
  <c r="R312" i="3"/>
  <c r="S303" i="3"/>
  <c r="R296" i="3"/>
  <c r="U296" i="3"/>
  <c r="S287" i="3"/>
  <c r="R280" i="3"/>
  <c r="S271" i="3"/>
  <c r="R264" i="3"/>
  <c r="U264" i="3"/>
  <c r="S255" i="3"/>
  <c r="R248" i="3"/>
  <c r="U248" i="3"/>
  <c r="S239" i="3"/>
  <c r="R232" i="3"/>
  <c r="S223" i="3"/>
  <c r="R216" i="3"/>
  <c r="U216" i="3"/>
  <c r="S207" i="3"/>
  <c r="R200" i="3"/>
  <c r="S191" i="3"/>
  <c r="R184" i="3"/>
  <c r="S175" i="3"/>
  <c r="R168" i="3"/>
  <c r="U168" i="3"/>
  <c r="S159" i="3"/>
  <c r="R152" i="3"/>
  <c r="U152" i="3"/>
  <c r="S143" i="3"/>
  <c r="R136" i="3"/>
  <c r="U136" i="3"/>
  <c r="S127" i="3"/>
  <c r="R120" i="3"/>
  <c r="U120" i="3"/>
  <c r="S111" i="3"/>
  <c r="R104" i="3"/>
  <c r="U104" i="3"/>
  <c r="S95" i="3"/>
  <c r="R88" i="3"/>
  <c r="U88" i="3"/>
  <c r="S79" i="3"/>
  <c r="R72" i="3"/>
  <c r="S63" i="3"/>
  <c r="R56" i="3"/>
  <c r="S47" i="3"/>
  <c r="U47" i="3"/>
  <c r="R40" i="3"/>
  <c r="S31" i="3"/>
  <c r="R24" i="3"/>
  <c r="U24" i="3"/>
  <c r="S15" i="3"/>
  <c r="R8" i="3"/>
  <c r="U8" i="3"/>
  <c r="R431" i="3"/>
  <c r="U431" i="3"/>
  <c r="S422" i="3"/>
  <c r="R415" i="3"/>
  <c r="U415" i="3"/>
  <c r="R399" i="3"/>
  <c r="S390" i="3"/>
  <c r="R383" i="3"/>
  <c r="U383" i="3"/>
  <c r="S374" i="3"/>
  <c r="R367" i="3"/>
  <c r="S358" i="3"/>
  <c r="R351" i="3"/>
  <c r="U351" i="3"/>
  <c r="R319" i="3"/>
  <c r="S310" i="3"/>
  <c r="R303" i="3"/>
  <c r="U303" i="3"/>
  <c r="S294" i="3"/>
  <c r="R287" i="3"/>
  <c r="U287" i="3"/>
  <c r="S278" i="3"/>
  <c r="R271" i="3"/>
  <c r="U271" i="3"/>
  <c r="S262" i="3"/>
  <c r="R255" i="3"/>
  <c r="S246" i="3"/>
  <c r="R239" i="3"/>
  <c r="S230" i="3"/>
  <c r="R223" i="3"/>
  <c r="U223" i="3"/>
  <c r="S214" i="3"/>
  <c r="R207" i="3"/>
  <c r="S198" i="3"/>
  <c r="R191" i="3"/>
  <c r="S182" i="3"/>
  <c r="R175" i="3"/>
  <c r="U175" i="3"/>
  <c r="S166" i="3"/>
  <c r="R159" i="3"/>
  <c r="U159" i="3"/>
  <c r="S150" i="3"/>
  <c r="R143" i="3"/>
  <c r="U143" i="3"/>
  <c r="S134" i="3"/>
  <c r="U355" i="3"/>
  <c r="U215" i="3"/>
  <c r="U230" i="3"/>
  <c r="U65" i="3"/>
  <c r="U430" i="3"/>
  <c r="U213" i="3"/>
  <c r="U320" i="3"/>
  <c r="U38" i="3"/>
  <c r="U14" i="3"/>
  <c r="U201" i="3"/>
  <c r="U357" i="3"/>
  <c r="U33" i="3"/>
  <c r="U158" i="3"/>
  <c r="U374" i="3"/>
  <c r="U121" i="3"/>
  <c r="U166" i="3"/>
  <c r="U432" i="3"/>
  <c r="U179" i="3"/>
  <c r="U165" i="3"/>
  <c r="U301" i="3"/>
  <c r="U388" i="3"/>
  <c r="U198" i="3"/>
  <c r="U13" i="3"/>
  <c r="U202" i="3"/>
  <c r="U330" i="3"/>
  <c r="U479" i="3"/>
  <c r="U189" i="3"/>
  <c r="U2" i="3"/>
  <c r="U51" i="3"/>
  <c r="U231" i="3"/>
  <c r="U417" i="3"/>
  <c r="U345" i="3"/>
  <c r="U338" i="3"/>
  <c r="U68" i="3"/>
  <c r="U447" i="3"/>
  <c r="U183" i="3"/>
  <c r="U253" i="3"/>
  <c r="U452" i="3"/>
  <c r="U66" i="3"/>
  <c r="U40" i="3"/>
  <c r="U221" i="3"/>
  <c r="U63" i="3"/>
  <c r="U214" i="3"/>
  <c r="U528" i="3"/>
  <c r="U78" i="3"/>
  <c r="U295" i="3"/>
  <c r="U192" i="3"/>
  <c r="U422" i="3"/>
  <c r="U441" i="3"/>
  <c r="U364" i="3"/>
  <c r="U319" i="3"/>
  <c r="U218" i="3"/>
  <c r="U23" i="3"/>
  <c r="U137" i="3"/>
  <c r="U226" i="3"/>
  <c r="U390" i="3"/>
  <c r="U245" i="3"/>
  <c r="U160" i="3"/>
  <c r="U15" i="3"/>
  <c r="U17" i="3"/>
  <c r="U79" i="3"/>
  <c r="U262" i="3"/>
  <c r="U139" i="3"/>
  <c r="U191" i="3"/>
  <c r="U56" i="3"/>
  <c r="U184" i="3"/>
  <c r="U312" i="3"/>
  <c r="U16" i="3"/>
  <c r="U140" i="3"/>
  <c r="U28" i="3"/>
  <c r="U31" i="3"/>
  <c r="U70" i="3"/>
  <c r="U7" i="3"/>
  <c r="U495" i="3"/>
  <c r="U212" i="3"/>
  <c r="U450" i="3"/>
  <c r="U470" i="3"/>
  <c r="U207" i="3"/>
  <c r="U129" i="3"/>
  <c r="U385" i="3"/>
  <c r="U362" i="3"/>
  <c r="U366" i="3"/>
  <c r="U269" i="3"/>
  <c r="U421" i="3"/>
  <c r="U408" i="3"/>
  <c r="U32" i="3"/>
  <c r="U222" i="3"/>
  <c r="U436" i="3"/>
  <c r="U451" i="3"/>
  <c r="U310" i="3"/>
  <c r="U280" i="3"/>
  <c r="U342" i="3"/>
  <c r="U257" i="3"/>
  <c r="U367" i="3"/>
  <c r="U72" i="3"/>
  <c r="U200" i="3"/>
  <c r="U328" i="3"/>
  <c r="U242" i="3"/>
  <c r="U404" i="3"/>
  <c r="U294" i="3"/>
  <c r="U290" i="3"/>
  <c r="U180" i="3"/>
  <c r="U134" i="3"/>
  <c r="U333" i="3"/>
  <c r="U229" i="3"/>
  <c r="U445" i="3"/>
  <c r="U297" i="3"/>
  <c r="U123" i="3"/>
  <c r="U435" i="3"/>
  <c r="U277" i="3"/>
  <c r="U107" i="3"/>
  <c r="U239" i="3"/>
  <c r="U161" i="3"/>
  <c r="U289" i="3"/>
  <c r="U138" i="3"/>
  <c r="U266" i="3"/>
  <c r="U402" i="3"/>
  <c r="U84" i="3"/>
  <c r="U442" i="3"/>
  <c r="U169" i="3"/>
  <c r="U146" i="3"/>
  <c r="U119" i="3"/>
  <c r="U96" i="3"/>
  <c r="U278" i="3"/>
  <c r="U406" i="3"/>
  <c r="U375" i="3"/>
  <c r="U518" i="3"/>
  <c r="U448" i="3"/>
  <c r="U122" i="3"/>
  <c r="U398" i="3"/>
  <c r="U399" i="3"/>
  <c r="U232" i="3"/>
  <c r="U360" i="3"/>
  <c r="U284" i="3"/>
  <c r="U172" i="3"/>
  <c r="U87" i="3"/>
  <c r="U326" i="3"/>
  <c r="U128" i="3"/>
  <c r="U464" i="3"/>
  <c r="U82" i="3"/>
  <c r="U246" i="3"/>
  <c r="U210" i="3"/>
  <c r="U71" i="3"/>
  <c r="U185" i="3"/>
  <c r="U252" i="3"/>
  <c r="U176" i="3"/>
  <c r="U255" i="3"/>
  <c r="U154" i="3"/>
  <c r="U279" i="3"/>
  <c r="U411" i="3"/>
  <c r="U101" i="3"/>
  <c r="U343" i="3"/>
  <c r="U336" i="3"/>
  <c r="U9" i="3"/>
  <c r="U127" i="3"/>
  <c r="U335" i="3"/>
  <c r="U174" i="3"/>
</calcChain>
</file>

<file path=xl/sharedStrings.xml><?xml version="1.0" encoding="utf-8"?>
<sst xmlns="http://schemas.openxmlformats.org/spreadsheetml/2006/main" count="5427" uniqueCount="1966">
  <si>
    <t>Date</t>
  </si>
  <si>
    <t>Dernier</t>
  </si>
  <si>
    <t>Ouv.</t>
  </si>
  <si>
    <t>Plus Haut</t>
  </si>
  <si>
    <t>Plus Bas</t>
  </si>
  <si>
    <t>Vol.</t>
  </si>
  <si>
    <t>Variation %</t>
  </si>
  <si>
    <t xml:space="preserve">Moyenne des 20 premiers </t>
  </si>
  <si>
    <t xml:space="preserve">Moyenne des 40 premiers </t>
  </si>
  <si>
    <t xml:space="preserve">Hausses </t>
  </si>
  <si>
    <t xml:space="preserve">Baisses </t>
  </si>
  <si>
    <t>Valeurs hausse</t>
  </si>
  <si>
    <t>valeurs baisses</t>
  </si>
  <si>
    <t>Moyenne Hausses</t>
  </si>
  <si>
    <t xml:space="preserve">Moyennes baisses </t>
  </si>
  <si>
    <t>RSI</t>
  </si>
  <si>
    <t>RSI+</t>
  </si>
  <si>
    <t xml:space="preserve">RSI- </t>
  </si>
  <si>
    <t xml:space="preserve">Stochastique </t>
  </si>
  <si>
    <t>Moyenne stochastiques</t>
  </si>
  <si>
    <t>Ecart type</t>
  </si>
  <si>
    <t>Ecart type -1</t>
  </si>
  <si>
    <t>Ecart type + 1</t>
  </si>
  <si>
    <t>bande bollinger sup</t>
  </si>
  <si>
    <t>Bande de bollinger inf</t>
  </si>
  <si>
    <t>124,70K</t>
  </si>
  <si>
    <t>+0.54%</t>
  </si>
  <si>
    <t>911,78K</t>
  </si>
  <si>
    <t>-1.06%</t>
  </si>
  <si>
    <t>704,17K</t>
  </si>
  <si>
    <t>+0.86%</t>
  </si>
  <si>
    <t>1,03M</t>
  </si>
  <si>
    <t>-1.60%</t>
  </si>
  <si>
    <t>1,21M</t>
  </si>
  <si>
    <t>+1.70%</t>
  </si>
  <si>
    <t>859,64K</t>
  </si>
  <si>
    <t>-1.09%</t>
  </si>
  <si>
    <t>797,49K</t>
  </si>
  <si>
    <t>+0.57%</t>
  </si>
  <si>
    <t>1,85M</t>
  </si>
  <si>
    <t>-2.39%</t>
  </si>
  <si>
    <t>1,27M</t>
  </si>
  <si>
    <t>784,11K</t>
  </si>
  <si>
    <t>+0.73%</t>
  </si>
  <si>
    <t>909,02K</t>
  </si>
  <si>
    <t>+0.63%</t>
  </si>
  <si>
    <t>1,87M</t>
  </si>
  <si>
    <t>-2.76%</t>
  </si>
  <si>
    <t>1,36M</t>
  </si>
  <si>
    <t>+2.79%</t>
  </si>
  <si>
    <t>1,29M</t>
  </si>
  <si>
    <t>+1.89%</t>
  </si>
  <si>
    <t>827,46K</t>
  </si>
  <si>
    <t>-1.07%</t>
  </si>
  <si>
    <t>808,15K</t>
  </si>
  <si>
    <t>+0.49%</t>
  </si>
  <si>
    <t>1,16M</t>
  </si>
  <si>
    <t>-1.79%</t>
  </si>
  <si>
    <t>1,49M</t>
  </si>
  <si>
    <t>+2.80%</t>
  </si>
  <si>
    <t>1,15M</t>
  </si>
  <si>
    <t>+1.13%</t>
  </si>
  <si>
    <t>1,02M</t>
  </si>
  <si>
    <t>-1.04%</t>
  </si>
  <si>
    <t>973,38K</t>
  </si>
  <si>
    <t>+1.40%</t>
  </si>
  <si>
    <t>976,26K</t>
  </si>
  <si>
    <t>-0.31%</t>
  </si>
  <si>
    <t>721,31K</t>
  </si>
  <si>
    <t>-0.21%</t>
  </si>
  <si>
    <t>1,31M</t>
  </si>
  <si>
    <t>+1.14%</t>
  </si>
  <si>
    <t>1,08M</t>
  </si>
  <si>
    <t>-1.62%</t>
  </si>
  <si>
    <t>1,11M</t>
  </si>
  <si>
    <t>-2.66%</t>
  </si>
  <si>
    <t>-1.18%</t>
  </si>
  <si>
    <t>1,79M</t>
  </si>
  <si>
    <t>+4.42%</t>
  </si>
  <si>
    <t>931,95K</t>
  </si>
  <si>
    <t>-2.15%</t>
  </si>
  <si>
    <t>1,14M</t>
  </si>
  <si>
    <t>-1.11%</t>
  </si>
  <si>
    <t>456,16K</t>
  </si>
  <si>
    <t>+0.82%</t>
  </si>
  <si>
    <t>958,95K</t>
  </si>
  <si>
    <t>+1.82%</t>
  </si>
  <si>
    <t>642,21K</t>
  </si>
  <si>
    <t>-0.82%</t>
  </si>
  <si>
    <t>2,00M</t>
  </si>
  <si>
    <t>+0.39%</t>
  </si>
  <si>
    <t>1,30M</t>
  </si>
  <si>
    <t>-0.92%</t>
  </si>
  <si>
    <t>-0.46%</t>
  </si>
  <si>
    <t>+0.95%</t>
  </si>
  <si>
    <t>1,52M</t>
  </si>
  <si>
    <t>-3.17%</t>
  </si>
  <si>
    <t>1,81M</t>
  </si>
  <si>
    <t>+0.23%</t>
  </si>
  <si>
    <t>1,61M</t>
  </si>
  <si>
    <t>+1.91%</t>
  </si>
  <si>
    <t>1,07M</t>
  </si>
  <si>
    <t>-1.51%</t>
  </si>
  <si>
    <t>1,22M</t>
  </si>
  <si>
    <t>+0.61%</t>
  </si>
  <si>
    <t>1,94M</t>
  </si>
  <si>
    <t>+2.54%</t>
  </si>
  <si>
    <t>1,78M</t>
  </si>
  <si>
    <t>+2.71%</t>
  </si>
  <si>
    <t>1,50M</t>
  </si>
  <si>
    <t>+2.40%</t>
  </si>
  <si>
    <t>1,34M</t>
  </si>
  <si>
    <t>+2.28%</t>
  </si>
  <si>
    <t>1,43M</t>
  </si>
  <si>
    <t>-0.11%</t>
  </si>
  <si>
    <t>+2.66%</t>
  </si>
  <si>
    <t>1,33M</t>
  </si>
  <si>
    <t>+1.60%</t>
  </si>
  <si>
    <t>655,63K</t>
  </si>
  <si>
    <t>+0.76%</t>
  </si>
  <si>
    <t>971,59K</t>
  </si>
  <si>
    <t>-0.12%</t>
  </si>
  <si>
    <t>3,42M</t>
  </si>
  <si>
    <t>+2.21%</t>
  </si>
  <si>
    <t>1,01M</t>
  </si>
  <si>
    <t>1,05M</t>
  </si>
  <si>
    <t>972,72K</t>
  </si>
  <si>
    <t>-0.81%</t>
  </si>
  <si>
    <t>1,46M</t>
  </si>
  <si>
    <t>1,06M</t>
  </si>
  <si>
    <t>+1.18%</t>
  </si>
  <si>
    <t>+0.41%</t>
  </si>
  <si>
    <t>1,58M</t>
  </si>
  <si>
    <t>+2.55%</t>
  </si>
  <si>
    <t>1,48M</t>
  </si>
  <si>
    <t>-1.87%</t>
  </si>
  <si>
    <t>1,23M</t>
  </si>
  <si>
    <t>-0.91%</t>
  </si>
  <si>
    <t>+0.38%</t>
  </si>
  <si>
    <t>1,95M</t>
  </si>
  <si>
    <t>-3.21%</t>
  </si>
  <si>
    <t>1,91M</t>
  </si>
  <si>
    <t>+2.92%</t>
  </si>
  <si>
    <t>4,43M</t>
  </si>
  <si>
    <t>-6.58%</t>
  </si>
  <si>
    <t>879,38K</t>
  </si>
  <si>
    <t>877,77K</t>
  </si>
  <si>
    <t>-0.63%</t>
  </si>
  <si>
    <t>773,39K</t>
  </si>
  <si>
    <t>+1.16%</t>
  </si>
  <si>
    <t>1,09M</t>
  </si>
  <si>
    <t>-1.53%</t>
  </si>
  <si>
    <t>1,55M</t>
  </si>
  <si>
    <t>-1.16%</t>
  </si>
  <si>
    <t>873,13K</t>
  </si>
  <si>
    <t>713,27K</t>
  </si>
  <si>
    <t>729,59K</t>
  </si>
  <si>
    <t>1,20M</t>
  </si>
  <si>
    <t>+1.22%</t>
  </si>
  <si>
    <t>614,52K</t>
  </si>
  <si>
    <t>+0.45%</t>
  </si>
  <si>
    <t>573,43K</t>
  </si>
  <si>
    <t>667,61K</t>
  </si>
  <si>
    <t>-0.29%</t>
  </si>
  <si>
    <t>964,53K</t>
  </si>
  <si>
    <t>687,67K</t>
  </si>
  <si>
    <t>+0.03%</t>
  </si>
  <si>
    <t>798,82K</t>
  </si>
  <si>
    <t>-0.72%</t>
  </si>
  <si>
    <t>952,99K</t>
  </si>
  <si>
    <t>-1.26%</t>
  </si>
  <si>
    <t>652,63K</t>
  </si>
  <si>
    <t>-1.12%</t>
  </si>
  <si>
    <t>755,12K</t>
  </si>
  <si>
    <t>-0.73%</t>
  </si>
  <si>
    <t>533,58K</t>
  </si>
  <si>
    <t>+1.23%</t>
  </si>
  <si>
    <t>992,37K</t>
  </si>
  <si>
    <t>-2.03%</t>
  </si>
  <si>
    <t>562,64K</t>
  </si>
  <si>
    <t>+0.10%</t>
  </si>
  <si>
    <t>764,68K</t>
  </si>
  <si>
    <t>+1.75%</t>
  </si>
  <si>
    <t>946,01K</t>
  </si>
  <si>
    <t>-1.55%</t>
  </si>
  <si>
    <t>780,52K</t>
  </si>
  <si>
    <t>-0.15%</t>
  </si>
  <si>
    <t>925,30K</t>
  </si>
  <si>
    <t>-1.82%</t>
  </si>
  <si>
    <t>1,45M</t>
  </si>
  <si>
    <t>-2.42%</t>
  </si>
  <si>
    <t>1,76M</t>
  </si>
  <si>
    <t>+3.31%</t>
  </si>
  <si>
    <t>1,74M</t>
  </si>
  <si>
    <t>+3.81%</t>
  </si>
  <si>
    <t>1,67M</t>
  </si>
  <si>
    <t>-3.15%</t>
  </si>
  <si>
    <t>2,12M</t>
  </si>
  <si>
    <t>+3.55%</t>
  </si>
  <si>
    <t>+2.44%</t>
  </si>
  <si>
    <t>2,88M</t>
  </si>
  <si>
    <t>-3.28%</t>
  </si>
  <si>
    <t>1,70M</t>
  </si>
  <si>
    <t>+2.17%</t>
  </si>
  <si>
    <t>1,62M</t>
  </si>
  <si>
    <t>+2.19%</t>
  </si>
  <si>
    <t>981,22K</t>
  </si>
  <si>
    <t>+0.55%</t>
  </si>
  <si>
    <t>957,47K</t>
  </si>
  <si>
    <t>+2.75%</t>
  </si>
  <si>
    <t>1,66M</t>
  </si>
  <si>
    <t>3,30M</t>
  </si>
  <si>
    <t>+3.04%</t>
  </si>
  <si>
    <t>6,26M</t>
  </si>
  <si>
    <t>-11.15%</t>
  </si>
  <si>
    <t>1,10M</t>
  </si>
  <si>
    <t>1,40M</t>
  </si>
  <si>
    <t>-2.62%</t>
  </si>
  <si>
    <t>714,92K</t>
  </si>
  <si>
    <t>-0.30%</t>
  </si>
  <si>
    <t>779,37K</t>
  </si>
  <si>
    <t>-1.25%</t>
  </si>
  <si>
    <t>930,98K</t>
  </si>
  <si>
    <t>-1.90%</t>
  </si>
  <si>
    <t>564,85K</t>
  </si>
  <si>
    <t>1,26M</t>
  </si>
  <si>
    <t>-0.05%</t>
  </si>
  <si>
    <t>622,75K</t>
  </si>
  <si>
    <t>906,92K</t>
  </si>
  <si>
    <t>-1.46%</t>
  </si>
  <si>
    <t>730,03K</t>
  </si>
  <si>
    <t>-0.02%</t>
  </si>
  <si>
    <t>571,78K</t>
  </si>
  <si>
    <t>+0.40%</t>
  </si>
  <si>
    <t>727,98K</t>
  </si>
  <si>
    <t>+1.49%</t>
  </si>
  <si>
    <t>547,69K</t>
  </si>
  <si>
    <t>-0.41%</t>
  </si>
  <si>
    <t>593,29K</t>
  </si>
  <si>
    <t>+1.09%</t>
  </si>
  <si>
    <t>530,63K</t>
  </si>
  <si>
    <t>-0.07%</t>
  </si>
  <si>
    <t>815,90K</t>
  </si>
  <si>
    <t>+1.20%</t>
  </si>
  <si>
    <t>665,46K</t>
  </si>
  <si>
    <t>+0.32%</t>
  </si>
  <si>
    <t>770,90K</t>
  </si>
  <si>
    <t>+1.80%</t>
  </si>
  <si>
    <t>646,70K</t>
  </si>
  <si>
    <t>+0.91%</t>
  </si>
  <si>
    <t>797,28K</t>
  </si>
  <si>
    <t>+0.43%</t>
  </si>
  <si>
    <t>852,61K</t>
  </si>
  <si>
    <t>-0.90%</t>
  </si>
  <si>
    <t>567,12K</t>
  </si>
  <si>
    <t>809,07K</t>
  </si>
  <si>
    <t>842,76K</t>
  </si>
  <si>
    <t>+1.08%</t>
  </si>
  <si>
    <t>-0.35%</t>
  </si>
  <si>
    <t>1,84M</t>
  </si>
  <si>
    <t>-2.73%</t>
  </si>
  <si>
    <t>-1.37%</t>
  </si>
  <si>
    <t>1,93M</t>
  </si>
  <si>
    <t>-3.05%</t>
  </si>
  <si>
    <t>-1.08%</t>
  </si>
  <si>
    <t>613,01K</t>
  </si>
  <si>
    <t>+0.21%</t>
  </si>
  <si>
    <t>830,76K</t>
  </si>
  <si>
    <t>843,50K</t>
  </si>
  <si>
    <t>1,13M</t>
  </si>
  <si>
    <t>-1.01%</t>
  </si>
  <si>
    <t>820,65K</t>
  </si>
  <si>
    <t>-1.02%</t>
  </si>
  <si>
    <t>726,25K</t>
  </si>
  <si>
    <t>-0.99%</t>
  </si>
  <si>
    <t>838,30K</t>
  </si>
  <si>
    <t>+1.61%</t>
  </si>
  <si>
    <t>-2.01%</t>
  </si>
  <si>
    <t>945,31K</t>
  </si>
  <si>
    <t>+1.81%</t>
  </si>
  <si>
    <t>649,82K</t>
  </si>
  <si>
    <t>+0.92%</t>
  </si>
  <si>
    <t>936,46K</t>
  </si>
  <si>
    <t>-1.05%</t>
  </si>
  <si>
    <t>-2.56%</t>
  </si>
  <si>
    <t>+1.30%</t>
  </si>
  <si>
    <t>1,24M</t>
  </si>
  <si>
    <t>+1.68%</t>
  </si>
  <si>
    <t>1,73M</t>
  </si>
  <si>
    <t>+2.05%</t>
  </si>
  <si>
    <t>+0.67%</t>
  </si>
  <si>
    <t>754,40K</t>
  </si>
  <si>
    <t>-0.66%</t>
  </si>
  <si>
    <t>711,02K</t>
  </si>
  <si>
    <t>-0.52%</t>
  </si>
  <si>
    <t>843,01K</t>
  </si>
  <si>
    <t>-0.32%</t>
  </si>
  <si>
    <t>733,92K</t>
  </si>
  <si>
    <t>+0.48%</t>
  </si>
  <si>
    <t>916,04K</t>
  </si>
  <si>
    <t>942,47K</t>
  </si>
  <si>
    <t>+0.16%</t>
  </si>
  <si>
    <t>1,44M</t>
  </si>
  <si>
    <t>-2.53%</t>
  </si>
  <si>
    <t>777,19K</t>
  </si>
  <si>
    <t>1,39M</t>
  </si>
  <si>
    <t>+2.73%</t>
  </si>
  <si>
    <t>3,51M</t>
  </si>
  <si>
    <t>-1.27%</t>
  </si>
  <si>
    <t>799,24K</t>
  </si>
  <si>
    <t>-0.18%</t>
  </si>
  <si>
    <t>+1.10%</t>
  </si>
  <si>
    <t>729,06K</t>
  </si>
  <si>
    <t>-0.57%</t>
  </si>
  <si>
    <t>798,70K</t>
  </si>
  <si>
    <t>+1.36%</t>
  </si>
  <si>
    <t>1,42M</t>
  </si>
  <si>
    <t>-1.54%</t>
  </si>
  <si>
    <t>-2.22%</t>
  </si>
  <si>
    <t>-0.94%</t>
  </si>
  <si>
    <t>774,17K</t>
  </si>
  <si>
    <t>-0.20%</t>
  </si>
  <si>
    <t>923,39K</t>
  </si>
  <si>
    <t>+0.13%</t>
  </si>
  <si>
    <t>702,68K</t>
  </si>
  <si>
    <t>719,73K</t>
  </si>
  <si>
    <t>+0.09%</t>
  </si>
  <si>
    <t>-0.67%</t>
  </si>
  <si>
    <t>774,66K</t>
  </si>
  <si>
    <t>-1.31%</t>
  </si>
  <si>
    <t>981,70K</t>
  </si>
  <si>
    <t>2,49M</t>
  </si>
  <si>
    <t>600,97K</t>
  </si>
  <si>
    <t>+0.85%</t>
  </si>
  <si>
    <t>-2.11%</t>
  </si>
  <si>
    <t>663,22K</t>
  </si>
  <si>
    <t>+0.11%</t>
  </si>
  <si>
    <t>507,58K</t>
  </si>
  <si>
    <t>+0.93%</t>
  </si>
  <si>
    <t>716,12K</t>
  </si>
  <si>
    <t>751,27K</t>
  </si>
  <si>
    <t>-1.71%</t>
  </si>
  <si>
    <t>-0.19%</t>
  </si>
  <si>
    <t>1,88M</t>
  </si>
  <si>
    <t>-6.26%</t>
  </si>
  <si>
    <t>+0.78%</t>
  </si>
  <si>
    <t>1,18M</t>
  </si>
  <si>
    <t>+1.33%</t>
  </si>
  <si>
    <t>750,97K</t>
  </si>
  <si>
    <t>2,19M</t>
  </si>
  <si>
    <t>-2.93%</t>
  </si>
  <si>
    <t>+1.12%</t>
  </si>
  <si>
    <t>551,35K</t>
  </si>
  <si>
    <t>703,36K</t>
  </si>
  <si>
    <t>-0.49%</t>
  </si>
  <si>
    <t>1,99M</t>
  </si>
  <si>
    <t>-4.07%</t>
  </si>
  <si>
    <t>630,45K</t>
  </si>
  <si>
    <t>667,47K</t>
  </si>
  <si>
    <t>+1.29%</t>
  </si>
  <si>
    <t>854,95K</t>
  </si>
  <si>
    <t>-1.41%</t>
  </si>
  <si>
    <t>919,55K</t>
  </si>
  <si>
    <t>946,39K</t>
  </si>
  <si>
    <t>635,54K</t>
  </si>
  <si>
    <t>0.00%</t>
  </si>
  <si>
    <t>-1.03%</t>
  </si>
  <si>
    <t>622,17K</t>
  </si>
  <si>
    <t>+0.94%</t>
  </si>
  <si>
    <t>664,96K</t>
  </si>
  <si>
    <t>-0.47%</t>
  </si>
  <si>
    <t>-2.96%</t>
  </si>
  <si>
    <t>+0.18%</t>
  </si>
  <si>
    <t>1,28M</t>
  </si>
  <si>
    <t>-2.14%</t>
  </si>
  <si>
    <t>+0.36%</t>
  </si>
  <si>
    <t>1,25M</t>
  </si>
  <si>
    <t>-2.06%</t>
  </si>
  <si>
    <t>763,29K</t>
  </si>
  <si>
    <t>-0.78%</t>
  </si>
  <si>
    <t>827,53K</t>
  </si>
  <si>
    <t>+2.00%</t>
  </si>
  <si>
    <t>-1.92%</t>
  </si>
  <si>
    <t>1,83M</t>
  </si>
  <si>
    <t>+4.88%</t>
  </si>
  <si>
    <t>785,75K</t>
  </si>
  <si>
    <t>+0.75%</t>
  </si>
  <si>
    <t>816,35K</t>
  </si>
  <si>
    <t>-0.38%</t>
  </si>
  <si>
    <t>758,87K</t>
  </si>
  <si>
    <t>+0.30%</t>
  </si>
  <si>
    <t>+2.04%</t>
  </si>
  <si>
    <t>-0.65%</t>
  </si>
  <si>
    <t>1,51M</t>
  </si>
  <si>
    <t>-1.47%</t>
  </si>
  <si>
    <t>704,22K</t>
  </si>
  <si>
    <t>-0.71%</t>
  </si>
  <si>
    <t>864,98K</t>
  </si>
  <si>
    <t>760,28K</t>
  </si>
  <si>
    <t>+0.28%</t>
  </si>
  <si>
    <t>2,68M</t>
  </si>
  <si>
    <t>+0.46%</t>
  </si>
  <si>
    <t>-3.04%</t>
  </si>
  <si>
    <t>893,55K</t>
  </si>
  <si>
    <t>-1.17%</t>
  </si>
  <si>
    <t>778,39K</t>
  </si>
  <si>
    <t>-0.24%</t>
  </si>
  <si>
    <t>773,83K</t>
  </si>
  <si>
    <t>+0.17%</t>
  </si>
  <si>
    <t>974,77K</t>
  </si>
  <si>
    <t>-0.69%</t>
  </si>
  <si>
    <t>-1.52%</t>
  </si>
  <si>
    <t>661,44K</t>
  </si>
  <si>
    <t>-0.53%</t>
  </si>
  <si>
    <t>625,52K</t>
  </si>
  <si>
    <t>1,12M</t>
  </si>
  <si>
    <t>+0.53%</t>
  </si>
  <si>
    <t>1,38M</t>
  </si>
  <si>
    <t>+0.05%</t>
  </si>
  <si>
    <t>757,83K</t>
  </si>
  <si>
    <t>+1.37%</t>
  </si>
  <si>
    <t>699,54K</t>
  </si>
  <si>
    <t>+0.19%</t>
  </si>
  <si>
    <t>824,69K</t>
  </si>
  <si>
    <t>+0.71%</t>
  </si>
  <si>
    <t>840,75K</t>
  </si>
  <si>
    <t>+1.56%</t>
  </si>
  <si>
    <t>964,22K</t>
  </si>
  <si>
    <t>700,05K</t>
  </si>
  <si>
    <t>-0.97%</t>
  </si>
  <si>
    <t>518,61K</t>
  </si>
  <si>
    <t>-1.23%</t>
  </si>
  <si>
    <t>965,45K</t>
  </si>
  <si>
    <t>+1.44%</t>
  </si>
  <si>
    <t>773,19K</t>
  </si>
  <si>
    <t>577,49K</t>
  </si>
  <si>
    <t>719,17K</t>
  </si>
  <si>
    <t>483,49K</t>
  </si>
  <si>
    <t>+0.14%</t>
  </si>
  <si>
    <t>867,29K</t>
  </si>
  <si>
    <t>+0.04%</t>
  </si>
  <si>
    <t>+2.84%</t>
  </si>
  <si>
    <t>+1.62%</t>
  </si>
  <si>
    <t>745,69K</t>
  </si>
  <si>
    <t>+1.03%</t>
  </si>
  <si>
    <t>762,92K</t>
  </si>
  <si>
    <t>-1.44%</t>
  </si>
  <si>
    <t>916,52K</t>
  </si>
  <si>
    <t>+0.98%</t>
  </si>
  <si>
    <t>875,67K</t>
  </si>
  <si>
    <t>+0.26%</t>
  </si>
  <si>
    <t>+1.87%</t>
  </si>
  <si>
    <t>775,39K</t>
  </si>
  <si>
    <t>653,02K</t>
  </si>
  <si>
    <t>+0.15%</t>
  </si>
  <si>
    <t>+1.15%</t>
  </si>
  <si>
    <t>1,32M</t>
  </si>
  <si>
    <t>1,00M</t>
  </si>
  <si>
    <t>-0.01%</t>
  </si>
  <si>
    <t>+0.27%</t>
  </si>
  <si>
    <t>961,34K</t>
  </si>
  <si>
    <t>-3.11%</t>
  </si>
  <si>
    <t>873,44K</t>
  </si>
  <si>
    <t>+0.25%</t>
  </si>
  <si>
    <t>796,87K</t>
  </si>
  <si>
    <t>-1.64%</t>
  </si>
  <si>
    <t>951,41K</t>
  </si>
  <si>
    <t>872,61K</t>
  </si>
  <si>
    <t>679,07K</t>
  </si>
  <si>
    <t>551,68K</t>
  </si>
  <si>
    <t>1,04M</t>
  </si>
  <si>
    <t>-0.34%</t>
  </si>
  <si>
    <t>927,87K</t>
  </si>
  <si>
    <t>+1.50%</t>
  </si>
  <si>
    <t>902,35K</t>
  </si>
  <si>
    <t>-2.23%</t>
  </si>
  <si>
    <t>717,05K</t>
  </si>
  <si>
    <t>+0.99%</t>
  </si>
  <si>
    <t>342,42K</t>
  </si>
  <si>
    <t>+0.34%</t>
  </si>
  <si>
    <t>430,62K</t>
  </si>
  <si>
    <t>461,83K</t>
  </si>
  <si>
    <t>663,59K</t>
  </si>
  <si>
    <t>718,12K</t>
  </si>
  <si>
    <t>-0.87%</t>
  </si>
  <si>
    <t>570,72K</t>
  </si>
  <si>
    <t>772,18K</t>
  </si>
  <si>
    <t>-0.14%</t>
  </si>
  <si>
    <t>791,89K</t>
  </si>
  <si>
    <t>-1.98%</t>
  </si>
  <si>
    <t>3,10M</t>
  </si>
  <si>
    <t>+0.51%</t>
  </si>
  <si>
    <t>1,53M</t>
  </si>
  <si>
    <t>+2.86%</t>
  </si>
  <si>
    <t>800,11K</t>
  </si>
  <si>
    <t>-1.24%</t>
  </si>
  <si>
    <t>965,72K</t>
  </si>
  <si>
    <t>-0.36%</t>
  </si>
  <si>
    <t>934,47K</t>
  </si>
  <si>
    <t>+2.35%</t>
  </si>
  <si>
    <t>920,50K</t>
  </si>
  <si>
    <t>-0.75%</t>
  </si>
  <si>
    <t>+1.73%</t>
  </si>
  <si>
    <t>931,77K</t>
  </si>
  <si>
    <t>850,66K</t>
  </si>
  <si>
    <t>-0.03%</t>
  </si>
  <si>
    <t>731,83K</t>
  </si>
  <si>
    <t>2,86M</t>
  </si>
  <si>
    <t>-0.50%</t>
  </si>
  <si>
    <t>+3.12%</t>
  </si>
  <si>
    <t>574,85K</t>
  </si>
  <si>
    <t>623,77K</t>
  </si>
  <si>
    <t>824,51K</t>
  </si>
  <si>
    <t>-0.08%</t>
  </si>
  <si>
    <t>485,70K</t>
  </si>
  <si>
    <t>911,57K</t>
  </si>
  <si>
    <t>+0.74%</t>
  </si>
  <si>
    <t>-2.29%</t>
  </si>
  <si>
    <t>623,63K</t>
  </si>
  <si>
    <t>916,07K</t>
  </si>
  <si>
    <t>-2.08%</t>
  </si>
  <si>
    <t>1,17M</t>
  </si>
  <si>
    <t>+2.25%</t>
  </si>
  <si>
    <t>739,54K</t>
  </si>
  <si>
    <t>+1.01%</t>
  </si>
  <si>
    <t>796,61K</t>
  </si>
  <si>
    <t>638,50K</t>
  </si>
  <si>
    <t>984,55K</t>
  </si>
  <si>
    <t>799,18K</t>
  </si>
  <si>
    <t>928,78K</t>
  </si>
  <si>
    <t>-0.13%</t>
  </si>
  <si>
    <t>959,23K</t>
  </si>
  <si>
    <t>906,04K</t>
  </si>
  <si>
    <t>-0.09%</t>
  </si>
  <si>
    <t>990,22K</t>
  </si>
  <si>
    <t>-0.88%</t>
  </si>
  <si>
    <t>-0.16%</t>
  </si>
  <si>
    <t>1,75M</t>
  </si>
  <si>
    <t>-3.01%</t>
  </si>
  <si>
    <t>985,25K</t>
  </si>
  <si>
    <t>-1.22%</t>
  </si>
  <si>
    <t>712,25K</t>
  </si>
  <si>
    <t>-0.86%</t>
  </si>
  <si>
    <t>948,08K</t>
  </si>
  <si>
    <t>-0.27%</t>
  </si>
  <si>
    <t>-1.84%</t>
  </si>
  <si>
    <t>673,25K</t>
  </si>
  <si>
    <t>530,41K</t>
  </si>
  <si>
    <t>-0.39%</t>
  </si>
  <si>
    <t>588,88K</t>
  </si>
  <si>
    <t>+0.90%</t>
  </si>
  <si>
    <t>699,59K</t>
  </si>
  <si>
    <t>565,38K</t>
  </si>
  <si>
    <t>-0.06%</t>
  </si>
  <si>
    <t>+1.00%</t>
  </si>
  <si>
    <t>976,58K</t>
  </si>
  <si>
    <t>+3.03%</t>
  </si>
  <si>
    <t>561,85K</t>
  </si>
  <si>
    <t>+1.51%</t>
  </si>
  <si>
    <t>595,09K</t>
  </si>
  <si>
    <t>958,14K</t>
  </si>
  <si>
    <t>698,28K</t>
  </si>
  <si>
    <t>734,36K</t>
  </si>
  <si>
    <t>-0.22%</t>
  </si>
  <si>
    <t>986,00K</t>
  </si>
  <si>
    <t>-0.79%</t>
  </si>
  <si>
    <t>961,26K</t>
  </si>
  <si>
    <t>797,23K</t>
  </si>
  <si>
    <t>+0.83%</t>
  </si>
  <si>
    <t>841,84K</t>
  </si>
  <si>
    <t>-1.33%</t>
  </si>
  <si>
    <t>932,10K</t>
  </si>
  <si>
    <t>748,23K</t>
  </si>
  <si>
    <t>917,83K</t>
  </si>
  <si>
    <t>984,06K</t>
  </si>
  <si>
    <t>+2.64%</t>
  </si>
  <si>
    <t>690,35K</t>
  </si>
  <si>
    <t>733,53K</t>
  </si>
  <si>
    <t>2,79M</t>
  </si>
  <si>
    <t>+1.66%</t>
  </si>
  <si>
    <t>867,44K</t>
  </si>
  <si>
    <t>753,70K</t>
  </si>
  <si>
    <t>853,58K</t>
  </si>
  <si>
    <t>+0.62%</t>
  </si>
  <si>
    <t>823,87K</t>
  </si>
  <si>
    <t>-1.32%</t>
  </si>
  <si>
    <t>767,66K</t>
  </si>
  <si>
    <t>810,30K</t>
  </si>
  <si>
    <t>1,65M</t>
  </si>
  <si>
    <t>-3.06%</t>
  </si>
  <si>
    <t>3,72M</t>
  </si>
  <si>
    <t>657,78K</t>
  </si>
  <si>
    <t>-0.33%</t>
  </si>
  <si>
    <t>790,00K</t>
  </si>
  <si>
    <t>786,27K</t>
  </si>
  <si>
    <t>798,29K</t>
  </si>
  <si>
    <t>-0.28%</t>
  </si>
  <si>
    <t>923,34K</t>
  </si>
  <si>
    <t>-1.68%</t>
  </si>
  <si>
    <t>867,74K</t>
  </si>
  <si>
    <t>753,42K</t>
  </si>
  <si>
    <t>737,17K</t>
  </si>
  <si>
    <t>852,11K</t>
  </si>
  <si>
    <t>521,14K</t>
  </si>
  <si>
    <t>806,09K</t>
  </si>
  <si>
    <t>588,32K</t>
  </si>
  <si>
    <t>-0.89%</t>
  </si>
  <si>
    <t>675,96K</t>
  </si>
  <si>
    <t>755,31K</t>
  </si>
  <si>
    <t>673,37K</t>
  </si>
  <si>
    <t>954,34K</t>
  </si>
  <si>
    <t>-1.81%</t>
  </si>
  <si>
    <t>730,94K</t>
  </si>
  <si>
    <t>793,50K</t>
  </si>
  <si>
    <t>+1.07%</t>
  </si>
  <si>
    <t>-2.17%</t>
  </si>
  <si>
    <t>2,99M</t>
  </si>
  <si>
    <t>-5.39%</t>
  </si>
  <si>
    <t>702,98K</t>
  </si>
  <si>
    <t>923,90K</t>
  </si>
  <si>
    <t>+2.61%</t>
  </si>
  <si>
    <t>851,73K</t>
  </si>
  <si>
    <t>536,56K</t>
  </si>
  <si>
    <t>-0.17%</t>
  </si>
  <si>
    <t>724,21K</t>
  </si>
  <si>
    <t>919,52K</t>
  </si>
  <si>
    <t>716,07K</t>
  </si>
  <si>
    <t>789,61K</t>
  </si>
  <si>
    <t>574,49K</t>
  </si>
  <si>
    <t>515,50K</t>
  </si>
  <si>
    <t>807,74K</t>
  </si>
  <si>
    <t>663,65K</t>
  </si>
  <si>
    <t>-0.37%</t>
  </si>
  <si>
    <t>729,27K</t>
  </si>
  <si>
    <t>-0.93%</t>
  </si>
  <si>
    <t>673,65K</t>
  </si>
  <si>
    <t>-3.90%</t>
  </si>
  <si>
    <t>732,63K</t>
  </si>
  <si>
    <t>+0.52%</t>
  </si>
  <si>
    <t>547,81K</t>
  </si>
  <si>
    <t>573,51K</t>
  </si>
  <si>
    <t>786,28K</t>
  </si>
  <si>
    <t>+1.06%</t>
  </si>
  <si>
    <t>734,55K</t>
  </si>
  <si>
    <t>922,28K</t>
  </si>
  <si>
    <t>751,43K</t>
  </si>
  <si>
    <t>762,65K</t>
  </si>
  <si>
    <t>-0.44%</t>
  </si>
  <si>
    <t>668,48K</t>
  </si>
  <si>
    <t>685,77K</t>
  </si>
  <si>
    <t>-0.54%</t>
  </si>
  <si>
    <t>790,34K</t>
  </si>
  <si>
    <t>-0.45%</t>
  </si>
  <si>
    <t>580,79K</t>
  </si>
  <si>
    <t>2,60M</t>
  </si>
  <si>
    <t>808,88K</t>
  </si>
  <si>
    <t>937,73K</t>
  </si>
  <si>
    <t>+1.74%</t>
  </si>
  <si>
    <t>566,27K</t>
  </si>
  <si>
    <t>950,42K</t>
  </si>
  <si>
    <t>820,75K</t>
  </si>
  <si>
    <t>660,01K</t>
  </si>
  <si>
    <t>+0.24%</t>
  </si>
  <si>
    <t>763,84K</t>
  </si>
  <si>
    <t>1,35M</t>
  </si>
  <si>
    <t>+2.57%</t>
  </si>
  <si>
    <t>808,36K</t>
  </si>
  <si>
    <t>+1.55%</t>
  </si>
  <si>
    <t>2,89M</t>
  </si>
  <si>
    <t>668,22K</t>
  </si>
  <si>
    <t>379,42K</t>
  </si>
  <si>
    <t>984,48K</t>
  </si>
  <si>
    <t>+1.63%</t>
  </si>
  <si>
    <t>792,75K</t>
  </si>
  <si>
    <t>-1.80%</t>
  </si>
  <si>
    <t>822,41K</t>
  </si>
  <si>
    <t>+0.42%</t>
  </si>
  <si>
    <t>730,02K</t>
  </si>
  <si>
    <t>+0.64%</t>
  </si>
  <si>
    <t>+2.36%</t>
  </si>
  <si>
    <t>739,11K</t>
  </si>
  <si>
    <t>896,96K</t>
  </si>
  <si>
    <t>-0.51%</t>
  </si>
  <si>
    <t>2,05M</t>
  </si>
  <si>
    <t>-8.29%</t>
  </si>
  <si>
    <t>+1.28%</t>
  </si>
  <si>
    <t>+3.60%</t>
  </si>
  <si>
    <t>956,96K</t>
  </si>
  <si>
    <t>+0.44%</t>
  </si>
  <si>
    <t>-0.85%</t>
  </si>
  <si>
    <t>+0.79%</t>
  </si>
  <si>
    <t>856,42K</t>
  </si>
  <si>
    <t>850,34K</t>
  </si>
  <si>
    <t>-0.43%</t>
  </si>
  <si>
    <t>755,35K</t>
  </si>
  <si>
    <t>637,32K</t>
  </si>
  <si>
    <t>+0.56%</t>
  </si>
  <si>
    <t>+0.58%</t>
  </si>
  <si>
    <t>2,04M</t>
  </si>
  <si>
    <t>-3.62%</t>
  </si>
  <si>
    <t>677,74K</t>
  </si>
  <si>
    <t>980,64K</t>
  </si>
  <si>
    <t>+0.87%</t>
  </si>
  <si>
    <t>846,09K</t>
  </si>
  <si>
    <t>849,01K</t>
  </si>
  <si>
    <t>+2.33%</t>
  </si>
  <si>
    <t>+0.60%</t>
  </si>
  <si>
    <t>691,78K</t>
  </si>
  <si>
    <t>886,55K</t>
  </si>
  <si>
    <t>+1.77%</t>
  </si>
  <si>
    <t>960,17K</t>
  </si>
  <si>
    <t>679,68K</t>
  </si>
  <si>
    <t>859,59K</t>
  </si>
  <si>
    <t>804,67K</t>
  </si>
  <si>
    <t>886,72K</t>
  </si>
  <si>
    <t>+0.88%</t>
  </si>
  <si>
    <t>937,65K</t>
  </si>
  <si>
    <t>+0.80%</t>
  </si>
  <si>
    <t>4,50M</t>
  </si>
  <si>
    <t>-0.96%</t>
  </si>
  <si>
    <t>2,14M</t>
  </si>
  <si>
    <t>-0.95%</t>
  </si>
  <si>
    <t>1,72M</t>
  </si>
  <si>
    <t>-3.75%</t>
  </si>
  <si>
    <t>1,64M</t>
  </si>
  <si>
    <t>-1.21%</t>
  </si>
  <si>
    <t>2,22M</t>
  </si>
  <si>
    <t>-1.42%</t>
  </si>
  <si>
    <t>928,10K</t>
  </si>
  <si>
    <t>-0.04%</t>
  </si>
  <si>
    <t>824,73K</t>
  </si>
  <si>
    <t>645,34K</t>
  </si>
  <si>
    <t>+2.14%</t>
  </si>
  <si>
    <t>839,28K</t>
  </si>
  <si>
    <t>+0.01%</t>
  </si>
  <si>
    <t>1,19M</t>
  </si>
  <si>
    <t>-0.42%</t>
  </si>
  <si>
    <t>801,42K</t>
  </si>
  <si>
    <t>2,06M</t>
  </si>
  <si>
    <t>-2.47%</t>
  </si>
  <si>
    <t>805,80K</t>
  </si>
  <si>
    <t>+1.24%</t>
  </si>
  <si>
    <t>787,10K</t>
  </si>
  <si>
    <t>797,87K</t>
  </si>
  <si>
    <t>587,37K</t>
  </si>
  <si>
    <t>932,20K</t>
  </si>
  <si>
    <t>+0.06%</t>
  </si>
  <si>
    <t>839,08K</t>
  </si>
  <si>
    <t>+1.47%</t>
  </si>
  <si>
    <t>977,87K</t>
  </si>
  <si>
    <t>788,38K</t>
  </si>
  <si>
    <t>-1.70%</t>
  </si>
  <si>
    <t>+1.94%</t>
  </si>
  <si>
    <t>907,81K</t>
  </si>
  <si>
    <t>937,03K</t>
  </si>
  <si>
    <t>+0.35%</t>
  </si>
  <si>
    <t>962,41K</t>
  </si>
  <si>
    <t>1,80M</t>
  </si>
  <si>
    <t>+2.65%</t>
  </si>
  <si>
    <t>1,59M</t>
  </si>
  <si>
    <t>-1.57%</t>
  </si>
  <si>
    <t>956,74K</t>
  </si>
  <si>
    <t>816,74K</t>
  </si>
  <si>
    <t>781,65K</t>
  </si>
  <si>
    <t>779,10K</t>
  </si>
  <si>
    <t>826,43K</t>
  </si>
  <si>
    <t>-0.60%</t>
  </si>
  <si>
    <t>481,52K</t>
  </si>
  <si>
    <t>-1.59%</t>
  </si>
  <si>
    <t>+1.57%</t>
  </si>
  <si>
    <t xml:space="preserve">Moyenne 20 premieres </t>
  </si>
  <si>
    <t xml:space="preserve">moyennes 40 premiere </t>
  </si>
  <si>
    <t>Hausses</t>
  </si>
  <si>
    <t>baisses</t>
  </si>
  <si>
    <t xml:space="preserve">valeurs hausses </t>
  </si>
  <si>
    <t>moyenne hausses</t>
  </si>
  <si>
    <t>moyennes baisses</t>
  </si>
  <si>
    <t>RSI-</t>
  </si>
  <si>
    <t>Stochastique</t>
  </si>
  <si>
    <t>Moyenne stochastique</t>
  </si>
  <si>
    <t>ecart type +1</t>
  </si>
  <si>
    <t>Bande bollinger sup</t>
  </si>
  <si>
    <t>Bande bollinger inf</t>
  </si>
  <si>
    <t>+1.59%</t>
  </si>
  <si>
    <t>5,55M</t>
  </si>
  <si>
    <t>+1.53%</t>
  </si>
  <si>
    <t>6,02M</t>
  </si>
  <si>
    <t>6,73M</t>
  </si>
  <si>
    <t>-0.48%</t>
  </si>
  <si>
    <t>8,18M</t>
  </si>
  <si>
    <t>+3.36%</t>
  </si>
  <si>
    <t>9,09M</t>
  </si>
  <si>
    <t>-0.80%</t>
  </si>
  <si>
    <t>7,27M</t>
  </si>
  <si>
    <t>-0.68%</t>
  </si>
  <si>
    <t>12,03M</t>
  </si>
  <si>
    <t>9,32M</t>
  </si>
  <si>
    <t>18,59M</t>
  </si>
  <si>
    <t>-3.22%</t>
  </si>
  <si>
    <t>8,95M</t>
  </si>
  <si>
    <t>+1.42%</t>
  </si>
  <si>
    <t>7,18M</t>
  </si>
  <si>
    <t>7,39M</t>
  </si>
  <si>
    <t>6,33M</t>
  </si>
  <si>
    <t>6,57M</t>
  </si>
  <si>
    <t>5,52M</t>
  </si>
  <si>
    <t>5,61M</t>
  </si>
  <si>
    <t>7,55M</t>
  </si>
  <si>
    <t>6,90M</t>
  </si>
  <si>
    <t>12,07M</t>
  </si>
  <si>
    <t>+3.28%</t>
  </si>
  <si>
    <t>9,71M</t>
  </si>
  <si>
    <t>+3.35%</t>
  </si>
  <si>
    <t>7,74M</t>
  </si>
  <si>
    <t>-0.40%</t>
  </si>
  <si>
    <t>10,68M</t>
  </si>
  <si>
    <t>-0.23%</t>
  </si>
  <si>
    <t>7,75M</t>
  </si>
  <si>
    <t>7,88M</t>
  </si>
  <si>
    <t>7,81M</t>
  </si>
  <si>
    <t>4,93M</t>
  </si>
  <si>
    <t>+0.33%</t>
  </si>
  <si>
    <t>4,95M</t>
  </si>
  <si>
    <t>5,68M</t>
  </si>
  <si>
    <t>3,03M</t>
  </si>
  <si>
    <t>+0.65%</t>
  </si>
  <si>
    <t>3,14M</t>
  </si>
  <si>
    <t>3,91M</t>
  </si>
  <si>
    <t>13,29M</t>
  </si>
  <si>
    <t>-2.04%</t>
  </si>
  <si>
    <t>3,46M</t>
  </si>
  <si>
    <t>5,10M</t>
  </si>
  <si>
    <t>-2.09%</t>
  </si>
  <si>
    <t>5,39M</t>
  </si>
  <si>
    <t>4,33M</t>
  </si>
  <si>
    <t>+0.66%</t>
  </si>
  <si>
    <t>4,30M</t>
  </si>
  <si>
    <t>4,51M</t>
  </si>
  <si>
    <t>5,04M</t>
  </si>
  <si>
    <t>4,53M</t>
  </si>
  <si>
    <t>8,84M</t>
  </si>
  <si>
    <t>6,91M</t>
  </si>
  <si>
    <t>6,86M</t>
  </si>
  <si>
    <t>-0.26%</t>
  </si>
  <si>
    <t>9,16M</t>
  </si>
  <si>
    <t>+2.78%</t>
  </si>
  <si>
    <t>9,04M</t>
  </si>
  <si>
    <t>+1.27%</t>
  </si>
  <si>
    <t>6,62M</t>
  </si>
  <si>
    <t>+2.03%</t>
  </si>
  <si>
    <t>4,69M</t>
  </si>
  <si>
    <t>4,79M</t>
  </si>
  <si>
    <t>5,69M</t>
  </si>
  <si>
    <t>11,81M</t>
  </si>
  <si>
    <t>9,48M</t>
  </si>
  <si>
    <t>-2.86%</t>
  </si>
  <si>
    <t>+0.70%</t>
  </si>
  <si>
    <t>5,29M</t>
  </si>
  <si>
    <t>7,00M</t>
  </si>
  <si>
    <t>-1.78%</t>
  </si>
  <si>
    <t>3,75M</t>
  </si>
  <si>
    <t>+0.77%</t>
  </si>
  <si>
    <t>5,38M</t>
  </si>
  <si>
    <t>+0.96%</t>
  </si>
  <si>
    <t>5,84M</t>
  </si>
  <si>
    <t>+2.11%</t>
  </si>
  <si>
    <t>7,10M</t>
  </si>
  <si>
    <t>-1.48%</t>
  </si>
  <si>
    <t>5,57M</t>
  </si>
  <si>
    <t>6,47M</t>
  </si>
  <si>
    <t>+3.97%</t>
  </si>
  <si>
    <t>-2.90%</t>
  </si>
  <si>
    <t>8,90M</t>
  </si>
  <si>
    <t>15,18M</t>
  </si>
  <si>
    <t>3,81M</t>
  </si>
  <si>
    <t>4,70M</t>
  </si>
  <si>
    <t>6,13M</t>
  </si>
  <si>
    <t>7,07M</t>
  </si>
  <si>
    <t>4,13M</t>
  </si>
  <si>
    <t>+1.11%</t>
  </si>
  <si>
    <t>4,74M</t>
  </si>
  <si>
    <t>8,05M</t>
  </si>
  <si>
    <t>-2.40%</t>
  </si>
  <si>
    <t>12,76M</t>
  </si>
  <si>
    <t>5,44M</t>
  </si>
  <si>
    <t>5,03M</t>
  </si>
  <si>
    <t>7,57M</t>
  </si>
  <si>
    <t>5,07M</t>
  </si>
  <si>
    <t>+1.04%</t>
  </si>
  <si>
    <t>9,81M</t>
  </si>
  <si>
    <t>-2.57%</t>
  </si>
  <si>
    <t>5,20M</t>
  </si>
  <si>
    <t>7,12M</t>
  </si>
  <si>
    <t>7,65M</t>
  </si>
  <si>
    <t>5,98M</t>
  </si>
  <si>
    <t>+1.21%</t>
  </si>
  <si>
    <t>4,22M</t>
  </si>
  <si>
    <t>7,09M</t>
  </si>
  <si>
    <t>7,99M</t>
  </si>
  <si>
    <t>4,99M</t>
  </si>
  <si>
    <t>6,27M</t>
  </si>
  <si>
    <t>9,05M</t>
  </si>
  <si>
    <t>-0.98%</t>
  </si>
  <si>
    <t>4,90M</t>
  </si>
  <si>
    <t>4,18M</t>
  </si>
  <si>
    <t>5,60M</t>
  </si>
  <si>
    <t>6,20M</t>
  </si>
  <si>
    <t>4,77M</t>
  </si>
  <si>
    <t>5,15M</t>
  </si>
  <si>
    <t>10,55M</t>
  </si>
  <si>
    <t>5,91M</t>
  </si>
  <si>
    <t>+1.90%</t>
  </si>
  <si>
    <t>4,27M</t>
  </si>
  <si>
    <t>6,48M</t>
  </si>
  <si>
    <t>5,24M</t>
  </si>
  <si>
    <t>5,06M</t>
  </si>
  <si>
    <t>11,28M</t>
  </si>
  <si>
    <t>8,81M</t>
  </si>
  <si>
    <t>-4.91%</t>
  </si>
  <si>
    <t>+2.47%</t>
  </si>
  <si>
    <t>4,80M</t>
  </si>
  <si>
    <t>7,61M</t>
  </si>
  <si>
    <t>+3.23%</t>
  </si>
  <si>
    <t>4,10M</t>
  </si>
  <si>
    <t>-0.25%</t>
  </si>
  <si>
    <t>7,50M</t>
  </si>
  <si>
    <t>-1.61%</t>
  </si>
  <si>
    <t>4,32M</t>
  </si>
  <si>
    <t>2,41M</t>
  </si>
  <si>
    <t>-0.10%</t>
  </si>
  <si>
    <t>2,70M</t>
  </si>
  <si>
    <t>3,37M</t>
  </si>
  <si>
    <t>-0.64%</t>
  </si>
  <si>
    <t>8,25M</t>
  </si>
  <si>
    <t>+4.03%</t>
  </si>
  <si>
    <t>2,65M</t>
  </si>
  <si>
    <t>-1.63%</t>
  </si>
  <si>
    <t>3,58M</t>
  </si>
  <si>
    <t>5,34M</t>
  </si>
  <si>
    <t>+1.67%</t>
  </si>
  <si>
    <t>+3.21%</t>
  </si>
  <si>
    <t>3,34M</t>
  </si>
  <si>
    <t>2,75M</t>
  </si>
  <si>
    <t>3,88M</t>
  </si>
  <si>
    <t>+0.12%</t>
  </si>
  <si>
    <t>3,87M</t>
  </si>
  <si>
    <t>+1.54%</t>
  </si>
  <si>
    <t>4,49M</t>
  </si>
  <si>
    <t>6,04M</t>
  </si>
  <si>
    <t>+0.02%</t>
  </si>
  <si>
    <t>12,60M</t>
  </si>
  <si>
    <t>13,64M</t>
  </si>
  <si>
    <t>-5.86%</t>
  </si>
  <si>
    <t>6,54M</t>
  </si>
  <si>
    <t>4,88M</t>
  </si>
  <si>
    <t>4,46M</t>
  </si>
  <si>
    <t>6,29M</t>
  </si>
  <si>
    <t>10,99M</t>
  </si>
  <si>
    <t>+0.31%</t>
  </si>
  <si>
    <t>24,14M</t>
  </si>
  <si>
    <t>-8.32%</t>
  </si>
  <si>
    <t>+3.06%</t>
  </si>
  <si>
    <t>5,43M</t>
  </si>
  <si>
    <t>-1.86%</t>
  </si>
  <si>
    <t>4,15M</t>
  </si>
  <si>
    <t>3,25M</t>
  </si>
  <si>
    <t>4,11M</t>
  </si>
  <si>
    <t>3,92M</t>
  </si>
  <si>
    <t>4,97M</t>
  </si>
  <si>
    <t>-0.74%</t>
  </si>
  <si>
    <t>4,05M</t>
  </si>
  <si>
    <t>4,31M</t>
  </si>
  <si>
    <t>-1.30%</t>
  </si>
  <si>
    <t>4,06M</t>
  </si>
  <si>
    <t>6,78M</t>
  </si>
  <si>
    <t>+3.44%</t>
  </si>
  <si>
    <t>5,18M</t>
  </si>
  <si>
    <t>6,39M</t>
  </si>
  <si>
    <t>+3.34%</t>
  </si>
  <si>
    <t>5,95M</t>
  </si>
  <si>
    <t>+0.84%</t>
  </si>
  <si>
    <t>3,99M</t>
  </si>
  <si>
    <t>3,54M</t>
  </si>
  <si>
    <t>3,65M</t>
  </si>
  <si>
    <t>4,39M</t>
  </si>
  <si>
    <t>21,96M</t>
  </si>
  <si>
    <t>-1.91%</t>
  </si>
  <si>
    <t>5,78M</t>
  </si>
  <si>
    <t>+0.22%</t>
  </si>
  <si>
    <t>3,61M</t>
  </si>
  <si>
    <t>5,53M</t>
  </si>
  <si>
    <t>13,99M</t>
  </si>
  <si>
    <t>-0.77%</t>
  </si>
  <si>
    <t>9,18M</t>
  </si>
  <si>
    <t>5,48M</t>
  </si>
  <si>
    <t>7,87M</t>
  </si>
  <si>
    <t>5,21M</t>
  </si>
  <si>
    <t>3,33M</t>
  </si>
  <si>
    <t>4,75M</t>
  </si>
  <si>
    <t>+1.69%</t>
  </si>
  <si>
    <t>4,91M</t>
  </si>
  <si>
    <t>10,13M</t>
  </si>
  <si>
    <t>-2.19%</t>
  </si>
  <si>
    <t>6,46M</t>
  </si>
  <si>
    <t>+0.89%</t>
  </si>
  <si>
    <t>15,45M</t>
  </si>
  <si>
    <t>4,72M</t>
  </si>
  <si>
    <t>5,86M</t>
  </si>
  <si>
    <t>3,82M</t>
  </si>
  <si>
    <t>4,87M</t>
  </si>
  <si>
    <t>5,28M</t>
  </si>
  <si>
    <t>6,31M</t>
  </si>
  <si>
    <t>3,35M</t>
  </si>
  <si>
    <t>-1.39%</t>
  </si>
  <si>
    <t>5,72M</t>
  </si>
  <si>
    <t>6,55M</t>
  </si>
  <si>
    <t>4,96M</t>
  </si>
  <si>
    <t>5,92M</t>
  </si>
  <si>
    <t>8,73M</t>
  </si>
  <si>
    <t>+2.81%</t>
  </si>
  <si>
    <t>5,50M</t>
  </si>
  <si>
    <t>8,58M</t>
  </si>
  <si>
    <t>+1.45%</t>
  </si>
  <si>
    <t>7,33M</t>
  </si>
  <si>
    <t>+0.20%</t>
  </si>
  <si>
    <t>11,20M</t>
  </si>
  <si>
    <t>-0.62%</t>
  </si>
  <si>
    <t>28,84M</t>
  </si>
  <si>
    <t>-8.64%</t>
  </si>
  <si>
    <t>14,83M</t>
  </si>
  <si>
    <t>32,18M</t>
  </si>
  <si>
    <t>+8.18%</t>
  </si>
  <si>
    <t>8,69M</t>
  </si>
  <si>
    <t>8,38M</t>
  </si>
  <si>
    <t>6,28M</t>
  </si>
  <si>
    <t>+1.38%</t>
  </si>
  <si>
    <t>10,59M</t>
  </si>
  <si>
    <t>6,77M</t>
  </si>
  <si>
    <t>5,74M</t>
  </si>
  <si>
    <t>8,35M</t>
  </si>
  <si>
    <t>-1.85%</t>
  </si>
  <si>
    <t>10,90M</t>
  </si>
  <si>
    <t>14,51M</t>
  </si>
  <si>
    <t>9,60M</t>
  </si>
  <si>
    <t>9,83M</t>
  </si>
  <si>
    <t>+2.41%</t>
  </si>
  <si>
    <t>5,83M</t>
  </si>
  <si>
    <t>-1.95%</t>
  </si>
  <si>
    <t>4,17M</t>
  </si>
  <si>
    <t>6,80M</t>
  </si>
  <si>
    <t>-1.40%</t>
  </si>
  <si>
    <t>7,03M</t>
  </si>
  <si>
    <t>7,49M</t>
  </si>
  <si>
    <t>+2.09%</t>
  </si>
  <si>
    <t>9,62M</t>
  </si>
  <si>
    <t>9,87M</t>
  </si>
  <si>
    <t>+2.68%</t>
  </si>
  <si>
    <t>4,64M</t>
  </si>
  <si>
    <t>+0.59%</t>
  </si>
  <si>
    <t>4,63M</t>
  </si>
  <si>
    <t>8,34M</t>
  </si>
  <si>
    <t>10,43M</t>
  </si>
  <si>
    <t>7,98M</t>
  </si>
  <si>
    <t>8,99M</t>
  </si>
  <si>
    <t>8,36M</t>
  </si>
  <si>
    <t>23,82M</t>
  </si>
  <si>
    <t>9,19M</t>
  </si>
  <si>
    <t>8,91M</t>
  </si>
  <si>
    <t>17,53M</t>
  </si>
  <si>
    <t>+4.66%</t>
  </si>
  <si>
    <t>8,32M</t>
  </si>
  <si>
    <t>+0.72%</t>
  </si>
  <si>
    <t>+1.19%</t>
  </si>
  <si>
    <t>9,76M</t>
  </si>
  <si>
    <t>-0.55%</t>
  </si>
  <si>
    <t>8,60M</t>
  </si>
  <si>
    <t>+0.29%</t>
  </si>
  <si>
    <t>7,54M</t>
  </si>
  <si>
    <t>13,30M</t>
  </si>
  <si>
    <t>+1.65%</t>
  </si>
  <si>
    <t>4,03M</t>
  </si>
  <si>
    <t>4,47M</t>
  </si>
  <si>
    <t>11,35M</t>
  </si>
  <si>
    <t>+2.15%</t>
  </si>
  <si>
    <t>5,73M</t>
  </si>
  <si>
    <t>5,17M</t>
  </si>
  <si>
    <t>2,81M</t>
  </si>
  <si>
    <t>9,20M</t>
  </si>
  <si>
    <t>+0.69%</t>
  </si>
  <si>
    <t>5,77M</t>
  </si>
  <si>
    <t>6,41M</t>
  </si>
  <si>
    <t>5,36M</t>
  </si>
  <si>
    <t>6,84M</t>
  </si>
  <si>
    <t>7,24M</t>
  </si>
  <si>
    <t>17,70M</t>
  </si>
  <si>
    <t>-5.58%</t>
  </si>
  <si>
    <t>-1.49%</t>
  </si>
  <si>
    <t>10,41M</t>
  </si>
  <si>
    <t>-2.74%</t>
  </si>
  <si>
    <t>15,31M</t>
  </si>
  <si>
    <t>+3.52%</t>
  </si>
  <si>
    <t>27,54M</t>
  </si>
  <si>
    <t>+2.96%</t>
  </si>
  <si>
    <t>11,30M</t>
  </si>
  <si>
    <t>5,56M</t>
  </si>
  <si>
    <t>6,12M</t>
  </si>
  <si>
    <t>6,82M</t>
  </si>
  <si>
    <t>5,08M</t>
  </si>
  <si>
    <t>8,03M</t>
  </si>
  <si>
    <t>10,50M</t>
  </si>
  <si>
    <t>15,76M</t>
  </si>
  <si>
    <t>-4.31%</t>
  </si>
  <si>
    <t>7,82M</t>
  </si>
  <si>
    <t>7,11M</t>
  </si>
  <si>
    <t>9,95M</t>
  </si>
  <si>
    <t>+2.20%</t>
  </si>
  <si>
    <t>8,23M</t>
  </si>
  <si>
    <t>3,79M</t>
  </si>
  <si>
    <t>3,27M</t>
  </si>
  <si>
    <t>5,76M</t>
  </si>
  <si>
    <t>6,76M</t>
  </si>
  <si>
    <t>10,19M</t>
  </si>
  <si>
    <t>6,06M</t>
  </si>
  <si>
    <t>7,89M</t>
  </si>
  <si>
    <t>21,17M</t>
  </si>
  <si>
    <t>13,12M</t>
  </si>
  <si>
    <t>6,19M</t>
  </si>
  <si>
    <t>10,01M</t>
  </si>
  <si>
    <t>9,08M</t>
  </si>
  <si>
    <t>10,56M</t>
  </si>
  <si>
    <t>+2.23%</t>
  </si>
  <si>
    <t>11,00M</t>
  </si>
  <si>
    <t>7,20M</t>
  </si>
  <si>
    <t>14,47M</t>
  </si>
  <si>
    <t>9,56M</t>
  </si>
  <si>
    <t>+1.64%</t>
  </si>
  <si>
    <t>4,45M</t>
  </si>
  <si>
    <t>4,68M</t>
  </si>
  <si>
    <t>3,59M</t>
  </si>
  <si>
    <t>9,22M</t>
  </si>
  <si>
    <t>9,68M</t>
  </si>
  <si>
    <t>15,04M</t>
  </si>
  <si>
    <t>+2.63%</t>
  </si>
  <si>
    <t>8,07M</t>
  </si>
  <si>
    <t>+1.83%</t>
  </si>
  <si>
    <t>17,81M</t>
  </si>
  <si>
    <t>8,33M</t>
  </si>
  <si>
    <t>+1.05%</t>
  </si>
  <si>
    <t>6,25M</t>
  </si>
  <si>
    <t>+0.08%</t>
  </si>
  <si>
    <t>6,17M</t>
  </si>
  <si>
    <t>7,37M</t>
  </si>
  <si>
    <t>10,26M</t>
  </si>
  <si>
    <t>10,52M</t>
  </si>
  <si>
    <t>+1.43%</t>
  </si>
  <si>
    <t>6,98M</t>
  </si>
  <si>
    <t>+1.02%</t>
  </si>
  <si>
    <t>7,58M</t>
  </si>
  <si>
    <t>10,89M</t>
  </si>
  <si>
    <t>15,36M</t>
  </si>
  <si>
    <t>33,80M</t>
  </si>
  <si>
    <t>11,45M</t>
  </si>
  <si>
    <t>8,28M</t>
  </si>
  <si>
    <t>-2.27%</t>
  </si>
  <si>
    <t>11,04M</t>
  </si>
  <si>
    <t>15,20M</t>
  </si>
  <si>
    <t>5,94M</t>
  </si>
  <si>
    <t>-0.59%</t>
  </si>
  <si>
    <t>7,46M</t>
  </si>
  <si>
    <t>9,31M</t>
  </si>
  <si>
    <t>6,49M</t>
  </si>
  <si>
    <t>6,69M</t>
  </si>
  <si>
    <t>8,17M</t>
  </si>
  <si>
    <t>4,89M</t>
  </si>
  <si>
    <t>7,15M</t>
  </si>
  <si>
    <t>6,05M</t>
  </si>
  <si>
    <t>12,94M</t>
  </si>
  <si>
    <t>10,00M</t>
  </si>
  <si>
    <t>-1.83%</t>
  </si>
  <si>
    <t>7,84M</t>
  </si>
  <si>
    <t>-3.20%</t>
  </si>
  <si>
    <t>12,01M</t>
  </si>
  <si>
    <t>7,70M</t>
  </si>
  <si>
    <t>17,29M</t>
  </si>
  <si>
    <t>+2.42%</t>
  </si>
  <si>
    <t>10,30M</t>
  </si>
  <si>
    <t>8,15M</t>
  </si>
  <si>
    <t>8,04M</t>
  </si>
  <si>
    <t>+0.97%</t>
  </si>
  <si>
    <t>5,13M</t>
  </si>
  <si>
    <t>11,14M</t>
  </si>
  <si>
    <t>21,39M</t>
  </si>
  <si>
    <t>11,95M</t>
  </si>
  <si>
    <t>+2.85%</t>
  </si>
  <si>
    <t>9,92M</t>
  </si>
  <si>
    <t>+1.92%</t>
  </si>
  <si>
    <t>8,71M</t>
  </si>
  <si>
    <t>12,77M</t>
  </si>
  <si>
    <t>-1.94%</t>
  </si>
  <si>
    <t>13,55M</t>
  </si>
  <si>
    <t>3,74M</t>
  </si>
  <si>
    <t>10,37M</t>
  </si>
  <si>
    <t>-1.35%</t>
  </si>
  <si>
    <t>7,14M</t>
  </si>
  <si>
    <t>7,63M</t>
  </si>
  <si>
    <t>+2.38%</t>
  </si>
  <si>
    <t>6,35M</t>
  </si>
  <si>
    <t>5,64M</t>
  </si>
  <si>
    <t>6,59M</t>
  </si>
  <si>
    <t>6,34M</t>
  </si>
  <si>
    <t>-0.56%</t>
  </si>
  <si>
    <t>4,25M</t>
  </si>
  <si>
    <t>+1.48%</t>
  </si>
  <si>
    <t>7,92M</t>
  </si>
  <si>
    <t>14,09M</t>
  </si>
  <si>
    <t>-3.84%</t>
  </si>
  <si>
    <t>7,67M</t>
  </si>
  <si>
    <t>8,46M</t>
  </si>
  <si>
    <t>-2.30%</t>
  </si>
  <si>
    <t>7,95M</t>
  </si>
  <si>
    <t>12,65M</t>
  </si>
  <si>
    <t>-0.84%</t>
  </si>
  <si>
    <t>20,32M</t>
  </si>
  <si>
    <t>-3.34%</t>
  </si>
  <si>
    <t>19,71M</t>
  </si>
  <si>
    <t>12,75M</t>
  </si>
  <si>
    <t>10,71M</t>
  </si>
  <si>
    <t>12,50M</t>
  </si>
  <si>
    <t>11,92M</t>
  </si>
  <si>
    <t>+1.58%</t>
  </si>
  <si>
    <t>10,27M</t>
  </si>
  <si>
    <t>11,87M</t>
  </si>
  <si>
    <t>16,27M</t>
  </si>
  <si>
    <t>11,58M</t>
  </si>
  <si>
    <t>11,76M</t>
  </si>
  <si>
    <t>7,73M</t>
  </si>
  <si>
    <t>7,16M</t>
  </si>
  <si>
    <t>12,96M</t>
  </si>
  <si>
    <t>-4.34%</t>
  </si>
  <si>
    <t>7,96M</t>
  </si>
  <si>
    <t>5,47M</t>
  </si>
  <si>
    <t>6,56M</t>
  </si>
  <si>
    <t>9,06M</t>
  </si>
  <si>
    <t>6,75M</t>
  </si>
  <si>
    <t>6,99M</t>
  </si>
  <si>
    <t>7,93M</t>
  </si>
  <si>
    <t>10,23M</t>
  </si>
  <si>
    <t>8,83M</t>
  </si>
  <si>
    <t>-1.45%</t>
  </si>
  <si>
    <t>8,24M</t>
  </si>
  <si>
    <t>9,55M</t>
  </si>
  <si>
    <t>6,64M</t>
  </si>
  <si>
    <t>9,10M</t>
  </si>
  <si>
    <t>33,38M</t>
  </si>
  <si>
    <t>18,42M</t>
  </si>
  <si>
    <t>8,20M</t>
  </si>
  <si>
    <t>7,80M</t>
  </si>
  <si>
    <t>5,85M</t>
  </si>
  <si>
    <t>9,03M</t>
  </si>
  <si>
    <t>+2.97%</t>
  </si>
  <si>
    <t>5,65M</t>
  </si>
  <si>
    <t>18,85M</t>
  </si>
  <si>
    <t>-1.76%</t>
  </si>
  <si>
    <t>8,10M</t>
  </si>
  <si>
    <t>3,36M</t>
  </si>
  <si>
    <t>6,40M</t>
  </si>
  <si>
    <t>7,42M</t>
  </si>
  <si>
    <t>7,36M</t>
  </si>
  <si>
    <t>10,83M</t>
  </si>
  <si>
    <t>11,10M</t>
  </si>
  <si>
    <t>10,78M</t>
  </si>
  <si>
    <t>8,16M</t>
  </si>
  <si>
    <t>8,02M</t>
  </si>
  <si>
    <t>+0.47%</t>
  </si>
  <si>
    <t>5,51M</t>
  </si>
  <si>
    <t>5,63M</t>
  </si>
  <si>
    <t>9,58M</t>
  </si>
  <si>
    <t>+4.52%</t>
  </si>
  <si>
    <t>-3.32%</t>
  </si>
  <si>
    <t>11,16M</t>
  </si>
  <si>
    <t>-3.12%</t>
  </si>
  <si>
    <t>14,26M</t>
  </si>
  <si>
    <t>+1.52%</t>
  </si>
  <si>
    <t>16,34M</t>
  </si>
  <si>
    <t>11,97M</t>
  </si>
  <si>
    <t>12,95M</t>
  </si>
  <si>
    <t>-3.83%</t>
  </si>
  <si>
    <t>8,88M</t>
  </si>
  <si>
    <t>+1.86%</t>
  </si>
  <si>
    <t>11,37M</t>
  </si>
  <si>
    <t>17,13M</t>
  </si>
  <si>
    <t>+4.57%</t>
  </si>
  <si>
    <t>7,40M</t>
  </si>
  <si>
    <t>7,62M</t>
  </si>
  <si>
    <t>9,51M</t>
  </si>
  <si>
    <t>10,25M</t>
  </si>
  <si>
    <t>+1.17%</t>
  </si>
  <si>
    <t>14,75M</t>
  </si>
  <si>
    <t>14,02M</t>
  </si>
  <si>
    <t>12,55M</t>
  </si>
  <si>
    <t>+2.48%</t>
  </si>
  <si>
    <t>18,94M</t>
  </si>
  <si>
    <t>-1.58%</t>
  </si>
  <si>
    <t>32,87M</t>
  </si>
  <si>
    <t>+6.15%</t>
  </si>
  <si>
    <t>88,04M</t>
  </si>
  <si>
    <t>-8.53%</t>
  </si>
  <si>
    <t>16,95M</t>
  </si>
  <si>
    <t>-3.18%</t>
  </si>
  <si>
    <t>16,66M</t>
  </si>
  <si>
    <t>22,58M</t>
  </si>
  <si>
    <t>+6.05%</t>
  </si>
  <si>
    <t>41,68M</t>
  </si>
  <si>
    <t>30,50M</t>
  </si>
  <si>
    <t>30,76M</t>
  </si>
  <si>
    <t>-1.29%</t>
  </si>
  <si>
    <t>31,93M</t>
  </si>
  <si>
    <t>-9.25%</t>
  </si>
  <si>
    <t>18,53M</t>
  </si>
  <si>
    <t>+4.28%</t>
  </si>
  <si>
    <t>34,95M</t>
  </si>
  <si>
    <t>-4.87%</t>
  </si>
  <si>
    <t>35,03M</t>
  </si>
  <si>
    <t>-7.35%</t>
  </si>
  <si>
    <t>4,83M</t>
  </si>
  <si>
    <t>7,32M</t>
  </si>
  <si>
    <t>6,92M</t>
  </si>
  <si>
    <t>6,42M</t>
  </si>
  <si>
    <t>8,59M</t>
  </si>
  <si>
    <t>9,98M</t>
  </si>
  <si>
    <t>+2.16%</t>
  </si>
  <si>
    <t>+2.27%</t>
  </si>
  <si>
    <t>9,85M</t>
  </si>
  <si>
    <t>5,19M</t>
  </si>
  <si>
    <t>7,78M</t>
  </si>
  <si>
    <t>5,27M</t>
  </si>
  <si>
    <t>6,74M</t>
  </si>
  <si>
    <t>12,12M</t>
  </si>
  <si>
    <t>19,97M</t>
  </si>
  <si>
    <t>+3.94%</t>
  </si>
  <si>
    <t>7,29M</t>
  </si>
  <si>
    <t>9,34M</t>
  </si>
  <si>
    <t>11,29M</t>
  </si>
  <si>
    <t>-3.09%</t>
  </si>
  <si>
    <t>6,67M</t>
  </si>
  <si>
    <t>9,45M</t>
  </si>
  <si>
    <t>6,68M</t>
  </si>
  <si>
    <t>9,14M</t>
  </si>
  <si>
    <t>15,94M</t>
  </si>
  <si>
    <t>47,54M</t>
  </si>
  <si>
    <t>-6.48%</t>
  </si>
  <si>
    <t>8,53M</t>
  </si>
  <si>
    <t>7,38M</t>
  </si>
  <si>
    <t>8,39M</t>
  </si>
  <si>
    <t>+1.71%</t>
  </si>
  <si>
    <t>9,46M</t>
  </si>
  <si>
    <t>+0.50%</t>
  </si>
  <si>
    <t>8,56M</t>
  </si>
  <si>
    <t>9,53M</t>
  </si>
  <si>
    <t>-2.02%</t>
  </si>
  <si>
    <t>8,86M</t>
  </si>
  <si>
    <t>9,27M</t>
  </si>
  <si>
    <t>6,14M</t>
  </si>
  <si>
    <t>9,43M</t>
  </si>
  <si>
    <t xml:space="preserve">moyennes des 20 premiers </t>
  </si>
  <si>
    <t xml:space="preserve">Moyenne 40 premiers </t>
  </si>
  <si>
    <t>Baisses</t>
  </si>
  <si>
    <t>valeurs Hausse</t>
  </si>
  <si>
    <t xml:space="preserve">Valeurs baisses </t>
  </si>
  <si>
    <t>Moyenne hausses</t>
  </si>
  <si>
    <t xml:space="preserve">Moyenne baisses </t>
  </si>
  <si>
    <t>RSI +</t>
  </si>
  <si>
    <t xml:space="preserve">Ecart type </t>
  </si>
  <si>
    <t xml:space="preserve">Ecart type -1 </t>
  </si>
  <si>
    <t xml:space="preserve">Ecart type + 1 </t>
  </si>
  <si>
    <t>bande bollinger inf</t>
  </si>
  <si>
    <t>170,81K</t>
  </si>
  <si>
    <t>1,98M</t>
  </si>
  <si>
    <t>2,17M</t>
  </si>
  <si>
    <t>2,45M</t>
  </si>
  <si>
    <t>-1.20%</t>
  </si>
  <si>
    <t>2,02M</t>
  </si>
  <si>
    <t>4,04M</t>
  </si>
  <si>
    <t>1,69M</t>
  </si>
  <si>
    <t>2,18M</t>
  </si>
  <si>
    <t>2,55M</t>
  </si>
  <si>
    <t>+1.46%</t>
  </si>
  <si>
    <t>2,95M</t>
  </si>
  <si>
    <t>-0.76%</t>
  </si>
  <si>
    <t>3,04M</t>
  </si>
  <si>
    <t>+2.32%</t>
  </si>
  <si>
    <t>2,59M</t>
  </si>
  <si>
    <t>2,71M</t>
  </si>
  <si>
    <t>2,29M</t>
  </si>
  <si>
    <t>+1.35%</t>
  </si>
  <si>
    <t>2,27M</t>
  </si>
  <si>
    <t>4,54M</t>
  </si>
  <si>
    <t>+3.73%</t>
  </si>
  <si>
    <t>1,77M</t>
  </si>
  <si>
    <t>2,44M</t>
  </si>
  <si>
    <t>2,39M</t>
  </si>
  <si>
    <t>809,96K</t>
  </si>
  <si>
    <t>2,15M</t>
  </si>
  <si>
    <t>2,50M</t>
  </si>
  <si>
    <t>4,85M</t>
  </si>
  <si>
    <t>-3.86%</t>
  </si>
  <si>
    <t>2,47M</t>
  </si>
  <si>
    <t>3,00M</t>
  </si>
  <si>
    <t>2,31M</t>
  </si>
  <si>
    <t>2,77M</t>
  </si>
  <si>
    <t>3,07M</t>
  </si>
  <si>
    <t>+3.24%</t>
  </si>
  <si>
    <t>2,34M</t>
  </si>
  <si>
    <t>2,54M</t>
  </si>
  <si>
    <t>2,58M</t>
  </si>
  <si>
    <t>3,64M</t>
  </si>
  <si>
    <t>2,62M</t>
  </si>
  <si>
    <t>2,20M</t>
  </si>
  <si>
    <t>1,54M</t>
  </si>
  <si>
    <t>3,84M</t>
  </si>
  <si>
    <t>2,46M</t>
  </si>
  <si>
    <t>+0.81%</t>
  </si>
  <si>
    <t>2,66M</t>
  </si>
  <si>
    <t>2,01M</t>
  </si>
  <si>
    <t>2,09M</t>
  </si>
  <si>
    <t>2,56M</t>
  </si>
  <si>
    <t>3,24M</t>
  </si>
  <si>
    <t>4,42M</t>
  </si>
  <si>
    <t>-1.19%</t>
  </si>
  <si>
    <t>3,69M</t>
  </si>
  <si>
    <t>3,56M</t>
  </si>
  <si>
    <t>4,29M</t>
  </si>
  <si>
    <t>-6.44%</t>
  </si>
  <si>
    <t>3,05M</t>
  </si>
  <si>
    <t>2,38M</t>
  </si>
  <si>
    <t>2,07M</t>
  </si>
  <si>
    <t>3,31M</t>
  </si>
  <si>
    <t>2,52M</t>
  </si>
  <si>
    <t>2,84M</t>
  </si>
  <si>
    <t>2,87M</t>
  </si>
  <si>
    <t>2,94M</t>
  </si>
  <si>
    <t>-2.13%</t>
  </si>
  <si>
    <t>-1.10%</t>
  </si>
  <si>
    <t>4,21M</t>
  </si>
  <si>
    <t>-2.44%</t>
  </si>
  <si>
    <t>4,09M</t>
  </si>
  <si>
    <t>+3.08%</t>
  </si>
  <si>
    <t>+3.27%</t>
  </si>
  <si>
    <t>3,15M</t>
  </si>
  <si>
    <t>-1.67%</t>
  </si>
  <si>
    <t>3,63M</t>
  </si>
  <si>
    <t>+1.32%</t>
  </si>
  <si>
    <t>3,48M</t>
  </si>
  <si>
    <t>12,97M</t>
  </si>
  <si>
    <t>-6.81%</t>
  </si>
  <si>
    <t>3,21M</t>
  </si>
  <si>
    <t>+2.43%</t>
  </si>
  <si>
    <t>2,74M</t>
  </si>
  <si>
    <t>-4.88%</t>
  </si>
  <si>
    <t>-2.65%</t>
  </si>
  <si>
    <t>2,13M</t>
  </si>
  <si>
    <t>-1.66%</t>
  </si>
  <si>
    <t>2,11M</t>
  </si>
  <si>
    <t>-0.61%</t>
  </si>
  <si>
    <t>1,57M</t>
  </si>
  <si>
    <t>1,47M</t>
  </si>
  <si>
    <t>1,92M</t>
  </si>
  <si>
    <t>3,52M</t>
  </si>
  <si>
    <t>2,32M</t>
  </si>
  <si>
    <t>2,83M</t>
  </si>
  <si>
    <t>3,17M</t>
  </si>
  <si>
    <t>3,98M</t>
  </si>
  <si>
    <t>4,38M</t>
  </si>
  <si>
    <t>-2.37%</t>
  </si>
  <si>
    <t>4,40M</t>
  </si>
  <si>
    <t>5,01M</t>
  </si>
  <si>
    <t>-2.83%</t>
  </si>
  <si>
    <t>3,19M</t>
  </si>
  <si>
    <t>2,37M</t>
  </si>
  <si>
    <t>3,16M</t>
  </si>
  <si>
    <t>3,43M</t>
  </si>
  <si>
    <t>2,63M</t>
  </si>
  <si>
    <t>2,30M</t>
  </si>
  <si>
    <t>1,86M</t>
  </si>
  <si>
    <t>1,90M</t>
  </si>
  <si>
    <t>5,26M</t>
  </si>
  <si>
    <t>-3.43%</t>
  </si>
  <si>
    <t>3,18M</t>
  </si>
  <si>
    <t>4,12M</t>
  </si>
  <si>
    <t>2,91M</t>
  </si>
  <si>
    <t>-1.28%</t>
  </si>
  <si>
    <t>3,78M</t>
  </si>
  <si>
    <t>3,80M</t>
  </si>
  <si>
    <t>5,79M</t>
  </si>
  <si>
    <t>3,50M</t>
  </si>
  <si>
    <t>3,29M</t>
  </si>
  <si>
    <t>2,82M</t>
  </si>
  <si>
    <t>3,26M</t>
  </si>
  <si>
    <t>4,26M</t>
  </si>
  <si>
    <t>3,41M</t>
  </si>
  <si>
    <t>3,44M</t>
  </si>
  <si>
    <t>3,62M</t>
  </si>
  <si>
    <t>-5.82%</t>
  </si>
  <si>
    <t>-1.00%</t>
  </si>
  <si>
    <t>2,61M</t>
  </si>
  <si>
    <t>3,28M</t>
  </si>
  <si>
    <t>-5.15%</t>
  </si>
  <si>
    <t>2,69M</t>
  </si>
  <si>
    <t>+0.07%</t>
  </si>
  <si>
    <t>2,76M</t>
  </si>
  <si>
    <t>2,08M</t>
  </si>
  <si>
    <t>2,92M</t>
  </si>
  <si>
    <t>+1.84%</t>
  </si>
  <si>
    <t>1,63M</t>
  </si>
  <si>
    <t>7,72M</t>
  </si>
  <si>
    <t>3,02M</t>
  </si>
  <si>
    <t>2,93M</t>
  </si>
  <si>
    <t>-1.13%</t>
  </si>
  <si>
    <t>3,66M</t>
  </si>
  <si>
    <t>2,67M</t>
  </si>
  <si>
    <t>2,51M</t>
  </si>
  <si>
    <t>4,24M</t>
  </si>
  <si>
    <t>+1.72%</t>
  </si>
  <si>
    <t>2,73M</t>
  </si>
  <si>
    <t>4,35M</t>
  </si>
  <si>
    <t>7,35M</t>
  </si>
  <si>
    <t>+4.70%</t>
  </si>
  <si>
    <t>3,55M</t>
  </si>
  <si>
    <t>+1.93%</t>
  </si>
  <si>
    <t>2,53M</t>
  </si>
  <si>
    <t>+0.37%</t>
  </si>
  <si>
    <t>2,85M</t>
  </si>
  <si>
    <t>+2.01%</t>
  </si>
  <si>
    <t>2,03M</t>
  </si>
  <si>
    <t>3,77M</t>
  </si>
  <si>
    <t>3,12M</t>
  </si>
  <si>
    <t>2,16M</t>
  </si>
  <si>
    <t>+2.53%</t>
  </si>
  <si>
    <t>3,09M</t>
  </si>
  <si>
    <t>2,42M</t>
  </si>
  <si>
    <t>2,23M</t>
  </si>
  <si>
    <t>2,97M</t>
  </si>
  <si>
    <t>-1.38%</t>
  </si>
  <si>
    <t>1,68M</t>
  </si>
  <si>
    <t>2,35M</t>
  </si>
  <si>
    <t>2,21M</t>
  </si>
  <si>
    <t>+1.25%</t>
  </si>
  <si>
    <t>748,68K</t>
  </si>
  <si>
    <t>6,51M</t>
  </si>
  <si>
    <t>-1.56%</t>
  </si>
  <si>
    <t>1,96M</t>
  </si>
  <si>
    <t>+2.29%</t>
  </si>
  <si>
    <t>2,24M</t>
  </si>
  <si>
    <t>+2.46%</t>
  </si>
  <si>
    <t>2,48M</t>
  </si>
  <si>
    <t>2,26M</t>
  </si>
  <si>
    <t>-1.15%</t>
  </si>
  <si>
    <t>+2.77%</t>
  </si>
  <si>
    <t>4,01M</t>
  </si>
  <si>
    <t>-2.82%</t>
  </si>
  <si>
    <t>-5.77%</t>
  </si>
  <si>
    <t>2,10M</t>
  </si>
  <si>
    <t>-1.14%</t>
  </si>
  <si>
    <t>1,56M</t>
  </si>
  <si>
    <t>1,71M</t>
  </si>
  <si>
    <t>-0.58%</t>
  </si>
  <si>
    <t>3,53M</t>
  </si>
  <si>
    <t>-2.49%</t>
  </si>
  <si>
    <t>1,41M</t>
  </si>
  <si>
    <t>-1.73%</t>
  </si>
  <si>
    <t>3,08M</t>
  </si>
  <si>
    <t>+3.95%</t>
  </si>
  <si>
    <t>3,83M</t>
  </si>
  <si>
    <t>-1.77%</t>
  </si>
  <si>
    <t>-2.92%</t>
  </si>
  <si>
    <t>2,98M</t>
  </si>
  <si>
    <t>3,13M</t>
  </si>
  <si>
    <t>9,35M</t>
  </si>
  <si>
    <t>1,97M</t>
  </si>
  <si>
    <t>2,78M</t>
  </si>
  <si>
    <t>-1.88%</t>
  </si>
  <si>
    <t>3,49M</t>
  </si>
  <si>
    <t>+3.10%</t>
  </si>
  <si>
    <t>+2.49%</t>
  </si>
  <si>
    <t>-7.39%</t>
  </si>
  <si>
    <t>4,48M</t>
  </si>
  <si>
    <t>4,23M</t>
  </si>
  <si>
    <t>-3.37%</t>
  </si>
  <si>
    <t>2,33M</t>
  </si>
  <si>
    <t>-1.65%</t>
  </si>
  <si>
    <t>2,40M</t>
  </si>
  <si>
    <t>2,43M</t>
  </si>
  <si>
    <t>-2.85%</t>
  </si>
  <si>
    <t>3,85M</t>
  </si>
  <si>
    <t>4,59M</t>
  </si>
  <si>
    <t>4,52M</t>
  </si>
  <si>
    <t>-3.67%</t>
  </si>
  <si>
    <t>4,14M</t>
  </si>
  <si>
    <t>5,23M</t>
  </si>
  <si>
    <t>1,60M</t>
  </si>
  <si>
    <t>2,36M</t>
  </si>
  <si>
    <t>4,34M</t>
  </si>
  <si>
    <t>+3.74%</t>
  </si>
  <si>
    <t>+2.13%</t>
  </si>
  <si>
    <t>-2.64%</t>
  </si>
  <si>
    <t>-2.70%</t>
  </si>
  <si>
    <t xml:space="preserve">Moyenne 20 derniers </t>
  </si>
  <si>
    <t xml:space="preserve">Moyenne 40 derniers </t>
  </si>
  <si>
    <t>hausses</t>
  </si>
  <si>
    <t>valeurs hautes</t>
  </si>
  <si>
    <t xml:space="preserve">valeur baisses </t>
  </si>
  <si>
    <t xml:space="preserve">Moyennes hausses </t>
  </si>
  <si>
    <t>Ecart type +1</t>
  </si>
  <si>
    <t>bande sup</t>
  </si>
  <si>
    <t xml:space="preserve">bande inf </t>
  </si>
  <si>
    <t>-2.91%</t>
  </si>
  <si>
    <t>3,39M</t>
  </si>
  <si>
    <t>-2.12%</t>
  </si>
  <si>
    <t>+1.95%</t>
  </si>
  <si>
    <t>7,04M</t>
  </si>
  <si>
    <t>+5.75%</t>
  </si>
  <si>
    <t>4,55M</t>
  </si>
  <si>
    <t>-2.16%</t>
  </si>
  <si>
    <t>+3.84%</t>
  </si>
  <si>
    <t>-2.05%</t>
  </si>
  <si>
    <t>3,38M</t>
  </si>
  <si>
    <t>+2.08%</t>
  </si>
  <si>
    <t>4,37M</t>
  </si>
  <si>
    <t>4,58M</t>
  </si>
  <si>
    <t>3,23M</t>
  </si>
  <si>
    <t>4,62M</t>
  </si>
  <si>
    <t>3,60M</t>
  </si>
  <si>
    <t>6,08M</t>
  </si>
  <si>
    <t>-5.19%</t>
  </si>
  <si>
    <t>5,66M</t>
  </si>
  <si>
    <t>4,71M</t>
  </si>
  <si>
    <t>-3.03%</t>
  </si>
  <si>
    <t>4,41M</t>
  </si>
  <si>
    <t>6,16M</t>
  </si>
  <si>
    <t>8,72M</t>
  </si>
  <si>
    <t>+1.76%</t>
  </si>
  <si>
    <t>-3.52%</t>
  </si>
  <si>
    <t>22,09M</t>
  </si>
  <si>
    <t>-14.50%</t>
  </si>
  <si>
    <t>+1.41%</t>
  </si>
  <si>
    <t>-2.58%</t>
  </si>
  <si>
    <t>3,97M</t>
  </si>
  <si>
    <t>4,16M</t>
  </si>
  <si>
    <t>-1.89%</t>
  </si>
  <si>
    <t>11,67M</t>
  </si>
  <si>
    <t>-6.79%</t>
  </si>
  <si>
    <t>-1.74%</t>
  </si>
  <si>
    <t>3,45M</t>
  </si>
  <si>
    <t>+4.36%</t>
  </si>
  <si>
    <t>2,57M</t>
  </si>
  <si>
    <t>+2.83%</t>
  </si>
  <si>
    <t>3,32M</t>
  </si>
  <si>
    <t>-3.71%</t>
  </si>
  <si>
    <t>4,20M</t>
  </si>
  <si>
    <t>4,76M</t>
  </si>
  <si>
    <t>+3.89%</t>
  </si>
  <si>
    <t>-2.80%</t>
  </si>
  <si>
    <t>12,46M</t>
  </si>
  <si>
    <t>+10.37%</t>
  </si>
  <si>
    <t>+3.16%</t>
  </si>
  <si>
    <t>-6.05%</t>
  </si>
  <si>
    <t>-1.50%</t>
  </si>
  <si>
    <t>+2.06%</t>
  </si>
  <si>
    <t>3,06M</t>
  </si>
  <si>
    <t>4,28M</t>
  </si>
  <si>
    <t>+4.00%</t>
  </si>
  <si>
    <t>3,70M</t>
  </si>
  <si>
    <t>-2.63%</t>
  </si>
  <si>
    <t>+1.97%</t>
  </si>
  <si>
    <t>3,47M</t>
  </si>
  <si>
    <t>-2.71%</t>
  </si>
  <si>
    <t>1,89M</t>
  </si>
  <si>
    <t>+2.52%</t>
  </si>
  <si>
    <t>5,14M</t>
  </si>
  <si>
    <t>-1.99%</t>
  </si>
  <si>
    <t>-3.45%</t>
  </si>
  <si>
    <t>3,40M</t>
  </si>
  <si>
    <t>+4.20%</t>
  </si>
  <si>
    <t>3,22M</t>
  </si>
  <si>
    <t>+1.88%</t>
  </si>
  <si>
    <t>5,00M</t>
  </si>
  <si>
    <t>+3.76%</t>
  </si>
  <si>
    <t>4,81M</t>
  </si>
  <si>
    <t>-3.94%</t>
  </si>
  <si>
    <t>5,62M</t>
  </si>
  <si>
    <t>+4.05%</t>
  </si>
  <si>
    <t>4,02M</t>
  </si>
  <si>
    <t>3,90M</t>
  </si>
  <si>
    <t>2,96M</t>
  </si>
  <si>
    <t>9,54M</t>
  </si>
  <si>
    <t>4,66M</t>
  </si>
  <si>
    <t>+2.07%</t>
  </si>
  <si>
    <t>11,84M</t>
  </si>
  <si>
    <t>9,13M</t>
  </si>
  <si>
    <t>11,90M</t>
  </si>
  <si>
    <t>-7.57%</t>
  </si>
  <si>
    <t>5,81M</t>
  </si>
  <si>
    <t>6,70M</t>
  </si>
  <si>
    <t>-1.97%</t>
  </si>
  <si>
    <t>3,67M</t>
  </si>
  <si>
    <t>+1.98%</t>
  </si>
  <si>
    <t>3,20M</t>
  </si>
  <si>
    <t>4,98M</t>
  </si>
  <si>
    <t>-3.33%</t>
  </si>
  <si>
    <t>-3.92%</t>
  </si>
  <si>
    <t>-4.86%</t>
  </si>
  <si>
    <t>4,56M</t>
  </si>
  <si>
    <t>2,25M</t>
  </si>
  <si>
    <t>6,89M</t>
  </si>
  <si>
    <t>2,80M</t>
  </si>
  <si>
    <t>-2.79%</t>
  </si>
  <si>
    <t>-2.35%</t>
  </si>
  <si>
    <t>4,36M</t>
  </si>
  <si>
    <t>+2.69%</t>
  </si>
  <si>
    <t>3,96M</t>
  </si>
  <si>
    <t>-3.49%</t>
  </si>
  <si>
    <t>-3.02%</t>
  </si>
  <si>
    <t>9,75M</t>
  </si>
  <si>
    <t>-3.44%</t>
  </si>
  <si>
    <t>37,39M</t>
  </si>
  <si>
    <t>-17.96%</t>
  </si>
  <si>
    <t>3,11M</t>
  </si>
  <si>
    <t>-3.95%</t>
  </si>
  <si>
    <t>6,52M</t>
  </si>
  <si>
    <t>-0.70%</t>
  </si>
  <si>
    <t>+2.51%</t>
  </si>
  <si>
    <t>-2.20%</t>
  </si>
  <si>
    <t>1,82M</t>
  </si>
  <si>
    <t>-2.77%</t>
  </si>
  <si>
    <t>4,61M</t>
  </si>
  <si>
    <t>-4.63%</t>
  </si>
  <si>
    <t>704,56K</t>
  </si>
  <si>
    <t>979,71K</t>
  </si>
  <si>
    <t>968,06K</t>
  </si>
  <si>
    <t>3,71M</t>
  </si>
  <si>
    <t>2,28M</t>
  </si>
  <si>
    <t>963,69K</t>
  </si>
  <si>
    <t>3,94M</t>
  </si>
  <si>
    <t>-3.59%</t>
  </si>
  <si>
    <t>890,17K</t>
  </si>
  <si>
    <t>-1.36%</t>
  </si>
  <si>
    <t>688,65K</t>
  </si>
  <si>
    <t>4,19M</t>
  </si>
  <si>
    <t>9,00M</t>
  </si>
  <si>
    <t>-7.46%</t>
  </si>
  <si>
    <t>-4.28%</t>
  </si>
  <si>
    <t>-2.84%</t>
  </si>
  <si>
    <t>8,45M</t>
  </si>
  <si>
    <t>-3.91%</t>
  </si>
  <si>
    <t>5,31M</t>
  </si>
  <si>
    <t>986,75K</t>
  </si>
  <si>
    <t>-3.30%</t>
  </si>
  <si>
    <t>+6.01%</t>
  </si>
  <si>
    <t>+1.31%</t>
  </si>
  <si>
    <t>Moyenne des 20 premier</t>
  </si>
  <si>
    <t xml:space="preserve">moyenne des 40 pemiers </t>
  </si>
  <si>
    <t>Hausse</t>
  </si>
  <si>
    <t>baisse</t>
  </si>
  <si>
    <t>valerus hausses</t>
  </si>
  <si>
    <t xml:space="preserve">valeurs baisses </t>
  </si>
  <si>
    <t>moyenne hausse</t>
  </si>
  <si>
    <t>Moyennes baisses</t>
  </si>
  <si>
    <t>moyenne stochastique</t>
  </si>
  <si>
    <t>ecart type</t>
  </si>
  <si>
    <t>ecart type -1</t>
  </si>
  <si>
    <t>Bande sup</t>
  </si>
  <si>
    <t>Bande inf</t>
  </si>
  <si>
    <t>-2.45%</t>
  </si>
  <si>
    <t>-4.08%</t>
  </si>
  <si>
    <t>4,92M</t>
  </si>
  <si>
    <t>4,65M</t>
  </si>
  <si>
    <t>+4.04%</t>
  </si>
  <si>
    <t>4,94M</t>
  </si>
  <si>
    <t>+4.93%</t>
  </si>
  <si>
    <t>8,92M</t>
  </si>
  <si>
    <t>+7.53%</t>
  </si>
  <si>
    <t>16,21M</t>
  </si>
  <si>
    <t>-19.95%</t>
  </si>
  <si>
    <t>+6.64%</t>
  </si>
  <si>
    <t>7,28M</t>
  </si>
  <si>
    <t>+6.53%</t>
  </si>
  <si>
    <t>-3.60%</t>
  </si>
  <si>
    <t>-4.62%</t>
  </si>
  <si>
    <t>-5.96%</t>
  </si>
  <si>
    <t>2,72M</t>
  </si>
  <si>
    <t>+4.89%</t>
  </si>
  <si>
    <t>+2.24%</t>
  </si>
  <si>
    <t>-2.38%</t>
  </si>
  <si>
    <t>+4.54%</t>
  </si>
  <si>
    <t>+3.38%</t>
  </si>
  <si>
    <t>-4.36%</t>
  </si>
  <si>
    <t>+2.95%</t>
  </si>
  <si>
    <t>+3.64%</t>
  </si>
  <si>
    <t>+3.62%</t>
  </si>
  <si>
    <t>-2.87%</t>
  </si>
  <si>
    <t>11,43M</t>
  </si>
  <si>
    <t>+18.95%</t>
  </si>
  <si>
    <t>-4.25%</t>
  </si>
  <si>
    <t>+2.94%</t>
  </si>
  <si>
    <t>+2.62%</t>
  </si>
  <si>
    <t>4,44M</t>
  </si>
  <si>
    <t>+3.65%</t>
  </si>
  <si>
    <t>+2.10%</t>
  </si>
  <si>
    <t>4,00M</t>
  </si>
  <si>
    <t>-4.01%</t>
  </si>
  <si>
    <t>+3.29%</t>
  </si>
  <si>
    <t>-2.61%</t>
  </si>
  <si>
    <t>+3.39%</t>
  </si>
  <si>
    <t>3,57M</t>
  </si>
  <si>
    <t>+1.78%</t>
  </si>
  <si>
    <t>+2.88%</t>
  </si>
  <si>
    <t>+2.76%</t>
  </si>
  <si>
    <t>6,63M</t>
  </si>
  <si>
    <t>+4.26%</t>
  </si>
  <si>
    <t>9,01M</t>
  </si>
  <si>
    <t>+9.44%</t>
  </si>
  <si>
    <t>+5.12%</t>
  </si>
  <si>
    <t>+3.19%</t>
  </si>
  <si>
    <t>-6.69%</t>
  </si>
  <si>
    <t>-2.48%</t>
  </si>
  <si>
    <t>943,13K</t>
  </si>
  <si>
    <t>-3.50%</t>
  </si>
  <si>
    <t>5,97M</t>
  </si>
  <si>
    <t>+5.90%</t>
  </si>
  <si>
    <t>-2.32%</t>
  </si>
  <si>
    <t>-4.94%</t>
  </si>
  <si>
    <t>+2.18%</t>
  </si>
  <si>
    <t>+3.51%</t>
  </si>
  <si>
    <t>+3.77%</t>
  </si>
  <si>
    <t>-1.34%</t>
  </si>
  <si>
    <t>+4.02%</t>
  </si>
  <si>
    <t>-5.18%</t>
  </si>
  <si>
    <t>+3.45%</t>
  </si>
  <si>
    <t>+3.05%</t>
  </si>
  <si>
    <t>7,19M</t>
  </si>
  <si>
    <t>-5.72%</t>
  </si>
  <si>
    <t>12,05M</t>
  </si>
  <si>
    <t>-4.65%</t>
  </si>
  <si>
    <t>6,07M</t>
  </si>
  <si>
    <t>+3.91%</t>
  </si>
  <si>
    <t>+4.15%</t>
  </si>
  <si>
    <t>6,09M</t>
  </si>
  <si>
    <t>-2.60%</t>
  </si>
  <si>
    <t>+6.50%</t>
  </si>
  <si>
    <t>8,27M</t>
  </si>
  <si>
    <t>10,57M</t>
  </si>
  <si>
    <t>+4.21%</t>
  </si>
  <si>
    <t>13,06M</t>
  </si>
  <si>
    <t>+12.80%</t>
  </si>
  <si>
    <t>4,82M</t>
  </si>
  <si>
    <t>-2.24%</t>
  </si>
  <si>
    <t>4,73M</t>
  </si>
  <si>
    <t>+3.33%</t>
  </si>
  <si>
    <t>+3.87%</t>
  </si>
  <si>
    <t>-26.29%</t>
  </si>
  <si>
    <t>+40.06%</t>
  </si>
  <si>
    <t>2,90M</t>
  </si>
  <si>
    <t>+4.16%</t>
  </si>
  <si>
    <t>6,58M</t>
  </si>
  <si>
    <t>+6.73%</t>
  </si>
  <si>
    <t>6,36M</t>
  </si>
  <si>
    <t>+2.37%</t>
  </si>
  <si>
    <t>+5.76%</t>
  </si>
  <si>
    <t>3,95M</t>
  </si>
  <si>
    <t>+3.26%</t>
  </si>
  <si>
    <t>9,42M</t>
  </si>
  <si>
    <t>+9.27%</t>
  </si>
  <si>
    <t>6,83M</t>
  </si>
  <si>
    <t>-3.41%</t>
  </si>
  <si>
    <t>+3.66%</t>
  </si>
  <si>
    <t>4,86M</t>
  </si>
  <si>
    <t>3,93M</t>
  </si>
  <si>
    <t>+5.20%</t>
  </si>
  <si>
    <t>-6.40%</t>
  </si>
  <si>
    <t>3,89M</t>
  </si>
  <si>
    <t>+5.40%</t>
  </si>
  <si>
    <t>+2.89%</t>
  </si>
  <si>
    <t>3,68M</t>
  </si>
  <si>
    <t>-3.25%</t>
  </si>
  <si>
    <t>+9.34%</t>
  </si>
  <si>
    <t>-4.24%</t>
  </si>
  <si>
    <t>-2.46%</t>
  </si>
  <si>
    <t>5,46M</t>
  </si>
  <si>
    <t>3,01M</t>
  </si>
  <si>
    <t>+4.23%</t>
  </si>
  <si>
    <t>-2.50%</t>
  </si>
  <si>
    <t>7,71M</t>
  </si>
  <si>
    <t>-7.97%</t>
  </si>
  <si>
    <t>6,15M</t>
  </si>
  <si>
    <t>10,62M</t>
  </si>
  <si>
    <t>+7.55%</t>
  </si>
  <si>
    <t>14,94M</t>
  </si>
  <si>
    <t>+8.78%</t>
  </si>
  <si>
    <t>11,40M</t>
  </si>
  <si>
    <t>+2.91%</t>
  </si>
  <si>
    <t>8,26M</t>
  </si>
  <si>
    <t>+6.07%</t>
  </si>
  <si>
    <t>-3.00%</t>
  </si>
  <si>
    <t>+6.26%</t>
  </si>
  <si>
    <t>8,48M</t>
  </si>
  <si>
    <t>-2.25%</t>
  </si>
  <si>
    <t>12,62M</t>
  </si>
  <si>
    <t>+8.77%</t>
  </si>
  <si>
    <t>+6.42%</t>
  </si>
  <si>
    <t>8,11M</t>
  </si>
  <si>
    <t>-1.43%</t>
  </si>
  <si>
    <t>10,40M</t>
  </si>
  <si>
    <t>-0.83%</t>
  </si>
  <si>
    <t>20,75M</t>
  </si>
  <si>
    <t>+12.68%</t>
  </si>
  <si>
    <t>22,56M</t>
  </si>
  <si>
    <t>+9.02%</t>
  </si>
  <si>
    <t>39,85M</t>
  </si>
  <si>
    <t>-35.49%</t>
  </si>
  <si>
    <t>-1.75%</t>
  </si>
  <si>
    <t>-3.29%</t>
  </si>
  <si>
    <t>-3.42%</t>
  </si>
  <si>
    <t>-4.18%</t>
  </si>
  <si>
    <t>7,83M</t>
  </si>
  <si>
    <t>+1.39%</t>
  </si>
  <si>
    <t>-3.61%</t>
  </si>
  <si>
    <t>-3.27%</t>
  </si>
  <si>
    <t>+2.67%</t>
  </si>
  <si>
    <t>5,02M</t>
  </si>
  <si>
    <t>-3.07%</t>
  </si>
  <si>
    <t>5,22M</t>
  </si>
  <si>
    <t>13,53M</t>
  </si>
  <si>
    <t>-6.11%</t>
  </si>
  <si>
    <t>5,42M</t>
  </si>
  <si>
    <t>-5.67%</t>
  </si>
  <si>
    <t>5,93M</t>
  </si>
  <si>
    <t>6,24M</t>
  </si>
  <si>
    <t>+6.74%</t>
  </si>
  <si>
    <t>8,30M</t>
  </si>
  <si>
    <t>+2.30%</t>
  </si>
  <si>
    <t>12,73M</t>
  </si>
  <si>
    <t>34,21M</t>
  </si>
  <si>
    <t>-37.34%</t>
  </si>
  <si>
    <t>6,11M</t>
  </si>
  <si>
    <t>-2.10%</t>
  </si>
  <si>
    <t>626,48K</t>
  </si>
  <si>
    <t>-2.34%</t>
  </si>
  <si>
    <t>4,57M</t>
  </si>
  <si>
    <t>+3.32%</t>
  </si>
  <si>
    <t>-1.69%</t>
  </si>
  <si>
    <t>+2.98%</t>
  </si>
  <si>
    <t>+4.35%</t>
  </si>
  <si>
    <t>+1.34%</t>
  </si>
  <si>
    <t>-4.48%</t>
  </si>
  <si>
    <t>+1.26%</t>
  </si>
  <si>
    <t>-4.38%</t>
  </si>
  <si>
    <t>8,93M</t>
  </si>
  <si>
    <t>+5.10%</t>
  </si>
  <si>
    <t>-6.89%</t>
  </si>
  <si>
    <t>-3.63%</t>
  </si>
  <si>
    <t>-2.55%</t>
  </si>
  <si>
    <t>+3.11%</t>
  </si>
  <si>
    <t>5,59M</t>
  </si>
  <si>
    <t>-2.26%</t>
  </si>
  <si>
    <t>+3.88%</t>
  </si>
  <si>
    <t>+2.93%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</si>
</sst>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32526"/>
      <name val="Segoe UI"/>
      <family val="2"/>
    </font>
    <font>
      <b/>
      <sz val="11"/>
      <color rgb="FF23252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 readingOrder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 readingOrder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Graphique</a:t>
            </a:r>
            <a:r>
              <a:rPr lang="fr-FR" baseline="0"/>
              <a:t> RSI</a:t>
            </a:r>
            <a:endParaRPr lang="fr-FR"/>
          </a:p>
        </c:rich>
      </c:tx>
      <c:layout>
        <c:manualLayout>
          <c:xMode val="edge"/>
          <c:yMode val="edge"/>
          <c:x val="0.2699782135076253"/>
          <c:y val="2.41691842900302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2479886092669791E-2"/>
          <c:y val="0.16501558151152554"/>
          <c:w val="0.84780333830820165"/>
          <c:h val="0.66532372275217866"/>
        </c:manualLayout>
      </c:layout>
      <c:lineChart>
        <c:grouping val="standard"/>
        <c:varyColors val="0"/>
        <c:ser>
          <c:idx val="0"/>
          <c:order val="0"/>
          <c:tx>
            <c:strRef>
              <c:f>BMW!$U$1</c:f>
              <c:strCache>
                <c:ptCount val="1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BMW!$U$2:$U$16</c:f>
              <c:numCache>
                <c:formatCode>General</c:formatCode>
                <c:ptCount val="15"/>
                <c:pt idx="0">
                  <c:v>44.041450777201966</c:v>
                </c:pt>
                <c:pt idx="1">
                  <c:v>45.017182130584082</c:v>
                </c:pt>
                <c:pt idx="2">
                  <c:v>46.072684642438333</c:v>
                </c:pt>
                <c:pt idx="3">
                  <c:v>50.206327372764655</c:v>
                </c:pt>
                <c:pt idx="4">
                  <c:v>54.737666405638102</c:v>
                </c:pt>
                <c:pt idx="5">
                  <c:v>52.092830501450329</c:v>
                </c:pt>
                <c:pt idx="6">
                  <c:v>46.196251378169706</c:v>
                </c:pt>
                <c:pt idx="7">
                  <c:v>46.37362637362633</c:v>
                </c:pt>
                <c:pt idx="8">
                  <c:v>42.400000000000006</c:v>
                </c:pt>
                <c:pt idx="9">
                  <c:v>45.953757225433563</c:v>
                </c:pt>
                <c:pt idx="10">
                  <c:v>48.484848484848541</c:v>
                </c:pt>
                <c:pt idx="11">
                  <c:v>52.208201892744512</c:v>
                </c:pt>
                <c:pt idx="12">
                  <c:v>54.396055875102761</c:v>
                </c:pt>
                <c:pt idx="13">
                  <c:v>51.489868891537604</c:v>
                </c:pt>
                <c:pt idx="14">
                  <c:v>57.745016611295704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D-4EB2-A573-E6EE69429D44}"/>
            </c:ext>
          </c:extLst>
        </c:ser>
        <c:ser>
          <c:idx val="1"/>
          <c:order val="1"/>
          <c:tx>
            <c:strRef>
              <c:f>BMW!$V$1</c:f>
              <c:strCache>
                <c:ptCount val="1"/>
                <c:pt idx="0">
                  <c:v>RSI+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BMW!$V$2:$V$16</c:f>
              <c:numCache>
                <c:formatCode>General</c:formatCode>
                <c:ptCount val="15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58</c:v>
                </c:pt>
                <c:pt idx="4">
                  <c:v>58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58</c:v>
                </c:pt>
                <c:pt idx="10">
                  <c:v>58</c:v>
                </c:pt>
                <c:pt idx="11">
                  <c:v>58</c:v>
                </c:pt>
                <c:pt idx="12">
                  <c:v>58</c:v>
                </c:pt>
                <c:pt idx="13">
                  <c:v>58</c:v>
                </c:pt>
                <c:pt idx="1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D-4EB2-A573-E6EE69429D44}"/>
            </c:ext>
          </c:extLst>
        </c:ser>
        <c:ser>
          <c:idx val="2"/>
          <c:order val="2"/>
          <c:tx>
            <c:strRef>
              <c:f>BMW!$W$1</c:f>
              <c:strCache>
                <c:ptCount val="1"/>
                <c:pt idx="0">
                  <c:v>RSI-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BMW!$W$2:$W$16</c:f>
              <c:numCache>
                <c:formatCode>General</c:formatCode>
                <c:ptCount val="15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  <c:pt idx="12">
                  <c:v>42</c:v>
                </c:pt>
                <c:pt idx="13">
                  <c:v>42</c:v>
                </c:pt>
                <c:pt idx="14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1D-4EB2-A573-E6EE69429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019200"/>
        <c:axId val="592017280"/>
      </c:lineChart>
      <c:catAx>
        <c:axId val="59201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2017280"/>
        <c:crosses val="autoZero"/>
        <c:auto val="1"/>
        <c:lblAlgn val="ctr"/>
        <c:lblOffset val="100"/>
        <c:noMultiLvlLbl val="0"/>
      </c:catAx>
      <c:valAx>
        <c:axId val="59201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201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Graphique</a:t>
            </a:r>
            <a:r>
              <a:rPr lang="fr-FR" baseline="0"/>
              <a:t> Stochastique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350782984765895"/>
          <c:y val="0.14888986032498017"/>
          <c:w val="0.83060426387407393"/>
          <c:h val="0.66647954405299359"/>
        </c:manualLayout>
      </c:layout>
      <c:lineChart>
        <c:grouping val="standard"/>
        <c:varyColors val="0"/>
        <c:ser>
          <c:idx val="0"/>
          <c:order val="0"/>
          <c:tx>
            <c:strRef>
              <c:f>BMW!$AB$1</c:f>
              <c:strCache>
                <c:ptCount val="1"/>
                <c:pt idx="0">
                  <c:v>Stochastique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BMW!$AB$2:$AB$16</c:f>
              <c:numCache>
                <c:formatCode>General</c:formatCode>
                <c:ptCount val="15"/>
                <c:pt idx="0">
                  <c:v>46.30541871921168</c:v>
                </c:pt>
                <c:pt idx="1">
                  <c:v>47.43589743589704</c:v>
                </c:pt>
                <c:pt idx="2">
                  <c:v>61.403508771930049</c:v>
                </c:pt>
                <c:pt idx="3">
                  <c:v>10.569105691056569</c:v>
                </c:pt>
                <c:pt idx="4">
                  <c:v>76.033057851239761</c:v>
                </c:pt>
                <c:pt idx="5">
                  <c:v>48.484848484847703</c:v>
                </c:pt>
                <c:pt idx="6">
                  <c:v>84.955752212389271</c:v>
                </c:pt>
                <c:pt idx="7">
                  <c:v>94.186046511627822</c:v>
                </c:pt>
                <c:pt idx="8">
                  <c:v>0</c:v>
                </c:pt>
                <c:pt idx="9">
                  <c:v>81.538461538461007</c:v>
                </c:pt>
                <c:pt idx="10">
                  <c:v>68.918918918918465</c:v>
                </c:pt>
                <c:pt idx="11">
                  <c:v>5.0955414012737759</c:v>
                </c:pt>
                <c:pt idx="12">
                  <c:v>98.437500000000313</c:v>
                </c:pt>
                <c:pt idx="13">
                  <c:v>33.093525179856165</c:v>
                </c:pt>
                <c:pt idx="14">
                  <c:v>14.814814814814458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F2-4618-BD09-B7A041AC1121}"/>
            </c:ext>
          </c:extLst>
        </c:ser>
        <c:ser>
          <c:idx val="1"/>
          <c:order val="1"/>
          <c:tx>
            <c:strRef>
              <c:f>BMW!$AC$1</c:f>
              <c:strCache>
                <c:ptCount val="1"/>
                <c:pt idx="0">
                  <c:v>Moyenne stochastiques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BMW!$AC$2:$AC$16</c:f>
              <c:numCache>
                <c:formatCode>General</c:formatCode>
                <c:ptCount val="15"/>
                <c:pt idx="0">
                  <c:v>51.418159835434942</c:v>
                </c:pt>
                <c:pt idx="1">
                  <c:v>51.783355629450895</c:v>
                </c:pt>
                <c:pt idx="2">
                  <c:v>52.117775490493493</c:v>
                </c:pt>
                <c:pt idx="3">
                  <c:v>51.34396438370711</c:v>
                </c:pt>
                <c:pt idx="4">
                  <c:v>55.050769719402609</c:v>
                </c:pt>
                <c:pt idx="5">
                  <c:v>52.952540906218893</c:v>
                </c:pt>
                <c:pt idx="6">
                  <c:v>53.448951175260135</c:v>
                </c:pt>
                <c:pt idx="7">
                  <c:v>49.510601045618998</c:v>
                </c:pt>
                <c:pt idx="8">
                  <c:v>43.12839455047488</c:v>
                </c:pt>
                <c:pt idx="9">
                  <c:v>50.316460308887365</c:v>
                </c:pt>
                <c:pt idx="10">
                  <c:v>44.072060062972632</c:v>
                </c:pt>
                <c:pt idx="11">
                  <c:v>37.860345348986179</c:v>
                </c:pt>
                <c:pt idx="12">
                  <c:v>48.781946664890313</c:v>
                </c:pt>
                <c:pt idx="13">
                  <c:v>23.954169997335313</c:v>
                </c:pt>
                <c:pt idx="14">
                  <c:v>14.814814814814458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F2-4618-BD09-B7A041AC1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112976"/>
        <c:axId val="511699008"/>
      </c:lineChart>
      <c:catAx>
        <c:axId val="2081112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1699008"/>
        <c:crosses val="autoZero"/>
        <c:auto val="1"/>
        <c:lblAlgn val="ctr"/>
        <c:lblOffset val="100"/>
        <c:noMultiLvlLbl val="0"/>
      </c:catAx>
      <c:valAx>
        <c:axId val="51169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111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Moyenne</a:t>
            </a:r>
            <a:r>
              <a:rPr lang="fr-FR" baseline="0"/>
              <a:t> des prix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5138811873867877E-2"/>
          <c:y val="8.0924855491329481E-2"/>
          <c:w val="0.90730250268012269"/>
          <c:h val="0.75102868003527767"/>
        </c:manualLayout>
      </c:layout>
      <c:lineChart>
        <c:grouping val="standard"/>
        <c:varyColors val="0"/>
        <c:ser>
          <c:idx val="0"/>
          <c:order val="0"/>
          <c:tx>
            <c:strRef>
              <c:f>BMW!$I$1</c:f>
              <c:strCache>
                <c:ptCount val="1"/>
                <c:pt idx="0">
                  <c:v>Moyenne des 20 premiers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BMW!$I$2:$I$532</c:f>
              <c:numCache>
                <c:formatCode>General</c:formatCode>
                <c:ptCount val="531"/>
                <c:pt idx="0">
                  <c:v>77.829499999999982</c:v>
                </c:pt>
                <c:pt idx="1">
                  <c:v>77.849999999999994</c:v>
                </c:pt>
                <c:pt idx="2">
                  <c:v>77.837999999999994</c:v>
                </c:pt>
                <c:pt idx="3">
                  <c:v>77.796999999999997</c:v>
                </c:pt>
                <c:pt idx="4">
                  <c:v>77.796999999999997</c:v>
                </c:pt>
                <c:pt idx="5">
                  <c:v>77.692000000000007</c:v>
                </c:pt>
                <c:pt idx="6">
                  <c:v>77.713999999999999</c:v>
                </c:pt>
                <c:pt idx="7">
                  <c:v>77.799000000000007</c:v>
                </c:pt>
                <c:pt idx="8">
                  <c:v>77.952999999999989</c:v>
                </c:pt>
                <c:pt idx="9">
                  <c:v>77.843999999999994</c:v>
                </c:pt>
                <c:pt idx="10">
                  <c:v>77.754999999999995</c:v>
                </c:pt>
                <c:pt idx="11">
                  <c:v>77.739000000000004</c:v>
                </c:pt>
                <c:pt idx="12">
                  <c:v>77.715999999999994</c:v>
                </c:pt>
                <c:pt idx="13">
                  <c:v>77.510999999999996</c:v>
                </c:pt>
                <c:pt idx="14">
                  <c:v>77.447999999999993</c:v>
                </c:pt>
                <c:pt idx="15">
                  <c:v>77.442999999999984</c:v>
                </c:pt>
                <c:pt idx="16">
                  <c:v>77.431999999999988</c:v>
                </c:pt>
                <c:pt idx="17">
                  <c:v>77.457999999999984</c:v>
                </c:pt>
                <c:pt idx="18">
                  <c:v>77.376000000000005</c:v>
                </c:pt>
                <c:pt idx="19">
                  <c:v>77.528999999999982</c:v>
                </c:pt>
                <c:pt idx="20">
                  <c:v>77.715999999999994</c:v>
                </c:pt>
                <c:pt idx="21">
                  <c:v>77.787999999999997</c:v>
                </c:pt>
                <c:pt idx="22">
                  <c:v>77.973000000000027</c:v>
                </c:pt>
                <c:pt idx="23">
                  <c:v>78.122000000000014</c:v>
                </c:pt>
                <c:pt idx="24">
                  <c:v>78.165000000000006</c:v>
                </c:pt>
                <c:pt idx="25">
                  <c:v>78.149000000000015</c:v>
                </c:pt>
                <c:pt idx="26">
                  <c:v>77.983000000000018</c:v>
                </c:pt>
                <c:pt idx="27">
                  <c:v>77.63000000000001</c:v>
                </c:pt>
                <c:pt idx="28">
                  <c:v>77.234000000000009</c:v>
                </c:pt>
                <c:pt idx="29">
                  <c:v>76.914000000000016</c:v>
                </c:pt>
                <c:pt idx="30">
                  <c:v>76.455000000000013</c:v>
                </c:pt>
                <c:pt idx="31">
                  <c:v>75.926000000000016</c:v>
                </c:pt>
                <c:pt idx="32">
                  <c:v>75.433000000000021</c:v>
                </c:pt>
                <c:pt idx="33">
                  <c:v>75.051000000000016</c:v>
                </c:pt>
                <c:pt idx="34">
                  <c:v>74.562000000000012</c:v>
                </c:pt>
                <c:pt idx="35">
                  <c:v>74.095000000000013</c:v>
                </c:pt>
                <c:pt idx="36">
                  <c:v>73.62</c:v>
                </c:pt>
                <c:pt idx="37">
                  <c:v>73.155000000000001</c:v>
                </c:pt>
                <c:pt idx="38">
                  <c:v>72.709999999999994</c:v>
                </c:pt>
                <c:pt idx="39">
                  <c:v>72.097999999999999</c:v>
                </c:pt>
                <c:pt idx="40">
                  <c:v>71.480999999999995</c:v>
                </c:pt>
                <c:pt idx="41">
                  <c:v>70.855000000000004</c:v>
                </c:pt>
                <c:pt idx="42">
                  <c:v>70.231999999999999</c:v>
                </c:pt>
                <c:pt idx="43">
                  <c:v>69.664000000000001</c:v>
                </c:pt>
                <c:pt idx="44">
                  <c:v>69.180999999999997</c:v>
                </c:pt>
                <c:pt idx="45">
                  <c:v>68.911999999999992</c:v>
                </c:pt>
                <c:pt idx="46">
                  <c:v>68.631999999999977</c:v>
                </c:pt>
                <c:pt idx="47">
                  <c:v>68.672999999999973</c:v>
                </c:pt>
                <c:pt idx="48">
                  <c:v>68.713999999999999</c:v>
                </c:pt>
                <c:pt idx="49">
                  <c:v>68.871000000000009</c:v>
                </c:pt>
                <c:pt idx="50">
                  <c:v>69.040999999999997</c:v>
                </c:pt>
                <c:pt idx="51">
                  <c:v>69.293000000000006</c:v>
                </c:pt>
                <c:pt idx="52">
                  <c:v>69.584000000000017</c:v>
                </c:pt>
                <c:pt idx="53">
                  <c:v>69.89500000000001</c:v>
                </c:pt>
                <c:pt idx="54">
                  <c:v>70.305000000000007</c:v>
                </c:pt>
                <c:pt idx="55">
                  <c:v>70.731999999999999</c:v>
                </c:pt>
                <c:pt idx="56">
                  <c:v>71.085000000000008</c:v>
                </c:pt>
                <c:pt idx="57">
                  <c:v>71.393000000000001</c:v>
                </c:pt>
                <c:pt idx="58">
                  <c:v>71.700999999999993</c:v>
                </c:pt>
                <c:pt idx="59">
                  <c:v>72.059999999999988</c:v>
                </c:pt>
                <c:pt idx="60">
                  <c:v>72.415999999999997</c:v>
                </c:pt>
                <c:pt idx="61">
                  <c:v>72.85499999999999</c:v>
                </c:pt>
                <c:pt idx="62">
                  <c:v>73.25800000000001</c:v>
                </c:pt>
                <c:pt idx="63">
                  <c:v>73.677999999999997</c:v>
                </c:pt>
                <c:pt idx="64">
                  <c:v>74.087999999999994</c:v>
                </c:pt>
                <c:pt idx="65">
                  <c:v>74.429000000000002</c:v>
                </c:pt>
                <c:pt idx="66">
                  <c:v>74.897000000000006</c:v>
                </c:pt>
                <c:pt idx="67">
                  <c:v>75.079000000000008</c:v>
                </c:pt>
                <c:pt idx="68">
                  <c:v>75.335999999999999</c:v>
                </c:pt>
                <c:pt idx="69">
                  <c:v>75.566000000000003</c:v>
                </c:pt>
                <c:pt idx="70">
                  <c:v>75.771000000000001</c:v>
                </c:pt>
                <c:pt idx="71">
                  <c:v>75.97999999999999</c:v>
                </c:pt>
                <c:pt idx="72">
                  <c:v>76.151999999999987</c:v>
                </c:pt>
                <c:pt idx="73">
                  <c:v>76.335000000000008</c:v>
                </c:pt>
                <c:pt idx="74">
                  <c:v>76.592000000000013</c:v>
                </c:pt>
                <c:pt idx="75">
                  <c:v>76.695000000000022</c:v>
                </c:pt>
                <c:pt idx="76">
                  <c:v>76.700000000000017</c:v>
                </c:pt>
                <c:pt idx="77">
                  <c:v>76.844999999999999</c:v>
                </c:pt>
                <c:pt idx="78">
                  <c:v>76.873000000000005</c:v>
                </c:pt>
                <c:pt idx="79">
                  <c:v>76.800000000000011</c:v>
                </c:pt>
                <c:pt idx="80">
                  <c:v>76.869000000000028</c:v>
                </c:pt>
                <c:pt idx="81">
                  <c:v>76.858000000000018</c:v>
                </c:pt>
                <c:pt idx="82">
                  <c:v>76.740000000000009</c:v>
                </c:pt>
                <c:pt idx="83">
                  <c:v>76.554000000000016</c:v>
                </c:pt>
                <c:pt idx="84">
                  <c:v>76.431000000000012</c:v>
                </c:pt>
                <c:pt idx="85">
                  <c:v>76.167000000000002</c:v>
                </c:pt>
                <c:pt idx="86">
                  <c:v>75.86099999999999</c:v>
                </c:pt>
                <c:pt idx="87">
                  <c:v>75.496999999999986</c:v>
                </c:pt>
                <c:pt idx="88">
                  <c:v>75.486999999999995</c:v>
                </c:pt>
                <c:pt idx="89">
                  <c:v>75.509</c:v>
                </c:pt>
                <c:pt idx="90">
                  <c:v>75.703000000000003</c:v>
                </c:pt>
                <c:pt idx="91">
                  <c:v>75.84899999999999</c:v>
                </c:pt>
                <c:pt idx="92">
                  <c:v>76.039999999999992</c:v>
                </c:pt>
                <c:pt idx="93">
                  <c:v>76.238000000000014</c:v>
                </c:pt>
                <c:pt idx="94">
                  <c:v>76.372</c:v>
                </c:pt>
                <c:pt idx="95">
                  <c:v>76.637999999999991</c:v>
                </c:pt>
                <c:pt idx="96">
                  <c:v>77.031999999999996</c:v>
                </c:pt>
                <c:pt idx="97">
                  <c:v>77.364999999999995</c:v>
                </c:pt>
                <c:pt idx="98">
                  <c:v>77.832999999999998</c:v>
                </c:pt>
                <c:pt idx="99">
                  <c:v>78.373999999999995</c:v>
                </c:pt>
                <c:pt idx="100">
                  <c:v>78.727999999999994</c:v>
                </c:pt>
                <c:pt idx="101">
                  <c:v>79.179999999999978</c:v>
                </c:pt>
                <c:pt idx="102">
                  <c:v>79.667000000000002</c:v>
                </c:pt>
                <c:pt idx="103">
                  <c:v>80.177000000000007</c:v>
                </c:pt>
                <c:pt idx="104">
                  <c:v>80.598000000000013</c:v>
                </c:pt>
                <c:pt idx="105">
                  <c:v>81.104000000000013</c:v>
                </c:pt>
                <c:pt idx="106">
                  <c:v>81.551999999999992</c:v>
                </c:pt>
                <c:pt idx="107">
                  <c:v>82.068999999999988</c:v>
                </c:pt>
                <c:pt idx="108">
                  <c:v>82.135999999999996</c:v>
                </c:pt>
                <c:pt idx="109">
                  <c:v>82.210999999999999</c:v>
                </c:pt>
                <c:pt idx="110">
                  <c:v>82.186999999999983</c:v>
                </c:pt>
                <c:pt idx="111">
                  <c:v>82.179999999999993</c:v>
                </c:pt>
                <c:pt idx="112">
                  <c:v>82.078999999999994</c:v>
                </c:pt>
                <c:pt idx="113">
                  <c:v>81.912999999999997</c:v>
                </c:pt>
                <c:pt idx="114">
                  <c:v>81.825000000000003</c:v>
                </c:pt>
                <c:pt idx="115">
                  <c:v>81.792000000000002</c:v>
                </c:pt>
                <c:pt idx="116">
                  <c:v>81.905999999999992</c:v>
                </c:pt>
                <c:pt idx="117">
                  <c:v>82.004999999999995</c:v>
                </c:pt>
                <c:pt idx="118">
                  <c:v>82.093999999999994</c:v>
                </c:pt>
                <c:pt idx="119">
                  <c:v>82.248999999999995</c:v>
                </c:pt>
                <c:pt idx="120">
                  <c:v>82.49799999999999</c:v>
                </c:pt>
                <c:pt idx="121">
                  <c:v>82.774999999999991</c:v>
                </c:pt>
                <c:pt idx="122">
                  <c:v>83.142999999999986</c:v>
                </c:pt>
                <c:pt idx="123">
                  <c:v>83.552999999999983</c:v>
                </c:pt>
                <c:pt idx="124">
                  <c:v>83.939999999999984</c:v>
                </c:pt>
                <c:pt idx="125">
                  <c:v>84.431999999999988</c:v>
                </c:pt>
                <c:pt idx="126">
                  <c:v>84.915000000000006</c:v>
                </c:pt>
                <c:pt idx="127">
                  <c:v>85.393000000000001</c:v>
                </c:pt>
                <c:pt idx="128">
                  <c:v>85.935000000000002</c:v>
                </c:pt>
                <c:pt idx="129">
                  <c:v>86.559000000000012</c:v>
                </c:pt>
                <c:pt idx="130">
                  <c:v>87.118000000000009</c:v>
                </c:pt>
                <c:pt idx="131">
                  <c:v>87.573000000000008</c:v>
                </c:pt>
                <c:pt idx="132">
                  <c:v>87.981000000000009</c:v>
                </c:pt>
                <c:pt idx="133">
                  <c:v>88.346000000000004</c:v>
                </c:pt>
                <c:pt idx="134">
                  <c:v>88.628000000000014</c:v>
                </c:pt>
                <c:pt idx="135">
                  <c:v>88.876000000000019</c:v>
                </c:pt>
                <c:pt idx="136">
                  <c:v>89.007000000000019</c:v>
                </c:pt>
                <c:pt idx="137">
                  <c:v>89.070000000000007</c:v>
                </c:pt>
                <c:pt idx="138">
                  <c:v>89.198000000000008</c:v>
                </c:pt>
                <c:pt idx="139">
                  <c:v>89.239000000000004</c:v>
                </c:pt>
                <c:pt idx="140">
                  <c:v>89.234000000000009</c:v>
                </c:pt>
                <c:pt idx="141">
                  <c:v>89.176999999999992</c:v>
                </c:pt>
                <c:pt idx="142">
                  <c:v>89.188000000000002</c:v>
                </c:pt>
                <c:pt idx="143">
                  <c:v>89.124000000000024</c:v>
                </c:pt>
                <c:pt idx="144">
                  <c:v>89.013000000000005</c:v>
                </c:pt>
                <c:pt idx="145">
                  <c:v>88.866000000000014</c:v>
                </c:pt>
                <c:pt idx="146">
                  <c:v>88.807999999999993</c:v>
                </c:pt>
                <c:pt idx="147">
                  <c:v>88.742999999999981</c:v>
                </c:pt>
                <c:pt idx="148">
                  <c:v>88.655999999999992</c:v>
                </c:pt>
                <c:pt idx="149">
                  <c:v>88.391999999999982</c:v>
                </c:pt>
                <c:pt idx="150">
                  <c:v>88.254999999999981</c:v>
                </c:pt>
                <c:pt idx="151">
                  <c:v>88.293000000000006</c:v>
                </c:pt>
                <c:pt idx="152">
                  <c:v>88.463999999999984</c:v>
                </c:pt>
                <c:pt idx="153">
                  <c:v>88.672999999999988</c:v>
                </c:pt>
                <c:pt idx="154">
                  <c:v>88.847000000000008</c:v>
                </c:pt>
                <c:pt idx="155">
                  <c:v>89.013999999999982</c:v>
                </c:pt>
                <c:pt idx="156">
                  <c:v>89.163000000000011</c:v>
                </c:pt>
                <c:pt idx="157">
                  <c:v>89.364000000000004</c:v>
                </c:pt>
                <c:pt idx="158">
                  <c:v>89.570000000000022</c:v>
                </c:pt>
                <c:pt idx="159">
                  <c:v>89.810000000000016</c:v>
                </c:pt>
                <c:pt idx="160">
                  <c:v>90.034999999999997</c:v>
                </c:pt>
                <c:pt idx="161">
                  <c:v>90.227999999999994</c:v>
                </c:pt>
                <c:pt idx="162">
                  <c:v>90.405999999999992</c:v>
                </c:pt>
                <c:pt idx="163">
                  <c:v>90.608999999999995</c:v>
                </c:pt>
                <c:pt idx="164">
                  <c:v>90.887999999999991</c:v>
                </c:pt>
                <c:pt idx="165">
                  <c:v>91.10499999999999</c:v>
                </c:pt>
                <c:pt idx="166">
                  <c:v>91.337999999999994</c:v>
                </c:pt>
                <c:pt idx="167">
                  <c:v>91.699999999999974</c:v>
                </c:pt>
                <c:pt idx="168">
                  <c:v>92.045999999999978</c:v>
                </c:pt>
                <c:pt idx="169">
                  <c:v>92.501999999999995</c:v>
                </c:pt>
                <c:pt idx="170">
                  <c:v>92.912000000000006</c:v>
                </c:pt>
                <c:pt idx="171">
                  <c:v>93.544000000000011</c:v>
                </c:pt>
                <c:pt idx="172">
                  <c:v>94.175500000000014</c:v>
                </c:pt>
                <c:pt idx="173">
                  <c:v>94.75800000000001</c:v>
                </c:pt>
                <c:pt idx="174">
                  <c:v>95.278999999999996</c:v>
                </c:pt>
                <c:pt idx="175">
                  <c:v>95.786500000000018</c:v>
                </c:pt>
                <c:pt idx="176">
                  <c:v>96.273000000000025</c:v>
                </c:pt>
                <c:pt idx="177">
                  <c:v>96.881000000000014</c:v>
                </c:pt>
                <c:pt idx="178">
                  <c:v>97.370500000000021</c:v>
                </c:pt>
                <c:pt idx="179">
                  <c:v>97.836500000000015</c:v>
                </c:pt>
                <c:pt idx="180">
                  <c:v>98.304000000000016</c:v>
                </c:pt>
                <c:pt idx="181">
                  <c:v>98.83550000000001</c:v>
                </c:pt>
                <c:pt idx="182">
                  <c:v>99.485500000000002</c:v>
                </c:pt>
                <c:pt idx="183">
                  <c:v>100.12050000000002</c:v>
                </c:pt>
                <c:pt idx="184">
                  <c:v>100.73100000000002</c:v>
                </c:pt>
                <c:pt idx="185">
                  <c:v>101.4225</c:v>
                </c:pt>
                <c:pt idx="186">
                  <c:v>102.08500000000001</c:v>
                </c:pt>
                <c:pt idx="187">
                  <c:v>102.6365</c:v>
                </c:pt>
                <c:pt idx="188">
                  <c:v>103.179</c:v>
                </c:pt>
                <c:pt idx="189">
                  <c:v>103.72549999999998</c:v>
                </c:pt>
                <c:pt idx="190">
                  <c:v>104.2</c:v>
                </c:pt>
                <c:pt idx="191">
                  <c:v>104.37749999999998</c:v>
                </c:pt>
                <c:pt idx="192">
                  <c:v>104.675</c:v>
                </c:pt>
                <c:pt idx="193">
                  <c:v>105.00250000000001</c:v>
                </c:pt>
                <c:pt idx="194">
                  <c:v>105.5175</c:v>
                </c:pt>
                <c:pt idx="195">
                  <c:v>106.00999999999999</c:v>
                </c:pt>
                <c:pt idx="196">
                  <c:v>106.64500000000001</c:v>
                </c:pt>
                <c:pt idx="197">
                  <c:v>107.17249999999999</c:v>
                </c:pt>
                <c:pt idx="198">
                  <c:v>107.64500000000001</c:v>
                </c:pt>
                <c:pt idx="199">
                  <c:v>108.255</c:v>
                </c:pt>
                <c:pt idx="200">
                  <c:v>108.75</c:v>
                </c:pt>
                <c:pt idx="201">
                  <c:v>108.96000000000001</c:v>
                </c:pt>
                <c:pt idx="202">
                  <c:v>108.968</c:v>
                </c:pt>
                <c:pt idx="203">
                  <c:v>108.95599999999999</c:v>
                </c:pt>
                <c:pt idx="204">
                  <c:v>109.03150000000001</c:v>
                </c:pt>
                <c:pt idx="205">
                  <c:v>109.01599999999999</c:v>
                </c:pt>
                <c:pt idx="206">
                  <c:v>108.89949999999999</c:v>
                </c:pt>
                <c:pt idx="207">
                  <c:v>108.84700000000002</c:v>
                </c:pt>
                <c:pt idx="208">
                  <c:v>108.87250000000002</c:v>
                </c:pt>
                <c:pt idx="209">
                  <c:v>108.881</c:v>
                </c:pt>
                <c:pt idx="210">
                  <c:v>108.88250000000001</c:v>
                </c:pt>
                <c:pt idx="211">
                  <c:v>108.84399999999998</c:v>
                </c:pt>
                <c:pt idx="212">
                  <c:v>108.61899999999999</c:v>
                </c:pt>
                <c:pt idx="213">
                  <c:v>108.569</c:v>
                </c:pt>
                <c:pt idx="214">
                  <c:v>108.46300000000001</c:v>
                </c:pt>
                <c:pt idx="215">
                  <c:v>108.23200000000001</c:v>
                </c:pt>
                <c:pt idx="216">
                  <c:v>107.89649999999997</c:v>
                </c:pt>
                <c:pt idx="217">
                  <c:v>107.50699999999999</c:v>
                </c:pt>
                <c:pt idx="218">
                  <c:v>107.26700000000001</c:v>
                </c:pt>
                <c:pt idx="219">
                  <c:v>107.00000000000003</c:v>
                </c:pt>
                <c:pt idx="220">
                  <c:v>106.90449999999998</c:v>
                </c:pt>
                <c:pt idx="221">
                  <c:v>107.06200000000001</c:v>
                </c:pt>
                <c:pt idx="222">
                  <c:v>107.175</c:v>
                </c:pt>
                <c:pt idx="223">
                  <c:v>107.32500000000002</c:v>
                </c:pt>
                <c:pt idx="224">
                  <c:v>107.38100000000001</c:v>
                </c:pt>
                <c:pt idx="225">
                  <c:v>107.44300000000001</c:v>
                </c:pt>
                <c:pt idx="226">
                  <c:v>107.57300000000001</c:v>
                </c:pt>
                <c:pt idx="227">
                  <c:v>107.58700000000002</c:v>
                </c:pt>
                <c:pt idx="228">
                  <c:v>107.48400000000001</c:v>
                </c:pt>
                <c:pt idx="229">
                  <c:v>107.21900000000001</c:v>
                </c:pt>
                <c:pt idx="230">
                  <c:v>107.06100000000001</c:v>
                </c:pt>
                <c:pt idx="231">
                  <c:v>106.982</c:v>
                </c:pt>
                <c:pt idx="232">
                  <c:v>106.85299999999999</c:v>
                </c:pt>
                <c:pt idx="233">
                  <c:v>106.48599999999999</c:v>
                </c:pt>
                <c:pt idx="234">
                  <c:v>106.04099999999998</c:v>
                </c:pt>
                <c:pt idx="235">
                  <c:v>105.80399999999997</c:v>
                </c:pt>
                <c:pt idx="236">
                  <c:v>105.54699999999998</c:v>
                </c:pt>
                <c:pt idx="237">
                  <c:v>105.29699999999998</c:v>
                </c:pt>
                <c:pt idx="238">
                  <c:v>104.869</c:v>
                </c:pt>
                <c:pt idx="239">
                  <c:v>104.279</c:v>
                </c:pt>
                <c:pt idx="240">
                  <c:v>103.6105</c:v>
                </c:pt>
                <c:pt idx="241">
                  <c:v>103.01949999999999</c:v>
                </c:pt>
                <c:pt idx="242">
                  <c:v>102.41000000000001</c:v>
                </c:pt>
                <c:pt idx="243">
                  <c:v>101.791</c:v>
                </c:pt>
                <c:pt idx="244">
                  <c:v>101.15700000000001</c:v>
                </c:pt>
                <c:pt idx="245">
                  <c:v>100.52850000000001</c:v>
                </c:pt>
                <c:pt idx="246">
                  <c:v>99.931000000000012</c:v>
                </c:pt>
                <c:pt idx="247">
                  <c:v>99.361500000000007</c:v>
                </c:pt>
                <c:pt idx="248">
                  <c:v>98.823999999999998</c:v>
                </c:pt>
                <c:pt idx="249">
                  <c:v>98.410999999999987</c:v>
                </c:pt>
                <c:pt idx="250">
                  <c:v>97.93549999999999</c:v>
                </c:pt>
                <c:pt idx="251">
                  <c:v>97.345499999999987</c:v>
                </c:pt>
                <c:pt idx="252">
                  <c:v>96.867499999999978</c:v>
                </c:pt>
                <c:pt idx="253">
                  <c:v>96.448499999999996</c:v>
                </c:pt>
                <c:pt idx="254">
                  <c:v>96.192499999999981</c:v>
                </c:pt>
                <c:pt idx="255">
                  <c:v>95.861499999999978</c:v>
                </c:pt>
                <c:pt idx="256">
                  <c:v>95.603999999999971</c:v>
                </c:pt>
                <c:pt idx="257">
                  <c:v>95.428999999999974</c:v>
                </c:pt>
                <c:pt idx="258">
                  <c:v>95.466999999999985</c:v>
                </c:pt>
                <c:pt idx="259">
                  <c:v>95.629999999999981</c:v>
                </c:pt>
                <c:pt idx="260">
                  <c:v>95.861499999999978</c:v>
                </c:pt>
                <c:pt idx="261">
                  <c:v>95.995499999999993</c:v>
                </c:pt>
                <c:pt idx="262">
                  <c:v>96.193999999999988</c:v>
                </c:pt>
                <c:pt idx="263">
                  <c:v>96.330500000000001</c:v>
                </c:pt>
                <c:pt idx="264">
                  <c:v>96.669499999999999</c:v>
                </c:pt>
                <c:pt idx="265">
                  <c:v>96.962999999999994</c:v>
                </c:pt>
                <c:pt idx="266">
                  <c:v>97.246499999999997</c:v>
                </c:pt>
                <c:pt idx="267">
                  <c:v>97.582000000000022</c:v>
                </c:pt>
                <c:pt idx="268">
                  <c:v>97.936500000000009</c:v>
                </c:pt>
                <c:pt idx="269">
                  <c:v>98.236000000000018</c:v>
                </c:pt>
                <c:pt idx="270">
                  <c:v>98.591500000000025</c:v>
                </c:pt>
                <c:pt idx="271">
                  <c:v>99.020500000000013</c:v>
                </c:pt>
                <c:pt idx="272">
                  <c:v>99.418500000000023</c:v>
                </c:pt>
                <c:pt idx="273">
                  <c:v>99.932500000000005</c:v>
                </c:pt>
                <c:pt idx="274">
                  <c:v>100.27150000000002</c:v>
                </c:pt>
                <c:pt idx="275">
                  <c:v>100.47999999999999</c:v>
                </c:pt>
                <c:pt idx="276">
                  <c:v>100.6845</c:v>
                </c:pt>
                <c:pt idx="277">
                  <c:v>100.8265</c:v>
                </c:pt>
                <c:pt idx="278">
                  <c:v>100.8775</c:v>
                </c:pt>
                <c:pt idx="279">
                  <c:v>100.76649999999998</c:v>
                </c:pt>
                <c:pt idx="280">
                  <c:v>100.67399999999999</c:v>
                </c:pt>
                <c:pt idx="281">
                  <c:v>100.52399999999999</c:v>
                </c:pt>
                <c:pt idx="282">
                  <c:v>100.28200000000001</c:v>
                </c:pt>
                <c:pt idx="283">
                  <c:v>100.116</c:v>
                </c:pt>
                <c:pt idx="284">
                  <c:v>99.8065</c:v>
                </c:pt>
                <c:pt idx="285">
                  <c:v>99.570999999999998</c:v>
                </c:pt>
                <c:pt idx="286">
                  <c:v>99.207000000000008</c:v>
                </c:pt>
                <c:pt idx="287">
                  <c:v>98.858500000000006</c:v>
                </c:pt>
                <c:pt idx="288">
                  <c:v>98.529000000000011</c:v>
                </c:pt>
                <c:pt idx="289">
                  <c:v>98.257999999999996</c:v>
                </c:pt>
                <c:pt idx="290">
                  <c:v>97.949000000000012</c:v>
                </c:pt>
                <c:pt idx="291">
                  <c:v>97.58250000000001</c:v>
                </c:pt>
                <c:pt idx="292">
                  <c:v>97.3185</c:v>
                </c:pt>
                <c:pt idx="293">
                  <c:v>96.925499999999985</c:v>
                </c:pt>
                <c:pt idx="294">
                  <c:v>96.501000000000005</c:v>
                </c:pt>
                <c:pt idx="295">
                  <c:v>96.319000000000003</c:v>
                </c:pt>
                <c:pt idx="296">
                  <c:v>95.980499999999978</c:v>
                </c:pt>
                <c:pt idx="297">
                  <c:v>95.520499999999998</c:v>
                </c:pt>
                <c:pt idx="298">
                  <c:v>95.033499999999989</c:v>
                </c:pt>
                <c:pt idx="299">
                  <c:v>94.713999999999984</c:v>
                </c:pt>
                <c:pt idx="300">
                  <c:v>94.350999999999999</c:v>
                </c:pt>
                <c:pt idx="301">
                  <c:v>94.033499999999975</c:v>
                </c:pt>
                <c:pt idx="302">
                  <c:v>93.86699999999999</c:v>
                </c:pt>
                <c:pt idx="303">
                  <c:v>93.704999999999998</c:v>
                </c:pt>
                <c:pt idx="304">
                  <c:v>93.47999999999999</c:v>
                </c:pt>
                <c:pt idx="305">
                  <c:v>93.126499999999993</c:v>
                </c:pt>
                <c:pt idx="306">
                  <c:v>92.84999999999998</c:v>
                </c:pt>
                <c:pt idx="307">
                  <c:v>92.563999999999993</c:v>
                </c:pt>
                <c:pt idx="308">
                  <c:v>92.285999999999973</c:v>
                </c:pt>
                <c:pt idx="309">
                  <c:v>92.010999999999996</c:v>
                </c:pt>
                <c:pt idx="310">
                  <c:v>91.868000000000009</c:v>
                </c:pt>
                <c:pt idx="311">
                  <c:v>91.816000000000003</c:v>
                </c:pt>
                <c:pt idx="312">
                  <c:v>91.694500000000005</c:v>
                </c:pt>
                <c:pt idx="313">
                  <c:v>91.612500000000011</c:v>
                </c:pt>
                <c:pt idx="314">
                  <c:v>91.6755</c:v>
                </c:pt>
                <c:pt idx="315">
                  <c:v>91.768499999999989</c:v>
                </c:pt>
                <c:pt idx="316">
                  <c:v>91.973000000000013</c:v>
                </c:pt>
                <c:pt idx="317">
                  <c:v>92.3</c:v>
                </c:pt>
                <c:pt idx="318">
                  <c:v>92.629000000000005</c:v>
                </c:pt>
                <c:pt idx="319">
                  <c:v>92.940500000000014</c:v>
                </c:pt>
                <c:pt idx="320">
                  <c:v>93.260999999999996</c:v>
                </c:pt>
                <c:pt idx="321">
                  <c:v>93.5715</c:v>
                </c:pt>
                <c:pt idx="322">
                  <c:v>93.662500000000009</c:v>
                </c:pt>
                <c:pt idx="323">
                  <c:v>93.800500000000014</c:v>
                </c:pt>
                <c:pt idx="324">
                  <c:v>93.960499999999996</c:v>
                </c:pt>
                <c:pt idx="325">
                  <c:v>94.280500000000004</c:v>
                </c:pt>
                <c:pt idx="326">
                  <c:v>94.664000000000001</c:v>
                </c:pt>
                <c:pt idx="327">
                  <c:v>95.087000000000018</c:v>
                </c:pt>
                <c:pt idx="328">
                  <c:v>95.481500000000011</c:v>
                </c:pt>
                <c:pt idx="329">
                  <c:v>95.907499999999999</c:v>
                </c:pt>
                <c:pt idx="330">
                  <c:v>96.177500000000023</c:v>
                </c:pt>
                <c:pt idx="331">
                  <c:v>96.351000000000013</c:v>
                </c:pt>
                <c:pt idx="332">
                  <c:v>96.548999999999992</c:v>
                </c:pt>
                <c:pt idx="333">
                  <c:v>96.83450000000002</c:v>
                </c:pt>
                <c:pt idx="334">
                  <c:v>97.042000000000002</c:v>
                </c:pt>
                <c:pt idx="335">
                  <c:v>97.158500000000004</c:v>
                </c:pt>
                <c:pt idx="336">
                  <c:v>97.128500000000003</c:v>
                </c:pt>
                <c:pt idx="337">
                  <c:v>97.035499999999999</c:v>
                </c:pt>
                <c:pt idx="338">
                  <c:v>97.022999999999996</c:v>
                </c:pt>
                <c:pt idx="339">
                  <c:v>96.897000000000006</c:v>
                </c:pt>
                <c:pt idx="340">
                  <c:v>96.838999999999999</c:v>
                </c:pt>
                <c:pt idx="341">
                  <c:v>96.794000000000011</c:v>
                </c:pt>
                <c:pt idx="342">
                  <c:v>96.888000000000005</c:v>
                </c:pt>
                <c:pt idx="343">
                  <c:v>96.883499999999998</c:v>
                </c:pt>
                <c:pt idx="344">
                  <c:v>96.920500000000004</c:v>
                </c:pt>
                <c:pt idx="345">
                  <c:v>96.965499999999992</c:v>
                </c:pt>
                <c:pt idx="346">
                  <c:v>97.027000000000015</c:v>
                </c:pt>
                <c:pt idx="347">
                  <c:v>96.94250000000001</c:v>
                </c:pt>
                <c:pt idx="348">
                  <c:v>96.833500000000001</c:v>
                </c:pt>
                <c:pt idx="349">
                  <c:v>96.834500000000006</c:v>
                </c:pt>
                <c:pt idx="350">
                  <c:v>96.858499999999992</c:v>
                </c:pt>
                <c:pt idx="351">
                  <c:v>96.938499999999991</c:v>
                </c:pt>
                <c:pt idx="352">
                  <c:v>96.904999999999987</c:v>
                </c:pt>
                <c:pt idx="353">
                  <c:v>96.766999999999996</c:v>
                </c:pt>
                <c:pt idx="354">
                  <c:v>96.632999999999996</c:v>
                </c:pt>
                <c:pt idx="355">
                  <c:v>96.54249999999999</c:v>
                </c:pt>
                <c:pt idx="356">
                  <c:v>96.644499999999994</c:v>
                </c:pt>
                <c:pt idx="357">
                  <c:v>96.767499999999998</c:v>
                </c:pt>
                <c:pt idx="358">
                  <c:v>96.80449999999999</c:v>
                </c:pt>
                <c:pt idx="359">
                  <c:v>96.963499999999982</c:v>
                </c:pt>
                <c:pt idx="360">
                  <c:v>97.084499999999991</c:v>
                </c:pt>
                <c:pt idx="361">
                  <c:v>97.213999999999999</c:v>
                </c:pt>
                <c:pt idx="362">
                  <c:v>97.392500000000013</c:v>
                </c:pt>
                <c:pt idx="363">
                  <c:v>97.611000000000004</c:v>
                </c:pt>
                <c:pt idx="364">
                  <c:v>97.95450000000001</c:v>
                </c:pt>
                <c:pt idx="365">
                  <c:v>98.207499999999996</c:v>
                </c:pt>
                <c:pt idx="366">
                  <c:v>98.47399999999999</c:v>
                </c:pt>
                <c:pt idx="367">
                  <c:v>98.936999999999983</c:v>
                </c:pt>
                <c:pt idx="368">
                  <c:v>99.430999999999983</c:v>
                </c:pt>
                <c:pt idx="369">
                  <c:v>99.721500000000006</c:v>
                </c:pt>
                <c:pt idx="370">
                  <c:v>100.1215</c:v>
                </c:pt>
                <c:pt idx="371">
                  <c:v>100.48650000000001</c:v>
                </c:pt>
                <c:pt idx="372">
                  <c:v>101.1995</c:v>
                </c:pt>
                <c:pt idx="373">
                  <c:v>101.93799999999999</c:v>
                </c:pt>
                <c:pt idx="374">
                  <c:v>102.59699999999998</c:v>
                </c:pt>
                <c:pt idx="375">
                  <c:v>103.03349999999998</c:v>
                </c:pt>
                <c:pt idx="376">
                  <c:v>103.4695</c:v>
                </c:pt>
                <c:pt idx="377">
                  <c:v>103.9375</c:v>
                </c:pt>
                <c:pt idx="378">
                  <c:v>104.404</c:v>
                </c:pt>
                <c:pt idx="379">
                  <c:v>104.83300000000001</c:v>
                </c:pt>
                <c:pt idx="380">
                  <c:v>105.205</c:v>
                </c:pt>
                <c:pt idx="381">
                  <c:v>105.59950000000001</c:v>
                </c:pt>
                <c:pt idx="382">
                  <c:v>105.9345</c:v>
                </c:pt>
                <c:pt idx="383">
                  <c:v>106.273</c:v>
                </c:pt>
                <c:pt idx="384">
                  <c:v>106.52799999999999</c:v>
                </c:pt>
                <c:pt idx="385">
                  <c:v>106.83</c:v>
                </c:pt>
                <c:pt idx="386">
                  <c:v>107.06099999999999</c:v>
                </c:pt>
                <c:pt idx="387">
                  <c:v>107.24799999999998</c:v>
                </c:pt>
                <c:pt idx="388">
                  <c:v>107.401</c:v>
                </c:pt>
                <c:pt idx="389">
                  <c:v>107.65300000000002</c:v>
                </c:pt>
                <c:pt idx="390">
                  <c:v>108.01000000000002</c:v>
                </c:pt>
                <c:pt idx="391">
                  <c:v>108.35700000000001</c:v>
                </c:pt>
                <c:pt idx="392">
                  <c:v>108.42400000000002</c:v>
                </c:pt>
                <c:pt idx="393">
                  <c:v>108.48600000000002</c:v>
                </c:pt>
                <c:pt idx="394">
                  <c:v>108.54</c:v>
                </c:pt>
                <c:pt idx="395">
                  <c:v>108.67600000000002</c:v>
                </c:pt>
                <c:pt idx="396">
                  <c:v>108.65799999999999</c:v>
                </c:pt>
                <c:pt idx="397">
                  <c:v>108.68999999999998</c:v>
                </c:pt>
                <c:pt idx="398">
                  <c:v>108.74199999999999</c:v>
                </c:pt>
                <c:pt idx="399">
                  <c:v>108.81300000000002</c:v>
                </c:pt>
                <c:pt idx="400">
                  <c:v>108.949</c:v>
                </c:pt>
                <c:pt idx="401">
                  <c:v>109.12</c:v>
                </c:pt>
                <c:pt idx="402">
                  <c:v>109.33099999999999</c:v>
                </c:pt>
                <c:pt idx="403">
                  <c:v>109.57899999999999</c:v>
                </c:pt>
                <c:pt idx="404">
                  <c:v>109.85499999999999</c:v>
                </c:pt>
                <c:pt idx="405">
                  <c:v>110.13000000000002</c:v>
                </c:pt>
                <c:pt idx="406">
                  <c:v>110.40899999999999</c:v>
                </c:pt>
                <c:pt idx="407">
                  <c:v>110.542</c:v>
                </c:pt>
                <c:pt idx="408">
                  <c:v>110.58900000000001</c:v>
                </c:pt>
                <c:pt idx="409">
                  <c:v>110.58600000000001</c:v>
                </c:pt>
                <c:pt idx="410">
                  <c:v>110.31000000000002</c:v>
                </c:pt>
                <c:pt idx="411">
                  <c:v>110.054</c:v>
                </c:pt>
                <c:pt idx="412">
                  <c:v>109.76600000000001</c:v>
                </c:pt>
                <c:pt idx="413">
                  <c:v>109.44799999999998</c:v>
                </c:pt>
                <c:pt idx="414">
                  <c:v>109.071</c:v>
                </c:pt>
                <c:pt idx="415">
                  <c:v>108.673</c:v>
                </c:pt>
                <c:pt idx="416">
                  <c:v>108.47900000000001</c:v>
                </c:pt>
                <c:pt idx="417">
                  <c:v>108.23700000000001</c:v>
                </c:pt>
                <c:pt idx="418">
                  <c:v>108.02900000000002</c:v>
                </c:pt>
                <c:pt idx="419">
                  <c:v>107.71300000000001</c:v>
                </c:pt>
                <c:pt idx="420">
                  <c:v>107.34700000000002</c:v>
                </c:pt>
                <c:pt idx="421">
                  <c:v>107.045</c:v>
                </c:pt>
                <c:pt idx="422">
                  <c:v>106.69600000000003</c:v>
                </c:pt>
                <c:pt idx="423">
                  <c:v>106.27900000000002</c:v>
                </c:pt>
                <c:pt idx="424">
                  <c:v>105.77800000000002</c:v>
                </c:pt>
                <c:pt idx="425">
                  <c:v>105.13999999999999</c:v>
                </c:pt>
                <c:pt idx="426">
                  <c:v>104.5155</c:v>
                </c:pt>
                <c:pt idx="427">
                  <c:v>104.0125</c:v>
                </c:pt>
                <c:pt idx="428">
                  <c:v>103.57899999999998</c:v>
                </c:pt>
                <c:pt idx="429">
                  <c:v>103.601</c:v>
                </c:pt>
                <c:pt idx="430">
                  <c:v>103.69300000000001</c:v>
                </c:pt>
                <c:pt idx="431">
                  <c:v>103.79400000000001</c:v>
                </c:pt>
                <c:pt idx="432">
                  <c:v>103.91800000000001</c:v>
                </c:pt>
                <c:pt idx="433">
                  <c:v>103.98700000000001</c:v>
                </c:pt>
                <c:pt idx="434">
                  <c:v>104.00200000000002</c:v>
                </c:pt>
                <c:pt idx="435">
                  <c:v>103.95700000000002</c:v>
                </c:pt>
                <c:pt idx="436">
                  <c:v>103.777</c:v>
                </c:pt>
                <c:pt idx="437">
                  <c:v>103.62899999999999</c:v>
                </c:pt>
                <c:pt idx="438">
                  <c:v>103.43800000000002</c:v>
                </c:pt>
                <c:pt idx="439">
                  <c:v>103.34900000000002</c:v>
                </c:pt>
                <c:pt idx="440">
                  <c:v>103.29099999999998</c:v>
                </c:pt>
                <c:pt idx="441">
                  <c:v>103.125</c:v>
                </c:pt>
                <c:pt idx="442">
                  <c:v>102.953</c:v>
                </c:pt>
                <c:pt idx="443">
                  <c:v>102.78500000000001</c:v>
                </c:pt>
                <c:pt idx="444">
                  <c:v>102.849</c:v>
                </c:pt>
                <c:pt idx="445">
                  <c:v>103.047</c:v>
                </c:pt>
                <c:pt idx="446">
                  <c:v>103.22849999999998</c:v>
                </c:pt>
                <c:pt idx="447">
                  <c:v>103.4085</c:v>
                </c:pt>
                <c:pt idx="448">
                  <c:v>103.55400000000002</c:v>
                </c:pt>
                <c:pt idx="449">
                  <c:v>103.268</c:v>
                </c:pt>
                <c:pt idx="450">
                  <c:v>102.878</c:v>
                </c:pt>
                <c:pt idx="451">
                  <c:v>102.373</c:v>
                </c:pt>
                <c:pt idx="452">
                  <c:v>101.88149999999999</c:v>
                </c:pt>
                <c:pt idx="453">
                  <c:v>101.57149999999999</c:v>
                </c:pt>
                <c:pt idx="454">
                  <c:v>101.41849999999998</c:v>
                </c:pt>
                <c:pt idx="455">
                  <c:v>101.4145</c:v>
                </c:pt>
                <c:pt idx="456">
                  <c:v>101.4195</c:v>
                </c:pt>
                <c:pt idx="457">
                  <c:v>101.29400000000001</c:v>
                </c:pt>
                <c:pt idx="458">
                  <c:v>101.2015</c:v>
                </c:pt>
                <c:pt idx="459">
                  <c:v>101.084</c:v>
                </c:pt>
                <c:pt idx="460">
                  <c:v>100.9</c:v>
                </c:pt>
                <c:pt idx="461">
                  <c:v>100.7835</c:v>
                </c:pt>
                <c:pt idx="462">
                  <c:v>100.66350000000001</c:v>
                </c:pt>
                <c:pt idx="463">
                  <c:v>100.52950000000001</c:v>
                </c:pt>
                <c:pt idx="464">
                  <c:v>100.12100000000001</c:v>
                </c:pt>
                <c:pt idx="465">
                  <c:v>99.658499999999989</c:v>
                </c:pt>
                <c:pt idx="466">
                  <c:v>99.287000000000006</c:v>
                </c:pt>
                <c:pt idx="467">
                  <c:v>98.837500000000006</c:v>
                </c:pt>
                <c:pt idx="468">
                  <c:v>98.501499999999993</c:v>
                </c:pt>
                <c:pt idx="469">
                  <c:v>98.099500000000006</c:v>
                </c:pt>
                <c:pt idx="470">
                  <c:v>97.97</c:v>
                </c:pt>
                <c:pt idx="471">
                  <c:v>98.015499999999989</c:v>
                </c:pt>
                <c:pt idx="472">
                  <c:v>98.108999999999995</c:v>
                </c:pt>
                <c:pt idx="473">
                  <c:v>98.091999999999999</c:v>
                </c:pt>
                <c:pt idx="474">
                  <c:v>98.128000000000014</c:v>
                </c:pt>
                <c:pt idx="475">
                  <c:v>98.155000000000015</c:v>
                </c:pt>
                <c:pt idx="476">
                  <c:v>98.088499999999996</c:v>
                </c:pt>
                <c:pt idx="477">
                  <c:v>98.108999999999995</c:v>
                </c:pt>
                <c:pt idx="478">
                  <c:v>98.056999999999988</c:v>
                </c:pt>
                <c:pt idx="479">
                  <c:v>98.032499999999999</c:v>
                </c:pt>
                <c:pt idx="480">
                  <c:v>98.004000000000005</c:v>
                </c:pt>
                <c:pt idx="481">
                  <c:v>98.045000000000002</c:v>
                </c:pt>
                <c:pt idx="482">
                  <c:v>98.0565</c:v>
                </c:pt>
                <c:pt idx="483">
                  <c:v>98.124500000000012</c:v>
                </c:pt>
                <c:pt idx="484">
                  <c:v>98.327500000000015</c:v>
                </c:pt>
                <c:pt idx="485">
                  <c:v>98.572500000000019</c:v>
                </c:pt>
                <c:pt idx="486">
                  <c:v>98.746000000000024</c:v>
                </c:pt>
                <c:pt idx="487">
                  <c:v>98.97050000000003</c:v>
                </c:pt>
                <c:pt idx="488">
                  <c:v>99.077500000000015</c:v>
                </c:pt>
                <c:pt idx="489">
                  <c:v>99.226000000000013</c:v>
                </c:pt>
                <c:pt idx="490">
                  <c:v>99.198000000000008</c:v>
                </c:pt>
                <c:pt idx="491">
                  <c:v>99.194500000000005</c:v>
                </c:pt>
                <c:pt idx="492">
                  <c:v>99.025000000000006</c:v>
                </c:pt>
                <c:pt idx="493">
                  <c:v>98.844999999999999</c:v>
                </c:pt>
                <c:pt idx="494">
                  <c:v>98.624999999999986</c:v>
                </c:pt>
                <c:pt idx="495">
                  <c:v>98.429999999999993</c:v>
                </c:pt>
                <c:pt idx="496">
                  <c:v>98.35199999999999</c:v>
                </c:pt>
                <c:pt idx="497">
                  <c:v>98.148499999999984</c:v>
                </c:pt>
                <c:pt idx="498">
                  <c:v>97.922499999999985</c:v>
                </c:pt>
                <c:pt idx="499">
                  <c:v>97.588499999999996</c:v>
                </c:pt>
                <c:pt idx="500">
                  <c:v>97.376000000000005</c:v>
                </c:pt>
                <c:pt idx="501">
                  <c:v>97.010999999999996</c:v>
                </c:pt>
                <c:pt idx="502">
                  <c:v>96.679000000000002</c:v>
                </c:pt>
                <c:pt idx="503">
                  <c:v>96.333499999999987</c:v>
                </c:pt>
                <c:pt idx="504">
                  <c:v>95.926500000000004</c:v>
                </c:pt>
                <c:pt idx="505">
                  <c:v>95.4375</c:v>
                </c:pt>
                <c:pt idx="506">
                  <c:v>94.976500000000001</c:v>
                </c:pt>
                <c:pt idx="507">
                  <c:v>94.588999999999984</c:v>
                </c:pt>
                <c:pt idx="508">
                  <c:v>94.300999999999988</c:v>
                </c:pt>
                <c:pt idx="509">
                  <c:v>94.012499999999989</c:v>
                </c:pt>
                <c:pt idx="510">
                  <c:v>93.710999999999984</c:v>
                </c:pt>
                <c:pt idx="511">
                  <c:v>93.399000000000001</c:v>
                </c:pt>
                <c:pt idx="512">
                  <c:v>93.179473684210535</c:v>
                </c:pt>
                <c:pt idx="513">
                  <c:v>92.944999999999993</c:v>
                </c:pt>
                <c:pt idx="514">
                  <c:v>92.702941176470574</c:v>
                </c:pt>
                <c:pt idx="515">
                  <c:v>92.398124999999993</c:v>
                </c:pt>
                <c:pt idx="516">
                  <c:v>92.038666666666657</c:v>
                </c:pt>
                <c:pt idx="517">
                  <c:v>91.807857142857145</c:v>
                </c:pt>
                <c:pt idx="518">
                  <c:v>91.69846153846153</c:v>
                </c:pt>
                <c:pt idx="519">
                  <c:v>91.716666666666654</c:v>
                </c:pt>
                <c:pt idx="520">
                  <c:v>91.605454545454563</c:v>
                </c:pt>
                <c:pt idx="521">
                  <c:v>91.531000000000006</c:v>
                </c:pt>
                <c:pt idx="522">
                  <c:v>91.502222222222215</c:v>
                </c:pt>
                <c:pt idx="523">
                  <c:v>91.466250000000002</c:v>
                </c:pt>
                <c:pt idx="524">
                  <c:v>91.45714285714287</c:v>
                </c:pt>
                <c:pt idx="525">
                  <c:v>91.704999999999998</c:v>
                </c:pt>
                <c:pt idx="526">
                  <c:v>92.042000000000002</c:v>
                </c:pt>
                <c:pt idx="527">
                  <c:v>92.194999999999993</c:v>
                </c:pt>
                <c:pt idx="528">
                  <c:v>92.266666666666652</c:v>
                </c:pt>
                <c:pt idx="529">
                  <c:v>92.47999999999999</c:v>
                </c:pt>
                <c:pt idx="530">
                  <c:v>93.22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F8-4ECD-9004-C846148DD615}"/>
            </c:ext>
          </c:extLst>
        </c:ser>
        <c:ser>
          <c:idx val="1"/>
          <c:order val="1"/>
          <c:tx>
            <c:strRef>
              <c:f>BMW!$J$1</c:f>
              <c:strCache>
                <c:ptCount val="1"/>
                <c:pt idx="0">
                  <c:v>Moyenne des 40 premiers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BMW!$J$2:$J$532</c:f>
              <c:numCache>
                <c:formatCode>General</c:formatCode>
                <c:ptCount val="531"/>
                <c:pt idx="0">
                  <c:v>77.772750000000002</c:v>
                </c:pt>
                <c:pt idx="1">
                  <c:v>77.819000000000003</c:v>
                </c:pt>
                <c:pt idx="2">
                  <c:v>77.905499999999989</c:v>
                </c:pt>
                <c:pt idx="3">
                  <c:v>77.959499999999991</c:v>
                </c:pt>
                <c:pt idx="4">
                  <c:v>77.98099999999998</c:v>
                </c:pt>
                <c:pt idx="5">
                  <c:v>77.920499999999976</c:v>
                </c:pt>
                <c:pt idx="6">
                  <c:v>77.848499999999973</c:v>
                </c:pt>
                <c:pt idx="7">
                  <c:v>77.714499999999987</c:v>
                </c:pt>
                <c:pt idx="8">
                  <c:v>77.593499999999977</c:v>
                </c:pt>
                <c:pt idx="9">
                  <c:v>77.378999999999976</c:v>
                </c:pt>
                <c:pt idx="10">
                  <c:v>77.10499999999999</c:v>
                </c:pt>
                <c:pt idx="11">
                  <c:v>76.832499999999982</c:v>
                </c:pt>
                <c:pt idx="12">
                  <c:v>76.574499999999986</c:v>
                </c:pt>
                <c:pt idx="13">
                  <c:v>76.280999999999977</c:v>
                </c:pt>
                <c:pt idx="14">
                  <c:v>76.004999999999995</c:v>
                </c:pt>
                <c:pt idx="15">
                  <c:v>75.769000000000005</c:v>
                </c:pt>
                <c:pt idx="16">
                  <c:v>75.52600000000001</c:v>
                </c:pt>
                <c:pt idx="17">
                  <c:v>75.306500000000014</c:v>
                </c:pt>
                <c:pt idx="18">
                  <c:v>75.043000000000021</c:v>
                </c:pt>
                <c:pt idx="19">
                  <c:v>74.813500000000005</c:v>
                </c:pt>
                <c:pt idx="20">
                  <c:v>74.598500000000016</c:v>
                </c:pt>
                <c:pt idx="21">
                  <c:v>74.321500000000015</c:v>
                </c:pt>
                <c:pt idx="22">
                  <c:v>74.10250000000002</c:v>
                </c:pt>
                <c:pt idx="23">
                  <c:v>73.893000000000015</c:v>
                </c:pt>
                <c:pt idx="24">
                  <c:v>73.673000000000016</c:v>
                </c:pt>
                <c:pt idx="25">
                  <c:v>73.530500000000018</c:v>
                </c:pt>
                <c:pt idx="26">
                  <c:v>73.307500000000019</c:v>
                </c:pt>
                <c:pt idx="27">
                  <c:v>73.151499999999999</c:v>
                </c:pt>
                <c:pt idx="28">
                  <c:v>72.974000000000004</c:v>
                </c:pt>
                <c:pt idx="29">
                  <c:v>72.892499999999998</c:v>
                </c:pt>
                <c:pt idx="30">
                  <c:v>72.748000000000005</c:v>
                </c:pt>
                <c:pt idx="31">
                  <c:v>72.609499999999997</c:v>
                </c:pt>
                <c:pt idx="32">
                  <c:v>72.508500000000012</c:v>
                </c:pt>
                <c:pt idx="33">
                  <c:v>72.473000000000013</c:v>
                </c:pt>
                <c:pt idx="34">
                  <c:v>72.433500000000009</c:v>
                </c:pt>
                <c:pt idx="35">
                  <c:v>72.413500000000028</c:v>
                </c:pt>
                <c:pt idx="36">
                  <c:v>72.352500000000006</c:v>
                </c:pt>
                <c:pt idx="37">
                  <c:v>72.273999999999987</c:v>
                </c:pt>
                <c:pt idx="38">
                  <c:v>72.205500000000001</c:v>
                </c:pt>
                <c:pt idx="39">
                  <c:v>72.078999999999994</c:v>
                </c:pt>
                <c:pt idx="40">
                  <c:v>71.948499999999996</c:v>
                </c:pt>
                <c:pt idx="41">
                  <c:v>71.855000000000004</c:v>
                </c:pt>
                <c:pt idx="42">
                  <c:v>71.74499999999999</c:v>
                </c:pt>
                <c:pt idx="43">
                  <c:v>71.670999999999992</c:v>
                </c:pt>
                <c:pt idx="44">
                  <c:v>71.634499999999989</c:v>
                </c:pt>
                <c:pt idx="45">
                  <c:v>71.67049999999999</c:v>
                </c:pt>
                <c:pt idx="46">
                  <c:v>71.764499999999984</c:v>
                </c:pt>
                <c:pt idx="47">
                  <c:v>71.875999999999991</c:v>
                </c:pt>
                <c:pt idx="48">
                  <c:v>72.025000000000006</c:v>
                </c:pt>
                <c:pt idx="49">
                  <c:v>72.218500000000006</c:v>
                </c:pt>
                <c:pt idx="50">
                  <c:v>72.406000000000006</c:v>
                </c:pt>
                <c:pt idx="51">
                  <c:v>72.636500000000012</c:v>
                </c:pt>
                <c:pt idx="52">
                  <c:v>72.868000000000009</c:v>
                </c:pt>
                <c:pt idx="53">
                  <c:v>73.114999999999995</c:v>
                </c:pt>
                <c:pt idx="54">
                  <c:v>73.448499999999996</c:v>
                </c:pt>
                <c:pt idx="55">
                  <c:v>73.713499999999996</c:v>
                </c:pt>
                <c:pt idx="56">
                  <c:v>73.892499999999998</c:v>
                </c:pt>
                <c:pt idx="57">
                  <c:v>74.118999999999986</c:v>
                </c:pt>
                <c:pt idx="58">
                  <c:v>74.286999999999992</c:v>
                </c:pt>
                <c:pt idx="59">
                  <c:v>74.429999999999978</c:v>
                </c:pt>
                <c:pt idx="60">
                  <c:v>74.642499999999984</c:v>
                </c:pt>
                <c:pt idx="61">
                  <c:v>74.856499999999969</c:v>
                </c:pt>
                <c:pt idx="62">
                  <c:v>74.998999999999981</c:v>
                </c:pt>
                <c:pt idx="63">
                  <c:v>75.115999999999971</c:v>
                </c:pt>
                <c:pt idx="64">
                  <c:v>75.259499999999974</c:v>
                </c:pt>
                <c:pt idx="65">
                  <c:v>75.298000000000002</c:v>
                </c:pt>
                <c:pt idx="66">
                  <c:v>75.378999999999991</c:v>
                </c:pt>
                <c:pt idx="67">
                  <c:v>75.287999999999997</c:v>
                </c:pt>
                <c:pt idx="68">
                  <c:v>75.411500000000004</c:v>
                </c:pt>
                <c:pt idx="69">
                  <c:v>75.537499999999994</c:v>
                </c:pt>
                <c:pt idx="70">
                  <c:v>75.736999999999995</c:v>
                </c:pt>
                <c:pt idx="71">
                  <c:v>75.914500000000004</c:v>
                </c:pt>
                <c:pt idx="72">
                  <c:v>76.095999999999989</c:v>
                </c:pt>
                <c:pt idx="73">
                  <c:v>76.286500000000018</c:v>
                </c:pt>
                <c:pt idx="74">
                  <c:v>76.482000000000014</c:v>
                </c:pt>
                <c:pt idx="75">
                  <c:v>76.666500000000013</c:v>
                </c:pt>
                <c:pt idx="76">
                  <c:v>76.866000000000014</c:v>
                </c:pt>
                <c:pt idx="77">
                  <c:v>77.105000000000018</c:v>
                </c:pt>
                <c:pt idx="78">
                  <c:v>77.353000000000009</c:v>
                </c:pt>
                <c:pt idx="79">
                  <c:v>77.587000000000018</c:v>
                </c:pt>
                <c:pt idx="80">
                  <c:v>77.798500000000018</c:v>
                </c:pt>
                <c:pt idx="81">
                  <c:v>78.01900000000002</c:v>
                </c:pt>
                <c:pt idx="82">
                  <c:v>78.203500000000005</c:v>
                </c:pt>
                <c:pt idx="83">
                  <c:v>78.365500000000011</c:v>
                </c:pt>
                <c:pt idx="84">
                  <c:v>78.514499999999998</c:v>
                </c:pt>
                <c:pt idx="85">
                  <c:v>78.635499999999993</c:v>
                </c:pt>
                <c:pt idx="86">
                  <c:v>78.706499999999991</c:v>
                </c:pt>
                <c:pt idx="87">
                  <c:v>78.782999999999987</c:v>
                </c:pt>
                <c:pt idx="88">
                  <c:v>78.811499999999995</c:v>
                </c:pt>
                <c:pt idx="89">
                  <c:v>78.859999999999985</c:v>
                </c:pt>
                <c:pt idx="90">
                  <c:v>78.944999999999979</c:v>
                </c:pt>
                <c:pt idx="91">
                  <c:v>79.01449999999997</c:v>
                </c:pt>
                <c:pt idx="92">
                  <c:v>79.059499999999986</c:v>
                </c:pt>
                <c:pt idx="93">
                  <c:v>79.075499999999991</c:v>
                </c:pt>
                <c:pt idx="94">
                  <c:v>79.098499999999987</c:v>
                </c:pt>
                <c:pt idx="95">
                  <c:v>79.214999999999989</c:v>
                </c:pt>
                <c:pt idx="96">
                  <c:v>79.468999999999994</c:v>
                </c:pt>
                <c:pt idx="97">
                  <c:v>79.685000000000002</c:v>
                </c:pt>
                <c:pt idx="98">
                  <c:v>79.96350000000001</c:v>
                </c:pt>
                <c:pt idx="99">
                  <c:v>80.311499999999995</c:v>
                </c:pt>
                <c:pt idx="100">
                  <c:v>80.613000000000014</c:v>
                </c:pt>
                <c:pt idx="101">
                  <c:v>80.977499999999992</c:v>
                </c:pt>
                <c:pt idx="102">
                  <c:v>81.405000000000001</c:v>
                </c:pt>
                <c:pt idx="103">
                  <c:v>81.865000000000009</c:v>
                </c:pt>
                <c:pt idx="104">
                  <c:v>82.269000000000005</c:v>
                </c:pt>
                <c:pt idx="105">
                  <c:v>82.768000000000001</c:v>
                </c:pt>
                <c:pt idx="106">
                  <c:v>83.233500000000006</c:v>
                </c:pt>
                <c:pt idx="107">
                  <c:v>83.730999999999995</c:v>
                </c:pt>
                <c:pt idx="108">
                  <c:v>84.035499999999999</c:v>
                </c:pt>
                <c:pt idx="109">
                  <c:v>84.385000000000005</c:v>
                </c:pt>
                <c:pt idx="110">
                  <c:v>84.652500000000003</c:v>
                </c:pt>
                <c:pt idx="111">
                  <c:v>84.876499999999993</c:v>
                </c:pt>
                <c:pt idx="112">
                  <c:v>85.029999999999987</c:v>
                </c:pt>
                <c:pt idx="113">
                  <c:v>85.129499999999979</c:v>
                </c:pt>
                <c:pt idx="114">
                  <c:v>85.226499999999987</c:v>
                </c:pt>
                <c:pt idx="115">
                  <c:v>85.333999999999975</c:v>
                </c:pt>
                <c:pt idx="116">
                  <c:v>85.456499999999977</c:v>
                </c:pt>
                <c:pt idx="117">
                  <c:v>85.537499999999994</c:v>
                </c:pt>
                <c:pt idx="118">
                  <c:v>85.645999999999987</c:v>
                </c:pt>
                <c:pt idx="119">
                  <c:v>85.743999999999986</c:v>
                </c:pt>
                <c:pt idx="120">
                  <c:v>85.865999999999971</c:v>
                </c:pt>
                <c:pt idx="121">
                  <c:v>85.975999999999971</c:v>
                </c:pt>
                <c:pt idx="122">
                  <c:v>86.16549999999998</c:v>
                </c:pt>
                <c:pt idx="123">
                  <c:v>86.338499999999968</c:v>
                </c:pt>
                <c:pt idx="124">
                  <c:v>86.476499999999973</c:v>
                </c:pt>
                <c:pt idx="125">
                  <c:v>86.648999999999972</c:v>
                </c:pt>
                <c:pt idx="126">
                  <c:v>86.861499999999992</c:v>
                </c:pt>
                <c:pt idx="127">
                  <c:v>87.067999999999984</c:v>
                </c:pt>
                <c:pt idx="128">
                  <c:v>87.295499999999976</c:v>
                </c:pt>
                <c:pt idx="129">
                  <c:v>87.475499999999997</c:v>
                </c:pt>
                <c:pt idx="130">
                  <c:v>87.686499999999995</c:v>
                </c:pt>
                <c:pt idx="131">
                  <c:v>87.933000000000021</c:v>
                </c:pt>
                <c:pt idx="132">
                  <c:v>88.222500000000011</c:v>
                </c:pt>
                <c:pt idx="133">
                  <c:v>88.509500000000017</c:v>
                </c:pt>
                <c:pt idx="134">
                  <c:v>88.737500000000011</c:v>
                </c:pt>
                <c:pt idx="135">
                  <c:v>88.945000000000022</c:v>
                </c:pt>
                <c:pt idx="136">
                  <c:v>89.085000000000008</c:v>
                </c:pt>
                <c:pt idx="137">
                  <c:v>89.217000000000013</c:v>
                </c:pt>
                <c:pt idx="138">
                  <c:v>89.384000000000015</c:v>
                </c:pt>
                <c:pt idx="139">
                  <c:v>89.524500000000018</c:v>
                </c:pt>
                <c:pt idx="140">
                  <c:v>89.634500000000031</c:v>
                </c:pt>
                <c:pt idx="141">
                  <c:v>89.702500000000015</c:v>
                </c:pt>
                <c:pt idx="142">
                  <c:v>89.797000000000011</c:v>
                </c:pt>
                <c:pt idx="143">
                  <c:v>89.866500000000016</c:v>
                </c:pt>
                <c:pt idx="144">
                  <c:v>89.950500000000005</c:v>
                </c:pt>
                <c:pt idx="145">
                  <c:v>89.985500000000016</c:v>
                </c:pt>
                <c:pt idx="146">
                  <c:v>90.073000000000008</c:v>
                </c:pt>
                <c:pt idx="147">
                  <c:v>90.221499999999992</c:v>
                </c:pt>
                <c:pt idx="148">
                  <c:v>90.350999999999999</c:v>
                </c:pt>
                <c:pt idx="149">
                  <c:v>90.446999999999989</c:v>
                </c:pt>
                <c:pt idx="150">
                  <c:v>90.583499999999987</c:v>
                </c:pt>
                <c:pt idx="151">
                  <c:v>90.918500000000009</c:v>
                </c:pt>
                <c:pt idx="152">
                  <c:v>91.319749999999999</c:v>
                </c:pt>
                <c:pt idx="153">
                  <c:v>91.715499999999992</c:v>
                </c:pt>
                <c:pt idx="154">
                  <c:v>92.063000000000002</c:v>
                </c:pt>
                <c:pt idx="155">
                  <c:v>92.40025</c:v>
                </c:pt>
                <c:pt idx="156">
                  <c:v>92.718000000000004</c:v>
                </c:pt>
                <c:pt idx="157">
                  <c:v>93.122500000000002</c:v>
                </c:pt>
                <c:pt idx="158">
                  <c:v>93.470250000000007</c:v>
                </c:pt>
                <c:pt idx="159">
                  <c:v>93.823250000000002</c:v>
                </c:pt>
                <c:pt idx="160">
                  <c:v>94.169499999999999</c:v>
                </c:pt>
                <c:pt idx="161">
                  <c:v>94.531749999999988</c:v>
                </c:pt>
                <c:pt idx="162">
                  <c:v>94.94574999999999</c:v>
                </c:pt>
                <c:pt idx="163">
                  <c:v>95.364749999999987</c:v>
                </c:pt>
                <c:pt idx="164">
                  <c:v>95.8095</c:v>
                </c:pt>
                <c:pt idx="165">
                  <c:v>96.263750000000002</c:v>
                </c:pt>
                <c:pt idx="166">
                  <c:v>96.711500000000001</c:v>
                </c:pt>
                <c:pt idx="167">
                  <c:v>97.168249999999986</c:v>
                </c:pt>
                <c:pt idx="168">
                  <c:v>97.612499999999983</c:v>
                </c:pt>
                <c:pt idx="169">
                  <c:v>98.113749999999996</c:v>
                </c:pt>
                <c:pt idx="170">
                  <c:v>98.555999999999997</c:v>
                </c:pt>
                <c:pt idx="171">
                  <c:v>98.96074999999999</c:v>
                </c:pt>
                <c:pt idx="172">
                  <c:v>99.425249999999991</c:v>
                </c:pt>
                <c:pt idx="173">
                  <c:v>99.880249999999975</c:v>
                </c:pt>
                <c:pt idx="174">
                  <c:v>100.39824999999999</c:v>
                </c:pt>
                <c:pt idx="175">
                  <c:v>100.89824999999999</c:v>
                </c:pt>
                <c:pt idx="176">
                  <c:v>101.45899999999999</c:v>
                </c:pt>
                <c:pt idx="177">
                  <c:v>102.02674999999998</c:v>
                </c:pt>
                <c:pt idx="178">
                  <c:v>102.50774999999999</c:v>
                </c:pt>
                <c:pt idx="179">
                  <c:v>103.04575</c:v>
                </c:pt>
                <c:pt idx="180">
                  <c:v>103.527</c:v>
                </c:pt>
                <c:pt idx="181">
                  <c:v>103.89774999999997</c:v>
                </c:pt>
                <c:pt idx="182">
                  <c:v>104.22674999999997</c:v>
                </c:pt>
                <c:pt idx="183">
                  <c:v>104.53824999999999</c:v>
                </c:pt>
                <c:pt idx="184">
                  <c:v>104.88124999999998</c:v>
                </c:pt>
                <c:pt idx="185">
                  <c:v>105.21924999999996</c:v>
                </c:pt>
                <c:pt idx="186">
                  <c:v>105.49224999999997</c:v>
                </c:pt>
                <c:pt idx="187">
                  <c:v>105.74174999999998</c:v>
                </c:pt>
                <c:pt idx="188">
                  <c:v>106.02574999999995</c:v>
                </c:pt>
                <c:pt idx="189">
                  <c:v>106.30324999999996</c:v>
                </c:pt>
                <c:pt idx="190">
                  <c:v>106.54124999999996</c:v>
                </c:pt>
                <c:pt idx="191">
                  <c:v>106.61074999999998</c:v>
                </c:pt>
                <c:pt idx="192">
                  <c:v>106.64699999999998</c:v>
                </c:pt>
                <c:pt idx="193">
                  <c:v>106.78574999999998</c:v>
                </c:pt>
                <c:pt idx="194">
                  <c:v>106.99024999999997</c:v>
                </c:pt>
                <c:pt idx="195">
                  <c:v>107.12099999999998</c:v>
                </c:pt>
                <c:pt idx="196">
                  <c:v>107.27074999999999</c:v>
                </c:pt>
                <c:pt idx="197">
                  <c:v>107.33974999999998</c:v>
                </c:pt>
                <c:pt idx="198">
                  <c:v>107.45599999999997</c:v>
                </c:pt>
                <c:pt idx="199">
                  <c:v>107.62749999999998</c:v>
                </c:pt>
                <c:pt idx="200">
                  <c:v>107.82724999999998</c:v>
                </c:pt>
                <c:pt idx="201">
                  <c:v>108.011</c:v>
                </c:pt>
                <c:pt idx="202">
                  <c:v>108.07149999999999</c:v>
                </c:pt>
                <c:pt idx="203">
                  <c:v>108.1405</c:v>
                </c:pt>
                <c:pt idx="204">
                  <c:v>108.20625</c:v>
                </c:pt>
                <c:pt idx="205">
                  <c:v>108.22949999999999</c:v>
                </c:pt>
                <c:pt idx="206">
                  <c:v>108.23625</c:v>
                </c:pt>
                <c:pt idx="207">
                  <c:v>108.21700000000001</c:v>
                </c:pt>
                <c:pt idx="208">
                  <c:v>108.17825000000001</c:v>
                </c:pt>
                <c:pt idx="209">
                  <c:v>108.04999999999998</c:v>
                </c:pt>
                <c:pt idx="210">
                  <c:v>107.97174999999997</c:v>
                </c:pt>
                <c:pt idx="211">
                  <c:v>107.91299999999998</c:v>
                </c:pt>
                <c:pt idx="212">
                  <c:v>107.73599999999999</c:v>
                </c:pt>
                <c:pt idx="213">
                  <c:v>107.5275</c:v>
                </c:pt>
                <c:pt idx="214">
                  <c:v>107.252</c:v>
                </c:pt>
                <c:pt idx="215">
                  <c:v>107.018</c:v>
                </c:pt>
                <c:pt idx="216">
                  <c:v>106.72174999999997</c:v>
                </c:pt>
                <c:pt idx="217">
                  <c:v>106.40199999999997</c:v>
                </c:pt>
                <c:pt idx="218">
                  <c:v>106.06800000000001</c:v>
                </c:pt>
                <c:pt idx="219">
                  <c:v>105.63950000000003</c:v>
                </c:pt>
                <c:pt idx="220">
                  <c:v>105.25749999999998</c:v>
                </c:pt>
                <c:pt idx="221">
                  <c:v>105.04074999999997</c:v>
                </c:pt>
                <c:pt idx="222">
                  <c:v>104.79249999999999</c:v>
                </c:pt>
                <c:pt idx="223">
                  <c:v>104.55800000000002</c:v>
                </c:pt>
                <c:pt idx="224">
                  <c:v>104.26900000000001</c:v>
                </c:pt>
                <c:pt idx="225">
                  <c:v>103.98575000000001</c:v>
                </c:pt>
                <c:pt idx="226">
                  <c:v>103.75200000000002</c:v>
                </c:pt>
                <c:pt idx="227">
                  <c:v>103.47425000000001</c:v>
                </c:pt>
                <c:pt idx="228">
                  <c:v>103.15400000000002</c:v>
                </c:pt>
                <c:pt idx="229">
                  <c:v>102.81500000000001</c:v>
                </c:pt>
                <c:pt idx="230">
                  <c:v>102.49825000000001</c:v>
                </c:pt>
                <c:pt idx="231">
                  <c:v>102.16375000000001</c:v>
                </c:pt>
                <c:pt idx="232">
                  <c:v>101.86025000000001</c:v>
                </c:pt>
                <c:pt idx="233">
                  <c:v>101.46725000000001</c:v>
                </c:pt>
                <c:pt idx="234">
                  <c:v>101.11675000000001</c:v>
                </c:pt>
                <c:pt idx="235">
                  <c:v>100.83275</c:v>
                </c:pt>
                <c:pt idx="236">
                  <c:v>100.57550000000001</c:v>
                </c:pt>
                <c:pt idx="237">
                  <c:v>100.36300000000001</c:v>
                </c:pt>
                <c:pt idx="238">
                  <c:v>100.16800000000003</c:v>
                </c:pt>
                <c:pt idx="239">
                  <c:v>99.954500000000024</c:v>
                </c:pt>
                <c:pt idx="240">
                  <c:v>99.736000000000018</c:v>
                </c:pt>
                <c:pt idx="241">
                  <c:v>99.507500000000022</c:v>
                </c:pt>
                <c:pt idx="242">
                  <c:v>99.302000000000021</c:v>
                </c:pt>
                <c:pt idx="243">
                  <c:v>99.060750000000013</c:v>
                </c:pt>
                <c:pt idx="244">
                  <c:v>98.913250000000033</c:v>
                </c:pt>
                <c:pt idx="245">
                  <c:v>98.745750000000029</c:v>
                </c:pt>
                <c:pt idx="246">
                  <c:v>98.588750000000033</c:v>
                </c:pt>
                <c:pt idx="247">
                  <c:v>98.471750000000029</c:v>
                </c:pt>
                <c:pt idx="248">
                  <c:v>98.380250000000018</c:v>
                </c:pt>
                <c:pt idx="249">
                  <c:v>98.323500000000024</c:v>
                </c:pt>
                <c:pt idx="250">
                  <c:v>98.263500000000022</c:v>
                </c:pt>
                <c:pt idx="251">
                  <c:v>98.183000000000021</c:v>
                </c:pt>
                <c:pt idx="252">
                  <c:v>98.143000000000015</c:v>
                </c:pt>
                <c:pt idx="253">
                  <c:v>98.190500000000014</c:v>
                </c:pt>
                <c:pt idx="254">
                  <c:v>98.232000000000014</c:v>
                </c:pt>
                <c:pt idx="255">
                  <c:v>98.170750000000012</c:v>
                </c:pt>
                <c:pt idx="256">
                  <c:v>98.144250000000014</c:v>
                </c:pt>
                <c:pt idx="257">
                  <c:v>98.12775000000002</c:v>
                </c:pt>
                <c:pt idx="258">
                  <c:v>98.17225000000002</c:v>
                </c:pt>
                <c:pt idx="259">
                  <c:v>98.198250000000016</c:v>
                </c:pt>
                <c:pt idx="260">
                  <c:v>98.267750000000007</c:v>
                </c:pt>
                <c:pt idx="261">
                  <c:v>98.259750000000025</c:v>
                </c:pt>
                <c:pt idx="262">
                  <c:v>98.238000000000014</c:v>
                </c:pt>
                <c:pt idx="263">
                  <c:v>98.223250000000007</c:v>
                </c:pt>
                <c:pt idx="264">
                  <c:v>98.238</c:v>
                </c:pt>
                <c:pt idx="265">
                  <c:v>98.26700000000001</c:v>
                </c:pt>
                <c:pt idx="266">
                  <c:v>98.22675000000001</c:v>
                </c:pt>
                <c:pt idx="267">
                  <c:v>98.220250000000007</c:v>
                </c:pt>
                <c:pt idx="268">
                  <c:v>98.23275000000001</c:v>
                </c:pt>
                <c:pt idx="269">
                  <c:v>98.247000000000014</c:v>
                </c:pt>
                <c:pt idx="270">
                  <c:v>98.270250000000004</c:v>
                </c:pt>
                <c:pt idx="271">
                  <c:v>98.301500000000004</c:v>
                </c:pt>
                <c:pt idx="272">
                  <c:v>98.368500000000012</c:v>
                </c:pt>
                <c:pt idx="273">
                  <c:v>98.429000000000002</c:v>
                </c:pt>
                <c:pt idx="274">
                  <c:v>98.386250000000004</c:v>
                </c:pt>
                <c:pt idx="275">
                  <c:v>98.399500000000003</c:v>
                </c:pt>
                <c:pt idx="276">
                  <c:v>98.33250000000001</c:v>
                </c:pt>
                <c:pt idx="277">
                  <c:v>98.17349999999999</c:v>
                </c:pt>
                <c:pt idx="278">
                  <c:v>97.955500000000001</c:v>
                </c:pt>
                <c:pt idx="279">
                  <c:v>97.740249999999989</c:v>
                </c:pt>
                <c:pt idx="280">
                  <c:v>97.512500000000003</c:v>
                </c:pt>
                <c:pt idx="281">
                  <c:v>97.278750000000002</c:v>
                </c:pt>
                <c:pt idx="282">
                  <c:v>97.0745</c:v>
                </c:pt>
                <c:pt idx="283">
                  <c:v>96.910499999999985</c:v>
                </c:pt>
                <c:pt idx="284">
                  <c:v>96.643249999999995</c:v>
                </c:pt>
                <c:pt idx="285">
                  <c:v>96.348749999999995</c:v>
                </c:pt>
                <c:pt idx="286">
                  <c:v>96.028500000000008</c:v>
                </c:pt>
                <c:pt idx="287">
                  <c:v>95.711250000000007</c:v>
                </c:pt>
                <c:pt idx="288">
                  <c:v>95.407499999999999</c:v>
                </c:pt>
                <c:pt idx="289">
                  <c:v>95.134499999999989</c:v>
                </c:pt>
                <c:pt idx="290">
                  <c:v>94.908500000000004</c:v>
                </c:pt>
                <c:pt idx="291">
                  <c:v>94.699250000000021</c:v>
                </c:pt>
                <c:pt idx="292">
                  <c:v>94.506500000000017</c:v>
                </c:pt>
                <c:pt idx="293">
                  <c:v>94.268999999999991</c:v>
                </c:pt>
                <c:pt idx="294">
                  <c:v>94.088250000000002</c:v>
                </c:pt>
                <c:pt idx="295">
                  <c:v>94.043750000000003</c:v>
                </c:pt>
                <c:pt idx="296">
                  <c:v>93.976749999999996</c:v>
                </c:pt>
                <c:pt idx="297">
                  <c:v>93.910249999999991</c:v>
                </c:pt>
                <c:pt idx="298">
                  <c:v>93.831249999999997</c:v>
                </c:pt>
                <c:pt idx="299">
                  <c:v>93.827250000000006</c:v>
                </c:pt>
                <c:pt idx="300">
                  <c:v>93.806000000000012</c:v>
                </c:pt>
                <c:pt idx="301">
                  <c:v>93.802499999999995</c:v>
                </c:pt>
                <c:pt idx="302">
                  <c:v>93.764750000000006</c:v>
                </c:pt>
                <c:pt idx="303">
                  <c:v>93.752750000000006</c:v>
                </c:pt>
                <c:pt idx="304">
                  <c:v>93.720249999999993</c:v>
                </c:pt>
                <c:pt idx="305">
                  <c:v>93.703500000000005</c:v>
                </c:pt>
                <c:pt idx="306">
                  <c:v>93.757000000000005</c:v>
                </c:pt>
                <c:pt idx="307">
                  <c:v>93.825500000000005</c:v>
                </c:pt>
                <c:pt idx="308">
                  <c:v>93.883750000000006</c:v>
                </c:pt>
                <c:pt idx="309">
                  <c:v>93.959250000000026</c:v>
                </c:pt>
                <c:pt idx="310">
                  <c:v>94.02275000000003</c:v>
                </c:pt>
                <c:pt idx="311">
                  <c:v>94.083500000000029</c:v>
                </c:pt>
                <c:pt idx="312">
                  <c:v>94.121750000000034</c:v>
                </c:pt>
                <c:pt idx="313">
                  <c:v>94.22350000000003</c:v>
                </c:pt>
                <c:pt idx="314">
                  <c:v>94.358750000000029</c:v>
                </c:pt>
                <c:pt idx="315">
                  <c:v>94.463500000000025</c:v>
                </c:pt>
                <c:pt idx="316">
                  <c:v>94.550750000000022</c:v>
                </c:pt>
                <c:pt idx="317">
                  <c:v>94.667750000000012</c:v>
                </c:pt>
                <c:pt idx="318">
                  <c:v>94.826000000000036</c:v>
                </c:pt>
                <c:pt idx="319">
                  <c:v>94.918750000000031</c:v>
                </c:pt>
                <c:pt idx="320">
                  <c:v>95.050000000000026</c:v>
                </c:pt>
                <c:pt idx="321">
                  <c:v>95.182750000000027</c:v>
                </c:pt>
                <c:pt idx="322">
                  <c:v>95.275250000000042</c:v>
                </c:pt>
                <c:pt idx="323">
                  <c:v>95.342000000000027</c:v>
                </c:pt>
                <c:pt idx="324">
                  <c:v>95.440500000000029</c:v>
                </c:pt>
                <c:pt idx="325">
                  <c:v>95.623000000000019</c:v>
                </c:pt>
                <c:pt idx="326">
                  <c:v>95.84550000000003</c:v>
                </c:pt>
                <c:pt idx="327">
                  <c:v>96.014750000000035</c:v>
                </c:pt>
                <c:pt idx="328">
                  <c:v>96.157500000000027</c:v>
                </c:pt>
                <c:pt idx="329">
                  <c:v>96.371000000000009</c:v>
                </c:pt>
                <c:pt idx="330">
                  <c:v>96.518000000000043</c:v>
                </c:pt>
                <c:pt idx="331">
                  <c:v>96.64475000000003</c:v>
                </c:pt>
                <c:pt idx="332">
                  <c:v>96.727000000000004</c:v>
                </c:pt>
                <c:pt idx="333">
                  <c:v>96.800750000000036</c:v>
                </c:pt>
                <c:pt idx="334">
                  <c:v>96.837500000000034</c:v>
                </c:pt>
                <c:pt idx="335">
                  <c:v>96.850500000000039</c:v>
                </c:pt>
                <c:pt idx="336">
                  <c:v>96.886500000000026</c:v>
                </c:pt>
                <c:pt idx="337">
                  <c:v>96.901500000000013</c:v>
                </c:pt>
                <c:pt idx="338">
                  <c:v>96.913750000000022</c:v>
                </c:pt>
                <c:pt idx="339">
                  <c:v>96.930250000000015</c:v>
                </c:pt>
                <c:pt idx="340">
                  <c:v>96.961750000000023</c:v>
                </c:pt>
                <c:pt idx="341">
                  <c:v>97.004000000000019</c:v>
                </c:pt>
                <c:pt idx="342">
                  <c:v>97.140250000000009</c:v>
                </c:pt>
                <c:pt idx="343">
                  <c:v>97.247249999999994</c:v>
                </c:pt>
                <c:pt idx="344">
                  <c:v>97.4375</c:v>
                </c:pt>
                <c:pt idx="345">
                  <c:v>97.586499999999987</c:v>
                </c:pt>
                <c:pt idx="346">
                  <c:v>97.750500000000017</c:v>
                </c:pt>
                <c:pt idx="347">
                  <c:v>97.939750000000004</c:v>
                </c:pt>
                <c:pt idx="348">
                  <c:v>98.132249999999999</c:v>
                </c:pt>
                <c:pt idx="349">
                  <c:v>98.277999999999992</c:v>
                </c:pt>
                <c:pt idx="350">
                  <c:v>98.49</c:v>
                </c:pt>
                <c:pt idx="351">
                  <c:v>98.712499999999991</c:v>
                </c:pt>
                <c:pt idx="352">
                  <c:v>99.052249999999987</c:v>
                </c:pt>
                <c:pt idx="353">
                  <c:v>99.352499999999992</c:v>
                </c:pt>
                <c:pt idx="354">
                  <c:v>99.615000000000009</c:v>
                </c:pt>
                <c:pt idx="355">
                  <c:v>99.788000000000011</c:v>
                </c:pt>
                <c:pt idx="356">
                  <c:v>100.05700000000002</c:v>
                </c:pt>
                <c:pt idx="357">
                  <c:v>100.35250000000001</c:v>
                </c:pt>
                <c:pt idx="358">
                  <c:v>100.60425000000001</c:v>
                </c:pt>
                <c:pt idx="359">
                  <c:v>100.89824999999999</c:v>
                </c:pt>
                <c:pt idx="360">
                  <c:v>101.14475</c:v>
                </c:pt>
                <c:pt idx="361">
                  <c:v>101.40675</c:v>
                </c:pt>
                <c:pt idx="362">
                  <c:v>101.66350000000001</c:v>
                </c:pt>
                <c:pt idx="363">
                  <c:v>101.94200000000001</c:v>
                </c:pt>
                <c:pt idx="364">
                  <c:v>102.24125000000001</c:v>
                </c:pt>
                <c:pt idx="365">
                  <c:v>102.51875</c:v>
                </c:pt>
                <c:pt idx="366">
                  <c:v>102.7675</c:v>
                </c:pt>
                <c:pt idx="367">
                  <c:v>103.0925</c:v>
                </c:pt>
                <c:pt idx="368">
                  <c:v>103.41600000000001</c:v>
                </c:pt>
                <c:pt idx="369">
                  <c:v>103.68725000000002</c:v>
                </c:pt>
                <c:pt idx="370">
                  <c:v>104.06575000000001</c:v>
                </c:pt>
                <c:pt idx="371">
                  <c:v>104.42175</c:v>
                </c:pt>
                <c:pt idx="372">
                  <c:v>104.81175</c:v>
                </c:pt>
                <c:pt idx="373">
                  <c:v>105.21199999999999</c:v>
                </c:pt>
                <c:pt idx="374">
                  <c:v>105.5685</c:v>
                </c:pt>
                <c:pt idx="375">
                  <c:v>105.85475</c:v>
                </c:pt>
                <c:pt idx="376">
                  <c:v>106.06375</c:v>
                </c:pt>
                <c:pt idx="377">
                  <c:v>106.31375</c:v>
                </c:pt>
                <c:pt idx="378">
                  <c:v>106.57300000000001</c:v>
                </c:pt>
                <c:pt idx="379">
                  <c:v>106.82300000000002</c:v>
                </c:pt>
                <c:pt idx="380">
                  <c:v>107.077</c:v>
                </c:pt>
                <c:pt idx="381">
                  <c:v>107.35975000000001</c:v>
                </c:pt>
                <c:pt idx="382">
                  <c:v>107.63275000000002</c:v>
                </c:pt>
                <c:pt idx="383">
                  <c:v>107.926</c:v>
                </c:pt>
                <c:pt idx="384">
                  <c:v>108.19150000000002</c:v>
                </c:pt>
                <c:pt idx="385">
                  <c:v>108.47999999999999</c:v>
                </c:pt>
                <c:pt idx="386">
                  <c:v>108.73499999999999</c:v>
                </c:pt>
                <c:pt idx="387">
                  <c:v>108.89499999999998</c:v>
                </c:pt>
                <c:pt idx="388">
                  <c:v>108.995</c:v>
                </c:pt>
                <c:pt idx="389">
                  <c:v>109.11949999999999</c:v>
                </c:pt>
                <c:pt idx="390">
                  <c:v>109.16</c:v>
                </c:pt>
                <c:pt idx="391">
                  <c:v>109.20549999999999</c:v>
                </c:pt>
                <c:pt idx="392">
                  <c:v>109.09499999999998</c:v>
                </c:pt>
                <c:pt idx="393">
                  <c:v>108.96699999999998</c:v>
                </c:pt>
                <c:pt idx="394">
                  <c:v>108.80549999999998</c:v>
                </c:pt>
                <c:pt idx="395">
                  <c:v>108.67449999999999</c:v>
                </c:pt>
                <c:pt idx="396">
                  <c:v>108.5685</c:v>
                </c:pt>
                <c:pt idx="397">
                  <c:v>108.46349999999998</c:v>
                </c:pt>
                <c:pt idx="398">
                  <c:v>108.38549999999998</c:v>
                </c:pt>
                <c:pt idx="399">
                  <c:v>108.26299999999999</c:v>
                </c:pt>
                <c:pt idx="400">
                  <c:v>108.14799999999998</c:v>
                </c:pt>
                <c:pt idx="401">
                  <c:v>108.08249999999998</c:v>
                </c:pt>
                <c:pt idx="402">
                  <c:v>108.01349999999998</c:v>
                </c:pt>
                <c:pt idx="403">
                  <c:v>107.929</c:v>
                </c:pt>
                <c:pt idx="404">
                  <c:v>107.81649999999999</c:v>
                </c:pt>
                <c:pt idx="405">
                  <c:v>107.63500000000002</c:v>
                </c:pt>
                <c:pt idx="406">
                  <c:v>107.46225</c:v>
                </c:pt>
                <c:pt idx="407">
                  <c:v>107.27725000000001</c:v>
                </c:pt>
                <c:pt idx="408">
                  <c:v>107.08400000000002</c:v>
                </c:pt>
                <c:pt idx="409">
                  <c:v>107.09349999999999</c:v>
                </c:pt>
                <c:pt idx="410">
                  <c:v>107.00150000000001</c:v>
                </c:pt>
                <c:pt idx="411">
                  <c:v>106.92400000000001</c:v>
                </c:pt>
                <c:pt idx="412">
                  <c:v>106.84200000000001</c:v>
                </c:pt>
                <c:pt idx="413">
                  <c:v>106.71749999999997</c:v>
                </c:pt>
                <c:pt idx="414">
                  <c:v>106.5365</c:v>
                </c:pt>
                <c:pt idx="415">
                  <c:v>106.31500000000001</c:v>
                </c:pt>
                <c:pt idx="416">
                  <c:v>106.12800000000001</c:v>
                </c:pt>
                <c:pt idx="417">
                  <c:v>105.93299999999999</c:v>
                </c:pt>
                <c:pt idx="418">
                  <c:v>105.73350000000001</c:v>
                </c:pt>
                <c:pt idx="419">
                  <c:v>105.53099999999999</c:v>
                </c:pt>
                <c:pt idx="420">
                  <c:v>105.31899999999999</c:v>
                </c:pt>
                <c:pt idx="421">
                  <c:v>105.08499999999999</c:v>
                </c:pt>
                <c:pt idx="422">
                  <c:v>104.82450000000001</c:v>
                </c:pt>
                <c:pt idx="423">
                  <c:v>104.532</c:v>
                </c:pt>
                <c:pt idx="424">
                  <c:v>104.3135</c:v>
                </c:pt>
                <c:pt idx="425">
                  <c:v>104.09349999999999</c:v>
                </c:pt>
                <c:pt idx="426">
                  <c:v>103.87199999999999</c:v>
                </c:pt>
                <c:pt idx="427">
                  <c:v>103.71049999999998</c:v>
                </c:pt>
                <c:pt idx="428">
                  <c:v>103.56649999999998</c:v>
                </c:pt>
                <c:pt idx="429">
                  <c:v>103.43449999999999</c:v>
                </c:pt>
                <c:pt idx="430">
                  <c:v>103.28549999999998</c:v>
                </c:pt>
                <c:pt idx="431">
                  <c:v>103.0835</c:v>
                </c:pt>
                <c:pt idx="432">
                  <c:v>102.89975</c:v>
                </c:pt>
                <c:pt idx="433">
                  <c:v>102.77925</c:v>
                </c:pt>
                <c:pt idx="434">
                  <c:v>102.71025</c:v>
                </c:pt>
                <c:pt idx="435">
                  <c:v>102.68574999999998</c:v>
                </c:pt>
                <c:pt idx="436">
                  <c:v>102.59824999999998</c:v>
                </c:pt>
                <c:pt idx="437">
                  <c:v>102.46149999999997</c:v>
                </c:pt>
                <c:pt idx="438">
                  <c:v>102.31974999999998</c:v>
                </c:pt>
                <c:pt idx="439">
                  <c:v>102.2165</c:v>
                </c:pt>
                <c:pt idx="440">
                  <c:v>102.09549999999999</c:v>
                </c:pt>
                <c:pt idx="441">
                  <c:v>101.95424999999999</c:v>
                </c:pt>
                <c:pt idx="442">
                  <c:v>101.80824999999999</c:v>
                </c:pt>
                <c:pt idx="443">
                  <c:v>101.65725</c:v>
                </c:pt>
                <c:pt idx="444">
                  <c:v>101.48499999999999</c:v>
                </c:pt>
                <c:pt idx="445">
                  <c:v>101.35274999999999</c:v>
                </c:pt>
                <c:pt idx="446">
                  <c:v>101.25774999999999</c:v>
                </c:pt>
                <c:pt idx="447">
                  <c:v>101.123</c:v>
                </c:pt>
                <c:pt idx="448">
                  <c:v>101.02775</c:v>
                </c:pt>
                <c:pt idx="449">
                  <c:v>100.68375</c:v>
                </c:pt>
                <c:pt idx="450">
                  <c:v>100.42399999999999</c:v>
                </c:pt>
                <c:pt idx="451">
                  <c:v>100.19425</c:v>
                </c:pt>
                <c:pt idx="452">
                  <c:v>99.995249999999984</c:v>
                </c:pt>
                <c:pt idx="453">
                  <c:v>99.831749999999985</c:v>
                </c:pt>
                <c:pt idx="454">
                  <c:v>99.77324999999999</c:v>
                </c:pt>
                <c:pt idx="455">
                  <c:v>99.784750000000003</c:v>
                </c:pt>
                <c:pt idx="456">
                  <c:v>99.753999999999991</c:v>
                </c:pt>
                <c:pt idx="457">
                  <c:v>99.701500000000024</c:v>
                </c:pt>
                <c:pt idx="458">
                  <c:v>99.629249999999999</c:v>
                </c:pt>
                <c:pt idx="459">
                  <c:v>99.558250000000001</c:v>
                </c:pt>
                <c:pt idx="460">
                  <c:v>99.451999999999998</c:v>
                </c:pt>
                <c:pt idx="461">
                  <c:v>99.41425000000001</c:v>
                </c:pt>
                <c:pt idx="462">
                  <c:v>99.36</c:v>
                </c:pt>
                <c:pt idx="463">
                  <c:v>99.326999999999998</c:v>
                </c:pt>
                <c:pt idx="464">
                  <c:v>99.224249999999998</c:v>
                </c:pt>
                <c:pt idx="465">
                  <c:v>99.115499999999997</c:v>
                </c:pt>
                <c:pt idx="466">
                  <c:v>99.016499999999979</c:v>
                </c:pt>
                <c:pt idx="467">
                  <c:v>98.903999999999982</c:v>
                </c:pt>
                <c:pt idx="468">
                  <c:v>98.78949999999999</c:v>
                </c:pt>
                <c:pt idx="469">
                  <c:v>98.662749999999988</c:v>
                </c:pt>
                <c:pt idx="470">
                  <c:v>98.583999999999975</c:v>
                </c:pt>
                <c:pt idx="471">
                  <c:v>98.604999999999976</c:v>
                </c:pt>
                <c:pt idx="472">
                  <c:v>98.566999999999979</c:v>
                </c:pt>
                <c:pt idx="473">
                  <c:v>98.468499999999977</c:v>
                </c:pt>
                <c:pt idx="474">
                  <c:v>98.376499999999993</c:v>
                </c:pt>
                <c:pt idx="475">
                  <c:v>98.29249999999999</c:v>
                </c:pt>
                <c:pt idx="476">
                  <c:v>98.220249999999993</c:v>
                </c:pt>
                <c:pt idx="477">
                  <c:v>98.128749999999982</c:v>
                </c:pt>
                <c:pt idx="478">
                  <c:v>97.989749999999987</c:v>
                </c:pt>
                <c:pt idx="479">
                  <c:v>97.810499999999976</c:v>
                </c:pt>
                <c:pt idx="480">
                  <c:v>97.689999999999984</c:v>
                </c:pt>
                <c:pt idx="481">
                  <c:v>97.527999999999992</c:v>
                </c:pt>
                <c:pt idx="482">
                  <c:v>97.367749999999987</c:v>
                </c:pt>
                <c:pt idx="483">
                  <c:v>97.228999999999999</c:v>
                </c:pt>
                <c:pt idx="484">
                  <c:v>97.126999999999995</c:v>
                </c:pt>
                <c:pt idx="485">
                  <c:v>97.004999999999995</c:v>
                </c:pt>
                <c:pt idx="486">
                  <c:v>96.861250000000013</c:v>
                </c:pt>
                <c:pt idx="487">
                  <c:v>96.779750000000007</c:v>
                </c:pt>
                <c:pt idx="488">
                  <c:v>96.689250000000001</c:v>
                </c:pt>
                <c:pt idx="489">
                  <c:v>96.619250000000008</c:v>
                </c:pt>
                <c:pt idx="490">
                  <c:v>96.454499999999996</c:v>
                </c:pt>
                <c:pt idx="491">
                  <c:v>96.296749999999989</c:v>
                </c:pt>
                <c:pt idx="492">
                  <c:v>96.177179487179473</c:v>
                </c:pt>
                <c:pt idx="493">
                  <c:v>96.050263157894719</c:v>
                </c:pt>
                <c:pt idx="494">
                  <c:v>95.904054054054043</c:v>
                </c:pt>
                <c:pt idx="495">
                  <c:v>95.749166666666653</c:v>
                </c:pt>
                <c:pt idx="496">
                  <c:v>95.646285714285696</c:v>
                </c:pt>
                <c:pt idx="497">
                  <c:v>95.537647058823509</c:v>
                </c:pt>
                <c:pt idx="498">
                  <c:v>95.470606060606045</c:v>
                </c:pt>
                <c:pt idx="499">
                  <c:v>95.386562499999982</c:v>
                </c:pt>
                <c:pt idx="500">
                  <c:v>95.328387096774179</c:v>
                </c:pt>
                <c:pt idx="501">
                  <c:v>95.184333333333328</c:v>
                </c:pt>
                <c:pt idx="502">
                  <c:v>95.072413793103436</c:v>
                </c:pt>
                <c:pt idx="503">
                  <c:v>94.942857142857108</c:v>
                </c:pt>
                <c:pt idx="504">
                  <c:v>94.767777777777766</c:v>
                </c:pt>
                <c:pt idx="505">
                  <c:v>94.576153846153829</c:v>
                </c:pt>
                <c:pt idx="506">
                  <c:v>94.389599999999987</c:v>
                </c:pt>
                <c:pt idx="507">
                  <c:v>94.189999999999984</c:v>
                </c:pt>
                <c:pt idx="508">
                  <c:v>94.035652173913007</c:v>
                </c:pt>
                <c:pt idx="509">
                  <c:v>93.873181818181806</c:v>
                </c:pt>
                <c:pt idx="510">
                  <c:v>93.687619047619037</c:v>
                </c:pt>
                <c:pt idx="511">
                  <c:v>93.399000000000001</c:v>
                </c:pt>
                <c:pt idx="512">
                  <c:v>93.179473684210535</c:v>
                </c:pt>
                <c:pt idx="513">
                  <c:v>92.944999999999993</c:v>
                </c:pt>
                <c:pt idx="514">
                  <c:v>92.702941176470574</c:v>
                </c:pt>
                <c:pt idx="515">
                  <c:v>92.398124999999993</c:v>
                </c:pt>
                <c:pt idx="516">
                  <c:v>92.038666666666657</c:v>
                </c:pt>
                <c:pt idx="517">
                  <c:v>91.807857142857145</c:v>
                </c:pt>
                <c:pt idx="518">
                  <c:v>91.69846153846153</c:v>
                </c:pt>
                <c:pt idx="519">
                  <c:v>91.716666666666654</c:v>
                </c:pt>
                <c:pt idx="520">
                  <c:v>91.605454545454563</c:v>
                </c:pt>
                <c:pt idx="521">
                  <c:v>91.531000000000006</c:v>
                </c:pt>
                <c:pt idx="522">
                  <c:v>91.502222222222215</c:v>
                </c:pt>
                <c:pt idx="523">
                  <c:v>91.466250000000002</c:v>
                </c:pt>
                <c:pt idx="524">
                  <c:v>91.45714285714287</c:v>
                </c:pt>
                <c:pt idx="525">
                  <c:v>91.704999999999998</c:v>
                </c:pt>
                <c:pt idx="526">
                  <c:v>92.042000000000002</c:v>
                </c:pt>
                <c:pt idx="527">
                  <c:v>92.194999999999993</c:v>
                </c:pt>
                <c:pt idx="528">
                  <c:v>92.266666666666652</c:v>
                </c:pt>
                <c:pt idx="529">
                  <c:v>92.47999999999999</c:v>
                </c:pt>
                <c:pt idx="530">
                  <c:v>93.22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F8-4ECD-9004-C846148DD615}"/>
            </c:ext>
          </c:extLst>
        </c:ser>
        <c:ser>
          <c:idx val="2"/>
          <c:order val="2"/>
          <c:tx>
            <c:v>Derniers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BMW!$B$2:$B$532</c:f>
              <c:numCache>
                <c:formatCode>General</c:formatCode>
                <c:ptCount val="531"/>
                <c:pt idx="0">
                  <c:v>76.63</c:v>
                </c:pt>
                <c:pt idx="1">
                  <c:v>76.22</c:v>
                </c:pt>
                <c:pt idx="2">
                  <c:v>77.040000000000006</c:v>
                </c:pt>
                <c:pt idx="3">
                  <c:v>76.38</c:v>
                </c:pt>
                <c:pt idx="4">
                  <c:v>77.62</c:v>
                </c:pt>
                <c:pt idx="5">
                  <c:v>76.319999999999993</c:v>
                </c:pt>
                <c:pt idx="6">
                  <c:v>77.16</c:v>
                </c:pt>
                <c:pt idx="7">
                  <c:v>76.72</c:v>
                </c:pt>
                <c:pt idx="8">
                  <c:v>78.599999999999994</c:v>
                </c:pt>
                <c:pt idx="9">
                  <c:v>79.88</c:v>
                </c:pt>
                <c:pt idx="10">
                  <c:v>79.3</c:v>
                </c:pt>
                <c:pt idx="11">
                  <c:v>78.8</c:v>
                </c:pt>
                <c:pt idx="12">
                  <c:v>81.040000000000006</c:v>
                </c:pt>
                <c:pt idx="13">
                  <c:v>78.84</c:v>
                </c:pt>
                <c:pt idx="14">
                  <c:v>77.38</c:v>
                </c:pt>
                <c:pt idx="15">
                  <c:v>78.22</c:v>
                </c:pt>
                <c:pt idx="16">
                  <c:v>77.84</c:v>
                </c:pt>
                <c:pt idx="17">
                  <c:v>79.260000000000005</c:v>
                </c:pt>
                <c:pt idx="18">
                  <c:v>77.099999999999994</c:v>
                </c:pt>
                <c:pt idx="19">
                  <c:v>76.239999999999995</c:v>
                </c:pt>
                <c:pt idx="20">
                  <c:v>77.040000000000006</c:v>
                </c:pt>
                <c:pt idx="21">
                  <c:v>75.98</c:v>
                </c:pt>
                <c:pt idx="22">
                  <c:v>76.22</c:v>
                </c:pt>
                <c:pt idx="23">
                  <c:v>76.38</c:v>
                </c:pt>
                <c:pt idx="24">
                  <c:v>75.52</c:v>
                </c:pt>
                <c:pt idx="25">
                  <c:v>76.760000000000005</c:v>
                </c:pt>
                <c:pt idx="26">
                  <c:v>78.86</c:v>
                </c:pt>
                <c:pt idx="27">
                  <c:v>79.8</c:v>
                </c:pt>
                <c:pt idx="28">
                  <c:v>76.42</c:v>
                </c:pt>
                <c:pt idx="29">
                  <c:v>78.099999999999994</c:v>
                </c:pt>
                <c:pt idx="30">
                  <c:v>78.98</c:v>
                </c:pt>
                <c:pt idx="31">
                  <c:v>78.34</c:v>
                </c:pt>
                <c:pt idx="32">
                  <c:v>76.94</c:v>
                </c:pt>
                <c:pt idx="33">
                  <c:v>77.58</c:v>
                </c:pt>
                <c:pt idx="34">
                  <c:v>77.28</c:v>
                </c:pt>
                <c:pt idx="35">
                  <c:v>78</c:v>
                </c:pt>
                <c:pt idx="36">
                  <c:v>78.36</c:v>
                </c:pt>
                <c:pt idx="37">
                  <c:v>77.62</c:v>
                </c:pt>
                <c:pt idx="38">
                  <c:v>80.16</c:v>
                </c:pt>
                <c:pt idx="39">
                  <c:v>79.98</c:v>
                </c:pt>
                <c:pt idx="40">
                  <c:v>78.48</c:v>
                </c:pt>
                <c:pt idx="41">
                  <c:v>79.680000000000007</c:v>
                </c:pt>
                <c:pt idx="42">
                  <c:v>79.2</c:v>
                </c:pt>
                <c:pt idx="43">
                  <c:v>77.239999999999995</c:v>
                </c:pt>
                <c:pt idx="44">
                  <c:v>75.2</c:v>
                </c:pt>
                <c:pt idx="45">
                  <c:v>73.44</c:v>
                </c:pt>
                <c:pt idx="46">
                  <c:v>71.8</c:v>
                </c:pt>
                <c:pt idx="47">
                  <c:v>71.88</c:v>
                </c:pt>
                <c:pt idx="48">
                  <c:v>70.02</c:v>
                </c:pt>
                <c:pt idx="49">
                  <c:v>68.92</c:v>
                </c:pt>
                <c:pt idx="50">
                  <c:v>68.400000000000006</c:v>
                </c:pt>
                <c:pt idx="51">
                  <c:v>68.48</c:v>
                </c:pt>
                <c:pt idx="52">
                  <c:v>69.3</c:v>
                </c:pt>
                <c:pt idx="53">
                  <c:v>67.8</c:v>
                </c:pt>
                <c:pt idx="54">
                  <c:v>67.94</c:v>
                </c:pt>
                <c:pt idx="55">
                  <c:v>68.5</c:v>
                </c:pt>
                <c:pt idx="56">
                  <c:v>69.06</c:v>
                </c:pt>
                <c:pt idx="57">
                  <c:v>68.72</c:v>
                </c:pt>
                <c:pt idx="58">
                  <c:v>67.92</c:v>
                </c:pt>
                <c:pt idx="59">
                  <c:v>67.64</c:v>
                </c:pt>
                <c:pt idx="60">
                  <c:v>65.959999999999994</c:v>
                </c:pt>
                <c:pt idx="61">
                  <c:v>67.22</c:v>
                </c:pt>
                <c:pt idx="62">
                  <c:v>67.84</c:v>
                </c:pt>
                <c:pt idx="63">
                  <c:v>67.58</c:v>
                </c:pt>
                <c:pt idx="64">
                  <c:v>69.819999999999993</c:v>
                </c:pt>
                <c:pt idx="65">
                  <c:v>67.84</c:v>
                </c:pt>
                <c:pt idx="66">
                  <c:v>72.62</c:v>
                </c:pt>
                <c:pt idx="67">
                  <c:v>72.7</c:v>
                </c:pt>
                <c:pt idx="68">
                  <c:v>73.16</c:v>
                </c:pt>
                <c:pt idx="69">
                  <c:v>72.319999999999993</c:v>
                </c:pt>
                <c:pt idx="70">
                  <c:v>73.44</c:v>
                </c:pt>
                <c:pt idx="71">
                  <c:v>74.3</c:v>
                </c:pt>
                <c:pt idx="72">
                  <c:v>75.52</c:v>
                </c:pt>
                <c:pt idx="73">
                  <c:v>76</c:v>
                </c:pt>
                <c:pt idx="74">
                  <c:v>76.48</c:v>
                </c:pt>
                <c:pt idx="75">
                  <c:v>75.56</c:v>
                </c:pt>
                <c:pt idx="76">
                  <c:v>75.22</c:v>
                </c:pt>
                <c:pt idx="77">
                  <c:v>74.88</c:v>
                </c:pt>
                <c:pt idx="78">
                  <c:v>75.099999999999994</c:v>
                </c:pt>
                <c:pt idx="79">
                  <c:v>74.760000000000005</c:v>
                </c:pt>
                <c:pt idx="80">
                  <c:v>74.739999999999995</c:v>
                </c:pt>
                <c:pt idx="81">
                  <c:v>75.28</c:v>
                </c:pt>
                <c:pt idx="82">
                  <c:v>76.239999999999995</c:v>
                </c:pt>
                <c:pt idx="83">
                  <c:v>75.78</c:v>
                </c:pt>
                <c:pt idx="84">
                  <c:v>76.64</c:v>
                </c:pt>
                <c:pt idx="85">
                  <c:v>77.2</c:v>
                </c:pt>
                <c:pt idx="86">
                  <c:v>76.260000000000005</c:v>
                </c:pt>
                <c:pt idx="87">
                  <c:v>77.84</c:v>
                </c:pt>
                <c:pt idx="88">
                  <c:v>77.760000000000005</c:v>
                </c:pt>
                <c:pt idx="89">
                  <c:v>76.42</c:v>
                </c:pt>
                <c:pt idx="90">
                  <c:v>77.62</c:v>
                </c:pt>
                <c:pt idx="91">
                  <c:v>77.739999999999995</c:v>
                </c:pt>
                <c:pt idx="92">
                  <c:v>79.180000000000007</c:v>
                </c:pt>
                <c:pt idx="93">
                  <c:v>81.14</c:v>
                </c:pt>
                <c:pt idx="94">
                  <c:v>78.540000000000006</c:v>
                </c:pt>
                <c:pt idx="95">
                  <c:v>75.66</c:v>
                </c:pt>
                <c:pt idx="96">
                  <c:v>78.12</c:v>
                </c:pt>
                <c:pt idx="97">
                  <c:v>75.44</c:v>
                </c:pt>
                <c:pt idx="98">
                  <c:v>73.64</c:v>
                </c:pt>
                <c:pt idx="99">
                  <c:v>76.14</c:v>
                </c:pt>
                <c:pt idx="100">
                  <c:v>74.52</c:v>
                </c:pt>
                <c:pt idx="101">
                  <c:v>72.92</c:v>
                </c:pt>
                <c:pt idx="102">
                  <c:v>72.52</c:v>
                </c:pt>
                <c:pt idx="103">
                  <c:v>73.319999999999993</c:v>
                </c:pt>
                <c:pt idx="104">
                  <c:v>71.36</c:v>
                </c:pt>
                <c:pt idx="105">
                  <c:v>71.08</c:v>
                </c:pt>
                <c:pt idx="106">
                  <c:v>68.98</c:v>
                </c:pt>
                <c:pt idx="107">
                  <c:v>77.64</c:v>
                </c:pt>
                <c:pt idx="108">
                  <c:v>78.2</c:v>
                </c:pt>
                <c:pt idx="109">
                  <c:v>80.3</c:v>
                </c:pt>
                <c:pt idx="110">
                  <c:v>80.540000000000006</c:v>
                </c:pt>
                <c:pt idx="111">
                  <c:v>81.56</c:v>
                </c:pt>
                <c:pt idx="112">
                  <c:v>83.14</c:v>
                </c:pt>
                <c:pt idx="113">
                  <c:v>83.82</c:v>
                </c:pt>
                <c:pt idx="114">
                  <c:v>83.86</c:v>
                </c:pt>
                <c:pt idx="115">
                  <c:v>83.54</c:v>
                </c:pt>
                <c:pt idx="116">
                  <c:v>84.78</c:v>
                </c:pt>
                <c:pt idx="117">
                  <c:v>84.8</c:v>
                </c:pt>
                <c:pt idx="118">
                  <c:v>84.46</c:v>
                </c:pt>
                <c:pt idx="119">
                  <c:v>83.22</c:v>
                </c:pt>
                <c:pt idx="120">
                  <c:v>83.56</c:v>
                </c:pt>
                <c:pt idx="121">
                  <c:v>82.66</c:v>
                </c:pt>
                <c:pt idx="122">
                  <c:v>82.72</c:v>
                </c:pt>
                <c:pt idx="123">
                  <c:v>81.739999999999995</c:v>
                </c:pt>
                <c:pt idx="124">
                  <c:v>81.48</c:v>
                </c:pt>
                <c:pt idx="125">
                  <c:v>80.040000000000006</c:v>
                </c:pt>
                <c:pt idx="126">
                  <c:v>79.319999999999993</c:v>
                </c:pt>
                <c:pt idx="127">
                  <c:v>78.98</c:v>
                </c:pt>
                <c:pt idx="128">
                  <c:v>79.7</c:v>
                </c:pt>
                <c:pt idx="129">
                  <c:v>79.819999999999993</c:v>
                </c:pt>
                <c:pt idx="130">
                  <c:v>80.400000000000006</c:v>
                </c:pt>
                <c:pt idx="131">
                  <c:v>79.540000000000006</c:v>
                </c:pt>
                <c:pt idx="132">
                  <c:v>79.819999999999993</c:v>
                </c:pt>
                <c:pt idx="133">
                  <c:v>82.06</c:v>
                </c:pt>
                <c:pt idx="134">
                  <c:v>83.2</c:v>
                </c:pt>
                <c:pt idx="135">
                  <c:v>85.82</c:v>
                </c:pt>
                <c:pt idx="136">
                  <c:v>86.76</c:v>
                </c:pt>
                <c:pt idx="137">
                  <c:v>86.58</c:v>
                </c:pt>
                <c:pt idx="138">
                  <c:v>87.56</c:v>
                </c:pt>
                <c:pt idx="139">
                  <c:v>88.2</c:v>
                </c:pt>
                <c:pt idx="140">
                  <c:v>89.1</c:v>
                </c:pt>
                <c:pt idx="141">
                  <c:v>90.02</c:v>
                </c:pt>
                <c:pt idx="142">
                  <c:v>90.92</c:v>
                </c:pt>
                <c:pt idx="143">
                  <c:v>89.48</c:v>
                </c:pt>
                <c:pt idx="144">
                  <c:v>91.32</c:v>
                </c:pt>
                <c:pt idx="145">
                  <c:v>89.7</c:v>
                </c:pt>
                <c:pt idx="146">
                  <c:v>88.88</c:v>
                </c:pt>
                <c:pt idx="147">
                  <c:v>89.82</c:v>
                </c:pt>
                <c:pt idx="148">
                  <c:v>92.18</c:v>
                </c:pt>
                <c:pt idx="149">
                  <c:v>91</c:v>
                </c:pt>
                <c:pt idx="150">
                  <c:v>89.5</c:v>
                </c:pt>
                <c:pt idx="151">
                  <c:v>87.7</c:v>
                </c:pt>
                <c:pt idx="152">
                  <c:v>87.12</c:v>
                </c:pt>
                <c:pt idx="153">
                  <c:v>87.7</c:v>
                </c:pt>
                <c:pt idx="154">
                  <c:v>88.16</c:v>
                </c:pt>
                <c:pt idx="155">
                  <c:v>88.44</c:v>
                </c:pt>
                <c:pt idx="156">
                  <c:v>88.02</c:v>
                </c:pt>
                <c:pt idx="157">
                  <c:v>89.14</c:v>
                </c:pt>
                <c:pt idx="158">
                  <c:v>88.38</c:v>
                </c:pt>
                <c:pt idx="159">
                  <c:v>88.1</c:v>
                </c:pt>
                <c:pt idx="160">
                  <c:v>87.96</c:v>
                </c:pt>
                <c:pt idx="161">
                  <c:v>90.24</c:v>
                </c:pt>
                <c:pt idx="162">
                  <c:v>89.64</c:v>
                </c:pt>
                <c:pt idx="163">
                  <c:v>87.26</c:v>
                </c:pt>
                <c:pt idx="164">
                  <c:v>88.38</c:v>
                </c:pt>
                <c:pt idx="165">
                  <c:v>88.54</c:v>
                </c:pt>
                <c:pt idx="166">
                  <c:v>87.58</c:v>
                </c:pt>
                <c:pt idx="167">
                  <c:v>88.08</c:v>
                </c:pt>
                <c:pt idx="168">
                  <c:v>86.9</c:v>
                </c:pt>
                <c:pt idx="169">
                  <c:v>88.26</c:v>
                </c:pt>
                <c:pt idx="170">
                  <c:v>90.26</c:v>
                </c:pt>
                <c:pt idx="171">
                  <c:v>91.12</c:v>
                </c:pt>
                <c:pt idx="172">
                  <c:v>91.3</c:v>
                </c:pt>
                <c:pt idx="173">
                  <c:v>91.18</c:v>
                </c:pt>
                <c:pt idx="174">
                  <c:v>91.5</c:v>
                </c:pt>
                <c:pt idx="175">
                  <c:v>91.42</c:v>
                </c:pt>
                <c:pt idx="176">
                  <c:v>92.04</c:v>
                </c:pt>
                <c:pt idx="177">
                  <c:v>93.26</c:v>
                </c:pt>
                <c:pt idx="178">
                  <c:v>93.18</c:v>
                </c:pt>
                <c:pt idx="179">
                  <c:v>92.6</c:v>
                </c:pt>
                <c:pt idx="180">
                  <c:v>91.82</c:v>
                </c:pt>
                <c:pt idx="181">
                  <c:v>93.8</c:v>
                </c:pt>
                <c:pt idx="182">
                  <c:v>93.7</c:v>
                </c:pt>
                <c:pt idx="183">
                  <c:v>92.84</c:v>
                </c:pt>
                <c:pt idx="184">
                  <c:v>92.72</c:v>
                </c:pt>
                <c:pt idx="185">
                  <c:v>93.2</c:v>
                </c:pt>
                <c:pt idx="186">
                  <c:v>94.82</c:v>
                </c:pt>
                <c:pt idx="187">
                  <c:v>95</c:v>
                </c:pt>
                <c:pt idx="188">
                  <c:v>96.02</c:v>
                </c:pt>
                <c:pt idx="189">
                  <c:v>96.46</c:v>
                </c:pt>
                <c:pt idx="190">
                  <c:v>102.9</c:v>
                </c:pt>
                <c:pt idx="191">
                  <c:v>103.75</c:v>
                </c:pt>
                <c:pt idx="192">
                  <c:v>102.95</c:v>
                </c:pt>
                <c:pt idx="193">
                  <c:v>101.6</c:v>
                </c:pt>
                <c:pt idx="194">
                  <c:v>101.65</c:v>
                </c:pt>
                <c:pt idx="195">
                  <c:v>101.15</c:v>
                </c:pt>
                <c:pt idx="196">
                  <c:v>104.2</c:v>
                </c:pt>
                <c:pt idx="197">
                  <c:v>103.05</c:v>
                </c:pt>
                <c:pt idx="198">
                  <c:v>102.5</c:v>
                </c:pt>
                <c:pt idx="199">
                  <c:v>101.95</c:v>
                </c:pt>
                <c:pt idx="200">
                  <c:v>102.45</c:v>
                </c:pt>
                <c:pt idx="201">
                  <c:v>106.8</c:v>
                </c:pt>
                <c:pt idx="202">
                  <c:v>106.4</c:v>
                </c:pt>
                <c:pt idx="203">
                  <c:v>105.05</c:v>
                </c:pt>
                <c:pt idx="204">
                  <c:v>106.55</c:v>
                </c:pt>
                <c:pt idx="205">
                  <c:v>106.45</c:v>
                </c:pt>
                <c:pt idx="206">
                  <c:v>105.85</c:v>
                </c:pt>
                <c:pt idx="207">
                  <c:v>105.85</c:v>
                </c:pt>
                <c:pt idx="208">
                  <c:v>106.95</c:v>
                </c:pt>
                <c:pt idx="209">
                  <c:v>105.95</c:v>
                </c:pt>
                <c:pt idx="210">
                  <c:v>106.45</c:v>
                </c:pt>
                <c:pt idx="211">
                  <c:v>109.7</c:v>
                </c:pt>
                <c:pt idx="212">
                  <c:v>109.5</c:v>
                </c:pt>
                <c:pt idx="213">
                  <c:v>111.9</c:v>
                </c:pt>
                <c:pt idx="214">
                  <c:v>111.5</c:v>
                </c:pt>
                <c:pt idx="215">
                  <c:v>113.85</c:v>
                </c:pt>
                <c:pt idx="216">
                  <c:v>114.75</c:v>
                </c:pt>
                <c:pt idx="217">
                  <c:v>112.5</c:v>
                </c:pt>
                <c:pt idx="218">
                  <c:v>114.7</c:v>
                </c:pt>
                <c:pt idx="219">
                  <c:v>111.85</c:v>
                </c:pt>
                <c:pt idx="220">
                  <c:v>106.65</c:v>
                </c:pt>
                <c:pt idx="221">
                  <c:v>106.96</c:v>
                </c:pt>
                <c:pt idx="222">
                  <c:v>106.16</c:v>
                </c:pt>
                <c:pt idx="223">
                  <c:v>106.56</c:v>
                </c:pt>
                <c:pt idx="224">
                  <c:v>106.24</c:v>
                </c:pt>
                <c:pt idx="225">
                  <c:v>104.12</c:v>
                </c:pt>
                <c:pt idx="226">
                  <c:v>104.8</c:v>
                </c:pt>
                <c:pt idx="227">
                  <c:v>106.36</c:v>
                </c:pt>
                <c:pt idx="228">
                  <c:v>107.12</c:v>
                </c:pt>
                <c:pt idx="229">
                  <c:v>105.98</c:v>
                </c:pt>
                <c:pt idx="230">
                  <c:v>105.68</c:v>
                </c:pt>
                <c:pt idx="231">
                  <c:v>105.2</c:v>
                </c:pt>
                <c:pt idx="232">
                  <c:v>108.5</c:v>
                </c:pt>
                <c:pt idx="233">
                  <c:v>109.78</c:v>
                </c:pt>
                <c:pt idx="234">
                  <c:v>106.88</c:v>
                </c:pt>
                <c:pt idx="235">
                  <c:v>107.14</c:v>
                </c:pt>
                <c:pt idx="236">
                  <c:v>106.96</c:v>
                </c:pt>
                <c:pt idx="237">
                  <c:v>107.7</c:v>
                </c:pt>
                <c:pt idx="238">
                  <c:v>109.36</c:v>
                </c:pt>
                <c:pt idx="239">
                  <c:v>109.94</c:v>
                </c:pt>
                <c:pt idx="240">
                  <c:v>109.8</c:v>
                </c:pt>
                <c:pt idx="241">
                  <c:v>109.22</c:v>
                </c:pt>
                <c:pt idx="242">
                  <c:v>109.16</c:v>
                </c:pt>
                <c:pt idx="243">
                  <c:v>107.68</c:v>
                </c:pt>
                <c:pt idx="244">
                  <c:v>107.48</c:v>
                </c:pt>
                <c:pt idx="245">
                  <c:v>106.72</c:v>
                </c:pt>
                <c:pt idx="246">
                  <c:v>105.08</c:v>
                </c:pt>
                <c:pt idx="247">
                  <c:v>104.3</c:v>
                </c:pt>
                <c:pt idx="248">
                  <c:v>101.82</c:v>
                </c:pt>
                <c:pt idx="249">
                  <c:v>102.82</c:v>
                </c:pt>
                <c:pt idx="250">
                  <c:v>104.1</c:v>
                </c:pt>
                <c:pt idx="251">
                  <c:v>102.62</c:v>
                </c:pt>
                <c:pt idx="252">
                  <c:v>101.16</c:v>
                </c:pt>
                <c:pt idx="253">
                  <c:v>100.88</c:v>
                </c:pt>
                <c:pt idx="254">
                  <c:v>102.14</c:v>
                </c:pt>
                <c:pt idx="255">
                  <c:v>102</c:v>
                </c:pt>
                <c:pt idx="256">
                  <c:v>101.96</c:v>
                </c:pt>
                <c:pt idx="257">
                  <c:v>99.14</c:v>
                </c:pt>
                <c:pt idx="258">
                  <c:v>97.56</c:v>
                </c:pt>
                <c:pt idx="259">
                  <c:v>96.57</c:v>
                </c:pt>
                <c:pt idx="260">
                  <c:v>97.98</c:v>
                </c:pt>
                <c:pt idx="261">
                  <c:v>97.03</c:v>
                </c:pt>
                <c:pt idx="262">
                  <c:v>96.78</c:v>
                </c:pt>
                <c:pt idx="263">
                  <c:v>95</c:v>
                </c:pt>
                <c:pt idx="264">
                  <c:v>94.91</c:v>
                </c:pt>
                <c:pt idx="265">
                  <c:v>94.77</c:v>
                </c:pt>
                <c:pt idx="266">
                  <c:v>93.69</c:v>
                </c:pt>
                <c:pt idx="267">
                  <c:v>93.55</c:v>
                </c:pt>
                <c:pt idx="268">
                  <c:v>93.56</c:v>
                </c:pt>
                <c:pt idx="269">
                  <c:v>93.31</c:v>
                </c:pt>
                <c:pt idx="270">
                  <c:v>92.3</c:v>
                </c:pt>
                <c:pt idx="271">
                  <c:v>93.06</c:v>
                </c:pt>
                <c:pt idx="272">
                  <c:v>92.78</c:v>
                </c:pt>
                <c:pt idx="273">
                  <c:v>95.76</c:v>
                </c:pt>
                <c:pt idx="274">
                  <c:v>95.52</c:v>
                </c:pt>
                <c:pt idx="275">
                  <c:v>96.85</c:v>
                </c:pt>
                <c:pt idx="276">
                  <c:v>98.46</c:v>
                </c:pt>
                <c:pt idx="277">
                  <c:v>99.9</c:v>
                </c:pt>
                <c:pt idx="278">
                  <c:v>100.82</c:v>
                </c:pt>
                <c:pt idx="279">
                  <c:v>101.2</c:v>
                </c:pt>
                <c:pt idx="280">
                  <c:v>100.66</c:v>
                </c:pt>
                <c:pt idx="281">
                  <c:v>101</c:v>
                </c:pt>
                <c:pt idx="282">
                  <c:v>99.51</c:v>
                </c:pt>
                <c:pt idx="283">
                  <c:v>101.78</c:v>
                </c:pt>
                <c:pt idx="284">
                  <c:v>100.78</c:v>
                </c:pt>
                <c:pt idx="285">
                  <c:v>100.44</c:v>
                </c:pt>
                <c:pt idx="286">
                  <c:v>100.4</c:v>
                </c:pt>
                <c:pt idx="287">
                  <c:v>100.64</c:v>
                </c:pt>
                <c:pt idx="288">
                  <c:v>99.55</c:v>
                </c:pt>
                <c:pt idx="289">
                  <c:v>100.42</c:v>
                </c:pt>
                <c:pt idx="290">
                  <c:v>100.88</c:v>
                </c:pt>
                <c:pt idx="291">
                  <c:v>101.02</c:v>
                </c:pt>
                <c:pt idx="292">
                  <c:v>103.06</c:v>
                </c:pt>
                <c:pt idx="293">
                  <c:v>102.54</c:v>
                </c:pt>
                <c:pt idx="294">
                  <c:v>99.69</c:v>
                </c:pt>
                <c:pt idx="295">
                  <c:v>100.94</c:v>
                </c:pt>
                <c:pt idx="296">
                  <c:v>101.3</c:v>
                </c:pt>
                <c:pt idx="297">
                  <c:v>100.92</c:v>
                </c:pt>
                <c:pt idx="298">
                  <c:v>98.6</c:v>
                </c:pt>
                <c:pt idx="299">
                  <c:v>99.35</c:v>
                </c:pt>
                <c:pt idx="300">
                  <c:v>97.66</c:v>
                </c:pt>
                <c:pt idx="301">
                  <c:v>96.16</c:v>
                </c:pt>
                <c:pt idx="302">
                  <c:v>96.19</c:v>
                </c:pt>
                <c:pt idx="303">
                  <c:v>95.59</c:v>
                </c:pt>
                <c:pt idx="304">
                  <c:v>96.07</c:v>
                </c:pt>
                <c:pt idx="305">
                  <c:v>93.16</c:v>
                </c:pt>
                <c:pt idx="306">
                  <c:v>93.43</c:v>
                </c:pt>
                <c:pt idx="307">
                  <c:v>94.05</c:v>
                </c:pt>
                <c:pt idx="308">
                  <c:v>94.13</c:v>
                </c:pt>
                <c:pt idx="309">
                  <c:v>94.24</c:v>
                </c:pt>
                <c:pt idx="310">
                  <c:v>93.55</c:v>
                </c:pt>
                <c:pt idx="311">
                  <c:v>95.74</c:v>
                </c:pt>
                <c:pt idx="312">
                  <c:v>95.2</c:v>
                </c:pt>
                <c:pt idx="313">
                  <c:v>94.05</c:v>
                </c:pt>
                <c:pt idx="314">
                  <c:v>96.05</c:v>
                </c:pt>
                <c:pt idx="315">
                  <c:v>94.17</c:v>
                </c:pt>
                <c:pt idx="316">
                  <c:v>92.1</c:v>
                </c:pt>
                <c:pt idx="317">
                  <c:v>91.18</c:v>
                </c:pt>
                <c:pt idx="318">
                  <c:v>92.21</c:v>
                </c:pt>
                <c:pt idx="319">
                  <c:v>92.09</c:v>
                </c:pt>
                <c:pt idx="320">
                  <c:v>91.31</c:v>
                </c:pt>
                <c:pt idx="321">
                  <c:v>92.83</c:v>
                </c:pt>
                <c:pt idx="322">
                  <c:v>92.95</c:v>
                </c:pt>
                <c:pt idx="323">
                  <c:v>91.09</c:v>
                </c:pt>
                <c:pt idx="324">
                  <c:v>89</c:v>
                </c:pt>
                <c:pt idx="325">
                  <c:v>87.63</c:v>
                </c:pt>
                <c:pt idx="326">
                  <c:v>87.71</c:v>
                </c:pt>
                <c:pt idx="327">
                  <c:v>88.49</c:v>
                </c:pt>
                <c:pt idx="328">
                  <c:v>88.63</c:v>
                </c:pt>
                <c:pt idx="329">
                  <c:v>91.38</c:v>
                </c:pt>
                <c:pt idx="330">
                  <c:v>92.51</c:v>
                </c:pt>
                <c:pt idx="331">
                  <c:v>93.31</c:v>
                </c:pt>
                <c:pt idx="332">
                  <c:v>93.56</c:v>
                </c:pt>
                <c:pt idx="333">
                  <c:v>95.31</c:v>
                </c:pt>
                <c:pt idx="334">
                  <c:v>97.91</c:v>
                </c:pt>
                <c:pt idx="335">
                  <c:v>98.26</c:v>
                </c:pt>
                <c:pt idx="336">
                  <c:v>98.64</c:v>
                </c:pt>
                <c:pt idx="337">
                  <c:v>97.76</c:v>
                </c:pt>
                <c:pt idx="338">
                  <c:v>98.44</c:v>
                </c:pt>
                <c:pt idx="339">
                  <c:v>98.5</c:v>
                </c:pt>
                <c:pt idx="340">
                  <c:v>97.52</c:v>
                </c:pt>
                <c:pt idx="341">
                  <c:v>94.65</c:v>
                </c:pt>
                <c:pt idx="342">
                  <c:v>95.71</c:v>
                </c:pt>
                <c:pt idx="343">
                  <c:v>94.29</c:v>
                </c:pt>
                <c:pt idx="344">
                  <c:v>95.4</c:v>
                </c:pt>
                <c:pt idx="345">
                  <c:v>95.3</c:v>
                </c:pt>
                <c:pt idx="346">
                  <c:v>96.17</c:v>
                </c:pt>
                <c:pt idx="347">
                  <c:v>96.38</c:v>
                </c:pt>
                <c:pt idx="348">
                  <c:v>97.15</c:v>
                </c:pt>
                <c:pt idx="349">
                  <c:v>96.78</c:v>
                </c:pt>
                <c:pt idx="350">
                  <c:v>95.98</c:v>
                </c:pt>
                <c:pt idx="351">
                  <c:v>97.27</c:v>
                </c:pt>
                <c:pt idx="352">
                  <c:v>99.27</c:v>
                </c:pt>
                <c:pt idx="353">
                  <c:v>99.46</c:v>
                </c:pt>
                <c:pt idx="354">
                  <c:v>100.24</c:v>
                </c:pt>
                <c:pt idx="355">
                  <c:v>97.66</c:v>
                </c:pt>
                <c:pt idx="356">
                  <c:v>96.78</c:v>
                </c:pt>
                <c:pt idx="357">
                  <c:v>97.51</c:v>
                </c:pt>
                <c:pt idx="358">
                  <c:v>95.92</c:v>
                </c:pt>
                <c:pt idx="359">
                  <c:v>97.34</c:v>
                </c:pt>
                <c:pt idx="360">
                  <c:v>96.62</c:v>
                </c:pt>
                <c:pt idx="361">
                  <c:v>96.53</c:v>
                </c:pt>
                <c:pt idx="362">
                  <c:v>95.62</c:v>
                </c:pt>
                <c:pt idx="363">
                  <c:v>95.03</c:v>
                </c:pt>
                <c:pt idx="364">
                  <c:v>96.3</c:v>
                </c:pt>
                <c:pt idx="365">
                  <c:v>96.53</c:v>
                </c:pt>
                <c:pt idx="366">
                  <c:v>94.48</c:v>
                </c:pt>
                <c:pt idx="367">
                  <c:v>94.2</c:v>
                </c:pt>
                <c:pt idx="368">
                  <c:v>97.17</c:v>
                </c:pt>
                <c:pt idx="369">
                  <c:v>97.26</c:v>
                </c:pt>
                <c:pt idx="370">
                  <c:v>97.58</c:v>
                </c:pt>
                <c:pt idx="371">
                  <c:v>96.6</c:v>
                </c:pt>
                <c:pt idx="372">
                  <c:v>96.51</c:v>
                </c:pt>
                <c:pt idx="373">
                  <c:v>96.78</c:v>
                </c:pt>
                <c:pt idx="374">
                  <c:v>98.43</c:v>
                </c:pt>
                <c:pt idx="375">
                  <c:v>99.7</c:v>
                </c:pt>
                <c:pt idx="376">
                  <c:v>99.24</c:v>
                </c:pt>
                <c:pt idx="377">
                  <c:v>98.25</c:v>
                </c:pt>
                <c:pt idx="378">
                  <c:v>99.1</c:v>
                </c:pt>
                <c:pt idx="379">
                  <c:v>99.76</c:v>
                </c:pt>
                <c:pt idx="380">
                  <c:v>99.21</c:v>
                </c:pt>
                <c:pt idx="381">
                  <c:v>100.1</c:v>
                </c:pt>
                <c:pt idx="382">
                  <c:v>99.99</c:v>
                </c:pt>
                <c:pt idx="383">
                  <c:v>101.9</c:v>
                </c:pt>
                <c:pt idx="384">
                  <c:v>101.36</c:v>
                </c:pt>
                <c:pt idx="385">
                  <c:v>101.86</c:v>
                </c:pt>
                <c:pt idx="386">
                  <c:v>103.74</c:v>
                </c:pt>
                <c:pt idx="387">
                  <c:v>104.08</c:v>
                </c:pt>
                <c:pt idx="388">
                  <c:v>102.98</c:v>
                </c:pt>
                <c:pt idx="389">
                  <c:v>105.26</c:v>
                </c:pt>
                <c:pt idx="390">
                  <c:v>104.88</c:v>
                </c:pt>
                <c:pt idx="391">
                  <c:v>110.86</c:v>
                </c:pt>
                <c:pt idx="392">
                  <c:v>111.28</c:v>
                </c:pt>
                <c:pt idx="393">
                  <c:v>109.96</c:v>
                </c:pt>
                <c:pt idx="394">
                  <c:v>107.16</c:v>
                </c:pt>
                <c:pt idx="395">
                  <c:v>108.42</c:v>
                </c:pt>
                <c:pt idx="396">
                  <c:v>108.6</c:v>
                </c:pt>
                <c:pt idx="397">
                  <c:v>107.58</c:v>
                </c:pt>
                <c:pt idx="398">
                  <c:v>107.68</c:v>
                </c:pt>
                <c:pt idx="399">
                  <c:v>107.2</c:v>
                </c:pt>
                <c:pt idx="400">
                  <c:v>107.1</c:v>
                </c:pt>
                <c:pt idx="401">
                  <c:v>106.8</c:v>
                </c:pt>
                <c:pt idx="402">
                  <c:v>106.76</c:v>
                </c:pt>
                <c:pt idx="403">
                  <c:v>107</c:v>
                </c:pt>
                <c:pt idx="404">
                  <c:v>107.4</c:v>
                </c:pt>
                <c:pt idx="405">
                  <c:v>106.48</c:v>
                </c:pt>
                <c:pt idx="406">
                  <c:v>107.48</c:v>
                </c:pt>
                <c:pt idx="407">
                  <c:v>107.14</c:v>
                </c:pt>
                <c:pt idx="408">
                  <c:v>108.02</c:v>
                </c:pt>
                <c:pt idx="409">
                  <c:v>112.4</c:v>
                </c:pt>
                <c:pt idx="410">
                  <c:v>111.82</c:v>
                </c:pt>
                <c:pt idx="411">
                  <c:v>112.2</c:v>
                </c:pt>
                <c:pt idx="412">
                  <c:v>112.52</c:v>
                </c:pt>
                <c:pt idx="413">
                  <c:v>111.04</c:v>
                </c:pt>
                <c:pt idx="414">
                  <c:v>109.88</c:v>
                </c:pt>
                <c:pt idx="415">
                  <c:v>108.06</c:v>
                </c:pt>
                <c:pt idx="416">
                  <c:v>109.24</c:v>
                </c:pt>
                <c:pt idx="417">
                  <c:v>108.62</c:v>
                </c:pt>
                <c:pt idx="418">
                  <c:v>109.1</c:v>
                </c:pt>
                <c:pt idx="419">
                  <c:v>109.92</c:v>
                </c:pt>
                <c:pt idx="420">
                  <c:v>110.52</c:v>
                </c:pt>
                <c:pt idx="421">
                  <c:v>111.02</c:v>
                </c:pt>
                <c:pt idx="422">
                  <c:v>111.72</c:v>
                </c:pt>
                <c:pt idx="423">
                  <c:v>112.52</c:v>
                </c:pt>
                <c:pt idx="424">
                  <c:v>112.9</c:v>
                </c:pt>
                <c:pt idx="425">
                  <c:v>112.06</c:v>
                </c:pt>
                <c:pt idx="426">
                  <c:v>110.14</c:v>
                </c:pt>
                <c:pt idx="427">
                  <c:v>108.08</c:v>
                </c:pt>
                <c:pt idx="428">
                  <c:v>107.96</c:v>
                </c:pt>
                <c:pt idx="429">
                  <c:v>106.88</c:v>
                </c:pt>
                <c:pt idx="430">
                  <c:v>106.7</c:v>
                </c:pt>
                <c:pt idx="431">
                  <c:v>106.44</c:v>
                </c:pt>
                <c:pt idx="432">
                  <c:v>106.16</c:v>
                </c:pt>
                <c:pt idx="433">
                  <c:v>103.5</c:v>
                </c:pt>
                <c:pt idx="434">
                  <c:v>101.92</c:v>
                </c:pt>
                <c:pt idx="435">
                  <c:v>104.18</c:v>
                </c:pt>
                <c:pt idx="436">
                  <c:v>104.4</c:v>
                </c:pt>
                <c:pt idx="437">
                  <c:v>104.46</c:v>
                </c:pt>
                <c:pt idx="438">
                  <c:v>102.78</c:v>
                </c:pt>
                <c:pt idx="439">
                  <c:v>102.6</c:v>
                </c:pt>
                <c:pt idx="440">
                  <c:v>104.48</c:v>
                </c:pt>
                <c:pt idx="441">
                  <c:v>104.04</c:v>
                </c:pt>
                <c:pt idx="442">
                  <c:v>103.38</c:v>
                </c:pt>
                <c:pt idx="443">
                  <c:v>102.5</c:v>
                </c:pt>
                <c:pt idx="444">
                  <c:v>100.14</c:v>
                </c:pt>
                <c:pt idx="445">
                  <c:v>99.57</c:v>
                </c:pt>
                <c:pt idx="446">
                  <c:v>100.08</c:v>
                </c:pt>
                <c:pt idx="447">
                  <c:v>99.41</c:v>
                </c:pt>
                <c:pt idx="448">
                  <c:v>108.4</c:v>
                </c:pt>
                <c:pt idx="449">
                  <c:v>108.72</c:v>
                </c:pt>
                <c:pt idx="450">
                  <c:v>108.72</c:v>
                </c:pt>
                <c:pt idx="451">
                  <c:v>108.92</c:v>
                </c:pt>
                <c:pt idx="452">
                  <c:v>107.54</c:v>
                </c:pt>
                <c:pt idx="453">
                  <c:v>103.8</c:v>
                </c:pt>
                <c:pt idx="454">
                  <c:v>101.02</c:v>
                </c:pt>
                <c:pt idx="455">
                  <c:v>100.58</c:v>
                </c:pt>
                <c:pt idx="456">
                  <c:v>101.44</c:v>
                </c:pt>
                <c:pt idx="457">
                  <c:v>100.64</c:v>
                </c:pt>
                <c:pt idx="458">
                  <c:v>101</c:v>
                </c:pt>
                <c:pt idx="459">
                  <c:v>101.44</c:v>
                </c:pt>
                <c:pt idx="460">
                  <c:v>101.16</c:v>
                </c:pt>
                <c:pt idx="461">
                  <c:v>100.6</c:v>
                </c:pt>
                <c:pt idx="462">
                  <c:v>100.02</c:v>
                </c:pt>
                <c:pt idx="463">
                  <c:v>103.78</c:v>
                </c:pt>
                <c:pt idx="464">
                  <c:v>104.1</c:v>
                </c:pt>
                <c:pt idx="465">
                  <c:v>103.2</c:v>
                </c:pt>
                <c:pt idx="466">
                  <c:v>103.68</c:v>
                </c:pt>
                <c:pt idx="467">
                  <c:v>102.32</c:v>
                </c:pt>
                <c:pt idx="468">
                  <c:v>102.68</c:v>
                </c:pt>
                <c:pt idx="469">
                  <c:v>100.92</c:v>
                </c:pt>
                <c:pt idx="470">
                  <c:v>98.62</c:v>
                </c:pt>
                <c:pt idx="471">
                  <c:v>99.09</c:v>
                </c:pt>
                <c:pt idx="472">
                  <c:v>101.34</c:v>
                </c:pt>
                <c:pt idx="473">
                  <c:v>100.74</c:v>
                </c:pt>
                <c:pt idx="474">
                  <c:v>100.94</c:v>
                </c:pt>
                <c:pt idx="475">
                  <c:v>100.68</c:v>
                </c:pt>
                <c:pt idx="476">
                  <c:v>98.93</c:v>
                </c:pt>
                <c:pt idx="477">
                  <c:v>98.79</c:v>
                </c:pt>
                <c:pt idx="478">
                  <c:v>98.65</c:v>
                </c:pt>
                <c:pt idx="479">
                  <c:v>97.76</c:v>
                </c:pt>
                <c:pt idx="480">
                  <c:v>98.83</c:v>
                </c:pt>
                <c:pt idx="481">
                  <c:v>98.2</c:v>
                </c:pt>
                <c:pt idx="482">
                  <c:v>97.34</c:v>
                </c:pt>
                <c:pt idx="483">
                  <c:v>95.61</c:v>
                </c:pt>
                <c:pt idx="484">
                  <c:v>94.85</c:v>
                </c:pt>
                <c:pt idx="485">
                  <c:v>95.77</c:v>
                </c:pt>
                <c:pt idx="486">
                  <c:v>94.69</c:v>
                </c:pt>
                <c:pt idx="487">
                  <c:v>95.6</c:v>
                </c:pt>
                <c:pt idx="488">
                  <c:v>94.64</c:v>
                </c:pt>
                <c:pt idx="489">
                  <c:v>98.33</c:v>
                </c:pt>
                <c:pt idx="490">
                  <c:v>99.53</c:v>
                </c:pt>
                <c:pt idx="491">
                  <c:v>100.96</c:v>
                </c:pt>
                <c:pt idx="492">
                  <c:v>101</c:v>
                </c:pt>
                <c:pt idx="493">
                  <c:v>101.46</c:v>
                </c:pt>
                <c:pt idx="494">
                  <c:v>101.48</c:v>
                </c:pt>
                <c:pt idx="495">
                  <c:v>99.35</c:v>
                </c:pt>
                <c:pt idx="496">
                  <c:v>99.34</c:v>
                </c:pt>
                <c:pt idx="497">
                  <c:v>97.75</c:v>
                </c:pt>
                <c:pt idx="498">
                  <c:v>98.16</c:v>
                </c:pt>
                <c:pt idx="499">
                  <c:v>97.19</c:v>
                </c:pt>
                <c:pt idx="500">
                  <c:v>99.65</c:v>
                </c:pt>
                <c:pt idx="501">
                  <c:v>98.43</c:v>
                </c:pt>
                <c:pt idx="502">
                  <c:v>98.7</c:v>
                </c:pt>
                <c:pt idx="503">
                  <c:v>99.67</c:v>
                </c:pt>
                <c:pt idx="504">
                  <c:v>99.75</c:v>
                </c:pt>
                <c:pt idx="505">
                  <c:v>99.24</c:v>
                </c:pt>
                <c:pt idx="506">
                  <c:v>99.18</c:v>
                </c:pt>
                <c:pt idx="507">
                  <c:v>97.74</c:v>
                </c:pt>
                <c:pt idx="508">
                  <c:v>97.61</c:v>
                </c:pt>
                <c:pt idx="509">
                  <c:v>97.77</c:v>
                </c:pt>
                <c:pt idx="510">
                  <c:v>99.46</c:v>
                </c:pt>
                <c:pt idx="511">
                  <c:v>97.57</c:v>
                </c:pt>
                <c:pt idx="512">
                  <c:v>97.4</c:v>
                </c:pt>
                <c:pt idx="513">
                  <c:v>97.06</c:v>
                </c:pt>
                <c:pt idx="514">
                  <c:v>97.58</c:v>
                </c:pt>
                <c:pt idx="515">
                  <c:v>97.79</c:v>
                </c:pt>
                <c:pt idx="516">
                  <c:v>95.27</c:v>
                </c:pt>
                <c:pt idx="517">
                  <c:v>93.23</c:v>
                </c:pt>
                <c:pt idx="518">
                  <c:v>91.48</c:v>
                </c:pt>
                <c:pt idx="519">
                  <c:v>92.94</c:v>
                </c:pt>
                <c:pt idx="520">
                  <c:v>92.35</c:v>
                </c:pt>
                <c:pt idx="521">
                  <c:v>91.79</c:v>
                </c:pt>
                <c:pt idx="522">
                  <c:v>91.79</c:v>
                </c:pt>
                <c:pt idx="523">
                  <c:v>91.53</c:v>
                </c:pt>
                <c:pt idx="524">
                  <c:v>89.97</c:v>
                </c:pt>
                <c:pt idx="525">
                  <c:v>90.02</c:v>
                </c:pt>
                <c:pt idx="526">
                  <c:v>91.43</c:v>
                </c:pt>
                <c:pt idx="527">
                  <c:v>91.98</c:v>
                </c:pt>
                <c:pt idx="528">
                  <c:v>91.84</c:v>
                </c:pt>
                <c:pt idx="529">
                  <c:v>91.74</c:v>
                </c:pt>
                <c:pt idx="530">
                  <c:v>93.22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F8-4ECD-9004-C846148DD615}"/>
            </c:ext>
          </c:extLst>
        </c:ser>
        <c:ser>
          <c:idx val="3"/>
          <c:order val="3"/>
          <c:tx>
            <c:v>Bande sup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BMW!$AL$2:$AL$531</c:f>
              <c:numCache>
                <c:formatCode>General</c:formatCode>
                <c:ptCount val="530"/>
                <c:pt idx="0">
                  <c:v>100.30976641964963</c:v>
                </c:pt>
                <c:pt idx="1">
                  <c:v>100.30844537959536</c:v>
                </c:pt>
                <c:pt idx="2">
                  <c:v>100.27446792184024</c:v>
                </c:pt>
                <c:pt idx="3">
                  <c:v>100.21115571756434</c:v>
                </c:pt>
                <c:pt idx="4">
                  <c:v>100.1883458025948</c:v>
                </c:pt>
                <c:pt idx="5">
                  <c:v>100.0602572380964</c:v>
                </c:pt>
                <c:pt idx="6">
                  <c:v>100.05830369359724</c:v>
                </c:pt>
                <c:pt idx="7">
                  <c:v>100.11918222545478</c:v>
                </c:pt>
                <c:pt idx="8">
                  <c:v>100.24924379099984</c:v>
                </c:pt>
                <c:pt idx="9">
                  <c:v>100.11687409357151</c:v>
                </c:pt>
                <c:pt idx="10">
                  <c:v>100.00360592396235</c:v>
                </c:pt>
                <c:pt idx="11">
                  <c:v>99.962536425301877</c:v>
                </c:pt>
                <c:pt idx="12">
                  <c:v>99.914070258964131</c:v>
                </c:pt>
                <c:pt idx="13">
                  <c:v>99.683161953723726</c:v>
                </c:pt>
                <c:pt idx="14">
                  <c:v>99.59274494735584</c:v>
                </c:pt>
                <c:pt idx="15">
                  <c:v>99.559625218362996</c:v>
                </c:pt>
                <c:pt idx="16">
                  <c:v>99.520136853806989</c:v>
                </c:pt>
                <c:pt idx="17">
                  <c:v>99.517239291778552</c:v>
                </c:pt>
                <c:pt idx="18">
                  <c:v>99.406149452240371</c:v>
                </c:pt>
                <c:pt idx="19">
                  <c:v>99.529212556346437</c:v>
                </c:pt>
                <c:pt idx="20">
                  <c:v>99.686843048848203</c:v>
                </c:pt>
                <c:pt idx="21">
                  <c:v>99.730247012270667</c:v>
                </c:pt>
                <c:pt idx="22">
                  <c:v>99.886736475243453</c:v>
                </c:pt>
                <c:pt idx="23">
                  <c:v>100.00798939586471</c:v>
                </c:pt>
                <c:pt idx="24">
                  <c:v>100.02379243946187</c:v>
                </c:pt>
                <c:pt idx="25">
                  <c:v>99.980516807731263</c:v>
                </c:pt>
                <c:pt idx="26">
                  <c:v>99.786808066393462</c:v>
                </c:pt>
                <c:pt idx="27">
                  <c:v>99.404750051190405</c:v>
                </c:pt>
                <c:pt idx="28">
                  <c:v>98.977148169276134</c:v>
                </c:pt>
                <c:pt idx="29">
                  <c:v>98.622639417405622</c:v>
                </c:pt>
                <c:pt idx="30">
                  <c:v>98.126620516810547</c:v>
                </c:pt>
                <c:pt idx="31">
                  <c:v>97.557069574508873</c:v>
                </c:pt>
                <c:pt idx="32">
                  <c:v>97.019354978774857</c:v>
                </c:pt>
                <c:pt idx="33">
                  <c:v>96.588559472003254</c:v>
                </c:pt>
                <c:pt idx="34">
                  <c:v>96.047347174021098</c:v>
                </c:pt>
                <c:pt idx="35">
                  <c:v>95.523777483422961</c:v>
                </c:pt>
                <c:pt idx="36">
                  <c:v>94.987849173021516</c:v>
                </c:pt>
                <c:pt idx="37">
                  <c:v>94.457326229280696</c:v>
                </c:pt>
                <c:pt idx="38">
                  <c:v>93.942110950742446</c:v>
                </c:pt>
                <c:pt idx="39">
                  <c:v>93.255192566059435</c:v>
                </c:pt>
                <c:pt idx="40">
                  <c:v>92.556902168866003</c:v>
                </c:pt>
                <c:pt idx="41">
                  <c:v>91.84289964444055</c:v>
                </c:pt>
                <c:pt idx="42">
                  <c:v>91.124787128903662</c:v>
                </c:pt>
                <c:pt idx="43">
                  <c:v>90.454260309521999</c:v>
                </c:pt>
                <c:pt idx="44">
                  <c:v>89.861533693678382</c:v>
                </c:pt>
                <c:pt idx="45">
                  <c:v>89.476178691880165</c:v>
                </c:pt>
                <c:pt idx="46">
                  <c:v>89.075225243787642</c:v>
                </c:pt>
                <c:pt idx="47">
                  <c:v>88.990394736052238</c:v>
                </c:pt>
                <c:pt idx="48">
                  <c:v>88.904091529016242</c:v>
                </c:pt>
                <c:pt idx="49">
                  <c:v>88.932281551945039</c:v>
                </c:pt>
                <c:pt idx="50">
                  <c:v>88.973234938415771</c:v>
                </c:pt>
                <c:pt idx="51">
                  <c:v>89.09609421488112</c:v>
                </c:pt>
                <c:pt idx="52">
                  <c:v>89.258785447906732</c:v>
                </c:pt>
                <c:pt idx="53">
                  <c:v>89.442762961741252</c:v>
                </c:pt>
                <c:pt idx="54">
                  <c:v>89.727271246105317</c:v>
                </c:pt>
                <c:pt idx="55">
                  <c:v>90.031443606197911</c:v>
                </c:pt>
                <c:pt idx="56">
                  <c:v>90.264494250605978</c:v>
                </c:pt>
                <c:pt idx="57">
                  <c:v>90.454626124978361</c:v>
                </c:pt>
                <c:pt idx="58">
                  <c:v>90.646363562951777</c:v>
                </c:pt>
                <c:pt idx="59">
                  <c:v>90.890726589271765</c:v>
                </c:pt>
                <c:pt idx="60">
                  <c:v>91.134296989536153</c:v>
                </c:pt>
                <c:pt idx="61">
                  <c:v>91.46306326030242</c:v>
                </c:pt>
                <c:pt idx="62">
                  <c:v>91.758949262845363</c:v>
                </c:pt>
                <c:pt idx="63">
                  <c:v>92.074583481320644</c:v>
                </c:pt>
                <c:pt idx="64">
                  <c:v>92.383164969781888</c:v>
                </c:pt>
                <c:pt idx="65">
                  <c:v>92.625602248962835</c:v>
                </c:pt>
                <c:pt idx="66">
                  <c:v>92.99718282608238</c:v>
                </c:pt>
                <c:pt idx="67">
                  <c:v>93.086249591958349</c:v>
                </c:pt>
                <c:pt idx="68">
                  <c:v>93.250843607525809</c:v>
                </c:pt>
                <c:pt idx="69">
                  <c:v>93.389754145949979</c:v>
                </c:pt>
                <c:pt idx="70">
                  <c:v>93.504714967339311</c:v>
                </c:pt>
                <c:pt idx="71">
                  <c:v>93.624479115360529</c:v>
                </c:pt>
                <c:pt idx="72">
                  <c:v>93.708098599717914</c:v>
                </c:pt>
                <c:pt idx="73">
                  <c:v>93.803200337156412</c:v>
                </c:pt>
                <c:pt idx="74">
                  <c:v>93.972905878312162</c:v>
                </c:pt>
                <c:pt idx="75">
                  <c:v>93.989991726878344</c:v>
                </c:pt>
                <c:pt idx="76">
                  <c:v>93.908875355493365</c:v>
                </c:pt>
                <c:pt idx="77">
                  <c:v>93.9665272490723</c:v>
                </c:pt>
                <c:pt idx="78">
                  <c:v>93.907399060600852</c:v>
                </c:pt>
                <c:pt idx="79">
                  <c:v>93.746256668811455</c:v>
                </c:pt>
                <c:pt idx="80">
                  <c:v>93.724995228515482</c:v>
                </c:pt>
                <c:pt idx="81">
                  <c:v>93.623100614861684</c:v>
                </c:pt>
                <c:pt idx="82">
                  <c:v>93.412687250579651</c:v>
                </c:pt>
                <c:pt idx="83">
                  <c:v>93.131532429028795</c:v>
                </c:pt>
                <c:pt idx="84">
                  <c:v>92.909784353506097</c:v>
                </c:pt>
                <c:pt idx="85">
                  <c:v>92.5440476308694</c:v>
                </c:pt>
                <c:pt idx="86">
                  <c:v>92.13157052738643</c:v>
                </c:pt>
                <c:pt idx="87">
                  <c:v>91.655659584972909</c:v>
                </c:pt>
                <c:pt idx="88">
                  <c:v>91.527365312775061</c:v>
                </c:pt>
                <c:pt idx="89">
                  <c:v>91.42889690251269</c:v>
                </c:pt>
                <c:pt idx="90">
                  <c:v>91.500598895868691</c:v>
                </c:pt>
                <c:pt idx="91">
                  <c:v>91.524629515070515</c:v>
                </c:pt>
                <c:pt idx="92">
                  <c:v>91.593378762341473</c:v>
                </c:pt>
                <c:pt idx="93">
                  <c:v>91.669422488053499</c:v>
                </c:pt>
                <c:pt idx="94">
                  <c:v>91.681857992464089</c:v>
                </c:pt>
                <c:pt idx="95">
                  <c:v>91.825860100693362</c:v>
                </c:pt>
                <c:pt idx="96">
                  <c:v>92.099146455001602</c:v>
                </c:pt>
                <c:pt idx="97">
                  <c:v>92.31440495730682</c:v>
                </c:pt>
                <c:pt idx="98">
                  <c:v>92.666881382242252</c:v>
                </c:pt>
                <c:pt idx="99">
                  <c:v>93.096337430996826</c:v>
                </c:pt>
                <c:pt idx="100">
                  <c:v>93.343717677474075</c:v>
                </c:pt>
                <c:pt idx="101">
                  <c:v>93.691698636873824</c:v>
                </c:pt>
                <c:pt idx="102">
                  <c:v>94.078521264512062</c:v>
                </c:pt>
                <c:pt idx="103">
                  <c:v>94.492627401095888</c:v>
                </c:pt>
                <c:pt idx="104">
                  <c:v>94.822296395249865</c:v>
                </c:pt>
                <c:pt idx="105">
                  <c:v>95.240469522144934</c:v>
                </c:pt>
                <c:pt idx="106">
                  <c:v>95.605144648684856</c:v>
                </c:pt>
                <c:pt idx="107">
                  <c:v>96.042641209785842</c:v>
                </c:pt>
                <c:pt idx="108">
                  <c:v>96.034726481687045</c:v>
                </c:pt>
                <c:pt idx="109">
                  <c:v>96.034365247861956</c:v>
                </c:pt>
                <c:pt idx="110">
                  <c:v>95.93463972654942</c:v>
                </c:pt>
                <c:pt idx="111">
                  <c:v>95.850411345556537</c:v>
                </c:pt>
                <c:pt idx="112">
                  <c:v>95.670838282706356</c:v>
                </c:pt>
                <c:pt idx="113">
                  <c:v>95.423781359994194</c:v>
                </c:pt>
                <c:pt idx="114">
                  <c:v>95.251380381195318</c:v>
                </c:pt>
                <c:pt idx="115">
                  <c:v>95.131470391719091</c:v>
                </c:pt>
                <c:pt idx="116">
                  <c:v>95.156654136023278</c:v>
                </c:pt>
                <c:pt idx="117">
                  <c:v>95.166716816058695</c:v>
                </c:pt>
                <c:pt idx="118">
                  <c:v>95.166468435549348</c:v>
                </c:pt>
                <c:pt idx="119">
                  <c:v>95.231776544811808</c:v>
                </c:pt>
                <c:pt idx="120">
                  <c:v>95.391468486218059</c:v>
                </c:pt>
                <c:pt idx="121">
                  <c:v>95.580741072261048</c:v>
                </c:pt>
                <c:pt idx="122">
                  <c:v>95.862966532408322</c:v>
                </c:pt>
                <c:pt idx="123">
                  <c:v>96.190297904033258</c:v>
                </c:pt>
                <c:pt idx="124">
                  <c:v>96.498261860711395</c:v>
                </c:pt>
                <c:pt idx="125">
                  <c:v>96.914582318213903</c:v>
                </c:pt>
                <c:pt idx="126">
                  <c:v>97.326503078350981</c:v>
                </c:pt>
                <c:pt idx="127">
                  <c:v>97.737883221166797</c:v>
                </c:pt>
                <c:pt idx="128">
                  <c:v>98.217625093110371</c:v>
                </c:pt>
                <c:pt idx="129">
                  <c:v>98.784381664277731</c:v>
                </c:pt>
                <c:pt idx="130">
                  <c:v>99.29192770199181</c:v>
                </c:pt>
                <c:pt idx="131">
                  <c:v>99.700450932847758</c:v>
                </c:pt>
                <c:pt idx="132">
                  <c:v>100.06581023529093</c:v>
                </c:pt>
                <c:pt idx="133">
                  <c:v>100.3914861160135</c:v>
                </c:pt>
                <c:pt idx="134">
                  <c:v>100.63702393179969</c:v>
                </c:pt>
                <c:pt idx="135">
                  <c:v>100.85062486797183</c:v>
                </c:pt>
                <c:pt idx="136">
                  <c:v>100.94896664558306</c:v>
                </c:pt>
                <c:pt idx="137">
                  <c:v>100.97999347730037</c:v>
                </c:pt>
                <c:pt idx="138">
                  <c:v>101.07609832492346</c:v>
                </c:pt>
                <c:pt idx="139">
                  <c:v>101.08586725719124</c:v>
                </c:pt>
                <c:pt idx="140">
                  <c:v>101.04952377388244</c:v>
                </c:pt>
                <c:pt idx="141">
                  <c:v>100.96064942355579</c:v>
                </c:pt>
                <c:pt idx="142">
                  <c:v>100.93875671639394</c:v>
                </c:pt>
                <c:pt idx="143">
                  <c:v>100.84145335683883</c:v>
                </c:pt>
                <c:pt idx="144">
                  <c:v>100.69602949800466</c:v>
                </c:pt>
                <c:pt idx="145">
                  <c:v>100.51300764680394</c:v>
                </c:pt>
                <c:pt idx="146">
                  <c:v>100.41698783693234</c:v>
                </c:pt>
                <c:pt idx="147">
                  <c:v>100.31278996420841</c:v>
                </c:pt>
                <c:pt idx="148">
                  <c:v>100.1853134102772</c:v>
                </c:pt>
                <c:pt idx="149">
                  <c:v>99.879299132142592</c:v>
                </c:pt>
                <c:pt idx="150">
                  <c:v>99.696844051788418</c:v>
                </c:pt>
                <c:pt idx="151">
                  <c:v>99.687172292016015</c:v>
                </c:pt>
                <c:pt idx="152">
                  <c:v>99.810126122227985</c:v>
                </c:pt>
                <c:pt idx="153">
                  <c:v>99.972146298927399</c:v>
                </c:pt>
                <c:pt idx="154">
                  <c:v>100.10064906842388</c:v>
                </c:pt>
                <c:pt idx="155">
                  <c:v>100.22326727473735</c:v>
                </c:pt>
                <c:pt idx="156">
                  <c:v>100.32893385225752</c:v>
                </c:pt>
                <c:pt idx="157">
                  <c:v>100.48746601533206</c:v>
                </c:pt>
                <c:pt idx="158">
                  <c:v>100.65241549071932</c:v>
                </c:pt>
                <c:pt idx="159">
                  <c:v>100.85283771433497</c:v>
                </c:pt>
                <c:pt idx="160">
                  <c:v>101.04008229098966</c:v>
                </c:pt>
                <c:pt idx="161">
                  <c:v>101.19699383565788</c:v>
                </c:pt>
                <c:pt idx="162">
                  <c:v>101.34025122923543</c:v>
                </c:pt>
                <c:pt idx="163">
                  <c:v>101.50970771622525</c:v>
                </c:pt>
                <c:pt idx="164">
                  <c:v>101.7566094226534</c:v>
                </c:pt>
                <c:pt idx="165">
                  <c:v>101.94368250111839</c:v>
                </c:pt>
                <c:pt idx="166">
                  <c:v>102.14832375237631</c:v>
                </c:pt>
                <c:pt idx="167">
                  <c:v>102.48367383544687</c:v>
                </c:pt>
                <c:pt idx="168">
                  <c:v>102.80588138249267</c:v>
                </c:pt>
                <c:pt idx="169">
                  <c:v>103.24074138151191</c:v>
                </c:pt>
                <c:pt idx="170">
                  <c:v>103.63310288564503</c:v>
                </c:pt>
                <c:pt idx="171">
                  <c:v>104.25046573623112</c:v>
                </c:pt>
                <c:pt idx="172">
                  <c:v>104.87185284968886</c:v>
                </c:pt>
                <c:pt idx="173">
                  <c:v>105.44843046089788</c:v>
                </c:pt>
                <c:pt idx="174">
                  <c:v>105.96706040143644</c:v>
                </c:pt>
                <c:pt idx="175">
                  <c:v>106.47510763937747</c:v>
                </c:pt>
                <c:pt idx="176">
                  <c:v>106.96476539242188</c:v>
                </c:pt>
                <c:pt idx="177">
                  <c:v>107.57820660709466</c:v>
                </c:pt>
                <c:pt idx="178">
                  <c:v>108.07569765860828</c:v>
                </c:pt>
                <c:pt idx="179">
                  <c:v>108.55148469028512</c:v>
                </c:pt>
                <c:pt idx="180">
                  <c:v>109.03026834001365</c:v>
                </c:pt>
                <c:pt idx="181">
                  <c:v>109.5743401685715</c:v>
                </c:pt>
                <c:pt idx="182">
                  <c:v>110.23810553517771</c:v>
                </c:pt>
                <c:pt idx="183">
                  <c:v>110.88792527676078</c:v>
                </c:pt>
                <c:pt idx="184">
                  <c:v>111.51385038527427</c:v>
                </c:pt>
                <c:pt idx="185">
                  <c:v>112.22095732981937</c:v>
                </c:pt>
                <c:pt idx="186">
                  <c:v>112.89877736054706</c:v>
                </c:pt>
                <c:pt idx="187">
                  <c:v>113.46483608936462</c:v>
                </c:pt>
                <c:pt idx="188">
                  <c:v>114.02089923146892</c:v>
                </c:pt>
                <c:pt idx="189">
                  <c:v>114.57964779612695</c:v>
                </c:pt>
                <c:pt idx="190">
                  <c:v>115.06472891700867</c:v>
                </c:pt>
                <c:pt idx="191">
                  <c:v>115.2510792171297</c:v>
                </c:pt>
                <c:pt idx="192">
                  <c:v>115.55671051055877</c:v>
                </c:pt>
                <c:pt idx="193">
                  <c:v>115.89104340896657</c:v>
                </c:pt>
                <c:pt idx="194">
                  <c:v>116.41131338131729</c:v>
                </c:pt>
                <c:pt idx="195">
                  <c:v>116.90636671042016</c:v>
                </c:pt>
                <c:pt idx="196">
                  <c:v>117.54100016403211</c:v>
                </c:pt>
                <c:pt idx="197">
                  <c:v>118.0639334801579</c:v>
                </c:pt>
                <c:pt idx="198">
                  <c:v>118.52794296822397</c:v>
                </c:pt>
                <c:pt idx="199">
                  <c:v>119.12558044259495</c:v>
                </c:pt>
                <c:pt idx="200">
                  <c:v>119.60281802572749</c:v>
                </c:pt>
                <c:pt idx="201">
                  <c:v>119.79019931956796</c:v>
                </c:pt>
                <c:pt idx="202">
                  <c:v>119.77314181754807</c:v>
                </c:pt>
                <c:pt idx="203">
                  <c:v>119.73553866462655</c:v>
                </c:pt>
                <c:pt idx="204">
                  <c:v>119.7850759658926</c:v>
                </c:pt>
                <c:pt idx="205">
                  <c:v>119.74237248783361</c:v>
                </c:pt>
                <c:pt idx="206">
                  <c:v>119.59831696707107</c:v>
                </c:pt>
                <c:pt idx="207">
                  <c:v>119.5189254033824</c:v>
                </c:pt>
                <c:pt idx="208">
                  <c:v>119.51755870216388</c:v>
                </c:pt>
                <c:pt idx="209">
                  <c:v>119.49842414753431</c:v>
                </c:pt>
                <c:pt idx="210">
                  <c:v>119.47167888532103</c:v>
                </c:pt>
                <c:pt idx="211">
                  <c:v>119.40438229536086</c:v>
                </c:pt>
                <c:pt idx="212">
                  <c:v>119.15044176604607</c:v>
                </c:pt>
                <c:pt idx="213">
                  <c:v>119.07329292288638</c:v>
                </c:pt>
                <c:pt idx="214">
                  <c:v>118.94014007381409</c:v>
                </c:pt>
                <c:pt idx="215">
                  <c:v>118.68256024340049</c:v>
                </c:pt>
                <c:pt idx="216">
                  <c:v>118.32232758678568</c:v>
                </c:pt>
                <c:pt idx="217">
                  <c:v>117.91095366803259</c:v>
                </c:pt>
                <c:pt idx="218">
                  <c:v>117.65238134307457</c:v>
                </c:pt>
                <c:pt idx="219">
                  <c:v>117.36865495717984</c:v>
                </c:pt>
                <c:pt idx="220">
                  <c:v>117.25848869949391</c:v>
                </c:pt>
                <c:pt idx="221">
                  <c:v>117.40185030314056</c:v>
                </c:pt>
                <c:pt idx="222">
                  <c:v>117.49898457062039</c:v>
                </c:pt>
                <c:pt idx="223">
                  <c:v>117.63173464019013</c:v>
                </c:pt>
                <c:pt idx="224">
                  <c:v>117.66869831944695</c:v>
                </c:pt>
                <c:pt idx="225">
                  <c:v>117.7107229978527</c:v>
                </c:pt>
                <c:pt idx="226">
                  <c:v>117.81972319852675</c:v>
                </c:pt>
                <c:pt idx="227">
                  <c:v>117.81098262910058</c:v>
                </c:pt>
                <c:pt idx="228">
                  <c:v>117.68463326745551</c:v>
                </c:pt>
                <c:pt idx="229">
                  <c:v>117.39686446705485</c:v>
                </c:pt>
                <c:pt idx="230">
                  <c:v>117.21830946341466</c:v>
                </c:pt>
                <c:pt idx="231">
                  <c:v>117.11989201636587</c:v>
                </c:pt>
                <c:pt idx="232">
                  <c:v>116.97184020696118</c:v>
                </c:pt>
                <c:pt idx="233">
                  <c:v>116.58664468138859</c:v>
                </c:pt>
                <c:pt idx="234">
                  <c:v>116.12655940126243</c:v>
                </c:pt>
                <c:pt idx="235">
                  <c:v>115.87816996789911</c:v>
                </c:pt>
                <c:pt idx="236">
                  <c:v>115.61155384803473</c:v>
                </c:pt>
                <c:pt idx="237">
                  <c:v>115.35384189300154</c:v>
                </c:pt>
                <c:pt idx="238">
                  <c:v>114.91993235863431</c:v>
                </c:pt>
                <c:pt idx="239">
                  <c:v>114.32712386520006</c:v>
                </c:pt>
                <c:pt idx="240">
                  <c:v>113.65982845533161</c:v>
                </c:pt>
                <c:pt idx="241">
                  <c:v>113.07410466230949</c:v>
                </c:pt>
                <c:pt idx="242">
                  <c:v>112.47302751499682</c:v>
                </c:pt>
                <c:pt idx="243">
                  <c:v>111.86524637736433</c:v>
                </c:pt>
                <c:pt idx="244">
                  <c:v>111.24482413468704</c:v>
                </c:pt>
                <c:pt idx="245">
                  <c:v>110.6318025843247</c:v>
                </c:pt>
                <c:pt idx="246">
                  <c:v>110.05114126923353</c:v>
                </c:pt>
                <c:pt idx="247">
                  <c:v>109.4992841930043</c:v>
                </c:pt>
                <c:pt idx="248">
                  <c:v>108.97974306375818</c:v>
                </c:pt>
                <c:pt idx="249">
                  <c:v>108.584591151113</c:v>
                </c:pt>
                <c:pt idx="250">
                  <c:v>108.12659741746222</c:v>
                </c:pt>
                <c:pt idx="251">
                  <c:v>107.5533909741592</c:v>
                </c:pt>
                <c:pt idx="252">
                  <c:v>107.09082009044346</c:v>
                </c:pt>
                <c:pt idx="253">
                  <c:v>106.68577494840402</c:v>
                </c:pt>
                <c:pt idx="254">
                  <c:v>106.44215305542575</c:v>
                </c:pt>
                <c:pt idx="255">
                  <c:v>106.12243846881665</c:v>
                </c:pt>
                <c:pt idx="256">
                  <c:v>105.87464034339327</c:v>
                </c:pt>
                <c:pt idx="257">
                  <c:v>105.70797673990189</c:v>
                </c:pt>
                <c:pt idx="258">
                  <c:v>105.75330496892775</c:v>
                </c:pt>
                <c:pt idx="259">
                  <c:v>105.92381603278145</c:v>
                </c:pt>
                <c:pt idx="260">
                  <c:v>106.16371543383083</c:v>
                </c:pt>
                <c:pt idx="261">
                  <c:v>106.30734451595288</c:v>
                </c:pt>
                <c:pt idx="262">
                  <c:v>106.51615997119124</c:v>
                </c:pt>
                <c:pt idx="263">
                  <c:v>106.6639628632725</c:v>
                </c:pt>
                <c:pt idx="264">
                  <c:v>107.01492783388224</c:v>
                </c:pt>
                <c:pt idx="265">
                  <c:v>107.32191881306792</c:v>
                </c:pt>
                <c:pt idx="266">
                  <c:v>107.62012408389757</c:v>
                </c:pt>
                <c:pt idx="267">
                  <c:v>107.97140468513052</c:v>
                </c:pt>
                <c:pt idx="268">
                  <c:v>108.34281484852454</c:v>
                </c:pt>
                <c:pt idx="269">
                  <c:v>108.66025390563571</c:v>
                </c:pt>
                <c:pt idx="270">
                  <c:v>109.0344461348738</c:v>
                </c:pt>
                <c:pt idx="271">
                  <c:v>109.48285562329434</c:v>
                </c:pt>
                <c:pt idx="272">
                  <c:v>109.90087216119645</c:v>
                </c:pt>
                <c:pt idx="273">
                  <c:v>110.4352239564659</c:v>
                </c:pt>
                <c:pt idx="274">
                  <c:v>110.79463050068738</c:v>
                </c:pt>
                <c:pt idx="275">
                  <c:v>111.02339737672659</c:v>
                </c:pt>
                <c:pt idx="276">
                  <c:v>111.24803584475129</c:v>
                </c:pt>
                <c:pt idx="277">
                  <c:v>111.40998392340612</c:v>
                </c:pt>
                <c:pt idx="278">
                  <c:v>111.48079424981648</c:v>
                </c:pt>
                <c:pt idx="279">
                  <c:v>111.38961765758228</c:v>
                </c:pt>
                <c:pt idx="280">
                  <c:v>111.3172618807082</c:v>
                </c:pt>
                <c:pt idx="281">
                  <c:v>111.18768235765648</c:v>
                </c:pt>
                <c:pt idx="282">
                  <c:v>110.96645662468315</c:v>
                </c:pt>
                <c:pt idx="283">
                  <c:v>110.82166369390821</c:v>
                </c:pt>
                <c:pt idx="284">
                  <c:v>110.53366052260361</c:v>
                </c:pt>
                <c:pt idx="285">
                  <c:v>110.31998078852119</c:v>
                </c:pt>
                <c:pt idx="286">
                  <c:v>109.97798454239162</c:v>
                </c:pt>
                <c:pt idx="287">
                  <c:v>109.65153405450221</c:v>
                </c:pt>
                <c:pt idx="288">
                  <c:v>109.3439419800588</c:v>
                </c:pt>
                <c:pt idx="289">
                  <c:v>109.094547595168</c:v>
                </c:pt>
                <c:pt idx="290">
                  <c:v>108.80679624559119</c:v>
                </c:pt>
                <c:pt idx="291">
                  <c:v>108.46097250665925</c:v>
                </c:pt>
                <c:pt idx="292">
                  <c:v>108.21674137983885</c:v>
                </c:pt>
                <c:pt idx="293">
                  <c:v>107.84274260299449</c:v>
                </c:pt>
                <c:pt idx="294">
                  <c:v>107.43582897317592</c:v>
                </c:pt>
                <c:pt idx="295">
                  <c:v>107.26957683361969</c:v>
                </c:pt>
                <c:pt idx="296">
                  <c:v>106.94595979324819</c:v>
                </c:pt>
                <c:pt idx="297">
                  <c:v>106.49902888796483</c:v>
                </c:pt>
                <c:pt idx="298">
                  <c:v>106.02228412411056</c:v>
                </c:pt>
                <c:pt idx="299">
                  <c:v>105.7096268913412</c:v>
                </c:pt>
                <c:pt idx="300">
                  <c:v>105.35093946065369</c:v>
                </c:pt>
                <c:pt idx="301">
                  <c:v>105.03462505359632</c:v>
                </c:pt>
                <c:pt idx="302">
                  <c:v>104.8663068866415</c:v>
                </c:pt>
                <c:pt idx="303">
                  <c:v>104.70068955070192</c:v>
                </c:pt>
                <c:pt idx="304">
                  <c:v>104.47022296204513</c:v>
                </c:pt>
                <c:pt idx="305">
                  <c:v>104.10866830301073</c:v>
                </c:pt>
                <c:pt idx="306">
                  <c:v>103.81997329650885</c:v>
                </c:pt>
                <c:pt idx="307">
                  <c:v>103.51820040554922</c:v>
                </c:pt>
                <c:pt idx="308">
                  <c:v>103.22049713995547</c:v>
                </c:pt>
                <c:pt idx="309">
                  <c:v>102.92170307962536</c:v>
                </c:pt>
                <c:pt idx="310">
                  <c:v>102.7505929633295</c:v>
                </c:pt>
                <c:pt idx="311">
                  <c:v>102.66771951154618</c:v>
                </c:pt>
                <c:pt idx="312">
                  <c:v>102.51373426563508</c:v>
                </c:pt>
                <c:pt idx="313">
                  <c:v>102.39658442465529</c:v>
                </c:pt>
                <c:pt idx="314">
                  <c:v>102.42223312210534</c:v>
                </c:pt>
                <c:pt idx="315">
                  <c:v>102.47775407658554</c:v>
                </c:pt>
                <c:pt idx="316">
                  <c:v>102.64508907287717</c:v>
                </c:pt>
                <c:pt idx="317">
                  <c:v>102.93688681231987</c:v>
                </c:pt>
                <c:pt idx="318">
                  <c:v>103.23441360459394</c:v>
                </c:pt>
                <c:pt idx="319">
                  <c:v>103.51815176162123</c:v>
                </c:pt>
                <c:pt idx="320">
                  <c:v>103.81431259589502</c:v>
                </c:pt>
                <c:pt idx="321">
                  <c:v>104.10396354002675</c:v>
                </c:pt>
                <c:pt idx="322">
                  <c:v>104.1774164628325</c:v>
                </c:pt>
                <c:pt idx="323">
                  <c:v>104.29840294807423</c:v>
                </c:pt>
                <c:pt idx="324">
                  <c:v>104.44251473886322</c:v>
                </c:pt>
                <c:pt idx="325">
                  <c:v>104.74802751372481</c:v>
                </c:pt>
                <c:pt idx="326">
                  <c:v>105.12035315896706</c:v>
                </c:pt>
                <c:pt idx="327">
                  <c:v>105.53612249822829</c:v>
                </c:pt>
                <c:pt idx="328">
                  <c:v>105.92759795633805</c:v>
                </c:pt>
                <c:pt idx="329">
                  <c:v>106.35428686556365</c:v>
                </c:pt>
                <c:pt idx="330">
                  <c:v>106.62878836898319</c:v>
                </c:pt>
                <c:pt idx="331">
                  <c:v>106.80903041117242</c:v>
                </c:pt>
                <c:pt idx="332">
                  <c:v>107.01513021243929</c:v>
                </c:pt>
                <c:pt idx="333">
                  <c:v>107.31026568319011</c:v>
                </c:pt>
                <c:pt idx="334">
                  <c:v>107.52957688223323</c:v>
                </c:pt>
                <c:pt idx="335">
                  <c:v>107.65939880648061</c:v>
                </c:pt>
                <c:pt idx="336">
                  <c:v>107.64354534159956</c:v>
                </c:pt>
                <c:pt idx="337">
                  <c:v>107.56446909894605</c:v>
                </c:pt>
                <c:pt idx="338">
                  <c:v>107.56519178166491</c:v>
                </c:pt>
                <c:pt idx="339">
                  <c:v>107.45229309333988</c:v>
                </c:pt>
                <c:pt idx="340">
                  <c:v>107.40638161944531</c:v>
                </c:pt>
                <c:pt idx="341">
                  <c:v>107.37295134142364</c:v>
                </c:pt>
                <c:pt idx="342">
                  <c:v>107.47808683565418</c:v>
                </c:pt>
                <c:pt idx="343">
                  <c:v>107.48542509712948</c:v>
                </c:pt>
                <c:pt idx="344">
                  <c:v>107.53416338574587</c:v>
                </c:pt>
                <c:pt idx="345">
                  <c:v>107.59114174615368</c:v>
                </c:pt>
                <c:pt idx="346">
                  <c:v>107.66492878607106</c:v>
                </c:pt>
                <c:pt idx="347">
                  <c:v>107.59316329405981</c:v>
                </c:pt>
                <c:pt idx="348">
                  <c:v>107.49613600985057</c:v>
                </c:pt>
                <c:pt idx="349">
                  <c:v>107.50809331312371</c:v>
                </c:pt>
                <c:pt idx="350">
                  <c:v>107.54296475331431</c:v>
                </c:pt>
                <c:pt idx="351">
                  <c:v>107.63395121759831</c:v>
                </c:pt>
                <c:pt idx="352">
                  <c:v>107.61205041967708</c:v>
                </c:pt>
                <c:pt idx="353">
                  <c:v>107.48526044725563</c:v>
                </c:pt>
                <c:pt idx="354">
                  <c:v>107.36109797304103</c:v>
                </c:pt>
                <c:pt idx="355">
                  <c:v>107.27901610840276</c:v>
                </c:pt>
                <c:pt idx="356">
                  <c:v>107.38836824211995</c:v>
                </c:pt>
                <c:pt idx="357">
                  <c:v>107.51955423229228</c:v>
                </c:pt>
                <c:pt idx="358">
                  <c:v>107.56578312313292</c:v>
                </c:pt>
                <c:pt idx="359">
                  <c:v>107.73421906223581</c:v>
                </c:pt>
                <c:pt idx="360">
                  <c:v>107.86604708609624</c:v>
                </c:pt>
                <c:pt idx="361">
                  <c:v>108.00739927500052</c:v>
                </c:pt>
                <c:pt idx="362">
                  <c:v>108.19885272293092</c:v>
                </c:pt>
                <c:pt idx="363">
                  <c:v>108.43184279611025</c:v>
                </c:pt>
                <c:pt idx="364">
                  <c:v>108.79168750430614</c:v>
                </c:pt>
                <c:pt idx="365">
                  <c:v>109.06383240080511</c:v>
                </c:pt>
                <c:pt idx="366">
                  <c:v>109.3514400834579</c:v>
                </c:pt>
                <c:pt idx="367">
                  <c:v>109.83751495935434</c:v>
                </c:pt>
                <c:pt idx="368">
                  <c:v>110.35764106578583</c:v>
                </c:pt>
                <c:pt idx="369">
                  <c:v>110.67706443183668</c:v>
                </c:pt>
                <c:pt idx="370">
                  <c:v>111.1075087265274</c:v>
                </c:pt>
                <c:pt idx="371">
                  <c:v>111.50469078690602</c:v>
                </c:pt>
                <c:pt idx="372">
                  <c:v>112.25120292425645</c:v>
                </c:pt>
                <c:pt idx="373">
                  <c:v>113.02469704077245</c:v>
                </c:pt>
                <c:pt idx="374">
                  <c:v>113.71900681045315</c:v>
                </c:pt>
                <c:pt idx="375">
                  <c:v>114.19006358276479</c:v>
                </c:pt>
                <c:pt idx="376">
                  <c:v>114.65965247729353</c:v>
                </c:pt>
                <c:pt idx="377">
                  <c:v>115.15979385484468</c:v>
                </c:pt>
                <c:pt idx="378">
                  <c:v>115.65630915776428</c:v>
                </c:pt>
                <c:pt idx="379">
                  <c:v>116.11261719218663</c:v>
                </c:pt>
                <c:pt idx="380">
                  <c:v>116.50890552418879</c:v>
                </c:pt>
                <c:pt idx="381">
                  <c:v>116.92463888478457</c:v>
                </c:pt>
                <c:pt idx="382">
                  <c:v>117.27714960860405</c:v>
                </c:pt>
                <c:pt idx="383">
                  <c:v>117.62957492881766</c:v>
                </c:pt>
                <c:pt idx="384">
                  <c:v>117.89446226493757</c:v>
                </c:pt>
                <c:pt idx="385">
                  <c:v>118.20293494065004</c:v>
                </c:pt>
                <c:pt idx="386">
                  <c:v>118.43605931230746</c:v>
                </c:pt>
                <c:pt idx="387">
                  <c:v>118.62144974630266</c:v>
                </c:pt>
                <c:pt idx="388">
                  <c:v>118.76947465365657</c:v>
                </c:pt>
                <c:pt idx="389">
                  <c:v>119.01343039580533</c:v>
                </c:pt>
                <c:pt idx="390">
                  <c:v>119.35750180151678</c:v>
                </c:pt>
                <c:pt idx="391">
                  <c:v>119.68446054508661</c:v>
                </c:pt>
                <c:pt idx="392">
                  <c:v>119.7238216440752</c:v>
                </c:pt>
                <c:pt idx="393">
                  <c:v>119.7554117611685</c:v>
                </c:pt>
                <c:pt idx="394">
                  <c:v>119.77618521115502</c:v>
                </c:pt>
                <c:pt idx="395">
                  <c:v>119.87615775115366</c:v>
                </c:pt>
                <c:pt idx="396">
                  <c:v>119.81746191913612</c:v>
                </c:pt>
                <c:pt idx="397">
                  <c:v>119.80714004798065</c:v>
                </c:pt>
                <c:pt idx="398">
                  <c:v>119.81402443339411</c:v>
                </c:pt>
                <c:pt idx="399">
                  <c:v>119.83652133193003</c:v>
                </c:pt>
                <c:pt idx="400">
                  <c:v>119.92000536150671</c:v>
                </c:pt>
                <c:pt idx="401">
                  <c:v>120.03268523309598</c:v>
                </c:pt>
                <c:pt idx="402">
                  <c:v>120.17829437476929</c:v>
                </c:pt>
                <c:pt idx="403">
                  <c:v>120.35226878889151</c:v>
                </c:pt>
                <c:pt idx="404">
                  <c:v>120.54390350101336</c:v>
                </c:pt>
                <c:pt idx="405">
                  <c:v>120.72249977555327</c:v>
                </c:pt>
                <c:pt idx="406">
                  <c:v>120.89199651465682</c:v>
                </c:pt>
                <c:pt idx="407">
                  <c:v>120.90104343530493</c:v>
                </c:pt>
                <c:pt idx="408">
                  <c:v>120.81324252323739</c:v>
                </c:pt>
                <c:pt idx="409">
                  <c:v>120.66672142658197</c:v>
                </c:pt>
                <c:pt idx="410">
                  <c:v>120.23962132282988</c:v>
                </c:pt>
                <c:pt idx="411">
                  <c:v>119.83448062738334</c:v>
                </c:pt>
                <c:pt idx="412">
                  <c:v>119.39867195149718</c:v>
                </c:pt>
                <c:pt idx="413">
                  <c:v>118.93546048559675</c:v>
                </c:pt>
                <c:pt idx="414">
                  <c:v>118.41709421253006</c:v>
                </c:pt>
                <c:pt idx="415">
                  <c:v>117.8839298628553</c:v>
                </c:pt>
                <c:pt idx="416">
                  <c:v>117.56196678766123</c:v>
                </c:pt>
                <c:pt idx="417">
                  <c:v>117.19202330257723</c:v>
                </c:pt>
                <c:pt idx="418">
                  <c:v>116.85788937428349</c:v>
                </c:pt>
                <c:pt idx="419">
                  <c:v>116.41639628655705</c:v>
                </c:pt>
                <c:pt idx="420">
                  <c:v>115.92962920443702</c:v>
                </c:pt>
                <c:pt idx="421">
                  <c:v>115.5136272807371</c:v>
                </c:pt>
                <c:pt idx="422">
                  <c:v>115.05527388048563</c:v>
                </c:pt>
                <c:pt idx="423">
                  <c:v>114.53545268724326</c:v>
                </c:pt>
                <c:pt idx="424">
                  <c:v>113.94076837831982</c:v>
                </c:pt>
                <c:pt idx="425">
                  <c:v>113.22123650264805</c:v>
                </c:pt>
                <c:pt idx="426">
                  <c:v>112.53173271948974</c:v>
                </c:pt>
                <c:pt idx="427">
                  <c:v>111.97931329761674</c:v>
                </c:pt>
                <c:pt idx="428">
                  <c:v>111.50796647481025</c:v>
                </c:pt>
                <c:pt idx="429">
                  <c:v>111.50149871297275</c:v>
                </c:pt>
                <c:pt idx="430">
                  <c:v>111.56240017973346</c:v>
                </c:pt>
                <c:pt idx="431">
                  <c:v>111.6275455795997</c:v>
                </c:pt>
                <c:pt idx="432">
                  <c:v>111.71029436921404</c:v>
                </c:pt>
                <c:pt idx="433">
                  <c:v>111.7314947653616</c:v>
                </c:pt>
                <c:pt idx="434">
                  <c:v>111.69334082449765</c:v>
                </c:pt>
                <c:pt idx="435">
                  <c:v>111.59119831600727</c:v>
                </c:pt>
                <c:pt idx="436">
                  <c:v>111.35181682133718</c:v>
                </c:pt>
                <c:pt idx="437">
                  <c:v>111.14666208874642</c:v>
                </c:pt>
                <c:pt idx="438">
                  <c:v>110.89973274464063</c:v>
                </c:pt>
                <c:pt idx="439">
                  <c:v>110.75753148014846</c:v>
                </c:pt>
                <c:pt idx="440">
                  <c:v>110.64569502372203</c:v>
                </c:pt>
                <c:pt idx="441">
                  <c:v>110.42410663039739</c:v>
                </c:pt>
                <c:pt idx="442">
                  <c:v>110.19845341289503</c:v>
                </c:pt>
                <c:pt idx="443">
                  <c:v>109.97901673106962</c:v>
                </c:pt>
                <c:pt idx="444">
                  <c:v>109.99373728743478</c:v>
                </c:pt>
                <c:pt idx="445">
                  <c:v>110.13646781501795</c:v>
                </c:pt>
                <c:pt idx="446">
                  <c:v>110.25103489471063</c:v>
                </c:pt>
                <c:pt idx="447">
                  <c:v>110.35173688375518</c:v>
                </c:pt>
                <c:pt idx="448">
                  <c:v>110.40416301823045</c:v>
                </c:pt>
                <c:pt idx="449">
                  <c:v>110.01124210474126</c:v>
                </c:pt>
                <c:pt idx="450">
                  <c:v>109.51979855333613</c:v>
                </c:pt>
                <c:pt idx="451">
                  <c:v>108.92391175535498</c:v>
                </c:pt>
                <c:pt idx="452">
                  <c:v>108.35740045528219</c:v>
                </c:pt>
                <c:pt idx="453">
                  <c:v>107.98760488023379</c:v>
                </c:pt>
                <c:pt idx="454">
                  <c:v>107.78268845329421</c:v>
                </c:pt>
                <c:pt idx="455">
                  <c:v>107.7286052818752</c:v>
                </c:pt>
                <c:pt idx="456">
                  <c:v>107.67938078687892</c:v>
                </c:pt>
                <c:pt idx="457">
                  <c:v>107.49476698505867</c:v>
                </c:pt>
                <c:pt idx="458">
                  <c:v>107.34355153195405</c:v>
                </c:pt>
                <c:pt idx="459">
                  <c:v>107.16629936315859</c:v>
                </c:pt>
                <c:pt idx="460">
                  <c:v>106.92254975760488</c:v>
                </c:pt>
                <c:pt idx="461">
                  <c:v>106.74928517090117</c:v>
                </c:pt>
                <c:pt idx="462">
                  <c:v>106.57261624295793</c:v>
                </c:pt>
                <c:pt idx="463">
                  <c:v>106.38219904062566</c:v>
                </c:pt>
                <c:pt idx="464">
                  <c:v>105.9181869578222</c:v>
                </c:pt>
                <c:pt idx="465">
                  <c:v>105.41349605750429</c:v>
                </c:pt>
                <c:pt idx="466">
                  <c:v>105.01511810326332</c:v>
                </c:pt>
                <c:pt idx="467">
                  <c:v>104.55005608634075</c:v>
                </c:pt>
                <c:pt idx="468">
                  <c:v>104.21208039791608</c:v>
                </c:pt>
                <c:pt idx="469">
                  <c:v>103.81732647812375</c:v>
                </c:pt>
                <c:pt idx="470">
                  <c:v>103.70561225699419</c:v>
                </c:pt>
                <c:pt idx="471">
                  <c:v>103.77187520002809</c:v>
                </c:pt>
                <c:pt idx="472">
                  <c:v>103.88460283677999</c:v>
                </c:pt>
                <c:pt idx="473">
                  <c:v>103.88370987060783</c:v>
                </c:pt>
                <c:pt idx="474">
                  <c:v>103.93562835840312</c:v>
                </c:pt>
                <c:pt idx="475">
                  <c:v>103.97666581166079</c:v>
                </c:pt>
                <c:pt idx="476">
                  <c:v>103.92237882273203</c:v>
                </c:pt>
                <c:pt idx="477">
                  <c:v>103.95618867369885</c:v>
                </c:pt>
                <c:pt idx="478">
                  <c:v>103.91567577269967</c:v>
                </c:pt>
                <c:pt idx="479">
                  <c:v>103.90318790598981</c:v>
                </c:pt>
                <c:pt idx="480">
                  <c:v>103.88623455030569</c:v>
                </c:pt>
                <c:pt idx="481">
                  <c:v>103.93837532702338</c:v>
                </c:pt>
                <c:pt idx="482">
                  <c:v>103.95783376788731</c:v>
                </c:pt>
                <c:pt idx="483">
                  <c:v>104.03138120484404</c:v>
                </c:pt>
                <c:pt idx="484">
                  <c:v>104.2347364048332</c:v>
                </c:pt>
                <c:pt idx="485">
                  <c:v>104.46765107964733</c:v>
                </c:pt>
                <c:pt idx="486">
                  <c:v>104.61187197536267</c:v>
                </c:pt>
                <c:pt idx="487">
                  <c:v>104.79068680063816</c:v>
                </c:pt>
                <c:pt idx="488">
                  <c:v>104.82895679918299</c:v>
                </c:pt>
                <c:pt idx="489">
                  <c:v>104.88967203736968</c:v>
                </c:pt>
                <c:pt idx="490">
                  <c:v>104.74775168070542</c:v>
                </c:pt>
                <c:pt idx="491">
                  <c:v>104.61457852973987</c:v>
                </c:pt>
                <c:pt idx="492">
                  <c:v>104.29444112642689</c:v>
                </c:pt>
                <c:pt idx="493">
                  <c:v>103.95567188796255</c:v>
                </c:pt>
                <c:pt idx="494">
                  <c:v>103.56852601924679</c:v>
                </c:pt>
                <c:pt idx="495">
                  <c:v>103.2010018144079</c:v>
                </c:pt>
                <c:pt idx="496">
                  <c:v>102.94130136964296</c:v>
                </c:pt>
                <c:pt idx="497">
                  <c:v>102.5305130130774</c:v>
                </c:pt>
                <c:pt idx="498">
                  <c:v>102.08256393918073</c:v>
                </c:pt>
                <c:pt idx="499">
                  <c:v>101.51187671629161</c:v>
                </c:pt>
                <c:pt idx="500">
                  <c:v>101.0611844798872</c:v>
                </c:pt>
                <c:pt idx="501">
                  <c:v>100.43642094376594</c:v>
                </c:pt>
                <c:pt idx="502">
                  <c:v>99.844239035940845</c:v>
                </c:pt>
                <c:pt idx="503">
                  <c:v>99.232200789844626</c:v>
                </c:pt>
                <c:pt idx="504">
                  <c:v>98.553452161849606</c:v>
                </c:pt>
                <c:pt idx="505">
                  <c:v>97.799702334210579</c:v>
                </c:pt>
                <c:pt idx="506">
                  <c:v>97.102594781249039</c:v>
                </c:pt>
                <c:pt idx="507">
                  <c:v>96.510416312947413</c:v>
                </c:pt>
                <c:pt idx="508">
                  <c:v>96.041901211566454</c:v>
                </c:pt>
                <c:pt idx="509">
                  <c:v>95.5813805841684</c:v>
                </c:pt>
                <c:pt idx="510">
                  <c:v>95.120100948547787</c:v>
                </c:pt>
                <c:pt idx="511">
                  <c:v>94.6688860903934</c:v>
                </c:pt>
                <c:pt idx="512">
                  <c:v>94.340353219580379</c:v>
                </c:pt>
                <c:pt idx="513">
                  <c:v>94.012302671496798</c:v>
                </c:pt>
                <c:pt idx="514">
                  <c:v>93.700479809059331</c:v>
                </c:pt>
                <c:pt idx="515">
                  <c:v>93.355982075537625</c:v>
                </c:pt>
                <c:pt idx="516">
                  <c:v>92.998162436931509</c:v>
                </c:pt>
                <c:pt idx="517">
                  <c:v>92.801058168216215</c:v>
                </c:pt>
                <c:pt idx="518">
                  <c:v>92.730520427140121</c:v>
                </c:pt>
                <c:pt idx="519">
                  <c:v>92.786070833479386</c:v>
                </c:pt>
                <c:pt idx="520">
                  <c:v>92.717974643559501</c:v>
                </c:pt>
                <c:pt idx="521">
                  <c:v>92.678410004491525</c:v>
                </c:pt>
                <c:pt idx="522">
                  <c:v>92.670912672141199</c:v>
                </c:pt>
                <c:pt idx="523">
                  <c:v>92.639710735180188</c:v>
                </c:pt>
                <c:pt idx="524">
                  <c:v>92.595834556933468</c:v>
                </c:pt>
                <c:pt idx="525">
                  <c:v>92.728545616780039</c:v>
                </c:pt>
                <c:pt idx="526">
                  <c:v>92.968536969340974</c:v>
                </c:pt>
                <c:pt idx="527">
                  <c:v>93.132895101928909</c:v>
                </c:pt>
                <c:pt idx="528">
                  <c:v>93.267318306201474</c:v>
                </c:pt>
                <c:pt idx="529">
                  <c:v>93.526518036156091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7-454F-A161-F91FC235AC04}"/>
            </c:ext>
          </c:extLst>
        </c:ser>
        <c:ser>
          <c:idx val="4"/>
          <c:order val="4"/>
          <c:tx>
            <c:v>bande inf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BMW!$AM$2:$AM$531</c:f>
              <c:numCache>
                <c:formatCode>General</c:formatCode>
                <c:ptCount val="530"/>
                <c:pt idx="0">
                  <c:v>55.349233580350329</c:v>
                </c:pt>
                <c:pt idx="1">
                  <c:v>55.391554620404641</c:v>
                </c:pt>
                <c:pt idx="2">
                  <c:v>55.401532078159747</c:v>
                </c:pt>
                <c:pt idx="3">
                  <c:v>55.382844282435656</c:v>
                </c:pt>
                <c:pt idx="4">
                  <c:v>55.405654197405198</c:v>
                </c:pt>
                <c:pt idx="5">
                  <c:v>55.323742761903617</c:v>
                </c:pt>
                <c:pt idx="6">
                  <c:v>55.369696306402759</c:v>
                </c:pt>
                <c:pt idx="7">
                  <c:v>55.478817774545234</c:v>
                </c:pt>
                <c:pt idx="8">
                  <c:v>55.656756209000136</c:v>
                </c:pt>
                <c:pt idx="9">
                  <c:v>55.571125906428477</c:v>
                </c:pt>
                <c:pt idx="10">
                  <c:v>55.506394076037637</c:v>
                </c:pt>
                <c:pt idx="11">
                  <c:v>55.515463574698131</c:v>
                </c:pt>
                <c:pt idx="12">
                  <c:v>55.51792974103585</c:v>
                </c:pt>
                <c:pt idx="13">
                  <c:v>55.338838046276265</c:v>
                </c:pt>
                <c:pt idx="14">
                  <c:v>55.303255052644147</c:v>
                </c:pt>
                <c:pt idx="15">
                  <c:v>55.326374781636972</c:v>
                </c:pt>
                <c:pt idx="16">
                  <c:v>55.343863146192987</c:v>
                </c:pt>
                <c:pt idx="17">
                  <c:v>55.398760708221417</c:v>
                </c:pt>
                <c:pt idx="18">
                  <c:v>55.345850547759639</c:v>
                </c:pt>
                <c:pt idx="19">
                  <c:v>55.528787443653528</c:v>
                </c:pt>
                <c:pt idx="20">
                  <c:v>55.745156951151785</c:v>
                </c:pt>
                <c:pt idx="21">
                  <c:v>55.84575298772932</c:v>
                </c:pt>
                <c:pt idx="22">
                  <c:v>56.059263524756602</c:v>
                </c:pt>
                <c:pt idx="23">
                  <c:v>56.236010604135309</c:v>
                </c:pt>
                <c:pt idx="24">
                  <c:v>56.306207560538141</c:v>
                </c:pt>
                <c:pt idx="25">
                  <c:v>56.317483192268767</c:v>
                </c:pt>
                <c:pt idx="26">
                  <c:v>56.179191933606582</c:v>
                </c:pt>
                <c:pt idx="27">
                  <c:v>55.855249948809607</c:v>
                </c:pt>
                <c:pt idx="28">
                  <c:v>55.490851830723884</c:v>
                </c:pt>
                <c:pt idx="29">
                  <c:v>55.205360582594402</c:v>
                </c:pt>
                <c:pt idx="30">
                  <c:v>54.783379483189478</c:v>
                </c:pt>
                <c:pt idx="31">
                  <c:v>54.29493042549116</c:v>
                </c:pt>
                <c:pt idx="32">
                  <c:v>53.846645021225186</c:v>
                </c:pt>
                <c:pt idx="33">
                  <c:v>53.513440527996771</c:v>
                </c:pt>
                <c:pt idx="34">
                  <c:v>53.076652825978918</c:v>
                </c:pt>
                <c:pt idx="35">
                  <c:v>52.666222516577065</c:v>
                </c:pt>
                <c:pt idx="36">
                  <c:v>52.252150826978493</c:v>
                </c:pt>
                <c:pt idx="37">
                  <c:v>51.852673770719306</c:v>
                </c:pt>
                <c:pt idx="38">
                  <c:v>51.477889049257541</c:v>
                </c:pt>
                <c:pt idx="39">
                  <c:v>50.940807433940556</c:v>
                </c:pt>
                <c:pt idx="40">
                  <c:v>50.405097831133979</c:v>
                </c:pt>
                <c:pt idx="41">
                  <c:v>49.867100355559458</c:v>
                </c:pt>
                <c:pt idx="42">
                  <c:v>49.339212871096336</c:v>
                </c:pt>
                <c:pt idx="43">
                  <c:v>48.873739690478004</c:v>
                </c:pt>
                <c:pt idx="44">
                  <c:v>48.500466306321606</c:v>
                </c:pt>
                <c:pt idx="45">
                  <c:v>48.347821308119819</c:v>
                </c:pt>
                <c:pt idx="46">
                  <c:v>48.188774756212311</c:v>
                </c:pt>
                <c:pt idx="47">
                  <c:v>48.355605263947709</c:v>
                </c:pt>
                <c:pt idx="48">
                  <c:v>48.523908470983756</c:v>
                </c:pt>
                <c:pt idx="49">
                  <c:v>48.809718448054973</c:v>
                </c:pt>
                <c:pt idx="50">
                  <c:v>49.108765061584222</c:v>
                </c:pt>
                <c:pt idx="51">
                  <c:v>49.489905785118893</c:v>
                </c:pt>
                <c:pt idx="52">
                  <c:v>49.909214552093303</c:v>
                </c:pt>
                <c:pt idx="53">
                  <c:v>50.347237038258768</c:v>
                </c:pt>
                <c:pt idx="54">
                  <c:v>50.882728753894703</c:v>
                </c:pt>
                <c:pt idx="55">
                  <c:v>51.432556393802088</c:v>
                </c:pt>
                <c:pt idx="56">
                  <c:v>51.905505749394038</c:v>
                </c:pt>
                <c:pt idx="57">
                  <c:v>52.33137387502164</c:v>
                </c:pt>
                <c:pt idx="58">
                  <c:v>52.75563643704821</c:v>
                </c:pt>
                <c:pt idx="59">
                  <c:v>53.229273410728204</c:v>
                </c:pt>
                <c:pt idx="60">
                  <c:v>53.69770301046384</c:v>
                </c:pt>
                <c:pt idx="61">
                  <c:v>54.24693673969756</c:v>
                </c:pt>
                <c:pt idx="62">
                  <c:v>54.757050737154657</c:v>
                </c:pt>
                <c:pt idx="63">
                  <c:v>55.28141651867935</c:v>
                </c:pt>
                <c:pt idx="64">
                  <c:v>55.7928350302181</c:v>
                </c:pt>
                <c:pt idx="65">
                  <c:v>56.232397751037169</c:v>
                </c:pt>
                <c:pt idx="66">
                  <c:v>56.796817173917631</c:v>
                </c:pt>
                <c:pt idx="67">
                  <c:v>57.071750408041666</c:v>
                </c:pt>
                <c:pt idx="68">
                  <c:v>57.421156392474181</c:v>
                </c:pt>
                <c:pt idx="69">
                  <c:v>57.742245854050026</c:v>
                </c:pt>
                <c:pt idx="70">
                  <c:v>58.037285032660684</c:v>
                </c:pt>
                <c:pt idx="71">
                  <c:v>58.33552088463945</c:v>
                </c:pt>
                <c:pt idx="72">
                  <c:v>58.59590140028206</c:v>
                </c:pt>
                <c:pt idx="73">
                  <c:v>58.866799662843604</c:v>
                </c:pt>
                <c:pt idx="74">
                  <c:v>59.211094121687871</c:v>
                </c:pt>
                <c:pt idx="75">
                  <c:v>59.400008273121692</c:v>
                </c:pt>
                <c:pt idx="76">
                  <c:v>59.491124644506677</c:v>
                </c:pt>
                <c:pt idx="77">
                  <c:v>59.723472750927698</c:v>
                </c:pt>
                <c:pt idx="78">
                  <c:v>59.838600939399157</c:v>
                </c:pt>
                <c:pt idx="79">
                  <c:v>59.853743331188568</c:v>
                </c:pt>
                <c:pt idx="80">
                  <c:v>60.013004771484574</c:v>
                </c:pt>
                <c:pt idx="81">
                  <c:v>60.092899385138352</c:v>
                </c:pt>
                <c:pt idx="82">
                  <c:v>60.067312749420367</c:v>
                </c:pt>
                <c:pt idx="83">
                  <c:v>59.976467570971238</c:v>
                </c:pt>
                <c:pt idx="84">
                  <c:v>59.952215646493926</c:v>
                </c:pt>
                <c:pt idx="85">
                  <c:v>59.789952369130603</c:v>
                </c:pt>
                <c:pt idx="86">
                  <c:v>59.590429472613543</c:v>
                </c:pt>
                <c:pt idx="87">
                  <c:v>59.338340415027062</c:v>
                </c:pt>
                <c:pt idx="88">
                  <c:v>59.446634687224929</c:v>
                </c:pt>
                <c:pt idx="89">
                  <c:v>59.58910309748731</c:v>
                </c:pt>
                <c:pt idx="90">
                  <c:v>59.905401104131315</c:v>
                </c:pt>
                <c:pt idx="91">
                  <c:v>60.173370484929464</c:v>
                </c:pt>
                <c:pt idx="92">
                  <c:v>60.486621237658518</c:v>
                </c:pt>
                <c:pt idx="93">
                  <c:v>60.806577511946536</c:v>
                </c:pt>
                <c:pt idx="94">
                  <c:v>61.062142007535911</c:v>
                </c:pt>
                <c:pt idx="95">
                  <c:v>61.45013989930662</c:v>
                </c:pt>
                <c:pt idx="96">
                  <c:v>61.964853544998391</c:v>
                </c:pt>
                <c:pt idx="97">
                  <c:v>62.41559504269317</c:v>
                </c:pt>
                <c:pt idx="98">
                  <c:v>62.999118617757752</c:v>
                </c:pt>
                <c:pt idx="99">
                  <c:v>63.651662569003157</c:v>
                </c:pt>
                <c:pt idx="100">
                  <c:v>64.112282322525914</c:v>
                </c:pt>
                <c:pt idx="101">
                  <c:v>64.668301363126133</c:v>
                </c:pt>
                <c:pt idx="102">
                  <c:v>65.255478735487941</c:v>
                </c:pt>
                <c:pt idx="103">
                  <c:v>65.861372598904126</c:v>
                </c:pt>
                <c:pt idx="104">
                  <c:v>66.373703604750162</c:v>
                </c:pt>
                <c:pt idx="105">
                  <c:v>66.967530477855092</c:v>
                </c:pt>
                <c:pt idx="106">
                  <c:v>67.498855351315129</c:v>
                </c:pt>
                <c:pt idx="107">
                  <c:v>68.095358790214135</c:v>
                </c:pt>
                <c:pt idx="108">
                  <c:v>68.237273518312946</c:v>
                </c:pt>
                <c:pt idx="109">
                  <c:v>68.387634752138041</c:v>
                </c:pt>
                <c:pt idx="110">
                  <c:v>68.439360273450546</c:v>
                </c:pt>
                <c:pt idx="111">
                  <c:v>68.509588654443448</c:v>
                </c:pt>
                <c:pt idx="112">
                  <c:v>68.487161717293631</c:v>
                </c:pt>
                <c:pt idx="113">
                  <c:v>68.402218640005799</c:v>
                </c:pt>
                <c:pt idx="114">
                  <c:v>68.398619618804688</c:v>
                </c:pt>
                <c:pt idx="115">
                  <c:v>68.452529608280912</c:v>
                </c:pt>
                <c:pt idx="116">
                  <c:v>68.655345863976706</c:v>
                </c:pt>
                <c:pt idx="117">
                  <c:v>68.843283183941296</c:v>
                </c:pt>
                <c:pt idx="118">
                  <c:v>69.02153156445064</c:v>
                </c:pt>
                <c:pt idx="119">
                  <c:v>69.266223455188182</c:v>
                </c:pt>
                <c:pt idx="120">
                  <c:v>69.604531513781922</c:v>
                </c:pt>
                <c:pt idx="121">
                  <c:v>69.969258927738935</c:v>
                </c:pt>
                <c:pt idx="122">
                  <c:v>70.423033467591651</c:v>
                </c:pt>
                <c:pt idx="123">
                  <c:v>70.915702095966708</c:v>
                </c:pt>
                <c:pt idx="124">
                  <c:v>71.381738139288572</c:v>
                </c:pt>
                <c:pt idx="125">
                  <c:v>71.949417681786073</c:v>
                </c:pt>
                <c:pt idx="126">
                  <c:v>72.503496921649031</c:v>
                </c:pt>
                <c:pt idx="127">
                  <c:v>73.048116778833204</c:v>
                </c:pt>
                <c:pt idx="128">
                  <c:v>73.652374906889634</c:v>
                </c:pt>
                <c:pt idx="129">
                  <c:v>74.333618335722292</c:v>
                </c:pt>
                <c:pt idx="130">
                  <c:v>74.944072298008209</c:v>
                </c:pt>
                <c:pt idx="131">
                  <c:v>75.445549067152257</c:v>
                </c:pt>
                <c:pt idx="132">
                  <c:v>75.896189764709092</c:v>
                </c:pt>
                <c:pt idx="133">
                  <c:v>76.300513883986511</c:v>
                </c:pt>
                <c:pt idx="134">
                  <c:v>76.61897606820034</c:v>
                </c:pt>
                <c:pt idx="135">
                  <c:v>76.901375132028207</c:v>
                </c:pt>
                <c:pt idx="136">
                  <c:v>77.065033354416983</c:v>
                </c:pt>
                <c:pt idx="137">
                  <c:v>77.160006522699646</c:v>
                </c:pt>
                <c:pt idx="138">
                  <c:v>77.319901675076551</c:v>
                </c:pt>
                <c:pt idx="139">
                  <c:v>77.392132742808769</c:v>
                </c:pt>
                <c:pt idx="140">
                  <c:v>77.418476226117576</c:v>
                </c:pt>
                <c:pt idx="141">
                  <c:v>77.393350576444192</c:v>
                </c:pt>
                <c:pt idx="142">
                  <c:v>77.437243283606065</c:v>
                </c:pt>
                <c:pt idx="143">
                  <c:v>77.406546643161221</c:v>
                </c:pt>
                <c:pt idx="144">
                  <c:v>77.329970501995348</c:v>
                </c:pt>
                <c:pt idx="145">
                  <c:v>77.218992353196086</c:v>
                </c:pt>
                <c:pt idx="146">
                  <c:v>77.19901216306765</c:v>
                </c:pt>
                <c:pt idx="147">
                  <c:v>77.173210035791556</c:v>
                </c:pt>
                <c:pt idx="148">
                  <c:v>77.12668658972278</c:v>
                </c:pt>
                <c:pt idx="149">
                  <c:v>76.904700867857372</c:v>
                </c:pt>
                <c:pt idx="150">
                  <c:v>76.813155948211545</c:v>
                </c:pt>
                <c:pt idx="151">
                  <c:v>76.898827707983997</c:v>
                </c:pt>
                <c:pt idx="152">
                  <c:v>77.117873877771984</c:v>
                </c:pt>
                <c:pt idx="153">
                  <c:v>77.373853701072576</c:v>
                </c:pt>
                <c:pt idx="154">
                  <c:v>77.59335093157614</c:v>
                </c:pt>
                <c:pt idx="155">
                  <c:v>77.80473272526261</c:v>
                </c:pt>
                <c:pt idx="156">
                  <c:v>77.997066147742501</c:v>
                </c:pt>
                <c:pt idx="157">
                  <c:v>78.240533984667948</c:v>
                </c:pt>
                <c:pt idx="158">
                  <c:v>78.487584509280723</c:v>
                </c:pt>
                <c:pt idx="159">
                  <c:v>78.767162285665066</c:v>
                </c:pt>
                <c:pt idx="160">
                  <c:v>79.029917709010334</c:v>
                </c:pt>
                <c:pt idx="161">
                  <c:v>79.259006164342111</c:v>
                </c:pt>
                <c:pt idx="162">
                  <c:v>79.471748770764549</c:v>
                </c:pt>
                <c:pt idx="163">
                  <c:v>79.708292283774739</c:v>
                </c:pt>
                <c:pt idx="164">
                  <c:v>80.019390577346584</c:v>
                </c:pt>
                <c:pt idx="165">
                  <c:v>80.266317498881591</c:v>
                </c:pt>
                <c:pt idx="166">
                  <c:v>80.527676247623674</c:v>
                </c:pt>
                <c:pt idx="167">
                  <c:v>80.916326164553084</c:v>
                </c:pt>
                <c:pt idx="168">
                  <c:v>81.286118617507285</c:v>
                </c:pt>
                <c:pt idx="169">
                  <c:v>81.763258618488081</c:v>
                </c:pt>
                <c:pt idx="170">
                  <c:v>82.190897114354982</c:v>
                </c:pt>
                <c:pt idx="171">
                  <c:v>82.837534263768902</c:v>
                </c:pt>
                <c:pt idx="172">
                  <c:v>83.479147150311164</c:v>
                </c:pt>
                <c:pt idx="173">
                  <c:v>84.067569539102138</c:v>
                </c:pt>
                <c:pt idx="174">
                  <c:v>84.590939598563551</c:v>
                </c:pt>
                <c:pt idx="175">
                  <c:v>85.097892360622566</c:v>
                </c:pt>
                <c:pt idx="176">
                  <c:v>85.581234607578168</c:v>
                </c:pt>
                <c:pt idx="177">
                  <c:v>86.183793392905372</c:v>
                </c:pt>
                <c:pt idx="178">
                  <c:v>86.665302341391765</c:v>
                </c:pt>
                <c:pt idx="179">
                  <c:v>87.121515309714908</c:v>
                </c:pt>
                <c:pt idx="180">
                  <c:v>87.577731659986384</c:v>
                </c:pt>
                <c:pt idx="181">
                  <c:v>88.096659831428525</c:v>
                </c:pt>
                <c:pt idx="182">
                  <c:v>88.732894464822294</c:v>
                </c:pt>
                <c:pt idx="183">
                  <c:v>89.35307472323926</c:v>
                </c:pt>
                <c:pt idx="184">
                  <c:v>89.948149614725779</c:v>
                </c:pt>
                <c:pt idx="185">
                  <c:v>90.624042670180629</c:v>
                </c:pt>
                <c:pt idx="186">
                  <c:v>91.271222639452958</c:v>
                </c:pt>
                <c:pt idx="187">
                  <c:v>91.808163910635372</c:v>
                </c:pt>
                <c:pt idx="188">
                  <c:v>92.337100768531087</c:v>
                </c:pt>
                <c:pt idx="189">
                  <c:v>92.871352203873016</c:v>
                </c:pt>
                <c:pt idx="190">
                  <c:v>93.335271082991341</c:v>
                </c:pt>
                <c:pt idx="191">
                  <c:v>93.503920782870267</c:v>
                </c:pt>
                <c:pt idx="192">
                  <c:v>93.793289489441221</c:v>
                </c:pt>
                <c:pt idx="193">
                  <c:v>94.113956591033457</c:v>
                </c:pt>
                <c:pt idx="194">
                  <c:v>94.623686618682711</c:v>
                </c:pt>
                <c:pt idx="195">
                  <c:v>95.113633289579823</c:v>
                </c:pt>
                <c:pt idx="196">
                  <c:v>95.748999835967908</c:v>
                </c:pt>
                <c:pt idx="197">
                  <c:v>96.281066519842071</c:v>
                </c:pt>
                <c:pt idx="198">
                  <c:v>96.762057031776052</c:v>
                </c:pt>
                <c:pt idx="199">
                  <c:v>97.384419557405039</c:v>
                </c:pt>
                <c:pt idx="200">
                  <c:v>97.897181974272513</c:v>
                </c:pt>
                <c:pt idx="201">
                  <c:v>98.129800680432055</c:v>
                </c:pt>
                <c:pt idx="202">
                  <c:v>98.162858182451942</c:v>
                </c:pt>
                <c:pt idx="203">
                  <c:v>98.176461335373432</c:v>
                </c:pt>
                <c:pt idx="204">
                  <c:v>98.277924034107414</c:v>
                </c:pt>
                <c:pt idx="205">
                  <c:v>98.289627512166376</c:v>
                </c:pt>
                <c:pt idx="206">
                  <c:v>98.200683032928907</c:v>
                </c:pt>
                <c:pt idx="207">
                  <c:v>98.175074596617648</c:v>
                </c:pt>
                <c:pt idx="208">
                  <c:v>98.227441297836151</c:v>
                </c:pt>
                <c:pt idx="209">
                  <c:v>98.263575852465692</c:v>
                </c:pt>
                <c:pt idx="210">
                  <c:v>98.293321114678989</c:v>
                </c:pt>
                <c:pt idx="211">
                  <c:v>98.283617704639099</c:v>
                </c:pt>
                <c:pt idx="212">
                  <c:v>98.087558233953899</c:v>
                </c:pt>
                <c:pt idx="213">
                  <c:v>98.064707077113624</c:v>
                </c:pt>
                <c:pt idx="214">
                  <c:v>97.985859926185924</c:v>
                </c:pt>
                <c:pt idx="215">
                  <c:v>97.781439756599539</c:v>
                </c:pt>
                <c:pt idx="216">
                  <c:v>97.470672413214274</c:v>
                </c:pt>
                <c:pt idx="217">
                  <c:v>97.103046331967391</c:v>
                </c:pt>
                <c:pt idx="218">
                  <c:v>96.881618656925454</c:v>
                </c:pt>
                <c:pt idx="219">
                  <c:v>96.631345042820215</c:v>
                </c:pt>
                <c:pt idx="220">
                  <c:v>96.550511300506059</c:v>
                </c:pt>
                <c:pt idx="221">
                  <c:v>96.722149696859461</c:v>
                </c:pt>
                <c:pt idx="222">
                  <c:v>96.851015429379601</c:v>
                </c:pt>
                <c:pt idx="223">
                  <c:v>97.018265359809902</c:v>
                </c:pt>
                <c:pt idx="224">
                  <c:v>97.093301680553083</c:v>
                </c:pt>
                <c:pt idx="225">
                  <c:v>97.175277002147325</c:v>
                </c:pt>
                <c:pt idx="226">
                  <c:v>97.32627680147327</c:v>
                </c:pt>
                <c:pt idx="227">
                  <c:v>97.363017370899456</c:v>
                </c:pt>
                <c:pt idx="228">
                  <c:v>97.283366732544508</c:v>
                </c:pt>
                <c:pt idx="229">
                  <c:v>97.041135532945162</c:v>
                </c:pt>
                <c:pt idx="230">
                  <c:v>96.903690536585358</c:v>
                </c:pt>
                <c:pt idx="231">
                  <c:v>96.844107983634132</c:v>
                </c:pt>
                <c:pt idx="232">
                  <c:v>96.734159793038813</c:v>
                </c:pt>
                <c:pt idx="233">
                  <c:v>96.385355318611388</c:v>
                </c:pt>
                <c:pt idx="234">
                  <c:v>95.955440598737539</c:v>
                </c:pt>
                <c:pt idx="235">
                  <c:v>95.729830032100836</c:v>
                </c:pt>
                <c:pt idx="236">
                  <c:v>95.482446151965235</c:v>
                </c:pt>
                <c:pt idx="237">
                  <c:v>95.240158106998422</c:v>
                </c:pt>
                <c:pt idx="238">
                  <c:v>94.818067641365687</c:v>
                </c:pt>
                <c:pt idx="239">
                  <c:v>94.230876134799928</c:v>
                </c:pt>
                <c:pt idx="240">
                  <c:v>93.561171544668397</c:v>
                </c:pt>
                <c:pt idx="241">
                  <c:v>92.964895337690493</c:v>
                </c:pt>
                <c:pt idx="242">
                  <c:v>92.346972485003207</c:v>
                </c:pt>
                <c:pt idx="243">
                  <c:v>91.716753622635665</c:v>
                </c:pt>
                <c:pt idx="244">
                  <c:v>91.069175865312985</c:v>
                </c:pt>
                <c:pt idx="245">
                  <c:v>90.425197415675314</c:v>
                </c:pt>
                <c:pt idx="246">
                  <c:v>89.810858730766498</c:v>
                </c:pt>
                <c:pt idx="247">
                  <c:v>89.223715806995713</c:v>
                </c:pt>
                <c:pt idx="248">
                  <c:v>88.668256936241818</c:v>
                </c:pt>
                <c:pt idx="249">
                  <c:v>88.237408848886972</c:v>
                </c:pt>
                <c:pt idx="250">
                  <c:v>87.744402582537759</c:v>
                </c:pt>
                <c:pt idx="251">
                  <c:v>87.137609025840774</c:v>
                </c:pt>
                <c:pt idx="252">
                  <c:v>86.644179909556499</c:v>
                </c:pt>
                <c:pt idx="253">
                  <c:v>86.211225051595974</c:v>
                </c:pt>
                <c:pt idx="254">
                  <c:v>85.942846944574214</c:v>
                </c:pt>
                <c:pt idx="255">
                  <c:v>85.600561531183303</c:v>
                </c:pt>
                <c:pt idx="256">
                  <c:v>85.333359656606675</c:v>
                </c:pt>
                <c:pt idx="257">
                  <c:v>85.150023260098052</c:v>
                </c:pt>
                <c:pt idx="258">
                  <c:v>85.180695031072219</c:v>
                </c:pt>
                <c:pt idx="259">
                  <c:v>85.336183967218517</c:v>
                </c:pt>
                <c:pt idx="260">
                  <c:v>85.559284566169126</c:v>
                </c:pt>
                <c:pt idx="261">
                  <c:v>85.683655484047108</c:v>
                </c:pt>
                <c:pt idx="262">
                  <c:v>85.871840028808734</c:v>
                </c:pt>
                <c:pt idx="263">
                  <c:v>85.997037136727499</c:v>
                </c:pt>
                <c:pt idx="264">
                  <c:v>86.324072166117759</c:v>
                </c:pt>
                <c:pt idx="265">
                  <c:v>86.604081186932063</c:v>
                </c:pt>
                <c:pt idx="266">
                  <c:v>86.87287591610243</c:v>
                </c:pt>
                <c:pt idx="267">
                  <c:v>87.192595314869521</c:v>
                </c:pt>
                <c:pt idx="268">
                  <c:v>87.530185151475479</c:v>
                </c:pt>
                <c:pt idx="269">
                  <c:v>87.811746094364324</c:v>
                </c:pt>
                <c:pt idx="270">
                  <c:v>88.148553865126246</c:v>
                </c:pt>
                <c:pt idx="271">
                  <c:v>88.558144376705684</c:v>
                </c:pt>
                <c:pt idx="272">
                  <c:v>88.9361278388036</c:v>
                </c:pt>
                <c:pt idx="273">
                  <c:v>89.429776043534105</c:v>
                </c:pt>
                <c:pt idx="274">
                  <c:v>89.748369499312659</c:v>
                </c:pt>
                <c:pt idx="275">
                  <c:v>89.936602623273387</c:v>
                </c:pt>
                <c:pt idx="276">
                  <c:v>90.120964155248714</c:v>
                </c:pt>
                <c:pt idx="277">
                  <c:v>90.243016076593875</c:v>
                </c:pt>
                <c:pt idx="278">
                  <c:v>90.274205750183512</c:v>
                </c:pt>
                <c:pt idx="279">
                  <c:v>90.143382342417681</c:v>
                </c:pt>
                <c:pt idx="280">
                  <c:v>90.030738119291783</c:v>
                </c:pt>
                <c:pt idx="281">
                  <c:v>89.860317642343489</c:v>
                </c:pt>
                <c:pt idx="282">
                  <c:v>89.597543375316874</c:v>
                </c:pt>
                <c:pt idx="283">
                  <c:v>89.410336306091793</c:v>
                </c:pt>
                <c:pt idx="284">
                  <c:v>89.079339477396388</c:v>
                </c:pt>
                <c:pt idx="285">
                  <c:v>88.822019211478803</c:v>
                </c:pt>
                <c:pt idx="286">
                  <c:v>88.436015457608391</c:v>
                </c:pt>
                <c:pt idx="287">
                  <c:v>88.065465945497806</c:v>
                </c:pt>
                <c:pt idx="288">
                  <c:v>87.71405801994122</c:v>
                </c:pt>
                <c:pt idx="289">
                  <c:v>87.421452404831996</c:v>
                </c:pt>
                <c:pt idx="290">
                  <c:v>87.091203754408838</c:v>
                </c:pt>
                <c:pt idx="291">
                  <c:v>86.704027493340774</c:v>
                </c:pt>
                <c:pt idx="292">
                  <c:v>86.42025862016115</c:v>
                </c:pt>
                <c:pt idx="293">
                  <c:v>86.00825739700548</c:v>
                </c:pt>
                <c:pt idx="294">
                  <c:v>85.566171026824094</c:v>
                </c:pt>
                <c:pt idx="295">
                  <c:v>85.36842316638031</c:v>
                </c:pt>
                <c:pt idx="296">
                  <c:v>85.015040206751763</c:v>
                </c:pt>
                <c:pt idx="297">
                  <c:v>84.541971112035171</c:v>
                </c:pt>
                <c:pt idx="298">
                  <c:v>84.044715875889423</c:v>
                </c:pt>
                <c:pt idx="299">
                  <c:v>83.718373108658767</c:v>
                </c:pt>
                <c:pt idx="300">
                  <c:v>83.351060539346307</c:v>
                </c:pt>
                <c:pt idx="301">
                  <c:v>83.032374946403635</c:v>
                </c:pt>
                <c:pt idx="302">
                  <c:v>82.867693113358484</c:v>
                </c:pt>
                <c:pt idx="303">
                  <c:v>82.709310449298073</c:v>
                </c:pt>
                <c:pt idx="304">
                  <c:v>82.489777037954852</c:v>
                </c:pt>
                <c:pt idx="305">
                  <c:v>82.144331696989255</c:v>
                </c:pt>
                <c:pt idx="306">
                  <c:v>81.880026703491112</c:v>
                </c:pt>
                <c:pt idx="307">
                  <c:v>81.609799594450763</c:v>
                </c:pt>
                <c:pt idx="308">
                  <c:v>81.351502860044477</c:v>
                </c:pt>
                <c:pt idx="309">
                  <c:v>81.100296920374632</c:v>
                </c:pt>
                <c:pt idx="310">
                  <c:v>80.985407036670523</c:v>
                </c:pt>
                <c:pt idx="311">
                  <c:v>80.964280488453824</c:v>
                </c:pt>
                <c:pt idx="312">
                  <c:v>80.87526573436493</c:v>
                </c:pt>
                <c:pt idx="313">
                  <c:v>80.828415575344735</c:v>
                </c:pt>
                <c:pt idx="314">
                  <c:v>80.92876687789466</c:v>
                </c:pt>
                <c:pt idx="315">
                  <c:v>81.059245923414437</c:v>
                </c:pt>
                <c:pt idx="316">
                  <c:v>81.300910927122857</c:v>
                </c:pt>
                <c:pt idx="317">
                  <c:v>81.663113187680125</c:v>
                </c:pt>
                <c:pt idx="318">
                  <c:v>82.02358639540607</c:v>
                </c:pt>
                <c:pt idx="319">
                  <c:v>82.362848238378803</c:v>
                </c:pt>
                <c:pt idx="320">
                  <c:v>82.707687404104973</c:v>
                </c:pt>
                <c:pt idx="321">
                  <c:v>83.039036459973246</c:v>
                </c:pt>
                <c:pt idx="322">
                  <c:v>83.14758353716752</c:v>
                </c:pt>
                <c:pt idx="323">
                  <c:v>83.302597051925801</c:v>
                </c:pt>
                <c:pt idx="324">
                  <c:v>83.478485261136768</c:v>
                </c:pt>
                <c:pt idx="325">
                  <c:v>83.8129724862752</c:v>
                </c:pt>
                <c:pt idx="326">
                  <c:v>84.20764684103294</c:v>
                </c:pt>
                <c:pt idx="327">
                  <c:v>84.63787750177174</c:v>
                </c:pt>
                <c:pt idx="328">
                  <c:v>85.035402043661975</c:v>
                </c:pt>
                <c:pt idx="329">
                  <c:v>85.460713134436347</c:v>
                </c:pt>
                <c:pt idx="330">
                  <c:v>85.726211631016852</c:v>
                </c:pt>
                <c:pt idx="331">
                  <c:v>85.892969588827611</c:v>
                </c:pt>
                <c:pt idx="332">
                  <c:v>86.082869787560696</c:v>
                </c:pt>
                <c:pt idx="333">
                  <c:v>86.35873431680993</c:v>
                </c:pt>
                <c:pt idx="334">
                  <c:v>86.554423117766774</c:v>
                </c:pt>
                <c:pt idx="335">
                  <c:v>86.657601193519397</c:v>
                </c:pt>
                <c:pt idx="336">
                  <c:v>86.613454658400443</c:v>
                </c:pt>
                <c:pt idx="337">
                  <c:v>86.506530901053949</c:v>
                </c:pt>
                <c:pt idx="338">
                  <c:v>86.480808218335085</c:v>
                </c:pt>
                <c:pt idx="339">
                  <c:v>86.341706906660136</c:v>
                </c:pt>
                <c:pt idx="340">
                  <c:v>86.271618380554685</c:v>
                </c:pt>
                <c:pt idx="341">
                  <c:v>86.215048658576379</c:v>
                </c:pt>
                <c:pt idx="342">
                  <c:v>86.297913164345829</c:v>
                </c:pt>
                <c:pt idx="343">
                  <c:v>86.281574902870517</c:v>
                </c:pt>
                <c:pt idx="344">
                  <c:v>86.306836614254138</c:v>
                </c:pt>
                <c:pt idx="345">
                  <c:v>86.339858253846302</c:v>
                </c:pt>
                <c:pt idx="346">
                  <c:v>86.389071213928972</c:v>
                </c:pt>
                <c:pt idx="347">
                  <c:v>86.291836705940213</c:v>
                </c:pt>
                <c:pt idx="348">
                  <c:v>86.170863990149428</c:v>
                </c:pt>
                <c:pt idx="349">
                  <c:v>86.160906686876302</c:v>
                </c:pt>
                <c:pt idx="350">
                  <c:v>86.174035246685676</c:v>
                </c:pt>
                <c:pt idx="351">
                  <c:v>86.243048782401672</c:v>
                </c:pt>
                <c:pt idx="352">
                  <c:v>86.197949580322899</c:v>
                </c:pt>
                <c:pt idx="353">
                  <c:v>86.048739552744365</c:v>
                </c:pt>
                <c:pt idx="354">
                  <c:v>85.904902026958965</c:v>
                </c:pt>
                <c:pt idx="355">
                  <c:v>85.805983891597222</c:v>
                </c:pt>
                <c:pt idx="356">
                  <c:v>85.900631757880035</c:v>
                </c:pt>
                <c:pt idx="357">
                  <c:v>86.015445767707718</c:v>
                </c:pt>
                <c:pt idx="358">
                  <c:v>86.043216876867064</c:v>
                </c:pt>
                <c:pt idx="359">
                  <c:v>86.192780937764155</c:v>
                </c:pt>
                <c:pt idx="360">
                  <c:v>86.302952913903738</c:v>
                </c:pt>
                <c:pt idx="361">
                  <c:v>86.420600724999474</c:v>
                </c:pt>
                <c:pt idx="362">
                  <c:v>86.586147277069102</c:v>
                </c:pt>
                <c:pt idx="363">
                  <c:v>86.790157203889763</c:v>
                </c:pt>
                <c:pt idx="364">
                  <c:v>87.117312495693881</c:v>
                </c:pt>
                <c:pt idx="365">
                  <c:v>87.351167599194881</c:v>
                </c:pt>
                <c:pt idx="366">
                  <c:v>87.596559916542077</c:v>
                </c:pt>
                <c:pt idx="367">
                  <c:v>88.03648504064563</c:v>
                </c:pt>
                <c:pt idx="368">
                  <c:v>88.504358934214139</c:v>
                </c:pt>
                <c:pt idx="369">
                  <c:v>88.765935568163329</c:v>
                </c:pt>
                <c:pt idx="370">
                  <c:v>89.135491273472596</c:v>
                </c:pt>
                <c:pt idx="371">
                  <c:v>89.468309213093988</c:v>
                </c:pt>
                <c:pt idx="372">
                  <c:v>90.147797075743554</c:v>
                </c:pt>
                <c:pt idx="373">
                  <c:v>90.851302959227525</c:v>
                </c:pt>
                <c:pt idx="374">
                  <c:v>91.474993189546808</c:v>
                </c:pt>
                <c:pt idx="375">
                  <c:v>91.876936417235157</c:v>
                </c:pt>
                <c:pt idx="376">
                  <c:v>92.279347522706459</c:v>
                </c:pt>
                <c:pt idx="377">
                  <c:v>92.715206145155321</c:v>
                </c:pt>
                <c:pt idx="378">
                  <c:v>93.151690842235709</c:v>
                </c:pt>
                <c:pt idx="379">
                  <c:v>93.553382807813392</c:v>
                </c:pt>
                <c:pt idx="380">
                  <c:v>93.901094475811206</c:v>
                </c:pt>
                <c:pt idx="381">
                  <c:v>94.274361115215441</c:v>
                </c:pt>
                <c:pt idx="382">
                  <c:v>94.591850391395951</c:v>
                </c:pt>
                <c:pt idx="383">
                  <c:v>94.916425071182331</c:v>
                </c:pt>
                <c:pt idx="384">
                  <c:v>95.16153773506241</c:v>
                </c:pt>
                <c:pt idx="385">
                  <c:v>95.457065059349958</c:v>
                </c:pt>
                <c:pt idx="386">
                  <c:v>95.685940687692522</c:v>
                </c:pt>
                <c:pt idx="387">
                  <c:v>95.874550253697294</c:v>
                </c:pt>
                <c:pt idx="388">
                  <c:v>96.032525346343419</c:v>
                </c:pt>
                <c:pt idx="389">
                  <c:v>96.292569604194711</c:v>
                </c:pt>
                <c:pt idx="390">
                  <c:v>96.662498198483263</c:v>
                </c:pt>
                <c:pt idx="391">
                  <c:v>97.029539454913419</c:v>
                </c:pt>
                <c:pt idx="392">
                  <c:v>97.12417835592484</c:v>
                </c:pt>
                <c:pt idx="393">
                  <c:v>97.216588238831534</c:v>
                </c:pt>
                <c:pt idx="394">
                  <c:v>97.303814788844988</c:v>
                </c:pt>
                <c:pt idx="395">
                  <c:v>97.475842248846376</c:v>
                </c:pt>
                <c:pt idx="396">
                  <c:v>97.498538080863852</c:v>
                </c:pt>
                <c:pt idx="397">
                  <c:v>97.572859952019314</c:v>
                </c:pt>
                <c:pt idx="398">
                  <c:v>97.669975566605871</c:v>
                </c:pt>
                <c:pt idx="399">
                  <c:v>97.789478668070004</c:v>
                </c:pt>
                <c:pt idx="400">
                  <c:v>97.977994638493286</c:v>
                </c:pt>
                <c:pt idx="401">
                  <c:v>98.207314766904034</c:v>
                </c:pt>
                <c:pt idx="402">
                  <c:v>98.483705625230684</c:v>
                </c:pt>
                <c:pt idx="403">
                  <c:v>98.80573121110848</c:v>
                </c:pt>
                <c:pt idx="404">
                  <c:v>99.166096498986619</c:v>
                </c:pt>
                <c:pt idx="405">
                  <c:v>99.537500224446774</c:v>
                </c:pt>
                <c:pt idx="406">
                  <c:v>99.926003485343159</c:v>
                </c:pt>
                <c:pt idx="407">
                  <c:v>100.18295656469508</c:v>
                </c:pt>
                <c:pt idx="408">
                  <c:v>100.36475747676263</c:v>
                </c:pt>
                <c:pt idx="409">
                  <c:v>100.50527857341805</c:v>
                </c:pt>
                <c:pt idx="410">
                  <c:v>100.38037867717016</c:v>
                </c:pt>
                <c:pt idx="411">
                  <c:v>100.27351937261666</c:v>
                </c:pt>
                <c:pt idx="412">
                  <c:v>100.13332804850283</c:v>
                </c:pt>
                <c:pt idx="413">
                  <c:v>99.960539514403209</c:v>
                </c:pt>
                <c:pt idx="414">
                  <c:v>99.724905787469936</c:v>
                </c:pt>
                <c:pt idx="415">
                  <c:v>99.462070137144707</c:v>
                </c:pt>
                <c:pt idx="416">
                  <c:v>99.396033212338793</c:v>
                </c:pt>
                <c:pt idx="417">
                  <c:v>99.281976697422792</c:v>
                </c:pt>
                <c:pt idx="418">
                  <c:v>99.200110625716562</c:v>
                </c:pt>
                <c:pt idx="419">
                  <c:v>99.009603713442971</c:v>
                </c:pt>
                <c:pt idx="420">
                  <c:v>98.764370795563025</c:v>
                </c:pt>
                <c:pt idx="421">
                  <c:v>98.576372719262906</c:v>
                </c:pt>
                <c:pt idx="422">
                  <c:v>98.336726119514424</c:v>
                </c:pt>
                <c:pt idx="423">
                  <c:v>98.022547312756785</c:v>
                </c:pt>
                <c:pt idx="424">
                  <c:v>97.615231621680223</c:v>
                </c:pt>
                <c:pt idx="425">
                  <c:v>97.058763497351919</c:v>
                </c:pt>
                <c:pt idx="426">
                  <c:v>96.499267280510267</c:v>
                </c:pt>
                <c:pt idx="427">
                  <c:v>96.045686702383264</c:v>
                </c:pt>
                <c:pt idx="428">
                  <c:v>95.650033525189713</c:v>
                </c:pt>
                <c:pt idx="429">
                  <c:v>95.700501287027251</c:v>
                </c:pt>
                <c:pt idx="430">
                  <c:v>95.823599820266566</c:v>
                </c:pt>
                <c:pt idx="431">
                  <c:v>95.960454420400325</c:v>
                </c:pt>
                <c:pt idx="432">
                  <c:v>96.125705630785973</c:v>
                </c:pt>
                <c:pt idx="433">
                  <c:v>96.242505234638415</c:v>
                </c:pt>
                <c:pt idx="434">
                  <c:v>96.310659175502394</c:v>
                </c:pt>
                <c:pt idx="435">
                  <c:v>96.322801683992779</c:v>
                </c:pt>
                <c:pt idx="436">
                  <c:v>96.202183178662821</c:v>
                </c:pt>
                <c:pt idx="437">
                  <c:v>96.111337911253557</c:v>
                </c:pt>
                <c:pt idx="438">
                  <c:v>95.976267255359403</c:v>
                </c:pt>
                <c:pt idx="439">
                  <c:v>95.940468519851578</c:v>
                </c:pt>
                <c:pt idx="440">
                  <c:v>95.936304976277938</c:v>
                </c:pt>
                <c:pt idx="441">
                  <c:v>95.825893369602611</c:v>
                </c:pt>
                <c:pt idx="442">
                  <c:v>95.707546587104972</c:v>
                </c:pt>
                <c:pt idx="443">
                  <c:v>95.590983268930401</c:v>
                </c:pt>
                <c:pt idx="444">
                  <c:v>95.704262712565225</c:v>
                </c:pt>
                <c:pt idx="445">
                  <c:v>95.957532184982043</c:v>
                </c:pt>
                <c:pt idx="446">
                  <c:v>96.205965105289337</c:v>
                </c:pt>
                <c:pt idx="447">
                  <c:v>96.465263116244827</c:v>
                </c:pt>
                <c:pt idx="448">
                  <c:v>96.703836981769584</c:v>
                </c:pt>
                <c:pt idx="449">
                  <c:v>96.524757895258745</c:v>
                </c:pt>
                <c:pt idx="450">
                  <c:v>96.23620144666387</c:v>
                </c:pt>
                <c:pt idx="451">
                  <c:v>95.82208824464503</c:v>
                </c:pt>
                <c:pt idx="452">
                  <c:v>95.405599544717788</c:v>
                </c:pt>
                <c:pt idx="453">
                  <c:v>95.155395119766183</c:v>
                </c:pt>
                <c:pt idx="454">
                  <c:v>95.054311546705748</c:v>
                </c:pt>
                <c:pt idx="455">
                  <c:v>95.100394718124804</c:v>
                </c:pt>
                <c:pt idx="456">
                  <c:v>95.159619213121076</c:v>
                </c:pt>
                <c:pt idx="457">
                  <c:v>95.093233014941347</c:v>
                </c:pt>
                <c:pt idx="458">
                  <c:v>95.059448468045943</c:v>
                </c:pt>
                <c:pt idx="459">
                  <c:v>95.00170063684142</c:v>
                </c:pt>
                <c:pt idx="460">
                  <c:v>94.877450242395128</c:v>
                </c:pt>
                <c:pt idx="461">
                  <c:v>94.817714829098833</c:v>
                </c:pt>
                <c:pt idx="462">
                  <c:v>94.754383757042092</c:v>
                </c:pt>
                <c:pt idx="463">
                  <c:v>94.676800959374361</c:v>
                </c:pt>
                <c:pt idx="464">
                  <c:v>94.323813042177818</c:v>
                </c:pt>
                <c:pt idx="465">
                  <c:v>93.903503942495689</c:v>
                </c:pt>
                <c:pt idx="466">
                  <c:v>93.558881896736693</c:v>
                </c:pt>
                <c:pt idx="467">
                  <c:v>93.124943913659266</c:v>
                </c:pt>
                <c:pt idx="468">
                  <c:v>92.790919602083903</c:v>
                </c:pt>
                <c:pt idx="469">
                  <c:v>92.381673521876266</c:v>
                </c:pt>
                <c:pt idx="470">
                  <c:v>92.234387743005811</c:v>
                </c:pt>
                <c:pt idx="471">
                  <c:v>92.259124799971886</c:v>
                </c:pt>
                <c:pt idx="472">
                  <c:v>92.333397163219999</c:v>
                </c:pt>
                <c:pt idx="473">
                  <c:v>92.300290129392167</c:v>
                </c:pt>
                <c:pt idx="474">
                  <c:v>92.320371641596907</c:v>
                </c:pt>
                <c:pt idx="475">
                  <c:v>92.333334188339236</c:v>
                </c:pt>
                <c:pt idx="476">
                  <c:v>92.254621177267964</c:v>
                </c:pt>
                <c:pt idx="477">
                  <c:v>92.261811326301142</c:v>
                </c:pt>
                <c:pt idx="478">
                  <c:v>92.198324227300304</c:v>
                </c:pt>
                <c:pt idx="479">
                  <c:v>92.161812094010187</c:v>
                </c:pt>
                <c:pt idx="480">
                  <c:v>92.121765449694323</c:v>
                </c:pt>
                <c:pt idx="481">
                  <c:v>92.151624672976624</c:v>
                </c:pt>
                <c:pt idx="482">
                  <c:v>92.155166232112691</c:v>
                </c:pt>
                <c:pt idx="483">
                  <c:v>92.217618795155985</c:v>
                </c:pt>
                <c:pt idx="484">
                  <c:v>92.42026359516683</c:v>
                </c:pt>
                <c:pt idx="485">
                  <c:v>92.677348920352713</c:v>
                </c:pt>
                <c:pt idx="486">
                  <c:v>92.880128024637372</c:v>
                </c:pt>
                <c:pt idx="487">
                  <c:v>93.150313199361904</c:v>
                </c:pt>
                <c:pt idx="488">
                  <c:v>93.32604320081704</c:v>
                </c:pt>
                <c:pt idx="489">
                  <c:v>93.562327962630349</c:v>
                </c:pt>
                <c:pt idx="490">
                  <c:v>93.648248319294595</c:v>
                </c:pt>
                <c:pt idx="491">
                  <c:v>93.774421470260137</c:v>
                </c:pt>
                <c:pt idx="492">
                  <c:v>93.755558873573122</c:v>
                </c:pt>
                <c:pt idx="493">
                  <c:v>93.734328112037446</c:v>
                </c:pt>
                <c:pt idx="494">
                  <c:v>93.681473980753182</c:v>
                </c:pt>
                <c:pt idx="495">
                  <c:v>93.658998185592083</c:v>
                </c:pt>
                <c:pt idx="496">
                  <c:v>93.762698630357022</c:v>
                </c:pt>
                <c:pt idx="497">
                  <c:v>93.766486986922573</c:v>
                </c:pt>
                <c:pt idx="498">
                  <c:v>93.76243606081924</c:v>
                </c:pt>
                <c:pt idx="499">
                  <c:v>93.665123283708382</c:v>
                </c:pt>
                <c:pt idx="500">
                  <c:v>93.690815520112807</c:v>
                </c:pt>
                <c:pt idx="501">
                  <c:v>93.585579056234053</c:v>
                </c:pt>
                <c:pt idx="502">
                  <c:v>93.513760964059159</c:v>
                </c:pt>
                <c:pt idx="503">
                  <c:v>93.434799210155347</c:v>
                </c:pt>
                <c:pt idx="504">
                  <c:v>93.299547838150403</c:v>
                </c:pt>
                <c:pt idx="505">
                  <c:v>93.075297665789421</c:v>
                </c:pt>
                <c:pt idx="506">
                  <c:v>92.850405218750964</c:v>
                </c:pt>
                <c:pt idx="507">
                  <c:v>92.667583687052556</c:v>
                </c:pt>
                <c:pt idx="508">
                  <c:v>92.560098788433521</c:v>
                </c:pt>
                <c:pt idx="509">
                  <c:v>92.443619415831577</c:v>
                </c:pt>
                <c:pt idx="510">
                  <c:v>92.301899051452182</c:v>
                </c:pt>
                <c:pt idx="511">
                  <c:v>92.129113909606602</c:v>
                </c:pt>
                <c:pt idx="512">
                  <c:v>92.018594148840691</c:v>
                </c:pt>
                <c:pt idx="513">
                  <c:v>91.877697328503189</c:v>
                </c:pt>
                <c:pt idx="514">
                  <c:v>91.705402543881817</c:v>
                </c:pt>
                <c:pt idx="515">
                  <c:v>91.440267924462361</c:v>
                </c:pt>
                <c:pt idx="516">
                  <c:v>91.079170896401806</c:v>
                </c:pt>
                <c:pt idx="517">
                  <c:v>90.814656117498075</c:v>
                </c:pt>
                <c:pt idx="518">
                  <c:v>90.666402649782938</c:v>
                </c:pt>
                <c:pt idx="519">
                  <c:v>90.647262499853923</c:v>
                </c:pt>
                <c:pt idx="520">
                  <c:v>90.492934447349626</c:v>
                </c:pt>
                <c:pt idx="521">
                  <c:v>90.383589995508487</c:v>
                </c:pt>
                <c:pt idx="522">
                  <c:v>90.333531772303232</c:v>
                </c:pt>
                <c:pt idx="523">
                  <c:v>90.292789264819817</c:v>
                </c:pt>
                <c:pt idx="524">
                  <c:v>90.318451157352271</c:v>
                </c:pt>
                <c:pt idx="525">
                  <c:v>90.681454383219958</c:v>
                </c:pt>
                <c:pt idx="526">
                  <c:v>91.115463030659029</c:v>
                </c:pt>
                <c:pt idx="527">
                  <c:v>91.257104898071077</c:v>
                </c:pt>
                <c:pt idx="528">
                  <c:v>91.266015027131829</c:v>
                </c:pt>
                <c:pt idx="529">
                  <c:v>91.433481963843889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7-454F-A161-F91FC235A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8011344"/>
        <c:axId val="1618011824"/>
      </c:lineChart>
      <c:catAx>
        <c:axId val="161801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8011824"/>
        <c:crosses val="autoZero"/>
        <c:auto val="1"/>
        <c:lblAlgn val="ctr"/>
        <c:lblOffset val="100"/>
        <c:noMultiLvlLbl val="0"/>
      </c:catAx>
      <c:valAx>
        <c:axId val="16180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801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'Deutch bank'!$U$2:$U$16</c:f>
              <c:numCache>
                <c:formatCode>General</c:formatCode>
                <c:ptCount val="15"/>
                <c:pt idx="0">
                  <c:v>57.588357588357773</c:v>
                </c:pt>
                <c:pt idx="1">
                  <c:v>59.715639810426758</c:v>
                </c:pt>
                <c:pt idx="2">
                  <c:v>60.740740740740996</c:v>
                </c:pt>
                <c:pt idx="3">
                  <c:v>62.980030721966557</c:v>
                </c:pt>
                <c:pt idx="4">
                  <c:v>64.031971580817412</c:v>
                </c:pt>
                <c:pt idx="5">
                  <c:v>59.78152929493578</c:v>
                </c:pt>
                <c:pt idx="6">
                  <c:v>58.846529814271975</c:v>
                </c:pt>
                <c:pt idx="7">
                  <c:v>66.684182869154256</c:v>
                </c:pt>
                <c:pt idx="8">
                  <c:v>73.08970099667799</c:v>
                </c:pt>
                <c:pt idx="9">
                  <c:v>73.380807053238613</c:v>
                </c:pt>
                <c:pt idx="10">
                  <c:v>78.450327186198919</c:v>
                </c:pt>
                <c:pt idx="11">
                  <c:v>79.63171211695267</c:v>
                </c:pt>
                <c:pt idx="12">
                  <c:v>82.112068965517309</c:v>
                </c:pt>
                <c:pt idx="13">
                  <c:v>83.291976840363887</c:v>
                </c:pt>
                <c:pt idx="14">
                  <c:v>85.556499575191125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8-44AE-A44A-CBCF88E6771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'Deutch bank'!$V$2:$V$16</c:f>
              <c:numCache>
                <c:formatCode>General</c:formatCode>
                <c:ptCount val="15"/>
                <c:pt idx="0">
                  <c:v>86</c:v>
                </c:pt>
                <c:pt idx="1">
                  <c:v>86</c:v>
                </c:pt>
                <c:pt idx="2">
                  <c:v>86</c:v>
                </c:pt>
                <c:pt idx="3">
                  <c:v>86</c:v>
                </c:pt>
                <c:pt idx="4">
                  <c:v>86</c:v>
                </c:pt>
                <c:pt idx="5">
                  <c:v>86</c:v>
                </c:pt>
                <c:pt idx="6">
                  <c:v>86</c:v>
                </c:pt>
                <c:pt idx="7">
                  <c:v>86</c:v>
                </c:pt>
                <c:pt idx="8">
                  <c:v>86</c:v>
                </c:pt>
                <c:pt idx="9">
                  <c:v>86</c:v>
                </c:pt>
                <c:pt idx="10">
                  <c:v>86</c:v>
                </c:pt>
                <c:pt idx="11">
                  <c:v>86</c:v>
                </c:pt>
                <c:pt idx="12">
                  <c:v>86</c:v>
                </c:pt>
                <c:pt idx="13">
                  <c:v>86</c:v>
                </c:pt>
                <c:pt idx="14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8-44AE-A44A-CBCF88E6771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'Deutch bank'!$W$2:$W$16</c:f>
              <c:numCache>
                <c:formatCode>General</c:formatCode>
                <c:ptCount val="15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  <c:pt idx="8">
                  <c:v>57</c:v>
                </c:pt>
                <c:pt idx="9">
                  <c:v>57</c:v>
                </c:pt>
                <c:pt idx="10">
                  <c:v>57</c:v>
                </c:pt>
                <c:pt idx="11">
                  <c:v>57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18-44AE-A44A-CBCF88E67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707632"/>
        <c:axId val="652703312"/>
      </c:lineChart>
      <c:catAx>
        <c:axId val="65270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2703312"/>
        <c:crosses val="autoZero"/>
        <c:auto val="1"/>
        <c:lblAlgn val="ctr"/>
        <c:lblOffset val="100"/>
        <c:noMultiLvlLbl val="0"/>
      </c:catAx>
      <c:valAx>
        <c:axId val="65270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270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'Deutch bank'!$AB$1</c:f>
              <c:strCache>
                <c:ptCount val="1"/>
                <c:pt idx="0">
                  <c:v>Stochastique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'Deutch bank'!$AB$2:$AB$14</c:f>
              <c:numCache>
                <c:formatCode>General</c:formatCode>
                <c:ptCount val="13"/>
                <c:pt idx="0">
                  <c:v>82.608695652174319</c:v>
                </c:pt>
                <c:pt idx="1">
                  <c:v>88.826815642458357</c:v>
                </c:pt>
                <c:pt idx="2">
                  <c:v>0</c:v>
                </c:pt>
                <c:pt idx="3">
                  <c:v>23.57723577235744</c:v>
                </c:pt>
                <c:pt idx="4">
                  <c:v>91.131498470948031</c:v>
                </c:pt>
                <c:pt idx="5">
                  <c:v>31.122448979591848</c:v>
                </c:pt>
                <c:pt idx="6">
                  <c:v>38.493723849372024</c:v>
                </c:pt>
                <c:pt idx="7">
                  <c:v>41.958041958042365</c:v>
                </c:pt>
                <c:pt idx="8">
                  <c:v>38.423645320197402</c:v>
                </c:pt>
                <c:pt idx="9">
                  <c:v>75.187969924812037</c:v>
                </c:pt>
                <c:pt idx="10">
                  <c:v>73.056994818652996</c:v>
                </c:pt>
                <c:pt idx="11">
                  <c:v>79.017857142856897</c:v>
                </c:pt>
                <c:pt idx="12">
                  <c:v>51.704545454545013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F5-45AE-AB3C-069DD9169AB4}"/>
            </c:ext>
          </c:extLst>
        </c:ser>
        <c:ser>
          <c:idx val="1"/>
          <c:order val="1"/>
          <c:tx>
            <c:strRef>
              <c:f>'Deutch bank'!$AC$1</c:f>
              <c:strCache>
                <c:ptCount val="1"/>
                <c:pt idx="0">
                  <c:v>Moyenne stochastique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'Deutch bank'!$AC$2:$AC$14</c:f>
              <c:numCache>
                <c:formatCode>General</c:formatCode>
                <c:ptCount val="13"/>
                <c:pt idx="0">
                  <c:v>54.105041721222847</c:v>
                </c:pt>
                <c:pt idx="1">
                  <c:v>51.912452957303501</c:v>
                </c:pt>
                <c:pt idx="2">
                  <c:v>48.836256066873922</c:v>
                </c:pt>
                <c:pt idx="3">
                  <c:v>53.275915709317012</c:v>
                </c:pt>
                <c:pt idx="4">
                  <c:v>56.245783703012968</c:v>
                </c:pt>
                <c:pt idx="5">
                  <c:v>52.3695931732424</c:v>
                </c:pt>
                <c:pt idx="6">
                  <c:v>55.025486197448721</c:v>
                </c:pt>
                <c:pt idx="7">
                  <c:v>57.387166532888251</c:v>
                </c:pt>
                <c:pt idx="8">
                  <c:v>59.958687295362559</c:v>
                </c:pt>
                <c:pt idx="9">
                  <c:v>64.265695690395603</c:v>
                </c:pt>
                <c:pt idx="10">
                  <c:v>61.535127131791484</c:v>
                </c:pt>
                <c:pt idx="11">
                  <c:v>57.694504569504318</c:v>
                </c:pt>
                <c:pt idx="12">
                  <c:v>47.032828282828021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F5-45AE-AB3C-069DD9169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5670832"/>
        <c:axId val="1555678992"/>
      </c:lineChart>
      <c:catAx>
        <c:axId val="155567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5678992"/>
        <c:crosses val="autoZero"/>
        <c:auto val="1"/>
        <c:lblAlgn val="ctr"/>
        <c:lblOffset val="100"/>
        <c:noMultiLvlLbl val="0"/>
      </c:catAx>
      <c:valAx>
        <c:axId val="155567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567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Prix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Derniers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'Deutch bank'!$B$2:$B$531</c:f>
              <c:numCache>
                <c:formatCode>General</c:formatCode>
                <c:ptCount val="530"/>
                <c:pt idx="0">
                  <c:v>19.09</c:v>
                </c:pt>
                <c:pt idx="1">
                  <c:v>18.792000000000002</c:v>
                </c:pt>
                <c:pt idx="2">
                  <c:v>18.507999999999999</c:v>
                </c:pt>
                <c:pt idx="3">
                  <c:v>18.591999999999999</c:v>
                </c:pt>
                <c:pt idx="4">
                  <c:v>18.681999999999999</c:v>
                </c:pt>
                <c:pt idx="5">
                  <c:v>18.074000000000002</c:v>
                </c:pt>
                <c:pt idx="6">
                  <c:v>18.22</c:v>
                </c:pt>
                <c:pt idx="7">
                  <c:v>18.344000000000001</c:v>
                </c:pt>
                <c:pt idx="8">
                  <c:v>18.940000000000001</c:v>
                </c:pt>
                <c:pt idx="9">
                  <c:v>18.896000000000001</c:v>
                </c:pt>
                <c:pt idx="10">
                  <c:v>19.524000000000001</c:v>
                </c:pt>
                <c:pt idx="11">
                  <c:v>19.25</c:v>
                </c:pt>
                <c:pt idx="12">
                  <c:v>18.956</c:v>
                </c:pt>
                <c:pt idx="13">
                  <c:v>19.05</c:v>
                </c:pt>
                <c:pt idx="14">
                  <c:v>19.05</c:v>
                </c:pt>
                <c:pt idx="15">
                  <c:v>18.77</c:v>
                </c:pt>
                <c:pt idx="16">
                  <c:v>18.742000000000001</c:v>
                </c:pt>
                <c:pt idx="17">
                  <c:v>18.806000000000001</c:v>
                </c:pt>
                <c:pt idx="18">
                  <c:v>18.515999999999998</c:v>
                </c:pt>
                <c:pt idx="19">
                  <c:v>18.2</c:v>
                </c:pt>
                <c:pt idx="20">
                  <c:v>18.175999999999998</c:v>
                </c:pt>
                <c:pt idx="21">
                  <c:v>17.597999999999999</c:v>
                </c:pt>
                <c:pt idx="22">
                  <c:v>17.027999999999999</c:v>
                </c:pt>
                <c:pt idx="23">
                  <c:v>17.096</c:v>
                </c:pt>
                <c:pt idx="24">
                  <c:v>17.135999999999999</c:v>
                </c:pt>
                <c:pt idx="25">
                  <c:v>16.821999999999999</c:v>
                </c:pt>
                <c:pt idx="26">
                  <c:v>16.867999999999999</c:v>
                </c:pt>
                <c:pt idx="27">
                  <c:v>17.024000000000001</c:v>
                </c:pt>
                <c:pt idx="28">
                  <c:v>16.968</c:v>
                </c:pt>
                <c:pt idx="29">
                  <c:v>16.808</c:v>
                </c:pt>
                <c:pt idx="30">
                  <c:v>16.64</c:v>
                </c:pt>
                <c:pt idx="31">
                  <c:v>16.532</c:v>
                </c:pt>
                <c:pt idx="32">
                  <c:v>16.308</c:v>
                </c:pt>
                <c:pt idx="33">
                  <c:v>16.25</c:v>
                </c:pt>
                <c:pt idx="34">
                  <c:v>16.588000000000001</c:v>
                </c:pt>
                <c:pt idx="35">
                  <c:v>16.911999999999999</c:v>
                </c:pt>
                <c:pt idx="36">
                  <c:v>16.79</c:v>
                </c:pt>
                <c:pt idx="37">
                  <c:v>17.148</c:v>
                </c:pt>
                <c:pt idx="38">
                  <c:v>17.064</c:v>
                </c:pt>
                <c:pt idx="39">
                  <c:v>16.952000000000002</c:v>
                </c:pt>
                <c:pt idx="40">
                  <c:v>17.006</c:v>
                </c:pt>
                <c:pt idx="41">
                  <c:v>17.04</c:v>
                </c:pt>
                <c:pt idx="42">
                  <c:v>16.847999999999999</c:v>
                </c:pt>
                <c:pt idx="43">
                  <c:v>16.853999999999999</c:v>
                </c:pt>
                <c:pt idx="44">
                  <c:v>16.966000000000001</c:v>
                </c:pt>
                <c:pt idx="45">
                  <c:v>16.686</c:v>
                </c:pt>
                <c:pt idx="46">
                  <c:v>16.73</c:v>
                </c:pt>
                <c:pt idx="47">
                  <c:v>16.277999999999999</c:v>
                </c:pt>
                <c:pt idx="48">
                  <c:v>16.074000000000002</c:v>
                </c:pt>
                <c:pt idx="49">
                  <c:v>15.754</c:v>
                </c:pt>
                <c:pt idx="50">
                  <c:v>15.454000000000001</c:v>
                </c:pt>
                <c:pt idx="51">
                  <c:v>15.552</c:v>
                </c:pt>
                <c:pt idx="52">
                  <c:v>15.708</c:v>
                </c:pt>
                <c:pt idx="53">
                  <c:v>15.552</c:v>
                </c:pt>
                <c:pt idx="54">
                  <c:v>16.010000000000002</c:v>
                </c:pt>
                <c:pt idx="55">
                  <c:v>15.898</c:v>
                </c:pt>
                <c:pt idx="56">
                  <c:v>15.896000000000001</c:v>
                </c:pt>
                <c:pt idx="57">
                  <c:v>16.184000000000001</c:v>
                </c:pt>
                <c:pt idx="58">
                  <c:v>16.059999999999999</c:v>
                </c:pt>
                <c:pt idx="59">
                  <c:v>15.907999999999999</c:v>
                </c:pt>
                <c:pt idx="60">
                  <c:v>15.58</c:v>
                </c:pt>
                <c:pt idx="61">
                  <c:v>15.814</c:v>
                </c:pt>
                <c:pt idx="62">
                  <c:v>16.138000000000002</c:v>
                </c:pt>
                <c:pt idx="63">
                  <c:v>15.522</c:v>
                </c:pt>
                <c:pt idx="64">
                  <c:v>15.986000000000001</c:v>
                </c:pt>
                <c:pt idx="65">
                  <c:v>16.166</c:v>
                </c:pt>
                <c:pt idx="66">
                  <c:v>15.916</c:v>
                </c:pt>
                <c:pt idx="67">
                  <c:v>15.766</c:v>
                </c:pt>
                <c:pt idx="68">
                  <c:v>15.816000000000001</c:v>
                </c:pt>
                <c:pt idx="69">
                  <c:v>15.624000000000001</c:v>
                </c:pt>
                <c:pt idx="70">
                  <c:v>15.5</c:v>
                </c:pt>
                <c:pt idx="71">
                  <c:v>15.726000000000001</c:v>
                </c:pt>
                <c:pt idx="72">
                  <c:v>15.85</c:v>
                </c:pt>
                <c:pt idx="73">
                  <c:v>15.676</c:v>
                </c:pt>
                <c:pt idx="74">
                  <c:v>15.788</c:v>
                </c:pt>
                <c:pt idx="75">
                  <c:v>16.175999999999998</c:v>
                </c:pt>
                <c:pt idx="76">
                  <c:v>16.314</c:v>
                </c:pt>
                <c:pt idx="77">
                  <c:v>16.116</c:v>
                </c:pt>
                <c:pt idx="78">
                  <c:v>16.207999999999998</c:v>
                </c:pt>
                <c:pt idx="79">
                  <c:v>16.154</c:v>
                </c:pt>
                <c:pt idx="80">
                  <c:v>16.082000000000001</c:v>
                </c:pt>
                <c:pt idx="81">
                  <c:v>15.916</c:v>
                </c:pt>
                <c:pt idx="82">
                  <c:v>16.335999999999999</c:v>
                </c:pt>
                <c:pt idx="83">
                  <c:v>16.257999999999999</c:v>
                </c:pt>
                <c:pt idx="84">
                  <c:v>16.096</c:v>
                </c:pt>
                <c:pt idx="85">
                  <c:v>16.004000000000001</c:v>
                </c:pt>
                <c:pt idx="86">
                  <c:v>15.811999999999999</c:v>
                </c:pt>
                <c:pt idx="87">
                  <c:v>15.965999999999999</c:v>
                </c:pt>
                <c:pt idx="88">
                  <c:v>15.776</c:v>
                </c:pt>
                <c:pt idx="89">
                  <c:v>15.36</c:v>
                </c:pt>
                <c:pt idx="90">
                  <c:v>15.407999999999999</c:v>
                </c:pt>
                <c:pt idx="91">
                  <c:v>15.346</c:v>
                </c:pt>
                <c:pt idx="92">
                  <c:v>15.497999999999999</c:v>
                </c:pt>
                <c:pt idx="93">
                  <c:v>15.554</c:v>
                </c:pt>
                <c:pt idx="94">
                  <c:v>15.492000000000001</c:v>
                </c:pt>
                <c:pt idx="95">
                  <c:v>15.218</c:v>
                </c:pt>
                <c:pt idx="96">
                  <c:v>15.262</c:v>
                </c:pt>
                <c:pt idx="97">
                  <c:v>15.194000000000001</c:v>
                </c:pt>
                <c:pt idx="98">
                  <c:v>15.167999999999999</c:v>
                </c:pt>
                <c:pt idx="99">
                  <c:v>15.222</c:v>
                </c:pt>
                <c:pt idx="100">
                  <c:v>14.938000000000001</c:v>
                </c:pt>
                <c:pt idx="101">
                  <c:v>15</c:v>
                </c:pt>
                <c:pt idx="102">
                  <c:v>14.598000000000001</c:v>
                </c:pt>
                <c:pt idx="103">
                  <c:v>14.628</c:v>
                </c:pt>
                <c:pt idx="104">
                  <c:v>14.28</c:v>
                </c:pt>
                <c:pt idx="105">
                  <c:v>14.034000000000001</c:v>
                </c:pt>
                <c:pt idx="106">
                  <c:v>14.292</c:v>
                </c:pt>
                <c:pt idx="107">
                  <c:v>15.03</c:v>
                </c:pt>
                <c:pt idx="108">
                  <c:v>14.667999999999999</c:v>
                </c:pt>
                <c:pt idx="109">
                  <c:v>14.948</c:v>
                </c:pt>
                <c:pt idx="110">
                  <c:v>14.48</c:v>
                </c:pt>
                <c:pt idx="111">
                  <c:v>14.516</c:v>
                </c:pt>
                <c:pt idx="112">
                  <c:v>14.754</c:v>
                </c:pt>
                <c:pt idx="113">
                  <c:v>14.747999999999999</c:v>
                </c:pt>
                <c:pt idx="114">
                  <c:v>14.666</c:v>
                </c:pt>
                <c:pt idx="115">
                  <c:v>14.68</c:v>
                </c:pt>
                <c:pt idx="116">
                  <c:v>14.698</c:v>
                </c:pt>
                <c:pt idx="117">
                  <c:v>14.606</c:v>
                </c:pt>
                <c:pt idx="118">
                  <c:v>14.7</c:v>
                </c:pt>
                <c:pt idx="119">
                  <c:v>14.571999999999999</c:v>
                </c:pt>
                <c:pt idx="120">
                  <c:v>14.007999999999999</c:v>
                </c:pt>
                <c:pt idx="121">
                  <c:v>13.917999999999999</c:v>
                </c:pt>
                <c:pt idx="122">
                  <c:v>14.148</c:v>
                </c:pt>
                <c:pt idx="123">
                  <c:v>14.04</c:v>
                </c:pt>
                <c:pt idx="124">
                  <c:v>13.81</c:v>
                </c:pt>
                <c:pt idx="125">
                  <c:v>13.38</c:v>
                </c:pt>
                <c:pt idx="126">
                  <c:v>13.3</c:v>
                </c:pt>
                <c:pt idx="127">
                  <c:v>13.308</c:v>
                </c:pt>
                <c:pt idx="128">
                  <c:v>13.292</c:v>
                </c:pt>
                <c:pt idx="129">
                  <c:v>13.09</c:v>
                </c:pt>
                <c:pt idx="130">
                  <c:v>13.038</c:v>
                </c:pt>
                <c:pt idx="131">
                  <c:v>12.837999999999999</c:v>
                </c:pt>
                <c:pt idx="132">
                  <c:v>12.836</c:v>
                </c:pt>
                <c:pt idx="133">
                  <c:v>13.173999999999999</c:v>
                </c:pt>
                <c:pt idx="134">
                  <c:v>13.994</c:v>
                </c:pt>
                <c:pt idx="135">
                  <c:v>14.436</c:v>
                </c:pt>
                <c:pt idx="136">
                  <c:v>14.614000000000001</c:v>
                </c:pt>
                <c:pt idx="137">
                  <c:v>14.32</c:v>
                </c:pt>
                <c:pt idx="138">
                  <c:v>14.417999999999999</c:v>
                </c:pt>
                <c:pt idx="139">
                  <c:v>14.422000000000001</c:v>
                </c:pt>
                <c:pt idx="140">
                  <c:v>14.378</c:v>
                </c:pt>
                <c:pt idx="141">
                  <c:v>15.682</c:v>
                </c:pt>
                <c:pt idx="142">
                  <c:v>15.47</c:v>
                </c:pt>
                <c:pt idx="143">
                  <c:v>15.01</c:v>
                </c:pt>
                <c:pt idx="144">
                  <c:v>15.294</c:v>
                </c:pt>
                <c:pt idx="145">
                  <c:v>15.224</c:v>
                </c:pt>
                <c:pt idx="146">
                  <c:v>15.11</c:v>
                </c:pt>
                <c:pt idx="147">
                  <c:v>15.254</c:v>
                </c:pt>
                <c:pt idx="148">
                  <c:v>15.304</c:v>
                </c:pt>
                <c:pt idx="149">
                  <c:v>15.316000000000001</c:v>
                </c:pt>
                <c:pt idx="150">
                  <c:v>15.43</c:v>
                </c:pt>
                <c:pt idx="151">
                  <c:v>15.398</c:v>
                </c:pt>
                <c:pt idx="152">
                  <c:v>15.472</c:v>
                </c:pt>
                <c:pt idx="153">
                  <c:v>15.664</c:v>
                </c:pt>
                <c:pt idx="154">
                  <c:v>15.87</c:v>
                </c:pt>
                <c:pt idx="155">
                  <c:v>15.744</c:v>
                </c:pt>
                <c:pt idx="156">
                  <c:v>15.22</c:v>
                </c:pt>
                <c:pt idx="157">
                  <c:v>15.406000000000001</c:v>
                </c:pt>
                <c:pt idx="158">
                  <c:v>14.907999999999999</c:v>
                </c:pt>
                <c:pt idx="159">
                  <c:v>14.784000000000001</c:v>
                </c:pt>
                <c:pt idx="160">
                  <c:v>14.667999999999999</c:v>
                </c:pt>
                <c:pt idx="161">
                  <c:v>14.667999999999999</c:v>
                </c:pt>
                <c:pt idx="162">
                  <c:v>14.842000000000001</c:v>
                </c:pt>
                <c:pt idx="163">
                  <c:v>14.46</c:v>
                </c:pt>
                <c:pt idx="164">
                  <c:v>14.742000000000001</c:v>
                </c:pt>
                <c:pt idx="165">
                  <c:v>14.71</c:v>
                </c:pt>
                <c:pt idx="166">
                  <c:v>14.664</c:v>
                </c:pt>
                <c:pt idx="167">
                  <c:v>14.646000000000001</c:v>
                </c:pt>
                <c:pt idx="168">
                  <c:v>14.414</c:v>
                </c:pt>
                <c:pt idx="169">
                  <c:v>14.526</c:v>
                </c:pt>
                <c:pt idx="170">
                  <c:v>14.96</c:v>
                </c:pt>
                <c:pt idx="171">
                  <c:v>14.795999999999999</c:v>
                </c:pt>
                <c:pt idx="172">
                  <c:v>15.28</c:v>
                </c:pt>
                <c:pt idx="173">
                  <c:v>15.295999999999999</c:v>
                </c:pt>
                <c:pt idx="174">
                  <c:v>15.263999999999999</c:v>
                </c:pt>
                <c:pt idx="175">
                  <c:v>15.01</c:v>
                </c:pt>
                <c:pt idx="176">
                  <c:v>15.026</c:v>
                </c:pt>
                <c:pt idx="177">
                  <c:v>15.362</c:v>
                </c:pt>
                <c:pt idx="178">
                  <c:v>15.226000000000001</c:v>
                </c:pt>
                <c:pt idx="179">
                  <c:v>15.43</c:v>
                </c:pt>
                <c:pt idx="180">
                  <c:v>15.336</c:v>
                </c:pt>
                <c:pt idx="181">
                  <c:v>15.666</c:v>
                </c:pt>
                <c:pt idx="182">
                  <c:v>15.71</c:v>
                </c:pt>
                <c:pt idx="183">
                  <c:v>15.724</c:v>
                </c:pt>
                <c:pt idx="184">
                  <c:v>15.545999999999999</c:v>
                </c:pt>
                <c:pt idx="185">
                  <c:v>15.502000000000001</c:v>
                </c:pt>
                <c:pt idx="186">
                  <c:v>15.552</c:v>
                </c:pt>
                <c:pt idx="187">
                  <c:v>15.686</c:v>
                </c:pt>
                <c:pt idx="188">
                  <c:v>15.635999999999999</c:v>
                </c:pt>
                <c:pt idx="189">
                  <c:v>15.856</c:v>
                </c:pt>
                <c:pt idx="190">
                  <c:v>16.056000000000001</c:v>
                </c:pt>
                <c:pt idx="191">
                  <c:v>16.03</c:v>
                </c:pt>
                <c:pt idx="192">
                  <c:v>15.802</c:v>
                </c:pt>
                <c:pt idx="193">
                  <c:v>15.878</c:v>
                </c:pt>
                <c:pt idx="194">
                  <c:v>15.9</c:v>
                </c:pt>
                <c:pt idx="195">
                  <c:v>16</c:v>
                </c:pt>
                <c:pt idx="196">
                  <c:v>16.044</c:v>
                </c:pt>
                <c:pt idx="197">
                  <c:v>15.606</c:v>
                </c:pt>
                <c:pt idx="198">
                  <c:v>15.257999999999999</c:v>
                </c:pt>
                <c:pt idx="199">
                  <c:v>15.04</c:v>
                </c:pt>
                <c:pt idx="200">
                  <c:v>15.01</c:v>
                </c:pt>
                <c:pt idx="201">
                  <c:v>15.103999999999999</c:v>
                </c:pt>
                <c:pt idx="202">
                  <c:v>16.532</c:v>
                </c:pt>
                <c:pt idx="203">
                  <c:v>16.66</c:v>
                </c:pt>
                <c:pt idx="204">
                  <c:v>15.4</c:v>
                </c:pt>
                <c:pt idx="205">
                  <c:v>15.396000000000001</c:v>
                </c:pt>
                <c:pt idx="206">
                  <c:v>15.16</c:v>
                </c:pt>
                <c:pt idx="207">
                  <c:v>14.954000000000001</c:v>
                </c:pt>
                <c:pt idx="208">
                  <c:v>14.8</c:v>
                </c:pt>
                <c:pt idx="209">
                  <c:v>14.504</c:v>
                </c:pt>
                <c:pt idx="210">
                  <c:v>14.438000000000001</c:v>
                </c:pt>
                <c:pt idx="211">
                  <c:v>14.71</c:v>
                </c:pt>
                <c:pt idx="212">
                  <c:v>14.788</c:v>
                </c:pt>
                <c:pt idx="213">
                  <c:v>14.586</c:v>
                </c:pt>
                <c:pt idx="214">
                  <c:v>14.956</c:v>
                </c:pt>
                <c:pt idx="215">
                  <c:v>14.603999999999999</c:v>
                </c:pt>
                <c:pt idx="216">
                  <c:v>14.894</c:v>
                </c:pt>
                <c:pt idx="217">
                  <c:v>14.762</c:v>
                </c:pt>
                <c:pt idx="218">
                  <c:v>14.972</c:v>
                </c:pt>
                <c:pt idx="219">
                  <c:v>14.872</c:v>
                </c:pt>
                <c:pt idx="220">
                  <c:v>14.568</c:v>
                </c:pt>
                <c:pt idx="221">
                  <c:v>14.582000000000001</c:v>
                </c:pt>
                <c:pt idx="222">
                  <c:v>14.612</c:v>
                </c:pt>
                <c:pt idx="223">
                  <c:v>14.23</c:v>
                </c:pt>
                <c:pt idx="224">
                  <c:v>14.146000000000001</c:v>
                </c:pt>
                <c:pt idx="225">
                  <c:v>14.178000000000001</c:v>
                </c:pt>
                <c:pt idx="226">
                  <c:v>13.988</c:v>
                </c:pt>
                <c:pt idx="227">
                  <c:v>13.638</c:v>
                </c:pt>
                <c:pt idx="228">
                  <c:v>13.736000000000001</c:v>
                </c:pt>
                <c:pt idx="229">
                  <c:v>13.506</c:v>
                </c:pt>
                <c:pt idx="230">
                  <c:v>13.628</c:v>
                </c:pt>
                <c:pt idx="231">
                  <c:v>13.54</c:v>
                </c:pt>
                <c:pt idx="232">
                  <c:v>13.584</c:v>
                </c:pt>
                <c:pt idx="233">
                  <c:v>13.616</c:v>
                </c:pt>
                <c:pt idx="234">
                  <c:v>13.01</c:v>
                </c:pt>
                <c:pt idx="235">
                  <c:v>12.804</c:v>
                </c:pt>
                <c:pt idx="236">
                  <c:v>12.712</c:v>
                </c:pt>
                <c:pt idx="237">
                  <c:v>12.561999999999999</c:v>
                </c:pt>
                <c:pt idx="238">
                  <c:v>12.632</c:v>
                </c:pt>
                <c:pt idx="239">
                  <c:v>12.596</c:v>
                </c:pt>
                <c:pt idx="240">
                  <c:v>12.566000000000001</c:v>
                </c:pt>
                <c:pt idx="241">
                  <c:v>12.362</c:v>
                </c:pt>
                <c:pt idx="242">
                  <c:v>12.396000000000001</c:v>
                </c:pt>
                <c:pt idx="243">
                  <c:v>12.384</c:v>
                </c:pt>
                <c:pt idx="244">
                  <c:v>12.302</c:v>
                </c:pt>
                <c:pt idx="245">
                  <c:v>12.39</c:v>
                </c:pt>
                <c:pt idx="246">
                  <c:v>12.252000000000001</c:v>
                </c:pt>
                <c:pt idx="247">
                  <c:v>11.994</c:v>
                </c:pt>
                <c:pt idx="248">
                  <c:v>11.954000000000001</c:v>
                </c:pt>
                <c:pt idx="249">
                  <c:v>11.996</c:v>
                </c:pt>
                <c:pt idx="250">
                  <c:v>11.981999999999999</c:v>
                </c:pt>
                <c:pt idx="251">
                  <c:v>12.012</c:v>
                </c:pt>
                <c:pt idx="252">
                  <c:v>11.93</c:v>
                </c:pt>
                <c:pt idx="253">
                  <c:v>11.875999999999999</c:v>
                </c:pt>
                <c:pt idx="254">
                  <c:v>11.874000000000001</c:v>
                </c:pt>
                <c:pt idx="255">
                  <c:v>11.6</c:v>
                </c:pt>
                <c:pt idx="256">
                  <c:v>11.614000000000001</c:v>
                </c:pt>
                <c:pt idx="257">
                  <c:v>11.602</c:v>
                </c:pt>
                <c:pt idx="258">
                  <c:v>12.288</c:v>
                </c:pt>
                <c:pt idx="259">
                  <c:v>12.474</c:v>
                </c:pt>
                <c:pt idx="260">
                  <c:v>12.826000000000001</c:v>
                </c:pt>
                <c:pt idx="261">
                  <c:v>12.39</c:v>
                </c:pt>
                <c:pt idx="262">
                  <c:v>12.034000000000001</c:v>
                </c:pt>
                <c:pt idx="263">
                  <c:v>12.1</c:v>
                </c:pt>
                <c:pt idx="264">
                  <c:v>11.976000000000001</c:v>
                </c:pt>
                <c:pt idx="265">
                  <c:v>12.08</c:v>
                </c:pt>
                <c:pt idx="266">
                  <c:v>12.08</c:v>
                </c:pt>
                <c:pt idx="267">
                  <c:v>12.164</c:v>
                </c:pt>
                <c:pt idx="268">
                  <c:v>11.988</c:v>
                </c:pt>
                <c:pt idx="269">
                  <c:v>11.94</c:v>
                </c:pt>
                <c:pt idx="270">
                  <c:v>11.811999999999999</c:v>
                </c:pt>
                <c:pt idx="271">
                  <c:v>11.91</c:v>
                </c:pt>
                <c:pt idx="272">
                  <c:v>11.827999999999999</c:v>
                </c:pt>
                <c:pt idx="273">
                  <c:v>11.875999999999999</c:v>
                </c:pt>
                <c:pt idx="274">
                  <c:v>11.938000000000001</c:v>
                </c:pt>
                <c:pt idx="275">
                  <c:v>12.05</c:v>
                </c:pt>
                <c:pt idx="276">
                  <c:v>12.2</c:v>
                </c:pt>
                <c:pt idx="277">
                  <c:v>12.75</c:v>
                </c:pt>
                <c:pt idx="278">
                  <c:v>12.7</c:v>
                </c:pt>
                <c:pt idx="279">
                  <c:v>12.712</c:v>
                </c:pt>
                <c:pt idx="280">
                  <c:v>12.568</c:v>
                </c:pt>
                <c:pt idx="281">
                  <c:v>12.52</c:v>
                </c:pt>
                <c:pt idx="282">
                  <c:v>12.25</c:v>
                </c:pt>
                <c:pt idx="283">
                  <c:v>12.481999999999999</c:v>
                </c:pt>
                <c:pt idx="284">
                  <c:v>12.364000000000001</c:v>
                </c:pt>
                <c:pt idx="285">
                  <c:v>12.31</c:v>
                </c:pt>
                <c:pt idx="286">
                  <c:v>12.4</c:v>
                </c:pt>
                <c:pt idx="287">
                  <c:v>12.38</c:v>
                </c:pt>
                <c:pt idx="288">
                  <c:v>12.284000000000001</c:v>
                </c:pt>
                <c:pt idx="289">
                  <c:v>12.295999999999999</c:v>
                </c:pt>
                <c:pt idx="290">
                  <c:v>12.042</c:v>
                </c:pt>
                <c:pt idx="291">
                  <c:v>11.988</c:v>
                </c:pt>
                <c:pt idx="292">
                  <c:v>12.1</c:v>
                </c:pt>
                <c:pt idx="293">
                  <c:v>11.97</c:v>
                </c:pt>
                <c:pt idx="294">
                  <c:v>11.834</c:v>
                </c:pt>
                <c:pt idx="295">
                  <c:v>11.93</c:v>
                </c:pt>
                <c:pt idx="296">
                  <c:v>11.901999999999999</c:v>
                </c:pt>
                <c:pt idx="297">
                  <c:v>11.824</c:v>
                </c:pt>
                <c:pt idx="298">
                  <c:v>11.566000000000001</c:v>
                </c:pt>
                <c:pt idx="299">
                  <c:v>11.67</c:v>
                </c:pt>
                <c:pt idx="300">
                  <c:v>11.57</c:v>
                </c:pt>
                <c:pt idx="301">
                  <c:v>11.53</c:v>
                </c:pt>
                <c:pt idx="302">
                  <c:v>11.52</c:v>
                </c:pt>
                <c:pt idx="303">
                  <c:v>11.426</c:v>
                </c:pt>
                <c:pt idx="304">
                  <c:v>11.272</c:v>
                </c:pt>
                <c:pt idx="305">
                  <c:v>11.09</c:v>
                </c:pt>
                <c:pt idx="306">
                  <c:v>11.052</c:v>
                </c:pt>
                <c:pt idx="307">
                  <c:v>11.102</c:v>
                </c:pt>
                <c:pt idx="308">
                  <c:v>11.114000000000001</c:v>
                </c:pt>
                <c:pt idx="309">
                  <c:v>11.116</c:v>
                </c:pt>
                <c:pt idx="310">
                  <c:v>11.19</c:v>
                </c:pt>
                <c:pt idx="311">
                  <c:v>11.288</c:v>
                </c:pt>
                <c:pt idx="312">
                  <c:v>11.172000000000001</c:v>
                </c:pt>
                <c:pt idx="313">
                  <c:v>10.885999999999999</c:v>
                </c:pt>
                <c:pt idx="314">
                  <c:v>10.92</c:v>
                </c:pt>
                <c:pt idx="315">
                  <c:v>10.724</c:v>
                </c:pt>
                <c:pt idx="316">
                  <c:v>10.606</c:v>
                </c:pt>
                <c:pt idx="317">
                  <c:v>10.496</c:v>
                </c:pt>
                <c:pt idx="318">
                  <c:v>10.544</c:v>
                </c:pt>
                <c:pt idx="319">
                  <c:v>10.536</c:v>
                </c:pt>
                <c:pt idx="320">
                  <c:v>10.523999999999999</c:v>
                </c:pt>
                <c:pt idx="321">
                  <c:v>10.625999999999999</c:v>
                </c:pt>
                <c:pt idx="322">
                  <c:v>10.66</c:v>
                </c:pt>
                <c:pt idx="323">
                  <c:v>10.612</c:v>
                </c:pt>
                <c:pt idx="324">
                  <c:v>10.462</c:v>
                </c:pt>
                <c:pt idx="325">
                  <c:v>10.356</c:v>
                </c:pt>
                <c:pt idx="326">
                  <c:v>10.407999999999999</c:v>
                </c:pt>
                <c:pt idx="327">
                  <c:v>10.406000000000001</c:v>
                </c:pt>
                <c:pt idx="328">
                  <c:v>10.38</c:v>
                </c:pt>
                <c:pt idx="329">
                  <c:v>10.278</c:v>
                </c:pt>
                <c:pt idx="330">
                  <c:v>9.5009999999999994</c:v>
                </c:pt>
                <c:pt idx="331">
                  <c:v>9.6140000000000008</c:v>
                </c:pt>
                <c:pt idx="332">
                  <c:v>9.5280000000000005</c:v>
                </c:pt>
                <c:pt idx="333">
                  <c:v>9.7490000000000006</c:v>
                </c:pt>
                <c:pt idx="334">
                  <c:v>9.8079999999999998</c:v>
                </c:pt>
                <c:pt idx="335">
                  <c:v>10.071999999999999</c:v>
                </c:pt>
                <c:pt idx="336">
                  <c:v>10.132</c:v>
                </c:pt>
                <c:pt idx="337">
                  <c:v>9.9600000000000009</c:v>
                </c:pt>
                <c:pt idx="338">
                  <c:v>10.11</c:v>
                </c:pt>
                <c:pt idx="339">
                  <c:v>10.164</c:v>
                </c:pt>
                <c:pt idx="340">
                  <c:v>10.220000000000001</c:v>
                </c:pt>
                <c:pt idx="341">
                  <c:v>9.9380000000000006</c:v>
                </c:pt>
                <c:pt idx="342">
                  <c:v>10.071999999999999</c:v>
                </c:pt>
                <c:pt idx="343">
                  <c:v>9.9489999999999998</c:v>
                </c:pt>
                <c:pt idx="344">
                  <c:v>9.9190000000000005</c:v>
                </c:pt>
                <c:pt idx="345">
                  <c:v>9.9309999999999992</c:v>
                </c:pt>
                <c:pt idx="346">
                  <c:v>10.116</c:v>
                </c:pt>
                <c:pt idx="347">
                  <c:v>10.45</c:v>
                </c:pt>
                <c:pt idx="348">
                  <c:v>10.382</c:v>
                </c:pt>
                <c:pt idx="349">
                  <c:v>10.342000000000001</c:v>
                </c:pt>
                <c:pt idx="350">
                  <c:v>10.098000000000001</c:v>
                </c:pt>
                <c:pt idx="351">
                  <c:v>10.044</c:v>
                </c:pt>
                <c:pt idx="352">
                  <c:v>10.112</c:v>
                </c:pt>
                <c:pt idx="353">
                  <c:v>10.092000000000001</c:v>
                </c:pt>
                <c:pt idx="354">
                  <c:v>10.15</c:v>
                </c:pt>
                <c:pt idx="355">
                  <c:v>10.052</c:v>
                </c:pt>
                <c:pt idx="356">
                  <c:v>10.054</c:v>
                </c:pt>
                <c:pt idx="357">
                  <c:v>10.25</c:v>
                </c:pt>
                <c:pt idx="358">
                  <c:v>10.298</c:v>
                </c:pt>
                <c:pt idx="359">
                  <c:v>10.116</c:v>
                </c:pt>
                <c:pt idx="360">
                  <c:v>9.8360000000000003</c:v>
                </c:pt>
                <c:pt idx="361">
                  <c:v>9.8369999999999997</c:v>
                </c:pt>
                <c:pt idx="362">
                  <c:v>9.6519999999999992</c:v>
                </c:pt>
                <c:pt idx="363">
                  <c:v>9.5839999999999996</c:v>
                </c:pt>
                <c:pt idx="364">
                  <c:v>9.5709999999999997</c:v>
                </c:pt>
                <c:pt idx="365">
                  <c:v>9.76</c:v>
                </c:pt>
                <c:pt idx="366">
                  <c:v>10.058</c:v>
                </c:pt>
                <c:pt idx="367">
                  <c:v>10.084</c:v>
                </c:pt>
                <c:pt idx="368">
                  <c:v>10.052</c:v>
                </c:pt>
                <c:pt idx="369">
                  <c:v>10.19</c:v>
                </c:pt>
                <c:pt idx="370">
                  <c:v>10.27</c:v>
                </c:pt>
                <c:pt idx="371">
                  <c:v>10.132</c:v>
                </c:pt>
                <c:pt idx="372">
                  <c:v>9.8960000000000008</c:v>
                </c:pt>
                <c:pt idx="373">
                  <c:v>9.9260000000000002</c:v>
                </c:pt>
                <c:pt idx="374">
                  <c:v>9.8330000000000002</c:v>
                </c:pt>
                <c:pt idx="375">
                  <c:v>9.8219999999999992</c:v>
                </c:pt>
                <c:pt idx="376">
                  <c:v>9.7970000000000006</c:v>
                </c:pt>
                <c:pt idx="377">
                  <c:v>9.8699999999999992</c:v>
                </c:pt>
                <c:pt idx="378">
                  <c:v>9.91</c:v>
                </c:pt>
                <c:pt idx="379">
                  <c:v>9.8670000000000009</c:v>
                </c:pt>
                <c:pt idx="380">
                  <c:v>9.92</c:v>
                </c:pt>
                <c:pt idx="381">
                  <c:v>9.9760000000000009</c:v>
                </c:pt>
                <c:pt idx="382">
                  <c:v>9.9410000000000007</c:v>
                </c:pt>
                <c:pt idx="383">
                  <c:v>10.012</c:v>
                </c:pt>
                <c:pt idx="384">
                  <c:v>9.8659999999999997</c:v>
                </c:pt>
                <c:pt idx="385">
                  <c:v>9.7100000000000009</c:v>
                </c:pt>
                <c:pt idx="386">
                  <c:v>10.098000000000001</c:v>
                </c:pt>
                <c:pt idx="387">
                  <c:v>10.058</c:v>
                </c:pt>
                <c:pt idx="388">
                  <c:v>9.984</c:v>
                </c:pt>
                <c:pt idx="389">
                  <c:v>9.7799999999999994</c:v>
                </c:pt>
                <c:pt idx="390">
                  <c:v>10.01</c:v>
                </c:pt>
                <c:pt idx="391">
                  <c:v>10.08</c:v>
                </c:pt>
                <c:pt idx="392">
                  <c:v>10.112</c:v>
                </c:pt>
                <c:pt idx="393">
                  <c:v>10.198</c:v>
                </c:pt>
                <c:pt idx="394">
                  <c:v>10.55</c:v>
                </c:pt>
                <c:pt idx="395">
                  <c:v>10.407999999999999</c:v>
                </c:pt>
                <c:pt idx="396">
                  <c:v>10.273999999999999</c:v>
                </c:pt>
                <c:pt idx="397">
                  <c:v>10.198</c:v>
                </c:pt>
                <c:pt idx="398">
                  <c:v>10.119999999999999</c:v>
                </c:pt>
                <c:pt idx="399">
                  <c:v>10.054</c:v>
                </c:pt>
                <c:pt idx="400">
                  <c:v>9.8979999999999997</c:v>
                </c:pt>
                <c:pt idx="401">
                  <c:v>9.8369999999999997</c:v>
                </c:pt>
                <c:pt idx="402">
                  <c:v>9.61</c:v>
                </c:pt>
                <c:pt idx="403">
                  <c:v>9.593</c:v>
                </c:pt>
                <c:pt idx="404">
                  <c:v>9.4429999999999996</c:v>
                </c:pt>
                <c:pt idx="405">
                  <c:v>9.4770000000000003</c:v>
                </c:pt>
                <c:pt idx="406">
                  <c:v>9.4260000000000002</c:v>
                </c:pt>
                <c:pt idx="407">
                  <c:v>9.2759999999999998</c:v>
                </c:pt>
                <c:pt idx="408">
                  <c:v>9.0820000000000007</c:v>
                </c:pt>
                <c:pt idx="409">
                  <c:v>9.4939999999999998</c:v>
                </c:pt>
                <c:pt idx="410">
                  <c:v>9.6310000000000002</c:v>
                </c:pt>
                <c:pt idx="411">
                  <c:v>9.73</c:v>
                </c:pt>
                <c:pt idx="412">
                  <c:v>9.6180000000000003</c:v>
                </c:pt>
                <c:pt idx="413">
                  <c:v>9.5180000000000007</c:v>
                </c:pt>
                <c:pt idx="414">
                  <c:v>9.3800000000000008</c:v>
                </c:pt>
                <c:pt idx="415">
                  <c:v>9.343</c:v>
                </c:pt>
                <c:pt idx="416">
                  <c:v>9.1780000000000008</c:v>
                </c:pt>
                <c:pt idx="417">
                  <c:v>9.1649999999999991</c:v>
                </c:pt>
                <c:pt idx="418">
                  <c:v>9.3000000000000007</c:v>
                </c:pt>
                <c:pt idx="419">
                  <c:v>9.4359999999999999</c:v>
                </c:pt>
                <c:pt idx="420">
                  <c:v>9.3260000000000005</c:v>
                </c:pt>
                <c:pt idx="421">
                  <c:v>9.4049999999999994</c:v>
                </c:pt>
                <c:pt idx="422">
                  <c:v>9.5090000000000003</c:v>
                </c:pt>
                <c:pt idx="423">
                  <c:v>9.6359999999999992</c:v>
                </c:pt>
                <c:pt idx="424">
                  <c:v>9.93</c:v>
                </c:pt>
                <c:pt idx="425">
                  <c:v>9.86</c:v>
                </c:pt>
                <c:pt idx="426">
                  <c:v>9.8559999999999999</c:v>
                </c:pt>
                <c:pt idx="427">
                  <c:v>9.843</c:v>
                </c:pt>
                <c:pt idx="428">
                  <c:v>9.8629999999999995</c:v>
                </c:pt>
                <c:pt idx="429">
                  <c:v>9.8119999999999994</c:v>
                </c:pt>
                <c:pt idx="430">
                  <c:v>9.7840000000000007</c:v>
                </c:pt>
                <c:pt idx="431">
                  <c:v>9.6959999999999997</c:v>
                </c:pt>
                <c:pt idx="432">
                  <c:v>9.8620000000000001</c:v>
                </c:pt>
                <c:pt idx="433">
                  <c:v>9.5779999999999994</c:v>
                </c:pt>
                <c:pt idx="434">
                  <c:v>9.4760000000000009</c:v>
                </c:pt>
                <c:pt idx="435">
                  <c:v>9.6460000000000008</c:v>
                </c:pt>
                <c:pt idx="436">
                  <c:v>9.69</c:v>
                </c:pt>
                <c:pt idx="437">
                  <c:v>9.7420000000000009</c:v>
                </c:pt>
                <c:pt idx="438">
                  <c:v>9.7010000000000005</c:v>
                </c:pt>
                <c:pt idx="439">
                  <c:v>9.7360000000000007</c:v>
                </c:pt>
                <c:pt idx="440">
                  <c:v>9.9640000000000004</c:v>
                </c:pt>
                <c:pt idx="441">
                  <c:v>9.8650000000000002</c:v>
                </c:pt>
                <c:pt idx="442">
                  <c:v>9.7799999999999994</c:v>
                </c:pt>
                <c:pt idx="443">
                  <c:v>9.76</c:v>
                </c:pt>
                <c:pt idx="444">
                  <c:v>9.6910000000000007</c:v>
                </c:pt>
                <c:pt idx="445">
                  <c:v>9.6069999999999993</c:v>
                </c:pt>
                <c:pt idx="446">
                  <c:v>9.7219999999999995</c:v>
                </c:pt>
                <c:pt idx="447">
                  <c:v>9.6159999999999997</c:v>
                </c:pt>
                <c:pt idx="448">
                  <c:v>9.5879999999999992</c:v>
                </c:pt>
                <c:pt idx="449">
                  <c:v>9.7159999999999993</c:v>
                </c:pt>
                <c:pt idx="450">
                  <c:v>9.6709999999999994</c:v>
                </c:pt>
                <c:pt idx="451">
                  <c:v>9.6739999999999995</c:v>
                </c:pt>
                <c:pt idx="452">
                  <c:v>9.6649999999999991</c:v>
                </c:pt>
                <c:pt idx="453">
                  <c:v>9.2469999999999999</c:v>
                </c:pt>
                <c:pt idx="454">
                  <c:v>9.5649999999999995</c:v>
                </c:pt>
                <c:pt idx="455">
                  <c:v>9.6329999999999991</c:v>
                </c:pt>
                <c:pt idx="456">
                  <c:v>9.9429999999999996</c:v>
                </c:pt>
                <c:pt idx="457">
                  <c:v>9.7940000000000005</c:v>
                </c:pt>
                <c:pt idx="458">
                  <c:v>9.5579999999999998</c:v>
                </c:pt>
                <c:pt idx="459">
                  <c:v>9.5180000000000007</c:v>
                </c:pt>
                <c:pt idx="460">
                  <c:v>9.8970000000000002</c:v>
                </c:pt>
                <c:pt idx="461">
                  <c:v>9.8949999999999996</c:v>
                </c:pt>
                <c:pt idx="462">
                  <c:v>9.9130000000000003</c:v>
                </c:pt>
                <c:pt idx="463">
                  <c:v>10.006</c:v>
                </c:pt>
                <c:pt idx="464">
                  <c:v>9.9139999999999997</c:v>
                </c:pt>
                <c:pt idx="465">
                  <c:v>9.7330000000000005</c:v>
                </c:pt>
                <c:pt idx="466">
                  <c:v>9.9540000000000006</c:v>
                </c:pt>
                <c:pt idx="467">
                  <c:v>9.5190000000000001</c:v>
                </c:pt>
                <c:pt idx="468">
                  <c:v>9.5960000000000001</c:v>
                </c:pt>
                <c:pt idx="469">
                  <c:v>9.5649999999999995</c:v>
                </c:pt>
                <c:pt idx="470">
                  <c:v>9.4559999999999995</c:v>
                </c:pt>
                <c:pt idx="471">
                  <c:v>9.3000000000000007</c:v>
                </c:pt>
                <c:pt idx="472">
                  <c:v>9.3279999999999994</c:v>
                </c:pt>
                <c:pt idx="473">
                  <c:v>9.4649999999999999</c:v>
                </c:pt>
                <c:pt idx="474">
                  <c:v>9.3559999999999999</c:v>
                </c:pt>
                <c:pt idx="475">
                  <c:v>9.2889999999999997</c:v>
                </c:pt>
                <c:pt idx="476">
                  <c:v>9.1430000000000007</c:v>
                </c:pt>
                <c:pt idx="477">
                  <c:v>8.9220000000000006</c:v>
                </c:pt>
                <c:pt idx="478">
                  <c:v>9.0649999999999995</c:v>
                </c:pt>
                <c:pt idx="479">
                  <c:v>8.5399999999999991</c:v>
                </c:pt>
                <c:pt idx="480">
                  <c:v>9.3360000000000003</c:v>
                </c:pt>
                <c:pt idx="481">
                  <c:v>9.6430000000000007</c:v>
                </c:pt>
                <c:pt idx="482">
                  <c:v>9.8490000000000002</c:v>
                </c:pt>
                <c:pt idx="483">
                  <c:v>9.2870000000000008</c:v>
                </c:pt>
                <c:pt idx="484">
                  <c:v>9.3339999999999996</c:v>
                </c:pt>
                <c:pt idx="485">
                  <c:v>9.4789999999999992</c:v>
                </c:pt>
                <c:pt idx="486">
                  <c:v>9.6029999999999998</c:v>
                </c:pt>
                <c:pt idx="487">
                  <c:v>10.582000000000001</c:v>
                </c:pt>
                <c:pt idx="488">
                  <c:v>10.148</c:v>
                </c:pt>
                <c:pt idx="489">
                  <c:v>10.667999999999999</c:v>
                </c:pt>
                <c:pt idx="490">
                  <c:v>11.513999999999999</c:v>
                </c:pt>
                <c:pt idx="491">
                  <c:v>11.635999999999999</c:v>
                </c:pt>
                <c:pt idx="492">
                  <c:v>11.586</c:v>
                </c:pt>
                <c:pt idx="493">
                  <c:v>11.768000000000001</c:v>
                </c:pt>
                <c:pt idx="494">
                  <c:v>11.667999999999999</c:v>
                </c:pt>
                <c:pt idx="495">
                  <c:v>11.446</c:v>
                </c:pt>
                <c:pt idx="496">
                  <c:v>11.592000000000001</c:v>
                </c:pt>
                <c:pt idx="497">
                  <c:v>11.8</c:v>
                </c:pt>
                <c:pt idx="498">
                  <c:v>11.55</c:v>
                </c:pt>
                <c:pt idx="499">
                  <c:v>11.294</c:v>
                </c:pt>
                <c:pt idx="500">
                  <c:v>11.468</c:v>
                </c:pt>
                <c:pt idx="501">
                  <c:v>11.42</c:v>
                </c:pt>
                <c:pt idx="502">
                  <c:v>11.596</c:v>
                </c:pt>
                <c:pt idx="503">
                  <c:v>11.632</c:v>
                </c:pt>
                <c:pt idx="504">
                  <c:v>11.88</c:v>
                </c:pt>
                <c:pt idx="505">
                  <c:v>11.86</c:v>
                </c:pt>
                <c:pt idx="506">
                  <c:v>11.41</c:v>
                </c:pt>
                <c:pt idx="507">
                  <c:v>11.552</c:v>
                </c:pt>
                <c:pt idx="508">
                  <c:v>11.37</c:v>
                </c:pt>
                <c:pt idx="509">
                  <c:v>11.337999999999999</c:v>
                </c:pt>
                <c:pt idx="510">
                  <c:v>11.7</c:v>
                </c:pt>
                <c:pt idx="511">
                  <c:v>11.667999999999999</c:v>
                </c:pt>
                <c:pt idx="512">
                  <c:v>11.53</c:v>
                </c:pt>
                <c:pt idx="513">
                  <c:v>11.356</c:v>
                </c:pt>
                <c:pt idx="514">
                  <c:v>11.53</c:v>
                </c:pt>
                <c:pt idx="515">
                  <c:v>11.456</c:v>
                </c:pt>
                <c:pt idx="516">
                  <c:v>12.25</c:v>
                </c:pt>
                <c:pt idx="517">
                  <c:v>12.208</c:v>
                </c:pt>
                <c:pt idx="518">
                  <c:v>12.278</c:v>
                </c:pt>
                <c:pt idx="519">
                  <c:v>12.34</c:v>
                </c:pt>
                <c:pt idx="520">
                  <c:v>12.132</c:v>
                </c:pt>
                <c:pt idx="521">
                  <c:v>11.914</c:v>
                </c:pt>
                <c:pt idx="522">
                  <c:v>11.976000000000001</c:v>
                </c:pt>
                <c:pt idx="523">
                  <c:v>11.916</c:v>
                </c:pt>
                <c:pt idx="524">
                  <c:v>11.981999999999999</c:v>
                </c:pt>
                <c:pt idx="525">
                  <c:v>11.754</c:v>
                </c:pt>
                <c:pt idx="526">
                  <c:v>11.996</c:v>
                </c:pt>
                <c:pt idx="527">
                  <c:v>11.938000000000001</c:v>
                </c:pt>
                <c:pt idx="528">
                  <c:v>11.802</c:v>
                </c:pt>
                <c:pt idx="529">
                  <c:v>11.69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6A-43B8-A7C0-D2D446302E8D}"/>
            </c:ext>
          </c:extLst>
        </c:ser>
        <c:ser>
          <c:idx val="1"/>
          <c:order val="1"/>
          <c:tx>
            <c:v>Moyenne 20 permiers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'Deutch bank'!$I$2:$I$531</c:f>
              <c:numCache>
                <c:formatCode>General</c:formatCode>
                <c:ptCount val="530"/>
                <c:pt idx="0">
                  <c:v>18.750099999999996</c:v>
                </c:pt>
                <c:pt idx="1">
                  <c:v>18.7044</c:v>
                </c:pt>
                <c:pt idx="2">
                  <c:v>18.6447</c:v>
                </c:pt>
                <c:pt idx="3">
                  <c:v>18.570700000000002</c:v>
                </c:pt>
                <c:pt idx="4">
                  <c:v>18.495900000000002</c:v>
                </c:pt>
                <c:pt idx="5">
                  <c:v>18.418600000000005</c:v>
                </c:pt>
                <c:pt idx="6">
                  <c:v>18.356000000000002</c:v>
                </c:pt>
                <c:pt idx="7">
                  <c:v>18.288400000000003</c:v>
                </c:pt>
                <c:pt idx="8">
                  <c:v>18.2224</c:v>
                </c:pt>
                <c:pt idx="9">
                  <c:v>18.123800000000003</c:v>
                </c:pt>
                <c:pt idx="10">
                  <c:v>18.019399999999997</c:v>
                </c:pt>
                <c:pt idx="11">
                  <c:v>17.8752</c:v>
                </c:pt>
                <c:pt idx="12">
                  <c:v>17.739299999999997</c:v>
                </c:pt>
                <c:pt idx="13">
                  <c:v>17.606899999999996</c:v>
                </c:pt>
                <c:pt idx="14">
                  <c:v>17.466899999999999</c:v>
                </c:pt>
                <c:pt idx="15">
                  <c:v>17.343799999999998</c:v>
                </c:pt>
                <c:pt idx="16">
                  <c:v>17.250899999999998</c:v>
                </c:pt>
                <c:pt idx="17">
                  <c:v>17.153299999999998</c:v>
                </c:pt>
                <c:pt idx="18">
                  <c:v>17.070400000000003</c:v>
                </c:pt>
                <c:pt idx="19">
                  <c:v>16.997800000000002</c:v>
                </c:pt>
                <c:pt idx="20">
                  <c:v>16.935400000000001</c:v>
                </c:pt>
                <c:pt idx="21">
                  <c:v>16.876899999999999</c:v>
                </c:pt>
                <c:pt idx="22">
                  <c:v>16.849000000000004</c:v>
                </c:pt>
                <c:pt idx="23">
                  <c:v>16.840000000000003</c:v>
                </c:pt>
                <c:pt idx="24">
                  <c:v>16.827900000000003</c:v>
                </c:pt>
                <c:pt idx="25">
                  <c:v>16.819399999999998</c:v>
                </c:pt>
                <c:pt idx="26">
                  <c:v>16.812599999999996</c:v>
                </c:pt>
                <c:pt idx="27">
                  <c:v>16.805699999999998</c:v>
                </c:pt>
                <c:pt idx="28">
                  <c:v>16.7684</c:v>
                </c:pt>
                <c:pt idx="29">
                  <c:v>16.723700000000001</c:v>
                </c:pt>
                <c:pt idx="30">
                  <c:v>16.670999999999999</c:v>
                </c:pt>
                <c:pt idx="31">
                  <c:v>16.611700000000003</c:v>
                </c:pt>
                <c:pt idx="32">
                  <c:v>16.5627</c:v>
                </c:pt>
                <c:pt idx="33">
                  <c:v>16.532699999999998</c:v>
                </c:pt>
                <c:pt idx="34">
                  <c:v>16.497800000000005</c:v>
                </c:pt>
                <c:pt idx="35">
                  <c:v>16.468900000000001</c:v>
                </c:pt>
                <c:pt idx="36">
                  <c:v>16.418200000000006</c:v>
                </c:pt>
                <c:pt idx="37">
                  <c:v>16.373500000000003</c:v>
                </c:pt>
                <c:pt idx="38">
                  <c:v>16.325300000000006</c:v>
                </c:pt>
                <c:pt idx="39">
                  <c:v>16.275100000000002</c:v>
                </c:pt>
                <c:pt idx="40">
                  <c:v>16.222900000000003</c:v>
                </c:pt>
                <c:pt idx="41">
                  <c:v>16.151600000000002</c:v>
                </c:pt>
                <c:pt idx="42">
                  <c:v>16.090300000000003</c:v>
                </c:pt>
                <c:pt idx="43">
                  <c:v>16.054799999999997</c:v>
                </c:pt>
                <c:pt idx="44">
                  <c:v>15.988199999999997</c:v>
                </c:pt>
                <c:pt idx="45">
                  <c:v>15.939199999999996</c:v>
                </c:pt>
                <c:pt idx="46">
                  <c:v>15.913199999999994</c:v>
                </c:pt>
                <c:pt idx="47">
                  <c:v>15.872499999999999</c:v>
                </c:pt>
                <c:pt idx="48">
                  <c:v>15.8469</c:v>
                </c:pt>
                <c:pt idx="49">
                  <c:v>15.834</c:v>
                </c:pt>
                <c:pt idx="50">
                  <c:v>15.827500000000001</c:v>
                </c:pt>
                <c:pt idx="51">
                  <c:v>15.829800000000001</c:v>
                </c:pt>
                <c:pt idx="52">
                  <c:v>15.8385</c:v>
                </c:pt>
                <c:pt idx="53">
                  <c:v>15.845600000000001</c:v>
                </c:pt>
                <c:pt idx="54">
                  <c:v>15.851800000000001</c:v>
                </c:pt>
                <c:pt idx="55">
                  <c:v>15.840700000000002</c:v>
                </c:pt>
                <c:pt idx="56">
                  <c:v>15.8546</c:v>
                </c:pt>
                <c:pt idx="57">
                  <c:v>15.875499999999999</c:v>
                </c:pt>
                <c:pt idx="58">
                  <c:v>15.872099999999998</c:v>
                </c:pt>
                <c:pt idx="59">
                  <c:v>15.879500000000002</c:v>
                </c:pt>
                <c:pt idx="60">
                  <c:v>15.891799999999995</c:v>
                </c:pt>
                <c:pt idx="61">
                  <c:v>15.916899999999998</c:v>
                </c:pt>
                <c:pt idx="62">
                  <c:v>15.922000000000001</c:v>
                </c:pt>
                <c:pt idx="63">
                  <c:v>15.931900000000002</c:v>
                </c:pt>
                <c:pt idx="64">
                  <c:v>15.968699999999998</c:v>
                </c:pt>
                <c:pt idx="65">
                  <c:v>15.9742</c:v>
                </c:pt>
                <c:pt idx="66">
                  <c:v>15.966099999999997</c:v>
                </c:pt>
                <c:pt idx="67">
                  <c:v>15.960899999999999</c:v>
                </c:pt>
                <c:pt idx="68">
                  <c:v>15.9709</c:v>
                </c:pt>
                <c:pt idx="69">
                  <c:v>15.9689</c:v>
                </c:pt>
                <c:pt idx="70">
                  <c:v>15.955700000000002</c:v>
                </c:pt>
                <c:pt idx="71">
                  <c:v>15.951100000000002</c:v>
                </c:pt>
                <c:pt idx="72">
                  <c:v>15.932100000000002</c:v>
                </c:pt>
                <c:pt idx="73">
                  <c:v>15.9145</c:v>
                </c:pt>
                <c:pt idx="74">
                  <c:v>15.9084</c:v>
                </c:pt>
                <c:pt idx="75">
                  <c:v>15.893599999999998</c:v>
                </c:pt>
                <c:pt idx="76">
                  <c:v>15.845700000000003</c:v>
                </c:pt>
                <c:pt idx="77">
                  <c:v>15.793100000000001</c:v>
                </c:pt>
                <c:pt idx="78">
                  <c:v>15.747000000000003</c:v>
                </c:pt>
                <c:pt idx="79">
                  <c:v>15.695000000000002</c:v>
                </c:pt>
                <c:pt idx="80">
                  <c:v>15.648399999999999</c:v>
                </c:pt>
                <c:pt idx="81">
                  <c:v>15.591199999999997</c:v>
                </c:pt>
                <c:pt idx="82">
                  <c:v>15.545399999999995</c:v>
                </c:pt>
                <c:pt idx="83">
                  <c:v>15.458499999999997</c:v>
                </c:pt>
                <c:pt idx="84">
                  <c:v>15.376999999999999</c:v>
                </c:pt>
                <c:pt idx="85">
                  <c:v>15.286199999999997</c:v>
                </c:pt>
                <c:pt idx="86">
                  <c:v>15.187699999999998</c:v>
                </c:pt>
                <c:pt idx="87">
                  <c:v>15.111699999999995</c:v>
                </c:pt>
                <c:pt idx="88">
                  <c:v>15.064899999999998</c:v>
                </c:pt>
                <c:pt idx="89">
                  <c:v>15.009499999999999</c:v>
                </c:pt>
                <c:pt idx="90">
                  <c:v>14.988899999999997</c:v>
                </c:pt>
                <c:pt idx="91">
                  <c:v>14.942499999999999</c:v>
                </c:pt>
                <c:pt idx="92">
                  <c:v>14.901000000000002</c:v>
                </c:pt>
                <c:pt idx="93">
                  <c:v>14.863800000000003</c:v>
                </c:pt>
                <c:pt idx="94">
                  <c:v>14.823500000000001</c:v>
                </c:pt>
                <c:pt idx="95">
                  <c:v>14.7822</c:v>
                </c:pt>
                <c:pt idx="96">
                  <c:v>14.7553</c:v>
                </c:pt>
                <c:pt idx="97">
                  <c:v>14.727099999999998</c:v>
                </c:pt>
                <c:pt idx="98">
                  <c:v>14.697699999999998</c:v>
                </c:pt>
                <c:pt idx="99">
                  <c:v>14.674299999999997</c:v>
                </c:pt>
                <c:pt idx="100">
                  <c:v>14.6418</c:v>
                </c:pt>
                <c:pt idx="101">
                  <c:v>14.595299999999998</c:v>
                </c:pt>
                <c:pt idx="102">
                  <c:v>14.541199999999998</c:v>
                </c:pt>
                <c:pt idx="103">
                  <c:v>14.518700000000001</c:v>
                </c:pt>
                <c:pt idx="104">
                  <c:v>14.489300000000004</c:v>
                </c:pt>
                <c:pt idx="105">
                  <c:v>14.465800000000005</c:v>
                </c:pt>
                <c:pt idx="106">
                  <c:v>14.433100000000001</c:v>
                </c:pt>
                <c:pt idx="107">
                  <c:v>14.383500000000002</c:v>
                </c:pt>
                <c:pt idx="108">
                  <c:v>14.297400000000001</c:v>
                </c:pt>
                <c:pt idx="109">
                  <c:v>14.228599999999997</c:v>
                </c:pt>
                <c:pt idx="110">
                  <c:v>14.135699999999996</c:v>
                </c:pt>
                <c:pt idx="111">
                  <c:v>14.063599999999999</c:v>
                </c:pt>
                <c:pt idx="112">
                  <c:v>13.979699999999999</c:v>
                </c:pt>
                <c:pt idx="113">
                  <c:v>13.883800000000003</c:v>
                </c:pt>
                <c:pt idx="114">
                  <c:v>13.805099999999999</c:v>
                </c:pt>
                <c:pt idx="115">
                  <c:v>13.771499999999998</c:v>
                </c:pt>
                <c:pt idx="116">
                  <c:v>13.7593</c:v>
                </c:pt>
                <c:pt idx="117">
                  <c:v>13.755099999999999</c:v>
                </c:pt>
                <c:pt idx="118">
                  <c:v>13.740800000000002</c:v>
                </c:pt>
                <c:pt idx="119">
                  <c:v>13.726700000000003</c:v>
                </c:pt>
                <c:pt idx="120">
                  <c:v>13.719200000000001</c:v>
                </c:pt>
                <c:pt idx="121">
                  <c:v>13.7377</c:v>
                </c:pt>
                <c:pt idx="122">
                  <c:v>13.825900000000001</c:v>
                </c:pt>
                <c:pt idx="123">
                  <c:v>13.892000000000001</c:v>
                </c:pt>
                <c:pt idx="124">
                  <c:v>13.9405</c:v>
                </c:pt>
                <c:pt idx="125">
                  <c:v>14.014699999999999</c:v>
                </c:pt>
                <c:pt idx="126">
                  <c:v>14.106899999999996</c:v>
                </c:pt>
                <c:pt idx="127">
                  <c:v>14.197400000000002</c:v>
                </c:pt>
                <c:pt idx="128">
                  <c:v>14.294700000000001</c:v>
                </c:pt>
                <c:pt idx="129">
                  <c:v>14.395299999999997</c:v>
                </c:pt>
                <c:pt idx="130">
                  <c:v>14.506599999999997</c:v>
                </c:pt>
                <c:pt idx="131">
                  <c:v>14.626199999999997</c:v>
                </c:pt>
                <c:pt idx="132">
                  <c:v>14.754200000000001</c:v>
                </c:pt>
                <c:pt idx="133">
                  <c:v>14.885999999999999</c:v>
                </c:pt>
                <c:pt idx="134">
                  <c:v>15.010499999999999</c:v>
                </c:pt>
                <c:pt idx="135">
                  <c:v>15.104299999999999</c:v>
                </c:pt>
                <c:pt idx="136">
                  <c:v>15.169700000000001</c:v>
                </c:pt>
                <c:pt idx="137">
                  <c:v>15.2</c:v>
                </c:pt>
                <c:pt idx="138">
                  <c:v>15.254300000000004</c:v>
                </c:pt>
                <c:pt idx="139">
                  <c:v>15.278800000000004</c:v>
                </c:pt>
                <c:pt idx="140">
                  <c:v>15.296900000000003</c:v>
                </c:pt>
                <c:pt idx="141">
                  <c:v>15.311400000000001</c:v>
                </c:pt>
                <c:pt idx="142">
                  <c:v>15.2607</c:v>
                </c:pt>
                <c:pt idx="143">
                  <c:v>15.2293</c:v>
                </c:pt>
                <c:pt idx="144">
                  <c:v>15.201799999999997</c:v>
                </c:pt>
                <c:pt idx="145">
                  <c:v>15.174199999999999</c:v>
                </c:pt>
                <c:pt idx="146">
                  <c:v>15.148499999999999</c:v>
                </c:pt>
                <c:pt idx="147">
                  <c:v>15.126200000000001</c:v>
                </c:pt>
                <c:pt idx="148">
                  <c:v>15.095800000000001</c:v>
                </c:pt>
                <c:pt idx="149">
                  <c:v>15.051300000000001</c:v>
                </c:pt>
                <c:pt idx="150">
                  <c:v>15.011800000000003</c:v>
                </c:pt>
                <c:pt idx="151">
                  <c:v>14.988300000000001</c:v>
                </c:pt>
                <c:pt idx="152">
                  <c:v>14.9582</c:v>
                </c:pt>
                <c:pt idx="153">
                  <c:v>14.948599999999999</c:v>
                </c:pt>
                <c:pt idx="154">
                  <c:v>14.930199999999999</c:v>
                </c:pt>
                <c:pt idx="155">
                  <c:v>14.899899999999999</c:v>
                </c:pt>
                <c:pt idx="156">
                  <c:v>14.863199999999997</c:v>
                </c:pt>
                <c:pt idx="157">
                  <c:v>14.8535</c:v>
                </c:pt>
                <c:pt idx="158">
                  <c:v>14.8513</c:v>
                </c:pt>
                <c:pt idx="159">
                  <c:v>14.8672</c:v>
                </c:pt>
                <c:pt idx="160">
                  <c:v>14.8995</c:v>
                </c:pt>
                <c:pt idx="161">
                  <c:v>14.9329</c:v>
                </c:pt>
                <c:pt idx="162">
                  <c:v>14.982800000000001</c:v>
                </c:pt>
                <c:pt idx="163">
                  <c:v>15.026199999999999</c:v>
                </c:pt>
                <c:pt idx="164">
                  <c:v>15.089400000000001</c:v>
                </c:pt>
                <c:pt idx="165">
                  <c:v>15.1296</c:v>
                </c:pt>
                <c:pt idx="166">
                  <c:v>15.1692</c:v>
                </c:pt>
                <c:pt idx="167">
                  <c:v>15.213600000000003</c:v>
                </c:pt>
                <c:pt idx="168">
                  <c:v>15.265600000000001</c:v>
                </c:pt>
                <c:pt idx="169">
                  <c:v>15.326700000000002</c:v>
                </c:pt>
                <c:pt idx="170">
                  <c:v>15.393200000000002</c:v>
                </c:pt>
                <c:pt idx="171">
                  <c:v>15.447999999999999</c:v>
                </c:pt>
                <c:pt idx="172">
                  <c:v>15.509699999999999</c:v>
                </c:pt>
                <c:pt idx="173">
                  <c:v>15.5358</c:v>
                </c:pt>
                <c:pt idx="174">
                  <c:v>15.564899999999998</c:v>
                </c:pt>
                <c:pt idx="175">
                  <c:v>15.596699999999998</c:v>
                </c:pt>
                <c:pt idx="176">
                  <c:v>15.646199999999999</c:v>
                </c:pt>
                <c:pt idx="177">
                  <c:v>15.697099999999997</c:v>
                </c:pt>
                <c:pt idx="178">
                  <c:v>15.709299999999999</c:v>
                </c:pt>
                <c:pt idx="179">
                  <c:v>15.710900000000001</c:v>
                </c:pt>
                <c:pt idx="180">
                  <c:v>15.691400000000002</c:v>
                </c:pt>
                <c:pt idx="181">
                  <c:v>15.6751</c:v>
                </c:pt>
                <c:pt idx="182">
                  <c:v>15.647</c:v>
                </c:pt>
                <c:pt idx="183">
                  <c:v>15.688099999999997</c:v>
                </c:pt>
                <c:pt idx="184">
                  <c:v>15.7349</c:v>
                </c:pt>
                <c:pt idx="185">
                  <c:v>15.727599999999999</c:v>
                </c:pt>
                <c:pt idx="186">
                  <c:v>15.722299999999999</c:v>
                </c:pt>
                <c:pt idx="187">
                  <c:v>15.702700000000002</c:v>
                </c:pt>
                <c:pt idx="188">
                  <c:v>15.6661</c:v>
                </c:pt>
                <c:pt idx="189">
                  <c:v>15.624300000000002</c:v>
                </c:pt>
                <c:pt idx="190">
                  <c:v>15.556700000000001</c:v>
                </c:pt>
                <c:pt idx="191">
                  <c:v>15.475799999999998</c:v>
                </c:pt>
                <c:pt idx="192">
                  <c:v>15.409799999999999</c:v>
                </c:pt>
                <c:pt idx="193">
                  <c:v>15.359100000000002</c:v>
                </c:pt>
                <c:pt idx="194">
                  <c:v>15.294500000000003</c:v>
                </c:pt>
                <c:pt idx="195">
                  <c:v>15.247300000000001</c:v>
                </c:pt>
                <c:pt idx="196">
                  <c:v>15.1775</c:v>
                </c:pt>
                <c:pt idx="197">
                  <c:v>15.120000000000001</c:v>
                </c:pt>
                <c:pt idx="198">
                  <c:v>15.077800000000002</c:v>
                </c:pt>
                <c:pt idx="199">
                  <c:v>15.063499999999999</c:v>
                </c:pt>
                <c:pt idx="200">
                  <c:v>15.055100000000001</c:v>
                </c:pt>
                <c:pt idx="201">
                  <c:v>15.032999999999998</c:v>
                </c:pt>
                <c:pt idx="202">
                  <c:v>15.006899999999998</c:v>
                </c:pt>
                <c:pt idx="203">
                  <c:v>14.910900000000002</c:v>
                </c:pt>
                <c:pt idx="204">
                  <c:v>14.789400000000006</c:v>
                </c:pt>
                <c:pt idx="205">
                  <c:v>14.726700000000003</c:v>
                </c:pt>
                <c:pt idx="206">
                  <c:v>14.665800000000001</c:v>
                </c:pt>
                <c:pt idx="207">
                  <c:v>14.607200000000001</c:v>
                </c:pt>
                <c:pt idx="208">
                  <c:v>14.541399999999999</c:v>
                </c:pt>
                <c:pt idx="209">
                  <c:v>14.488199999999997</c:v>
                </c:pt>
                <c:pt idx="210">
                  <c:v>14.438299999999998</c:v>
                </c:pt>
                <c:pt idx="211">
                  <c:v>14.397799999999998</c:v>
                </c:pt>
                <c:pt idx="212">
                  <c:v>14.3393</c:v>
                </c:pt>
                <c:pt idx="213">
                  <c:v>14.2791</c:v>
                </c:pt>
                <c:pt idx="214">
                  <c:v>14.230599999999999</c:v>
                </c:pt>
                <c:pt idx="215">
                  <c:v>14.133299999999995</c:v>
                </c:pt>
                <c:pt idx="216">
                  <c:v>14.043299999999999</c:v>
                </c:pt>
                <c:pt idx="217">
                  <c:v>13.934199999999999</c:v>
                </c:pt>
                <c:pt idx="218">
                  <c:v>13.824200000000001</c:v>
                </c:pt>
                <c:pt idx="219">
                  <c:v>13.707199999999997</c:v>
                </c:pt>
                <c:pt idx="220">
                  <c:v>13.593399999999999</c:v>
                </c:pt>
                <c:pt idx="221">
                  <c:v>13.4933</c:v>
                </c:pt>
                <c:pt idx="222">
                  <c:v>13.382300000000001</c:v>
                </c:pt>
                <c:pt idx="223">
                  <c:v>13.2715</c:v>
                </c:pt>
                <c:pt idx="224">
                  <c:v>13.1792</c:v>
                </c:pt>
                <c:pt idx="225">
                  <c:v>13.087000000000003</c:v>
                </c:pt>
                <c:pt idx="226">
                  <c:v>12.997600000000002</c:v>
                </c:pt>
                <c:pt idx="227">
                  <c:v>12.910800000000004</c:v>
                </c:pt>
                <c:pt idx="228">
                  <c:v>12.8286</c:v>
                </c:pt>
                <c:pt idx="229">
                  <c:v>12.739500000000003</c:v>
                </c:pt>
                <c:pt idx="230">
                  <c:v>12.664000000000001</c:v>
                </c:pt>
                <c:pt idx="231">
                  <c:v>12.581700000000001</c:v>
                </c:pt>
                <c:pt idx="232">
                  <c:v>12.505300000000004</c:v>
                </c:pt>
                <c:pt idx="233">
                  <c:v>12.422600000000001</c:v>
                </c:pt>
                <c:pt idx="234">
                  <c:v>12.335600000000003</c:v>
                </c:pt>
                <c:pt idx="235">
                  <c:v>12.278800000000002</c:v>
                </c:pt>
                <c:pt idx="236">
                  <c:v>12.2186</c:v>
                </c:pt>
                <c:pt idx="237">
                  <c:v>12.163700000000002</c:v>
                </c:pt>
                <c:pt idx="238">
                  <c:v>12.1157</c:v>
                </c:pt>
                <c:pt idx="239">
                  <c:v>12.098500000000001</c:v>
                </c:pt>
                <c:pt idx="240">
                  <c:v>12.0924</c:v>
                </c:pt>
                <c:pt idx="241">
                  <c:v>12.105399999999999</c:v>
                </c:pt>
                <c:pt idx="242">
                  <c:v>12.106799999999998</c:v>
                </c:pt>
                <c:pt idx="243">
                  <c:v>12.088699999999999</c:v>
                </c:pt>
                <c:pt idx="244">
                  <c:v>12.074499999999999</c:v>
                </c:pt>
                <c:pt idx="245">
                  <c:v>12.058200000000001</c:v>
                </c:pt>
                <c:pt idx="246">
                  <c:v>12.0427</c:v>
                </c:pt>
                <c:pt idx="247">
                  <c:v>12.034099999999999</c:v>
                </c:pt>
                <c:pt idx="248">
                  <c:v>12.0426</c:v>
                </c:pt>
                <c:pt idx="249">
                  <c:v>12.0443</c:v>
                </c:pt>
                <c:pt idx="250">
                  <c:v>12.041500000000001</c:v>
                </c:pt>
                <c:pt idx="251">
                  <c:v>12.032999999999999</c:v>
                </c:pt>
                <c:pt idx="252">
                  <c:v>12.027900000000001</c:v>
                </c:pt>
                <c:pt idx="253">
                  <c:v>12.0228</c:v>
                </c:pt>
                <c:pt idx="254">
                  <c:v>12.0228</c:v>
                </c:pt>
                <c:pt idx="255">
                  <c:v>12.026</c:v>
                </c:pt>
                <c:pt idx="256">
                  <c:v>12.048500000000001</c:v>
                </c:pt>
                <c:pt idx="257">
                  <c:v>12.0778</c:v>
                </c:pt>
                <c:pt idx="258">
                  <c:v>12.135199999999999</c:v>
                </c:pt>
                <c:pt idx="259">
                  <c:v>12.155799999999999</c:v>
                </c:pt>
                <c:pt idx="260">
                  <c:v>12.1677</c:v>
                </c:pt>
                <c:pt idx="261">
                  <c:v>12.154799999999998</c:v>
                </c:pt>
                <c:pt idx="262">
                  <c:v>12.161299999999999</c:v>
                </c:pt>
                <c:pt idx="263">
                  <c:v>12.172099999999999</c:v>
                </c:pt>
                <c:pt idx="264">
                  <c:v>12.1912</c:v>
                </c:pt>
                <c:pt idx="265">
                  <c:v>12.210599999999999</c:v>
                </c:pt>
                <c:pt idx="266">
                  <c:v>12.222100000000001</c:v>
                </c:pt>
                <c:pt idx="267">
                  <c:v>12.238100000000001</c:v>
                </c:pt>
                <c:pt idx="268">
                  <c:v>12.248900000000001</c:v>
                </c:pt>
                <c:pt idx="269">
                  <c:v>12.2637</c:v>
                </c:pt>
                <c:pt idx="270">
                  <c:v>12.281500000000001</c:v>
                </c:pt>
                <c:pt idx="271">
                  <c:v>12.293000000000001</c:v>
                </c:pt>
                <c:pt idx="272">
                  <c:v>12.296899999999999</c:v>
                </c:pt>
                <c:pt idx="273">
                  <c:v>12.310499999999999</c:v>
                </c:pt>
                <c:pt idx="274">
                  <c:v>12.315199999999999</c:v>
                </c:pt>
                <c:pt idx="275">
                  <c:v>12.309999999999999</c:v>
                </c:pt>
                <c:pt idx="276">
                  <c:v>12.303999999999998</c:v>
                </c:pt>
                <c:pt idx="277">
                  <c:v>12.289099999999999</c:v>
                </c:pt>
                <c:pt idx="278">
                  <c:v>12.242799999999999</c:v>
                </c:pt>
                <c:pt idx="279">
                  <c:v>12.1861</c:v>
                </c:pt>
                <c:pt idx="280">
                  <c:v>12.134</c:v>
                </c:pt>
                <c:pt idx="281">
                  <c:v>12.084099999999999</c:v>
                </c:pt>
                <c:pt idx="282">
                  <c:v>12.034600000000001</c:v>
                </c:pt>
                <c:pt idx="283">
                  <c:v>11.998099999999999</c:v>
                </c:pt>
                <c:pt idx="284">
                  <c:v>11.9453</c:v>
                </c:pt>
                <c:pt idx="285">
                  <c:v>11.890699999999999</c:v>
                </c:pt>
                <c:pt idx="286">
                  <c:v>11.829699999999999</c:v>
                </c:pt>
                <c:pt idx="287">
                  <c:v>11.7623</c:v>
                </c:pt>
                <c:pt idx="288">
                  <c:v>11.698399999999999</c:v>
                </c:pt>
                <c:pt idx="289">
                  <c:v>11.639899999999999</c:v>
                </c:pt>
                <c:pt idx="290">
                  <c:v>11.5809</c:v>
                </c:pt>
                <c:pt idx="291">
                  <c:v>11.538299999999998</c:v>
                </c:pt>
                <c:pt idx="292">
                  <c:v>11.503300000000001</c:v>
                </c:pt>
                <c:pt idx="293">
                  <c:v>11.456900000000001</c:v>
                </c:pt>
                <c:pt idx="294">
                  <c:v>11.402699999999999</c:v>
                </c:pt>
                <c:pt idx="295">
                  <c:v>11.357000000000001</c:v>
                </c:pt>
                <c:pt idx="296">
                  <c:v>11.2967</c:v>
                </c:pt>
                <c:pt idx="297">
                  <c:v>11.2319</c:v>
                </c:pt>
                <c:pt idx="298">
                  <c:v>11.1655</c:v>
                </c:pt>
                <c:pt idx="299">
                  <c:v>11.114400000000002</c:v>
                </c:pt>
                <c:pt idx="300">
                  <c:v>11.057700000000001</c:v>
                </c:pt>
                <c:pt idx="301">
                  <c:v>11.005399999999998</c:v>
                </c:pt>
                <c:pt idx="302">
                  <c:v>10.960199999999999</c:v>
                </c:pt>
                <c:pt idx="303">
                  <c:v>10.917199999999999</c:v>
                </c:pt>
                <c:pt idx="304">
                  <c:v>10.8765</c:v>
                </c:pt>
                <c:pt idx="305">
                  <c:v>10.836</c:v>
                </c:pt>
                <c:pt idx="306">
                  <c:v>10.799299999999999</c:v>
                </c:pt>
                <c:pt idx="307">
                  <c:v>10.767099999999997</c:v>
                </c:pt>
                <c:pt idx="308">
                  <c:v>10.732299999999999</c:v>
                </c:pt>
                <c:pt idx="309">
                  <c:v>10.695599999999997</c:v>
                </c:pt>
                <c:pt idx="310">
                  <c:v>10.653699999999997</c:v>
                </c:pt>
                <c:pt idx="311">
                  <c:v>10.569249999999998</c:v>
                </c:pt>
                <c:pt idx="312">
                  <c:v>10.48555</c:v>
                </c:pt>
                <c:pt idx="313">
                  <c:v>10.40335</c:v>
                </c:pt>
                <c:pt idx="314">
                  <c:v>10.346499999999999</c:v>
                </c:pt>
                <c:pt idx="315">
                  <c:v>10.290899999999999</c:v>
                </c:pt>
                <c:pt idx="316">
                  <c:v>10.2583</c:v>
                </c:pt>
                <c:pt idx="317">
                  <c:v>10.234599999999999</c:v>
                </c:pt>
                <c:pt idx="318">
                  <c:v>10.207800000000001</c:v>
                </c:pt>
                <c:pt idx="319">
                  <c:v>10.1861</c:v>
                </c:pt>
                <c:pt idx="320">
                  <c:v>10.1675</c:v>
                </c:pt>
                <c:pt idx="321">
                  <c:v>10.1523</c:v>
                </c:pt>
                <c:pt idx="322">
                  <c:v>10.117899999999999</c:v>
                </c:pt>
                <c:pt idx="323">
                  <c:v>10.0885</c:v>
                </c:pt>
                <c:pt idx="324">
                  <c:v>10.055350000000001</c:v>
                </c:pt>
                <c:pt idx="325">
                  <c:v>10.028200000000002</c:v>
                </c:pt>
                <c:pt idx="326">
                  <c:v>10.006950000000002</c:v>
                </c:pt>
                <c:pt idx="327">
                  <c:v>9.9923500000000018</c:v>
                </c:pt>
                <c:pt idx="328">
                  <c:v>9.9945500000000003</c:v>
                </c:pt>
                <c:pt idx="329">
                  <c:v>9.9946500000000018</c:v>
                </c:pt>
                <c:pt idx="330">
                  <c:v>9.9978500000000015</c:v>
                </c:pt>
                <c:pt idx="331">
                  <c:v>10.027700000000003</c:v>
                </c:pt>
                <c:pt idx="332">
                  <c:v>10.049200000000003</c:v>
                </c:pt>
                <c:pt idx="333">
                  <c:v>10.0784</c:v>
                </c:pt>
                <c:pt idx="334">
                  <c:v>10.095550000000003</c:v>
                </c:pt>
                <c:pt idx="335">
                  <c:v>10.112650000000002</c:v>
                </c:pt>
                <c:pt idx="336">
                  <c:v>10.111650000000001</c:v>
                </c:pt>
                <c:pt idx="337">
                  <c:v>10.107750000000001</c:v>
                </c:pt>
                <c:pt idx="338">
                  <c:v>10.122250000000001</c:v>
                </c:pt>
                <c:pt idx="339">
                  <c:v>10.13165</c:v>
                </c:pt>
                <c:pt idx="340">
                  <c:v>10.129250000000003</c:v>
                </c:pt>
                <c:pt idx="341">
                  <c:v>10.110050000000001</c:v>
                </c:pt>
                <c:pt idx="342">
                  <c:v>10.104999999999999</c:v>
                </c:pt>
                <c:pt idx="343">
                  <c:v>10.084</c:v>
                </c:pt>
                <c:pt idx="344">
                  <c:v>10.06575</c:v>
                </c:pt>
                <c:pt idx="345">
                  <c:v>10.048350000000001</c:v>
                </c:pt>
                <c:pt idx="346">
                  <c:v>10.039799999999998</c:v>
                </c:pt>
                <c:pt idx="347">
                  <c:v>10.036899999999999</c:v>
                </c:pt>
                <c:pt idx="348">
                  <c:v>10.018599999999998</c:v>
                </c:pt>
                <c:pt idx="349">
                  <c:v>10.002099999999999</c:v>
                </c:pt>
                <c:pt idx="350">
                  <c:v>9.9944999999999986</c:v>
                </c:pt>
                <c:pt idx="351">
                  <c:v>10.0031</c:v>
                </c:pt>
                <c:pt idx="352">
                  <c:v>10.0075</c:v>
                </c:pt>
                <c:pt idx="353">
                  <c:v>9.9967000000000006</c:v>
                </c:pt>
                <c:pt idx="354">
                  <c:v>9.9884000000000022</c:v>
                </c:pt>
                <c:pt idx="355">
                  <c:v>9.97255</c:v>
                </c:pt>
                <c:pt idx="356">
                  <c:v>9.961050000000002</c:v>
                </c:pt>
                <c:pt idx="357">
                  <c:v>9.9481999999999999</c:v>
                </c:pt>
                <c:pt idx="358">
                  <c:v>9.9291999999999998</c:v>
                </c:pt>
                <c:pt idx="359">
                  <c:v>9.9097999999999971</c:v>
                </c:pt>
                <c:pt idx="360">
                  <c:v>9.8973499999999994</c:v>
                </c:pt>
                <c:pt idx="361">
                  <c:v>9.9015499999999967</c:v>
                </c:pt>
                <c:pt idx="362">
                  <c:v>9.9085000000000001</c:v>
                </c:pt>
                <c:pt idx="363">
                  <c:v>9.9229499999999984</c:v>
                </c:pt>
                <c:pt idx="364">
                  <c:v>9.94435</c:v>
                </c:pt>
                <c:pt idx="365">
                  <c:v>9.9590999999999976</c:v>
                </c:pt>
                <c:pt idx="366">
                  <c:v>9.9565999999999981</c:v>
                </c:pt>
                <c:pt idx="367">
                  <c:v>9.9586000000000006</c:v>
                </c:pt>
                <c:pt idx="368">
                  <c:v>9.9573000000000018</c:v>
                </c:pt>
                <c:pt idx="369">
                  <c:v>9.9539000000000009</c:v>
                </c:pt>
                <c:pt idx="370">
                  <c:v>9.9334000000000024</c:v>
                </c:pt>
                <c:pt idx="371">
                  <c:v>9.920399999999999</c:v>
                </c:pt>
                <c:pt idx="372">
                  <c:v>9.9178000000000033</c:v>
                </c:pt>
                <c:pt idx="373">
                  <c:v>9.9286000000000012</c:v>
                </c:pt>
                <c:pt idx="374">
                  <c:v>9.9422000000000015</c:v>
                </c:pt>
                <c:pt idx="375">
                  <c:v>9.9780500000000014</c:v>
                </c:pt>
                <c:pt idx="376">
                  <c:v>10.007350000000001</c:v>
                </c:pt>
                <c:pt idx="377">
                  <c:v>10.0312</c:v>
                </c:pt>
                <c:pt idx="378">
                  <c:v>10.047600000000001</c:v>
                </c:pt>
                <c:pt idx="379">
                  <c:v>10.058100000000001</c:v>
                </c:pt>
                <c:pt idx="380">
                  <c:v>10.067450000000003</c:v>
                </c:pt>
                <c:pt idx="381">
                  <c:v>10.06635</c:v>
                </c:pt>
                <c:pt idx="382">
                  <c:v>10.0594</c:v>
                </c:pt>
                <c:pt idx="383">
                  <c:v>10.042849999999998</c:v>
                </c:pt>
                <c:pt idx="384">
                  <c:v>10.021899999999999</c:v>
                </c:pt>
                <c:pt idx="385">
                  <c:v>10.00075</c:v>
                </c:pt>
                <c:pt idx="386">
                  <c:v>9.9891000000000005</c:v>
                </c:pt>
                <c:pt idx="387">
                  <c:v>9.9554999999999989</c:v>
                </c:pt>
                <c:pt idx="388">
                  <c:v>9.9163999999999994</c:v>
                </c:pt>
                <c:pt idx="389">
                  <c:v>9.8713000000000015</c:v>
                </c:pt>
                <c:pt idx="390">
                  <c:v>9.8570000000000011</c:v>
                </c:pt>
                <c:pt idx="391">
                  <c:v>9.8380499999999991</c:v>
                </c:pt>
                <c:pt idx="392">
                  <c:v>9.8205500000000008</c:v>
                </c:pt>
                <c:pt idx="393">
                  <c:v>9.7958499999999979</c:v>
                </c:pt>
                <c:pt idx="394">
                  <c:v>9.761849999999999</c:v>
                </c:pt>
                <c:pt idx="395">
                  <c:v>9.7033499999999986</c:v>
                </c:pt>
                <c:pt idx="396">
                  <c:v>9.6500999999999983</c:v>
                </c:pt>
                <c:pt idx="397">
                  <c:v>9.5952999999999982</c:v>
                </c:pt>
                <c:pt idx="398">
                  <c:v>9.5436499999999977</c:v>
                </c:pt>
                <c:pt idx="399">
                  <c:v>9.5026499999999992</c:v>
                </c:pt>
                <c:pt idx="400">
                  <c:v>9.4717499999999983</c:v>
                </c:pt>
                <c:pt idx="401">
                  <c:v>9.4431499999999993</c:v>
                </c:pt>
                <c:pt idx="402">
                  <c:v>9.4215499999999999</c:v>
                </c:pt>
                <c:pt idx="403">
                  <c:v>9.4164999999999992</c:v>
                </c:pt>
                <c:pt idx="404">
                  <c:v>9.4186500000000013</c:v>
                </c:pt>
                <c:pt idx="405">
                  <c:v>9.4429999999999996</c:v>
                </c:pt>
                <c:pt idx="406">
                  <c:v>9.4621499999999976</c:v>
                </c:pt>
                <c:pt idx="407">
                  <c:v>9.4836500000000008</c:v>
                </c:pt>
                <c:pt idx="408">
                  <c:v>9.5119999999999987</c:v>
                </c:pt>
                <c:pt idx="409">
                  <c:v>9.5510499999999965</c:v>
                </c:pt>
                <c:pt idx="410">
                  <c:v>9.5669499999999985</c:v>
                </c:pt>
                <c:pt idx="411">
                  <c:v>9.5745999999999967</c:v>
                </c:pt>
                <c:pt idx="412">
                  <c:v>9.5728999999999989</c:v>
                </c:pt>
                <c:pt idx="413">
                  <c:v>9.5850999999999988</c:v>
                </c:pt>
                <c:pt idx="414">
                  <c:v>9.5881000000000007</c:v>
                </c:pt>
                <c:pt idx="415">
                  <c:v>9.5929000000000002</c:v>
                </c:pt>
                <c:pt idx="416">
                  <c:v>9.6080500000000004</c:v>
                </c:pt>
                <c:pt idx="417">
                  <c:v>9.6336499999999994</c:v>
                </c:pt>
                <c:pt idx="418">
                  <c:v>9.6624999999999979</c:v>
                </c:pt>
                <c:pt idx="419">
                  <c:v>9.6825500000000009</c:v>
                </c:pt>
                <c:pt idx="420">
                  <c:v>9.6975499999999979</c:v>
                </c:pt>
                <c:pt idx="421">
                  <c:v>9.7294499999999999</c:v>
                </c:pt>
                <c:pt idx="422">
                  <c:v>9.7524499999999996</c:v>
                </c:pt>
                <c:pt idx="423">
                  <c:v>9.766</c:v>
                </c:pt>
                <c:pt idx="424">
                  <c:v>9.7721999999999998</c:v>
                </c:pt>
                <c:pt idx="425">
                  <c:v>9.7602499999999992</c:v>
                </c:pt>
                <c:pt idx="426">
                  <c:v>9.7476000000000003</c:v>
                </c:pt>
                <c:pt idx="427">
                  <c:v>9.7409000000000017</c:v>
                </c:pt>
                <c:pt idx="428">
                  <c:v>9.7295499999999997</c:v>
                </c:pt>
                <c:pt idx="429">
                  <c:v>9.7157999999999998</c:v>
                </c:pt>
                <c:pt idx="430">
                  <c:v>9.7110000000000003</c:v>
                </c:pt>
                <c:pt idx="431">
                  <c:v>9.7053499999999993</c:v>
                </c:pt>
                <c:pt idx="432">
                  <c:v>9.7042500000000018</c:v>
                </c:pt>
                <c:pt idx="433">
                  <c:v>9.6943999999999999</c:v>
                </c:pt>
                <c:pt idx="434">
                  <c:v>9.6778499999999976</c:v>
                </c:pt>
                <c:pt idx="435">
                  <c:v>9.6823000000000015</c:v>
                </c:pt>
                <c:pt idx="436">
                  <c:v>9.6816500000000012</c:v>
                </c:pt>
                <c:pt idx="437">
                  <c:v>9.6943000000000019</c:v>
                </c:pt>
                <c:pt idx="438">
                  <c:v>9.6969000000000012</c:v>
                </c:pt>
                <c:pt idx="439">
                  <c:v>9.6897500000000001</c:v>
                </c:pt>
                <c:pt idx="440">
                  <c:v>9.6788500000000006</c:v>
                </c:pt>
                <c:pt idx="441">
                  <c:v>9.6755000000000013</c:v>
                </c:pt>
                <c:pt idx="442">
                  <c:v>9.6769999999999996</c:v>
                </c:pt>
                <c:pt idx="443">
                  <c:v>9.6836500000000019</c:v>
                </c:pt>
                <c:pt idx="444">
                  <c:v>9.6959499999999998</c:v>
                </c:pt>
                <c:pt idx="445">
                  <c:v>9.7070999999999987</c:v>
                </c:pt>
                <c:pt idx="446">
                  <c:v>9.7134</c:v>
                </c:pt>
                <c:pt idx="447">
                  <c:v>9.7249999999999996</c:v>
                </c:pt>
                <c:pt idx="448">
                  <c:v>9.7201500000000003</c:v>
                </c:pt>
                <c:pt idx="449">
                  <c:v>9.7205499999999994</c:v>
                </c:pt>
                <c:pt idx="450">
                  <c:v>9.7129999999999992</c:v>
                </c:pt>
                <c:pt idx="451">
                  <c:v>9.7022499999999994</c:v>
                </c:pt>
                <c:pt idx="452">
                  <c:v>9.6835500000000003</c:v>
                </c:pt>
                <c:pt idx="453">
                  <c:v>9.6667000000000023</c:v>
                </c:pt>
                <c:pt idx="454">
                  <c:v>9.6776000000000018</c:v>
                </c:pt>
                <c:pt idx="455">
                  <c:v>9.6671500000000012</c:v>
                </c:pt>
                <c:pt idx="456">
                  <c:v>9.6499500000000005</c:v>
                </c:pt>
                <c:pt idx="457">
                  <c:v>9.6099500000000013</c:v>
                </c:pt>
                <c:pt idx="458">
                  <c:v>9.5663499999999999</c:v>
                </c:pt>
                <c:pt idx="459">
                  <c:v>9.5417000000000005</c:v>
                </c:pt>
                <c:pt idx="460">
                  <c:v>9.492799999999999</c:v>
                </c:pt>
                <c:pt idx="461">
                  <c:v>9.4647499999999987</c:v>
                </c:pt>
                <c:pt idx="462">
                  <c:v>9.4521499999999996</c:v>
                </c:pt>
                <c:pt idx="463">
                  <c:v>9.44895</c:v>
                </c:pt>
                <c:pt idx="464">
                  <c:v>9.4130000000000003</c:v>
                </c:pt>
                <c:pt idx="465">
                  <c:v>9.3840000000000003</c:v>
                </c:pt>
                <c:pt idx="466">
                  <c:v>9.3712999999999997</c:v>
                </c:pt>
                <c:pt idx="467">
                  <c:v>9.3537499999999998</c:v>
                </c:pt>
                <c:pt idx="468">
                  <c:v>9.406900000000002</c:v>
                </c:pt>
                <c:pt idx="469">
                  <c:v>9.4345000000000017</c:v>
                </c:pt>
                <c:pt idx="470">
                  <c:v>9.489650000000001</c:v>
                </c:pt>
                <c:pt idx="471">
                  <c:v>9.592550000000001</c:v>
                </c:pt>
                <c:pt idx="472">
                  <c:v>9.7093500000000006</c:v>
                </c:pt>
                <c:pt idx="473">
                  <c:v>9.8222500000000004</c:v>
                </c:pt>
                <c:pt idx="474">
                  <c:v>9.9374000000000002</c:v>
                </c:pt>
                <c:pt idx="475">
                  <c:v>10.053000000000001</c:v>
                </c:pt>
                <c:pt idx="476">
                  <c:v>10.160850000000002</c:v>
                </c:pt>
                <c:pt idx="477">
                  <c:v>10.283300000000002</c:v>
                </c:pt>
                <c:pt idx="478">
                  <c:v>10.427200000000003</c:v>
                </c:pt>
                <c:pt idx="479">
                  <c:v>10.551450000000003</c:v>
                </c:pt>
                <c:pt idx="480">
                  <c:v>10.689150000000001</c:v>
                </c:pt>
                <c:pt idx="481">
                  <c:v>10.795750000000002</c:v>
                </c:pt>
                <c:pt idx="482">
                  <c:v>10.884600000000001</c:v>
                </c:pt>
                <c:pt idx="483">
                  <c:v>10.971950000000001</c:v>
                </c:pt>
                <c:pt idx="484">
                  <c:v>11.089200000000002</c:v>
                </c:pt>
                <c:pt idx="485">
                  <c:v>11.2165</c:v>
                </c:pt>
                <c:pt idx="486">
                  <c:v>11.335550000000001</c:v>
                </c:pt>
                <c:pt idx="487">
                  <c:v>11.4259</c:v>
                </c:pt>
                <c:pt idx="488">
                  <c:v>11.474399999999997</c:v>
                </c:pt>
                <c:pt idx="489">
                  <c:v>11.535499999999999</c:v>
                </c:pt>
                <c:pt idx="490">
                  <c:v>11.568999999999999</c:v>
                </c:pt>
                <c:pt idx="491">
                  <c:v>11.578299999999997</c:v>
                </c:pt>
                <c:pt idx="492">
                  <c:v>11.579899999999999</c:v>
                </c:pt>
                <c:pt idx="493">
                  <c:v>11.577099999999998</c:v>
                </c:pt>
                <c:pt idx="494">
                  <c:v>11.5565</c:v>
                </c:pt>
                <c:pt idx="495">
                  <c:v>11.5496</c:v>
                </c:pt>
                <c:pt idx="496">
                  <c:v>11.550099999999999</c:v>
                </c:pt>
                <c:pt idx="497">
                  <c:v>11.583</c:v>
                </c:pt>
                <c:pt idx="498">
                  <c:v>11.603399999999999</c:v>
                </c:pt>
                <c:pt idx="499">
                  <c:v>11.639799999999997</c:v>
                </c:pt>
                <c:pt idx="500">
                  <c:v>11.692099999999998</c:v>
                </c:pt>
                <c:pt idx="501">
                  <c:v>11.725299999999999</c:v>
                </c:pt>
                <c:pt idx="502">
                  <c:v>11.749999999999998</c:v>
                </c:pt>
                <c:pt idx="503">
                  <c:v>11.768999999999998</c:v>
                </c:pt>
                <c:pt idx="504">
                  <c:v>11.783199999999997</c:v>
                </c:pt>
                <c:pt idx="505">
                  <c:v>11.788299999999998</c:v>
                </c:pt>
                <c:pt idx="506">
                  <c:v>11.782999999999999</c:v>
                </c:pt>
                <c:pt idx="507">
                  <c:v>11.812299999999999</c:v>
                </c:pt>
                <c:pt idx="508">
                  <c:v>11.831599999999998</c:v>
                </c:pt>
                <c:pt idx="509">
                  <c:v>11.853199999999998</c:v>
                </c:pt>
                <c:pt idx="510">
                  <c:v>11.870799999999999</c:v>
                </c:pt>
                <c:pt idx="511">
                  <c:v>11.879789473684209</c:v>
                </c:pt>
                <c:pt idx="512">
                  <c:v>11.891555555555556</c:v>
                </c:pt>
                <c:pt idx="513">
                  <c:v>11.912823529411765</c:v>
                </c:pt>
                <c:pt idx="514">
                  <c:v>11.947624999999999</c:v>
                </c:pt>
                <c:pt idx="515">
                  <c:v>11.975466666666666</c:v>
                </c:pt>
                <c:pt idx="516">
                  <c:v>12.012571428571425</c:v>
                </c:pt>
                <c:pt idx="517">
                  <c:v>11.994307692307691</c:v>
                </c:pt>
                <c:pt idx="518">
                  <c:v>11.9765</c:v>
                </c:pt>
                <c:pt idx="519">
                  <c:v>11.949090909090909</c:v>
                </c:pt>
                <c:pt idx="520">
                  <c:v>11.91</c:v>
                </c:pt>
                <c:pt idx="521">
                  <c:v>11.885333333333332</c:v>
                </c:pt>
                <c:pt idx="522">
                  <c:v>11.88175</c:v>
                </c:pt>
                <c:pt idx="523">
                  <c:v>11.868285714285715</c:v>
                </c:pt>
                <c:pt idx="524">
                  <c:v>11.860333333333335</c:v>
                </c:pt>
                <c:pt idx="525">
                  <c:v>11.836</c:v>
                </c:pt>
                <c:pt idx="526">
                  <c:v>11.8565</c:v>
                </c:pt>
                <c:pt idx="527">
                  <c:v>11.81</c:v>
                </c:pt>
                <c:pt idx="528">
                  <c:v>11.745999999999999</c:v>
                </c:pt>
                <c:pt idx="529">
                  <c:v>11.69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6A-43B8-A7C0-D2D446302E8D}"/>
            </c:ext>
          </c:extLst>
        </c:ser>
        <c:ser>
          <c:idx val="2"/>
          <c:order val="2"/>
          <c:tx>
            <c:v>Moyenne 40 premiers 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'Deutch bank'!$J$2:$J$531</c:f>
              <c:numCache>
                <c:formatCode>General</c:formatCode>
                <c:ptCount val="530"/>
                <c:pt idx="0">
                  <c:v>17.842749999999999</c:v>
                </c:pt>
                <c:pt idx="1">
                  <c:v>17.790649999999999</c:v>
                </c:pt>
                <c:pt idx="2">
                  <c:v>17.746850000000002</c:v>
                </c:pt>
                <c:pt idx="3">
                  <c:v>17.705349999999999</c:v>
                </c:pt>
                <c:pt idx="4">
                  <c:v>17.661899999999999</c:v>
                </c:pt>
                <c:pt idx="5">
                  <c:v>17.619</c:v>
                </c:pt>
                <c:pt idx="6">
                  <c:v>17.584299999999999</c:v>
                </c:pt>
                <c:pt idx="7">
                  <c:v>17.547050000000002</c:v>
                </c:pt>
                <c:pt idx="8">
                  <c:v>17.4954</c:v>
                </c:pt>
                <c:pt idx="9">
                  <c:v>17.423749999999998</c:v>
                </c:pt>
                <c:pt idx="10">
                  <c:v>17.345199999999998</c:v>
                </c:pt>
                <c:pt idx="11">
                  <c:v>17.243449999999999</c:v>
                </c:pt>
                <c:pt idx="12">
                  <c:v>17.151</c:v>
                </c:pt>
                <c:pt idx="13">
                  <c:v>17.069800000000001</c:v>
                </c:pt>
                <c:pt idx="14">
                  <c:v>16.982350000000004</c:v>
                </c:pt>
                <c:pt idx="15">
                  <c:v>16.90635</c:v>
                </c:pt>
                <c:pt idx="16">
                  <c:v>16.83455</c:v>
                </c:pt>
                <c:pt idx="17">
                  <c:v>16.763399999999997</c:v>
                </c:pt>
                <c:pt idx="18">
                  <c:v>16.697849999999999</c:v>
                </c:pt>
                <c:pt idx="19">
                  <c:v>16.636449999999996</c:v>
                </c:pt>
                <c:pt idx="20">
                  <c:v>16.579150000000002</c:v>
                </c:pt>
                <c:pt idx="21">
                  <c:v>16.514250000000001</c:v>
                </c:pt>
                <c:pt idx="22">
                  <c:v>16.469650000000001</c:v>
                </c:pt>
                <c:pt idx="23">
                  <c:v>16.447400000000002</c:v>
                </c:pt>
                <c:pt idx="24">
                  <c:v>16.408050000000006</c:v>
                </c:pt>
                <c:pt idx="25">
                  <c:v>16.379300000000001</c:v>
                </c:pt>
                <c:pt idx="26">
                  <c:v>16.362900000000003</c:v>
                </c:pt>
                <c:pt idx="27">
                  <c:v>16.339100000000009</c:v>
                </c:pt>
                <c:pt idx="28">
                  <c:v>16.307650000000006</c:v>
                </c:pt>
                <c:pt idx="29">
                  <c:v>16.278850000000009</c:v>
                </c:pt>
                <c:pt idx="30">
                  <c:v>16.249250000000011</c:v>
                </c:pt>
                <c:pt idx="31">
                  <c:v>16.22075000000001</c:v>
                </c:pt>
                <c:pt idx="32">
                  <c:v>16.200600000000005</c:v>
                </c:pt>
                <c:pt idx="33">
                  <c:v>16.189150000000005</c:v>
                </c:pt>
                <c:pt idx="34">
                  <c:v>16.174800000000008</c:v>
                </c:pt>
                <c:pt idx="35">
                  <c:v>16.154800000000005</c:v>
                </c:pt>
                <c:pt idx="36">
                  <c:v>16.136400000000005</c:v>
                </c:pt>
                <c:pt idx="37">
                  <c:v>16.124500000000005</c:v>
                </c:pt>
                <c:pt idx="38">
                  <c:v>16.098700000000001</c:v>
                </c:pt>
                <c:pt idx="39">
                  <c:v>16.077300000000001</c:v>
                </c:pt>
                <c:pt idx="40">
                  <c:v>16.057350000000003</c:v>
                </c:pt>
                <c:pt idx="41">
                  <c:v>16.03425</c:v>
                </c:pt>
                <c:pt idx="42">
                  <c:v>16.006149999999998</c:v>
                </c:pt>
                <c:pt idx="43">
                  <c:v>15.993349999999998</c:v>
                </c:pt>
                <c:pt idx="44">
                  <c:v>15.97845</c:v>
                </c:pt>
                <c:pt idx="45">
                  <c:v>15.956700000000001</c:v>
                </c:pt>
                <c:pt idx="46">
                  <c:v>15.93965</c:v>
                </c:pt>
                <c:pt idx="47">
                  <c:v>15.916700000000002</c:v>
                </c:pt>
                <c:pt idx="48">
                  <c:v>15.908900000000003</c:v>
                </c:pt>
                <c:pt idx="49">
                  <c:v>15.901450000000002</c:v>
                </c:pt>
                <c:pt idx="50">
                  <c:v>15.8916</c:v>
                </c:pt>
                <c:pt idx="51">
                  <c:v>15.890450000000001</c:v>
                </c:pt>
                <c:pt idx="52">
                  <c:v>15.885300000000001</c:v>
                </c:pt>
                <c:pt idx="53">
                  <c:v>15.880050000000002</c:v>
                </c:pt>
                <c:pt idx="54">
                  <c:v>15.880100000000002</c:v>
                </c:pt>
                <c:pt idx="55">
                  <c:v>15.867150000000001</c:v>
                </c:pt>
                <c:pt idx="56">
                  <c:v>15.850149999999999</c:v>
                </c:pt>
                <c:pt idx="57">
                  <c:v>15.834299999999995</c:v>
                </c:pt>
                <c:pt idx="58">
                  <c:v>15.809549999999996</c:v>
                </c:pt>
                <c:pt idx="59">
                  <c:v>15.787249999999997</c:v>
                </c:pt>
                <c:pt idx="60">
                  <c:v>15.770099999999994</c:v>
                </c:pt>
                <c:pt idx="61">
                  <c:v>15.754049999999996</c:v>
                </c:pt>
                <c:pt idx="62">
                  <c:v>15.733699999999999</c:v>
                </c:pt>
                <c:pt idx="63">
                  <c:v>15.6952</c:v>
                </c:pt>
                <c:pt idx="64">
                  <c:v>15.67285</c:v>
                </c:pt>
                <c:pt idx="65">
                  <c:v>15.630199999999999</c:v>
                </c:pt>
                <c:pt idx="66">
                  <c:v>15.576899999999998</c:v>
                </c:pt>
                <c:pt idx="67">
                  <c:v>15.536300000000001</c:v>
                </c:pt>
                <c:pt idx="68">
                  <c:v>15.517900000000001</c:v>
                </c:pt>
                <c:pt idx="69">
                  <c:v>15.4892</c:v>
                </c:pt>
                <c:pt idx="70">
                  <c:v>15.472300000000001</c:v>
                </c:pt>
                <c:pt idx="71">
                  <c:v>15.446800000000001</c:v>
                </c:pt>
                <c:pt idx="72">
                  <c:v>15.416550000000001</c:v>
                </c:pt>
                <c:pt idx="73">
                  <c:v>15.389150000000001</c:v>
                </c:pt>
                <c:pt idx="74">
                  <c:v>15.365950000000002</c:v>
                </c:pt>
                <c:pt idx="75">
                  <c:v>15.337899999999999</c:v>
                </c:pt>
                <c:pt idx="76">
                  <c:v>15.3005</c:v>
                </c:pt>
                <c:pt idx="77">
                  <c:v>15.260099999999998</c:v>
                </c:pt>
                <c:pt idx="78">
                  <c:v>15.22235</c:v>
                </c:pt>
                <c:pt idx="79">
                  <c:v>15.18465</c:v>
                </c:pt>
                <c:pt idx="80">
                  <c:v>15.145099999999999</c:v>
                </c:pt>
                <c:pt idx="81">
                  <c:v>15.093249999999998</c:v>
                </c:pt>
                <c:pt idx="82">
                  <c:v>15.043299999999997</c:v>
                </c:pt>
                <c:pt idx="83">
                  <c:v>14.9886</c:v>
                </c:pt>
                <c:pt idx="84">
                  <c:v>14.933149999999998</c:v>
                </c:pt>
                <c:pt idx="85">
                  <c:v>14.875999999999996</c:v>
                </c:pt>
                <c:pt idx="86">
                  <c:v>14.810399999999996</c:v>
                </c:pt>
                <c:pt idx="87">
                  <c:v>14.747599999999995</c:v>
                </c:pt>
                <c:pt idx="88">
                  <c:v>14.681149999999993</c:v>
                </c:pt>
                <c:pt idx="89">
                  <c:v>14.619049999999998</c:v>
                </c:pt>
                <c:pt idx="90">
                  <c:v>14.562299999999999</c:v>
                </c:pt>
                <c:pt idx="91">
                  <c:v>14.503050000000002</c:v>
                </c:pt>
                <c:pt idx="92">
                  <c:v>14.44035</c:v>
                </c:pt>
                <c:pt idx="93">
                  <c:v>14.373800000000003</c:v>
                </c:pt>
                <c:pt idx="94">
                  <c:v>14.314299999999999</c:v>
                </c:pt>
                <c:pt idx="95">
                  <c:v>14.27685</c:v>
                </c:pt>
                <c:pt idx="96">
                  <c:v>14.257300000000001</c:v>
                </c:pt>
                <c:pt idx="97">
                  <c:v>14.241099999999999</c:v>
                </c:pt>
                <c:pt idx="98">
                  <c:v>14.219250000000002</c:v>
                </c:pt>
                <c:pt idx="99">
                  <c:v>14.200500000000002</c:v>
                </c:pt>
                <c:pt idx="100">
                  <c:v>14.1805</c:v>
                </c:pt>
                <c:pt idx="101">
                  <c:v>14.166500000000003</c:v>
                </c:pt>
                <c:pt idx="102">
                  <c:v>14.18355</c:v>
                </c:pt>
                <c:pt idx="103">
                  <c:v>14.205350000000001</c:v>
                </c:pt>
                <c:pt idx="104">
                  <c:v>14.2149</c:v>
                </c:pt>
                <c:pt idx="105">
                  <c:v>14.24025</c:v>
                </c:pt>
                <c:pt idx="106">
                  <c:v>14.270000000000001</c:v>
                </c:pt>
                <c:pt idx="107">
                  <c:v>14.290450000000002</c:v>
                </c:pt>
                <c:pt idx="108">
                  <c:v>14.296050000000003</c:v>
                </c:pt>
                <c:pt idx="109">
                  <c:v>14.31195</c:v>
                </c:pt>
                <c:pt idx="110">
                  <c:v>14.321149999999998</c:v>
                </c:pt>
                <c:pt idx="111">
                  <c:v>14.344899999999999</c:v>
                </c:pt>
                <c:pt idx="112">
                  <c:v>14.366949999999997</c:v>
                </c:pt>
                <c:pt idx="113">
                  <c:v>14.384900000000002</c:v>
                </c:pt>
                <c:pt idx="114">
                  <c:v>14.407799999999998</c:v>
                </c:pt>
                <c:pt idx="115">
                  <c:v>14.437899999999996</c:v>
                </c:pt>
                <c:pt idx="116">
                  <c:v>14.464499999999997</c:v>
                </c:pt>
                <c:pt idx="117">
                  <c:v>14.477550000000003</c:v>
                </c:pt>
                <c:pt idx="118">
                  <c:v>14.49755</c:v>
                </c:pt>
                <c:pt idx="119">
                  <c:v>14.502750000000001</c:v>
                </c:pt>
                <c:pt idx="120">
                  <c:v>14.508050000000001</c:v>
                </c:pt>
                <c:pt idx="121">
                  <c:v>14.52455</c:v>
                </c:pt>
                <c:pt idx="122">
                  <c:v>14.543299999999999</c:v>
                </c:pt>
                <c:pt idx="123">
                  <c:v>14.560649999999999</c:v>
                </c:pt>
                <c:pt idx="124">
                  <c:v>14.571150000000003</c:v>
                </c:pt>
                <c:pt idx="125">
                  <c:v>14.594449999999998</c:v>
                </c:pt>
                <c:pt idx="126">
                  <c:v>14.627699999999999</c:v>
                </c:pt>
                <c:pt idx="127">
                  <c:v>14.661799999999999</c:v>
                </c:pt>
                <c:pt idx="128">
                  <c:v>14.695250000000001</c:v>
                </c:pt>
                <c:pt idx="129">
                  <c:v>14.723299999999998</c:v>
                </c:pt>
                <c:pt idx="130">
                  <c:v>14.759199999999996</c:v>
                </c:pt>
                <c:pt idx="131">
                  <c:v>14.807249999999996</c:v>
                </c:pt>
                <c:pt idx="132">
                  <c:v>14.856199999999998</c:v>
                </c:pt>
                <c:pt idx="133">
                  <c:v>14.917299999999997</c:v>
                </c:pt>
                <c:pt idx="134">
                  <c:v>14.970350000000002</c:v>
                </c:pt>
                <c:pt idx="135">
                  <c:v>15.002100000000002</c:v>
                </c:pt>
                <c:pt idx="136">
                  <c:v>15.016450000000003</c:v>
                </c:pt>
                <c:pt idx="137">
                  <c:v>15.026749999999998</c:v>
                </c:pt>
                <c:pt idx="138">
                  <c:v>15.0528</c:v>
                </c:pt>
                <c:pt idx="139">
                  <c:v>15.072999999999999</c:v>
                </c:pt>
                <c:pt idx="140">
                  <c:v>15.098199999999997</c:v>
                </c:pt>
                <c:pt idx="141">
                  <c:v>15.122149999999994</c:v>
                </c:pt>
                <c:pt idx="142">
                  <c:v>15.121749999999997</c:v>
                </c:pt>
                <c:pt idx="143">
                  <c:v>15.127749999999997</c:v>
                </c:pt>
                <c:pt idx="144">
                  <c:v>15.145599999999998</c:v>
                </c:pt>
                <c:pt idx="145">
                  <c:v>15.151900000000003</c:v>
                </c:pt>
                <c:pt idx="146">
                  <c:v>15.158850000000001</c:v>
                </c:pt>
                <c:pt idx="147">
                  <c:v>15.169900000000004</c:v>
                </c:pt>
                <c:pt idx="148">
                  <c:v>15.180700000000005</c:v>
                </c:pt>
                <c:pt idx="149">
                  <c:v>15.189000000000002</c:v>
                </c:pt>
                <c:pt idx="150">
                  <c:v>15.202500000000001</c:v>
                </c:pt>
                <c:pt idx="151">
                  <c:v>15.21815</c:v>
                </c:pt>
                <c:pt idx="152">
                  <c:v>15.233949999999998</c:v>
                </c:pt>
                <c:pt idx="153">
                  <c:v>15.2422</c:v>
                </c:pt>
                <c:pt idx="154">
                  <c:v>15.24755</c:v>
                </c:pt>
                <c:pt idx="155">
                  <c:v>15.2483</c:v>
                </c:pt>
                <c:pt idx="156">
                  <c:v>15.254700000000003</c:v>
                </c:pt>
                <c:pt idx="157">
                  <c:v>15.275300000000001</c:v>
                </c:pt>
                <c:pt idx="158">
                  <c:v>15.2803</c:v>
                </c:pt>
                <c:pt idx="159">
                  <c:v>15.28905</c:v>
                </c:pt>
                <c:pt idx="160">
                  <c:v>15.295449999999999</c:v>
                </c:pt>
                <c:pt idx="161">
                  <c:v>15.303999999999998</c:v>
                </c:pt>
                <c:pt idx="162">
                  <c:v>15.314899999999998</c:v>
                </c:pt>
                <c:pt idx="163">
                  <c:v>15.357150000000001</c:v>
                </c:pt>
                <c:pt idx="164">
                  <c:v>15.412150000000002</c:v>
                </c:pt>
                <c:pt idx="165">
                  <c:v>15.428599999999998</c:v>
                </c:pt>
                <c:pt idx="166">
                  <c:v>15.445749999999999</c:v>
                </c:pt>
                <c:pt idx="167">
                  <c:v>15.45815</c:v>
                </c:pt>
                <c:pt idx="168">
                  <c:v>15.465849999999994</c:v>
                </c:pt>
                <c:pt idx="169">
                  <c:v>15.475499999999993</c:v>
                </c:pt>
                <c:pt idx="170">
                  <c:v>15.474949999999996</c:v>
                </c:pt>
                <c:pt idx="171">
                  <c:v>15.461899999999995</c:v>
                </c:pt>
                <c:pt idx="172">
                  <c:v>15.459749999999994</c:v>
                </c:pt>
                <c:pt idx="173">
                  <c:v>15.447449999999995</c:v>
                </c:pt>
                <c:pt idx="174">
                  <c:v>15.429699999999997</c:v>
                </c:pt>
                <c:pt idx="175">
                  <c:v>15.422000000000001</c:v>
                </c:pt>
                <c:pt idx="176">
                  <c:v>15.411850000000001</c:v>
                </c:pt>
                <c:pt idx="177">
                  <c:v>15.408550000000002</c:v>
                </c:pt>
                <c:pt idx="178">
                  <c:v>15.393550000000005</c:v>
                </c:pt>
                <c:pt idx="179">
                  <c:v>15.387200000000002</c:v>
                </c:pt>
                <c:pt idx="180">
                  <c:v>15.373249999999999</c:v>
                </c:pt>
                <c:pt idx="181">
                  <c:v>15.354049999999997</c:v>
                </c:pt>
                <c:pt idx="182">
                  <c:v>15.32695</c:v>
                </c:pt>
                <c:pt idx="183">
                  <c:v>15.299499999999998</c:v>
                </c:pt>
                <c:pt idx="184">
                  <c:v>15.26215</c:v>
                </c:pt>
                <c:pt idx="185">
                  <c:v>15.227149999999998</c:v>
                </c:pt>
                <c:pt idx="186">
                  <c:v>15.194049999999999</c:v>
                </c:pt>
                <c:pt idx="187">
                  <c:v>15.154950000000003</c:v>
                </c:pt>
                <c:pt idx="188">
                  <c:v>15.10375</c:v>
                </c:pt>
                <c:pt idx="189">
                  <c:v>15.05625</c:v>
                </c:pt>
                <c:pt idx="190">
                  <c:v>14.997499999999999</c:v>
                </c:pt>
                <c:pt idx="191">
                  <c:v>14.9368</c:v>
                </c:pt>
                <c:pt idx="192">
                  <c:v>14.874549999999999</c:v>
                </c:pt>
                <c:pt idx="193">
                  <c:v>14.819100000000001</c:v>
                </c:pt>
                <c:pt idx="194">
                  <c:v>14.762549999999999</c:v>
                </c:pt>
                <c:pt idx="195">
                  <c:v>14.690299999999999</c:v>
                </c:pt>
                <c:pt idx="196">
                  <c:v>14.610399999999998</c:v>
                </c:pt>
                <c:pt idx="197">
                  <c:v>14.527099999999999</c:v>
                </c:pt>
                <c:pt idx="198">
                  <c:v>14.450999999999999</c:v>
                </c:pt>
                <c:pt idx="199">
                  <c:v>14.385349999999999</c:v>
                </c:pt>
                <c:pt idx="200">
                  <c:v>14.324250000000001</c:v>
                </c:pt>
                <c:pt idx="201">
                  <c:v>14.26315</c:v>
                </c:pt>
                <c:pt idx="202">
                  <c:v>14.194599999999998</c:v>
                </c:pt>
                <c:pt idx="203">
                  <c:v>14.091199999999997</c:v>
                </c:pt>
                <c:pt idx="204">
                  <c:v>13.984300000000001</c:v>
                </c:pt>
                <c:pt idx="205">
                  <c:v>13.90685</c:v>
                </c:pt>
                <c:pt idx="206">
                  <c:v>13.831699999999998</c:v>
                </c:pt>
                <c:pt idx="207">
                  <c:v>13.758999999999997</c:v>
                </c:pt>
                <c:pt idx="208">
                  <c:v>13.684999999999999</c:v>
                </c:pt>
                <c:pt idx="209">
                  <c:v>13.613849999999999</c:v>
                </c:pt>
                <c:pt idx="210">
                  <c:v>13.551149999999998</c:v>
                </c:pt>
                <c:pt idx="211">
                  <c:v>13.489749999999997</c:v>
                </c:pt>
                <c:pt idx="212">
                  <c:v>13.422300000000002</c:v>
                </c:pt>
                <c:pt idx="213">
                  <c:v>13.350849999999999</c:v>
                </c:pt>
                <c:pt idx="214">
                  <c:v>13.283099999999999</c:v>
                </c:pt>
                <c:pt idx="215">
                  <c:v>13.206049999999999</c:v>
                </c:pt>
                <c:pt idx="216">
                  <c:v>13.130950000000002</c:v>
                </c:pt>
                <c:pt idx="217">
                  <c:v>13.048950000000001</c:v>
                </c:pt>
                <c:pt idx="218">
                  <c:v>12.969950000000003</c:v>
                </c:pt>
                <c:pt idx="219">
                  <c:v>12.902849999999997</c:v>
                </c:pt>
                <c:pt idx="220">
                  <c:v>12.8429</c:v>
                </c:pt>
                <c:pt idx="221">
                  <c:v>12.79935</c:v>
                </c:pt>
                <c:pt idx="222">
                  <c:v>12.74455</c:v>
                </c:pt>
                <c:pt idx="223">
                  <c:v>12.680100000000001</c:v>
                </c:pt>
                <c:pt idx="224">
                  <c:v>12.626850000000001</c:v>
                </c:pt>
                <c:pt idx="225">
                  <c:v>12.572600000000003</c:v>
                </c:pt>
                <c:pt idx="226">
                  <c:v>12.520150000000003</c:v>
                </c:pt>
                <c:pt idx="227">
                  <c:v>12.47245</c:v>
                </c:pt>
                <c:pt idx="228">
                  <c:v>12.435599999999999</c:v>
                </c:pt>
                <c:pt idx="229">
                  <c:v>12.3919</c:v>
                </c:pt>
                <c:pt idx="230">
                  <c:v>12.35275</c:v>
                </c:pt>
                <c:pt idx="231">
                  <c:v>12.307350000000001</c:v>
                </c:pt>
                <c:pt idx="232">
                  <c:v>12.2666</c:v>
                </c:pt>
                <c:pt idx="233">
                  <c:v>12.2227</c:v>
                </c:pt>
                <c:pt idx="234">
                  <c:v>12.1792</c:v>
                </c:pt>
                <c:pt idx="235">
                  <c:v>12.152399999999998</c:v>
                </c:pt>
                <c:pt idx="236">
                  <c:v>12.13355</c:v>
                </c:pt>
                <c:pt idx="237">
                  <c:v>12.120749999999999</c:v>
                </c:pt>
                <c:pt idx="238">
                  <c:v>12.125449999999999</c:v>
                </c:pt>
                <c:pt idx="239">
                  <c:v>12.127149999999999</c:v>
                </c:pt>
                <c:pt idx="240">
                  <c:v>12.130049999999997</c:v>
                </c:pt>
                <c:pt idx="241">
                  <c:v>12.130099999999997</c:v>
                </c:pt>
                <c:pt idx="242">
                  <c:v>12.134049999999997</c:v>
                </c:pt>
                <c:pt idx="243">
                  <c:v>12.130399999999998</c:v>
                </c:pt>
                <c:pt idx="244">
                  <c:v>12.132849999999996</c:v>
                </c:pt>
                <c:pt idx="245">
                  <c:v>12.134399999999998</c:v>
                </c:pt>
                <c:pt idx="246">
                  <c:v>12.132399999999999</c:v>
                </c:pt>
                <c:pt idx="247">
                  <c:v>12.136099999999995</c:v>
                </c:pt>
                <c:pt idx="248">
                  <c:v>12.145749999999998</c:v>
                </c:pt>
                <c:pt idx="249">
                  <c:v>12.153999999999996</c:v>
                </c:pt>
                <c:pt idx="250">
                  <c:v>12.161499999999997</c:v>
                </c:pt>
                <c:pt idx="251">
                  <c:v>12.162999999999993</c:v>
                </c:pt>
                <c:pt idx="252">
                  <c:v>12.162399999999995</c:v>
                </c:pt>
                <c:pt idx="253">
                  <c:v>12.166649999999997</c:v>
                </c:pt>
                <c:pt idx="254">
                  <c:v>12.168999999999999</c:v>
                </c:pt>
                <c:pt idx="255">
                  <c:v>12.167999999999997</c:v>
                </c:pt>
                <c:pt idx="256">
                  <c:v>12.176249999999998</c:v>
                </c:pt>
                <c:pt idx="257">
                  <c:v>12.183449999999997</c:v>
                </c:pt>
                <c:pt idx="258">
                  <c:v>12.188999999999997</c:v>
                </c:pt>
                <c:pt idx="259">
                  <c:v>12.170949999999996</c:v>
                </c:pt>
                <c:pt idx="260">
                  <c:v>12.150849999999998</c:v>
                </c:pt>
                <c:pt idx="261">
                  <c:v>12.119449999999997</c:v>
                </c:pt>
                <c:pt idx="262">
                  <c:v>12.097949999999997</c:v>
                </c:pt>
                <c:pt idx="263">
                  <c:v>12.085099999999997</c:v>
                </c:pt>
                <c:pt idx="264">
                  <c:v>12.068249999999997</c:v>
                </c:pt>
                <c:pt idx="265">
                  <c:v>12.050649999999997</c:v>
                </c:pt>
                <c:pt idx="266">
                  <c:v>12.025899999999996</c:v>
                </c:pt>
                <c:pt idx="267">
                  <c:v>12.0002</c:v>
                </c:pt>
                <c:pt idx="268">
                  <c:v>11.973649999999997</c:v>
                </c:pt>
                <c:pt idx="269">
                  <c:v>11.951799999999997</c:v>
                </c:pt>
                <c:pt idx="270">
                  <c:v>11.931199999999999</c:v>
                </c:pt>
                <c:pt idx="271">
                  <c:v>11.915649999999998</c:v>
                </c:pt>
                <c:pt idx="272">
                  <c:v>11.900099999999998</c:v>
                </c:pt>
                <c:pt idx="273">
                  <c:v>11.883699999999997</c:v>
                </c:pt>
                <c:pt idx="274">
                  <c:v>11.858949999999997</c:v>
                </c:pt>
                <c:pt idx="275">
                  <c:v>11.833499999999997</c:v>
                </c:pt>
                <c:pt idx="276">
                  <c:v>11.800349999999998</c:v>
                </c:pt>
                <c:pt idx="277">
                  <c:v>11.760499999999997</c:v>
                </c:pt>
                <c:pt idx="278">
                  <c:v>11.704149999999997</c:v>
                </c:pt>
                <c:pt idx="279">
                  <c:v>11.650249999999996</c:v>
                </c:pt>
                <c:pt idx="280">
                  <c:v>11.595849999999997</c:v>
                </c:pt>
                <c:pt idx="281">
                  <c:v>11.544749999999997</c:v>
                </c:pt>
                <c:pt idx="282">
                  <c:v>11.497399999999999</c:v>
                </c:pt>
                <c:pt idx="283">
                  <c:v>11.457649999999997</c:v>
                </c:pt>
                <c:pt idx="284">
                  <c:v>11.4109</c:v>
                </c:pt>
                <c:pt idx="285">
                  <c:v>11.363349999999999</c:v>
                </c:pt>
                <c:pt idx="286">
                  <c:v>11.314499999999999</c:v>
                </c:pt>
                <c:pt idx="287">
                  <c:v>11.264700000000001</c:v>
                </c:pt>
                <c:pt idx="288">
                  <c:v>11.215350000000001</c:v>
                </c:pt>
                <c:pt idx="289">
                  <c:v>11.167750000000002</c:v>
                </c:pt>
                <c:pt idx="290">
                  <c:v>11.117300000000002</c:v>
                </c:pt>
                <c:pt idx="291">
                  <c:v>11.053774999999998</c:v>
                </c:pt>
                <c:pt idx="292">
                  <c:v>10.994425</c:v>
                </c:pt>
                <c:pt idx="293">
                  <c:v>10.930125</c:v>
                </c:pt>
                <c:pt idx="294">
                  <c:v>10.874599999999999</c:v>
                </c:pt>
                <c:pt idx="295">
                  <c:v>10.82395</c:v>
                </c:pt>
                <c:pt idx="296">
                  <c:v>10.7775</c:v>
                </c:pt>
                <c:pt idx="297">
                  <c:v>10.733250000000002</c:v>
                </c:pt>
                <c:pt idx="298">
                  <c:v>10.686650000000002</c:v>
                </c:pt>
                <c:pt idx="299">
                  <c:v>10.650250000000003</c:v>
                </c:pt>
                <c:pt idx="300">
                  <c:v>10.6126</c:v>
                </c:pt>
                <c:pt idx="301">
                  <c:v>10.578849999999999</c:v>
                </c:pt>
                <c:pt idx="302">
                  <c:v>10.53905</c:v>
                </c:pt>
                <c:pt idx="303">
                  <c:v>10.502849999999999</c:v>
                </c:pt>
                <c:pt idx="304">
                  <c:v>10.465925</c:v>
                </c:pt>
                <c:pt idx="305">
                  <c:v>10.4321</c:v>
                </c:pt>
                <c:pt idx="306">
                  <c:v>10.403124999999999</c:v>
                </c:pt>
                <c:pt idx="307">
                  <c:v>10.379724999999999</c:v>
                </c:pt>
                <c:pt idx="308">
                  <c:v>10.363424999999998</c:v>
                </c:pt>
                <c:pt idx="309">
                  <c:v>10.345124999999998</c:v>
                </c:pt>
                <c:pt idx="310">
                  <c:v>10.325774999999997</c:v>
                </c:pt>
                <c:pt idx="311">
                  <c:v>10.298474999999998</c:v>
                </c:pt>
                <c:pt idx="312">
                  <c:v>10.267374999999998</c:v>
                </c:pt>
                <c:pt idx="313">
                  <c:v>10.240874999999999</c:v>
                </c:pt>
                <c:pt idx="314">
                  <c:v>10.221024999999999</c:v>
                </c:pt>
                <c:pt idx="315">
                  <c:v>10.201774999999998</c:v>
                </c:pt>
                <c:pt idx="316">
                  <c:v>10.184974999999998</c:v>
                </c:pt>
                <c:pt idx="317">
                  <c:v>10.171174999999996</c:v>
                </c:pt>
                <c:pt idx="318">
                  <c:v>10.165024999999996</c:v>
                </c:pt>
                <c:pt idx="319">
                  <c:v>10.158874999999998</c:v>
                </c:pt>
                <c:pt idx="320">
                  <c:v>10.148374999999998</c:v>
                </c:pt>
                <c:pt idx="321">
                  <c:v>10.131175000000001</c:v>
                </c:pt>
                <c:pt idx="322">
                  <c:v>10.11145</c:v>
                </c:pt>
                <c:pt idx="323">
                  <c:v>10.08625</c:v>
                </c:pt>
                <c:pt idx="324">
                  <c:v>10.060549999999999</c:v>
                </c:pt>
                <c:pt idx="325">
                  <c:v>10.038275000000001</c:v>
                </c:pt>
                <c:pt idx="326">
                  <c:v>10.023375000000001</c:v>
                </c:pt>
                <c:pt idx="327">
                  <c:v>10.014625000000001</c:v>
                </c:pt>
                <c:pt idx="328">
                  <c:v>10.006575000000002</c:v>
                </c:pt>
                <c:pt idx="329">
                  <c:v>9.9983750000000011</c:v>
                </c:pt>
                <c:pt idx="330">
                  <c:v>9.9961750000000009</c:v>
                </c:pt>
                <c:pt idx="331">
                  <c:v>10.015400000000001</c:v>
                </c:pt>
                <c:pt idx="332">
                  <c:v>10.028350000000001</c:v>
                </c:pt>
                <c:pt idx="333">
                  <c:v>10.03755</c:v>
                </c:pt>
                <c:pt idx="334">
                  <c:v>10.041975000000003</c:v>
                </c:pt>
                <c:pt idx="335">
                  <c:v>10.042600000000002</c:v>
                </c:pt>
                <c:pt idx="336">
                  <c:v>10.036350000000002</c:v>
                </c:pt>
                <c:pt idx="337">
                  <c:v>10.027975000000001</c:v>
                </c:pt>
                <c:pt idx="338">
                  <c:v>10.025725000000003</c:v>
                </c:pt>
                <c:pt idx="339">
                  <c:v>10.020725000000002</c:v>
                </c:pt>
                <c:pt idx="340">
                  <c:v>10.013300000000005</c:v>
                </c:pt>
                <c:pt idx="341">
                  <c:v>10.005800000000004</c:v>
                </c:pt>
                <c:pt idx="342">
                  <c:v>10.00675</c:v>
                </c:pt>
                <c:pt idx="343">
                  <c:v>10.003475000000002</c:v>
                </c:pt>
                <c:pt idx="344">
                  <c:v>10.005050000000001</c:v>
                </c:pt>
                <c:pt idx="345">
                  <c:v>10.003725000000001</c:v>
                </c:pt>
                <c:pt idx="346">
                  <c:v>9.9982000000000006</c:v>
                </c:pt>
                <c:pt idx="347">
                  <c:v>9.9977499999999999</c:v>
                </c:pt>
                <c:pt idx="348">
                  <c:v>9.9879500000000014</c:v>
                </c:pt>
                <c:pt idx="349">
                  <c:v>9.9779999999999998</c:v>
                </c:pt>
                <c:pt idx="350">
                  <c:v>9.9639499999999988</c:v>
                </c:pt>
                <c:pt idx="351">
                  <c:v>9.9617499999999986</c:v>
                </c:pt>
                <c:pt idx="352">
                  <c:v>9.9626499999999982</c:v>
                </c:pt>
                <c:pt idx="353">
                  <c:v>9.96265</c:v>
                </c:pt>
                <c:pt idx="354">
                  <c:v>9.9652999999999974</c:v>
                </c:pt>
                <c:pt idx="355">
                  <c:v>9.9752999999999972</c:v>
                </c:pt>
                <c:pt idx="356">
                  <c:v>9.9841999999999977</c:v>
                </c:pt>
                <c:pt idx="357">
                  <c:v>9.9896999999999974</c:v>
                </c:pt>
                <c:pt idx="358">
                  <c:v>9.9883999999999968</c:v>
                </c:pt>
                <c:pt idx="359">
                  <c:v>9.9839499999999965</c:v>
                </c:pt>
                <c:pt idx="360">
                  <c:v>9.9823999999999966</c:v>
                </c:pt>
                <c:pt idx="361">
                  <c:v>9.9839499999999965</c:v>
                </c:pt>
                <c:pt idx="362">
                  <c:v>9.9839499999999983</c:v>
                </c:pt>
                <c:pt idx="363">
                  <c:v>9.982899999999999</c:v>
                </c:pt>
                <c:pt idx="364">
                  <c:v>9.9831249999999994</c:v>
                </c:pt>
                <c:pt idx="365">
                  <c:v>9.9799249999999997</c:v>
                </c:pt>
                <c:pt idx="366">
                  <c:v>9.9728499999999993</c:v>
                </c:pt>
                <c:pt idx="367">
                  <c:v>9.9570499999999988</c:v>
                </c:pt>
                <c:pt idx="368">
                  <c:v>9.9368500000000015</c:v>
                </c:pt>
                <c:pt idx="369">
                  <c:v>9.9126000000000012</c:v>
                </c:pt>
                <c:pt idx="370">
                  <c:v>9.8951999999999991</c:v>
                </c:pt>
                <c:pt idx="371">
                  <c:v>9.8792249999999964</c:v>
                </c:pt>
                <c:pt idx="372">
                  <c:v>9.869175000000002</c:v>
                </c:pt>
                <c:pt idx="373">
                  <c:v>9.8622249999999987</c:v>
                </c:pt>
                <c:pt idx="374">
                  <c:v>9.8520250000000011</c:v>
                </c:pt>
                <c:pt idx="375">
                  <c:v>9.8406999999999982</c:v>
                </c:pt>
                <c:pt idx="376">
                  <c:v>9.8287249999999986</c:v>
                </c:pt>
                <c:pt idx="377">
                  <c:v>9.8132499999999983</c:v>
                </c:pt>
                <c:pt idx="378">
                  <c:v>9.7956249999999976</c:v>
                </c:pt>
                <c:pt idx="379">
                  <c:v>9.7803749999999994</c:v>
                </c:pt>
                <c:pt idx="380">
                  <c:v>9.7696000000000005</c:v>
                </c:pt>
                <c:pt idx="381">
                  <c:v>9.7547500000000014</c:v>
                </c:pt>
                <c:pt idx="382">
                  <c:v>9.7404749999999982</c:v>
                </c:pt>
                <c:pt idx="383">
                  <c:v>9.7296750000000003</c:v>
                </c:pt>
                <c:pt idx="384">
                  <c:v>9.7202749999999991</c:v>
                </c:pt>
                <c:pt idx="385">
                  <c:v>9.7218750000000007</c:v>
                </c:pt>
                <c:pt idx="386">
                  <c:v>9.7256250000000026</c:v>
                </c:pt>
                <c:pt idx="387">
                  <c:v>9.7195750000000007</c:v>
                </c:pt>
                <c:pt idx="388">
                  <c:v>9.7142000000000017</c:v>
                </c:pt>
                <c:pt idx="389">
                  <c:v>9.7111750000000008</c:v>
                </c:pt>
                <c:pt idx="390">
                  <c:v>9.7119750000000025</c:v>
                </c:pt>
                <c:pt idx="391">
                  <c:v>9.7063250000000014</c:v>
                </c:pt>
                <c:pt idx="392">
                  <c:v>9.6967250000000007</c:v>
                </c:pt>
                <c:pt idx="393">
                  <c:v>9.6904750000000028</c:v>
                </c:pt>
                <c:pt idx="394">
                  <c:v>9.6749750000000017</c:v>
                </c:pt>
                <c:pt idx="395">
                  <c:v>9.6481250000000021</c:v>
                </c:pt>
                <c:pt idx="396">
                  <c:v>9.629075000000002</c:v>
                </c:pt>
                <c:pt idx="397">
                  <c:v>9.6144750000000023</c:v>
                </c:pt>
                <c:pt idx="398">
                  <c:v>9.6030750000000005</c:v>
                </c:pt>
                <c:pt idx="399">
                  <c:v>9.5926000000000009</c:v>
                </c:pt>
                <c:pt idx="400">
                  <c:v>9.5846499999999999</c:v>
                </c:pt>
                <c:pt idx="401">
                  <c:v>9.5863000000000014</c:v>
                </c:pt>
                <c:pt idx="402">
                  <c:v>9.5870000000000015</c:v>
                </c:pt>
                <c:pt idx="403">
                  <c:v>9.5912499999999987</c:v>
                </c:pt>
                <c:pt idx="404">
                  <c:v>9.5954250000000023</c:v>
                </c:pt>
                <c:pt idx="405">
                  <c:v>9.6016249999999985</c:v>
                </c:pt>
                <c:pt idx="406">
                  <c:v>9.6048749999999981</c:v>
                </c:pt>
                <c:pt idx="407">
                  <c:v>9.6122750000000003</c:v>
                </c:pt>
                <c:pt idx="408">
                  <c:v>9.6207749999999983</c:v>
                </c:pt>
                <c:pt idx="409">
                  <c:v>9.633424999999999</c:v>
                </c:pt>
                <c:pt idx="410">
                  <c:v>9.6389749999999985</c:v>
                </c:pt>
                <c:pt idx="411">
                  <c:v>9.639974999999998</c:v>
                </c:pt>
                <c:pt idx="412">
                  <c:v>9.6385749999999977</c:v>
                </c:pt>
                <c:pt idx="413">
                  <c:v>9.6397499999999958</c:v>
                </c:pt>
                <c:pt idx="414">
                  <c:v>9.6329749999999983</c:v>
                </c:pt>
                <c:pt idx="415">
                  <c:v>9.6375999999999991</c:v>
                </c:pt>
                <c:pt idx="416">
                  <c:v>9.6448499999999964</c:v>
                </c:pt>
                <c:pt idx="417">
                  <c:v>9.6639749999999989</c:v>
                </c:pt>
                <c:pt idx="418">
                  <c:v>9.6796999999999969</c:v>
                </c:pt>
                <c:pt idx="419">
                  <c:v>9.6861499999999978</c:v>
                </c:pt>
                <c:pt idx="420">
                  <c:v>9.6881999999999984</c:v>
                </c:pt>
                <c:pt idx="421">
                  <c:v>9.7024749999999997</c:v>
                </c:pt>
                <c:pt idx="422">
                  <c:v>9.7147249999999978</c:v>
                </c:pt>
                <c:pt idx="423">
                  <c:v>9.7248249999999974</c:v>
                </c:pt>
                <c:pt idx="424">
                  <c:v>9.7340749999999989</c:v>
                </c:pt>
                <c:pt idx="425">
                  <c:v>9.7336749999999999</c:v>
                </c:pt>
                <c:pt idx="426">
                  <c:v>9.7304999999999993</c:v>
                </c:pt>
                <c:pt idx="427">
                  <c:v>9.7329499999999989</c:v>
                </c:pt>
                <c:pt idx="428">
                  <c:v>9.7248499999999982</c:v>
                </c:pt>
                <c:pt idx="429">
                  <c:v>9.7181749999999987</c:v>
                </c:pt>
                <c:pt idx="430">
                  <c:v>9.7119999999999997</c:v>
                </c:pt>
                <c:pt idx="431">
                  <c:v>9.7037999999999993</c:v>
                </c:pt>
                <c:pt idx="432">
                  <c:v>9.6939000000000028</c:v>
                </c:pt>
                <c:pt idx="433">
                  <c:v>9.6805500000000002</c:v>
                </c:pt>
                <c:pt idx="434">
                  <c:v>9.6777249999999988</c:v>
                </c:pt>
                <c:pt idx="435">
                  <c:v>9.6747249999999987</c:v>
                </c:pt>
                <c:pt idx="436">
                  <c:v>9.6658000000000008</c:v>
                </c:pt>
                <c:pt idx="437">
                  <c:v>9.6521250000000016</c:v>
                </c:pt>
                <c:pt idx="438">
                  <c:v>9.6316249999999997</c:v>
                </c:pt>
                <c:pt idx="439">
                  <c:v>9.6157249999999994</c:v>
                </c:pt>
                <c:pt idx="440">
                  <c:v>9.5858249999999998</c:v>
                </c:pt>
                <c:pt idx="441">
                  <c:v>9.5701250000000009</c:v>
                </c:pt>
                <c:pt idx="442">
                  <c:v>9.5645750000000014</c:v>
                </c:pt>
                <c:pt idx="443">
                  <c:v>9.5663000000000018</c:v>
                </c:pt>
                <c:pt idx="444">
                  <c:v>9.5544750000000001</c:v>
                </c:pt>
                <c:pt idx="445">
                  <c:v>9.5455499999999986</c:v>
                </c:pt>
                <c:pt idx="446">
                  <c:v>9.542349999999999</c:v>
                </c:pt>
                <c:pt idx="447">
                  <c:v>9.5393749999999997</c:v>
                </c:pt>
                <c:pt idx="448">
                  <c:v>9.5635250000000021</c:v>
                </c:pt>
                <c:pt idx="449">
                  <c:v>9.5775250000000014</c:v>
                </c:pt>
                <c:pt idx="450">
                  <c:v>9.601325000000001</c:v>
                </c:pt>
                <c:pt idx="451">
                  <c:v>9.6474000000000011</c:v>
                </c:pt>
                <c:pt idx="452">
                  <c:v>9.6964500000000022</c:v>
                </c:pt>
                <c:pt idx="453">
                  <c:v>9.7444750000000031</c:v>
                </c:pt>
                <c:pt idx="454">
                  <c:v>9.807500000000001</c:v>
                </c:pt>
                <c:pt idx="455">
                  <c:v>9.8600750000000001</c:v>
                </c:pt>
                <c:pt idx="456">
                  <c:v>9.9054000000000038</c:v>
                </c:pt>
                <c:pt idx="457">
                  <c:v>9.9466250000000027</c:v>
                </c:pt>
                <c:pt idx="458">
                  <c:v>9.9967750000000013</c:v>
                </c:pt>
                <c:pt idx="459">
                  <c:v>10.046575000000004</c:v>
                </c:pt>
                <c:pt idx="460">
                  <c:v>10.090975000000004</c:v>
                </c:pt>
                <c:pt idx="461">
                  <c:v>10.130250000000002</c:v>
                </c:pt>
                <c:pt idx="462">
                  <c:v>10.168375000000003</c:v>
                </c:pt>
                <c:pt idx="463">
                  <c:v>10.210450000000003</c:v>
                </c:pt>
                <c:pt idx="464">
                  <c:v>10.251100000000001</c:v>
                </c:pt>
                <c:pt idx="465">
                  <c:v>10.300250000000002</c:v>
                </c:pt>
                <c:pt idx="466">
                  <c:v>10.353425000000003</c:v>
                </c:pt>
                <c:pt idx="467">
                  <c:v>10.389825000000002</c:v>
                </c:pt>
                <c:pt idx="468">
                  <c:v>10.440650000000003</c:v>
                </c:pt>
                <c:pt idx="469">
                  <c:v>10.485000000000003</c:v>
                </c:pt>
                <c:pt idx="470">
                  <c:v>10.529325000000004</c:v>
                </c:pt>
                <c:pt idx="471">
                  <c:v>10.585425000000004</c:v>
                </c:pt>
                <c:pt idx="472">
                  <c:v>10.644625000000003</c:v>
                </c:pt>
                <c:pt idx="473">
                  <c:v>10.699675000000003</c:v>
                </c:pt>
                <c:pt idx="474">
                  <c:v>10.746950000000002</c:v>
                </c:pt>
                <c:pt idx="475">
                  <c:v>10.801300000000003</c:v>
                </c:pt>
                <c:pt idx="476">
                  <c:v>10.855475000000004</c:v>
                </c:pt>
                <c:pt idx="477">
                  <c:v>10.933150000000003</c:v>
                </c:pt>
                <c:pt idx="478">
                  <c:v>11.015300000000002</c:v>
                </c:pt>
                <c:pt idx="479">
                  <c:v>11.095625000000002</c:v>
                </c:pt>
                <c:pt idx="480">
                  <c:v>11.190625000000001</c:v>
                </c:pt>
                <c:pt idx="481">
                  <c:v>11.260525000000003</c:v>
                </c:pt>
                <c:pt idx="482">
                  <c:v>11.317300000000001</c:v>
                </c:pt>
                <c:pt idx="483">
                  <c:v>11.370475000000003</c:v>
                </c:pt>
                <c:pt idx="484">
                  <c:v>11.436200000000001</c:v>
                </c:pt>
                <c:pt idx="485">
                  <c:v>11.5024</c:v>
                </c:pt>
                <c:pt idx="486">
                  <c:v>11.559275</c:v>
                </c:pt>
                <c:pt idx="487">
                  <c:v>11.6191</c:v>
                </c:pt>
                <c:pt idx="488">
                  <c:v>11.652999999999997</c:v>
                </c:pt>
                <c:pt idx="489">
                  <c:v>11.694349999999996</c:v>
                </c:pt>
                <c:pt idx="490">
                  <c:v>11.719899999999999</c:v>
                </c:pt>
                <c:pt idx="491">
                  <c:v>11.725179487179487</c:v>
                </c:pt>
                <c:pt idx="492">
                  <c:v>11.727526315789474</c:v>
                </c:pt>
                <c:pt idx="493">
                  <c:v>11.731351351351352</c:v>
                </c:pt>
                <c:pt idx="494">
                  <c:v>11.730333333333332</c:v>
                </c:pt>
                <c:pt idx="495">
                  <c:v>11.732114285714285</c:v>
                </c:pt>
                <c:pt idx="496">
                  <c:v>11.740529411764705</c:v>
                </c:pt>
                <c:pt idx="497">
                  <c:v>11.745030303030301</c:v>
                </c:pt>
                <c:pt idx="498">
                  <c:v>11.7433125</c:v>
                </c:pt>
                <c:pt idx="499">
                  <c:v>11.749548387096771</c:v>
                </c:pt>
                <c:pt idx="500">
                  <c:v>11.764733333333332</c:v>
                </c:pt>
                <c:pt idx="501">
                  <c:v>11.774965517241379</c:v>
                </c:pt>
                <c:pt idx="502">
                  <c:v>11.787642857142858</c:v>
                </c:pt>
                <c:pt idx="503">
                  <c:v>11.794740740740739</c:v>
                </c:pt>
                <c:pt idx="504">
                  <c:v>11.800999999999998</c:v>
                </c:pt>
                <c:pt idx="505">
                  <c:v>11.797839999999999</c:v>
                </c:pt>
                <c:pt idx="506">
                  <c:v>11.795250000000001</c:v>
                </c:pt>
                <c:pt idx="507">
                  <c:v>11.811999999999999</c:v>
                </c:pt>
                <c:pt idx="508">
                  <c:v>11.823818181818181</c:v>
                </c:pt>
                <c:pt idx="509">
                  <c:v>11.84542857142857</c:v>
                </c:pt>
                <c:pt idx="510">
                  <c:v>11.870799999999999</c:v>
                </c:pt>
                <c:pt idx="511">
                  <c:v>11.879789473684209</c:v>
                </c:pt>
                <c:pt idx="512">
                  <c:v>11.891555555555556</c:v>
                </c:pt>
                <c:pt idx="513">
                  <c:v>11.912823529411765</c:v>
                </c:pt>
                <c:pt idx="514">
                  <c:v>11.947624999999999</c:v>
                </c:pt>
                <c:pt idx="515">
                  <c:v>11.975466666666666</c:v>
                </c:pt>
                <c:pt idx="516">
                  <c:v>12.012571428571425</c:v>
                </c:pt>
                <c:pt idx="517">
                  <c:v>11.994307692307691</c:v>
                </c:pt>
                <c:pt idx="518">
                  <c:v>11.9765</c:v>
                </c:pt>
                <c:pt idx="519">
                  <c:v>11.949090909090909</c:v>
                </c:pt>
                <c:pt idx="520">
                  <c:v>11.91</c:v>
                </c:pt>
                <c:pt idx="521">
                  <c:v>11.885333333333332</c:v>
                </c:pt>
                <c:pt idx="522">
                  <c:v>11.88175</c:v>
                </c:pt>
                <c:pt idx="523">
                  <c:v>11.868285714285715</c:v>
                </c:pt>
                <c:pt idx="524">
                  <c:v>11.860333333333335</c:v>
                </c:pt>
                <c:pt idx="525">
                  <c:v>11.836</c:v>
                </c:pt>
                <c:pt idx="526">
                  <c:v>11.8565</c:v>
                </c:pt>
                <c:pt idx="527">
                  <c:v>11.81</c:v>
                </c:pt>
                <c:pt idx="528">
                  <c:v>11.745999999999999</c:v>
                </c:pt>
                <c:pt idx="529">
                  <c:v>11.69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6A-43B8-A7C0-D2D446302E8D}"/>
            </c:ext>
          </c:extLst>
        </c:ser>
        <c:ser>
          <c:idx val="3"/>
          <c:order val="3"/>
          <c:tx>
            <c:v>Bandes sup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'Deutch bank'!$AL$2:$AL$530</c:f>
              <c:numCache>
                <c:formatCode>General</c:formatCode>
                <c:ptCount val="529"/>
                <c:pt idx="0">
                  <c:v>23.905767854100887</c:v>
                </c:pt>
                <c:pt idx="1">
                  <c:v>23.838268142060556</c:v>
                </c:pt>
                <c:pt idx="2">
                  <c:v>23.756898417565132</c:v>
                </c:pt>
                <c:pt idx="3">
                  <c:v>23.661484698089694</c:v>
                </c:pt>
                <c:pt idx="4">
                  <c:v>23.565655873854389</c:v>
                </c:pt>
                <c:pt idx="5">
                  <c:v>23.467721424759429</c:v>
                </c:pt>
                <c:pt idx="6">
                  <c:v>23.384905559174406</c:v>
                </c:pt>
                <c:pt idx="7">
                  <c:v>23.297382441431846</c:v>
                </c:pt>
                <c:pt idx="8">
                  <c:v>23.211797741684244</c:v>
                </c:pt>
                <c:pt idx="9">
                  <c:v>23.093939820541657</c:v>
                </c:pt>
                <c:pt idx="10">
                  <c:v>22.970890699595273</c:v>
                </c:pt>
                <c:pt idx="11">
                  <c:v>22.808699499884543</c:v>
                </c:pt>
                <c:pt idx="12">
                  <c:v>22.655796549428715</c:v>
                </c:pt>
                <c:pt idx="13">
                  <c:v>22.507304350401245</c:v>
                </c:pt>
                <c:pt idx="14">
                  <c:v>22.35208623460052</c:v>
                </c:pt>
                <c:pt idx="15">
                  <c:v>22.214692973301165</c:v>
                </c:pt>
                <c:pt idx="16">
                  <c:v>22.108283535971722</c:v>
                </c:pt>
                <c:pt idx="17">
                  <c:v>21.997722114939691</c:v>
                </c:pt>
                <c:pt idx="18">
                  <c:v>21.902441390117815</c:v>
                </c:pt>
                <c:pt idx="19">
                  <c:v>21.817929631087203</c:v>
                </c:pt>
                <c:pt idx="20">
                  <c:v>21.744010143535416</c:v>
                </c:pt>
                <c:pt idx="21">
                  <c:v>21.674308535865137</c:v>
                </c:pt>
                <c:pt idx="22">
                  <c:v>21.635496929300071</c:v>
                </c:pt>
                <c:pt idx="23">
                  <c:v>21.615656357281907</c:v>
                </c:pt>
                <c:pt idx="24">
                  <c:v>21.592651210204043</c:v>
                </c:pt>
                <c:pt idx="25">
                  <c:v>21.573203163083203</c:v>
                </c:pt>
                <c:pt idx="26">
                  <c:v>21.555385526416249</c:v>
                </c:pt>
                <c:pt idx="27">
                  <c:v>21.537384992696907</c:v>
                </c:pt>
                <c:pt idx="28">
                  <c:v>21.488901210713053</c:v>
                </c:pt>
                <c:pt idx="29">
                  <c:v>21.433156751517586</c:v>
                </c:pt>
                <c:pt idx="30">
                  <c:v>21.369606563499303</c:v>
                </c:pt>
                <c:pt idx="31">
                  <c:v>21.299709598722085</c:v>
                </c:pt>
                <c:pt idx="32">
                  <c:v>21.24041397345048</c:v>
                </c:pt>
                <c:pt idx="33">
                  <c:v>21.200346140192188</c:v>
                </c:pt>
                <c:pt idx="34">
                  <c:v>21.15547112680283</c:v>
                </c:pt>
                <c:pt idx="35">
                  <c:v>21.116724583600931</c:v>
                </c:pt>
                <c:pt idx="36">
                  <c:v>21.056264528367212</c:v>
                </c:pt>
                <c:pt idx="37">
                  <c:v>21.002046419372963</c:v>
                </c:pt>
                <c:pt idx="38">
                  <c:v>20.944528413228674</c:v>
                </c:pt>
                <c:pt idx="39">
                  <c:v>20.885235634180152</c:v>
                </c:pt>
                <c:pt idx="40">
                  <c:v>20.824182426899853</c:v>
                </c:pt>
                <c:pt idx="41">
                  <c:v>20.744282881428923</c:v>
                </c:pt>
                <c:pt idx="42">
                  <c:v>20.674767646460683</c:v>
                </c:pt>
                <c:pt idx="43">
                  <c:v>20.631367409047478</c:v>
                </c:pt>
                <c:pt idx="44">
                  <c:v>20.557008460735457</c:v>
                </c:pt>
                <c:pt idx="45">
                  <c:v>20.500598754955078</c:v>
                </c:pt>
                <c:pt idx="46">
                  <c:v>20.467420931821874</c:v>
                </c:pt>
                <c:pt idx="47">
                  <c:v>20.419624092961044</c:v>
                </c:pt>
                <c:pt idx="48">
                  <c:v>20.387105080495139</c:v>
                </c:pt>
                <c:pt idx="49">
                  <c:v>20.367365784140645</c:v>
                </c:pt>
                <c:pt idx="50">
                  <c:v>20.354023691866736</c:v>
                </c:pt>
                <c:pt idx="51">
                  <c:v>20.349436743244631</c:v>
                </c:pt>
                <c:pt idx="52">
                  <c:v>20.351146281848006</c:v>
                </c:pt>
                <c:pt idx="53">
                  <c:v>20.351108193119682</c:v>
                </c:pt>
                <c:pt idx="54">
                  <c:v>20.35003084121</c:v>
                </c:pt>
                <c:pt idx="55">
                  <c:v>20.331518117184242</c:v>
                </c:pt>
                <c:pt idx="56">
                  <c:v>20.337985644442558</c:v>
                </c:pt>
                <c:pt idx="57">
                  <c:v>20.351262385644688</c:v>
                </c:pt>
                <c:pt idx="58">
                  <c:v>20.339996406057157</c:v>
                </c:pt>
                <c:pt idx="59">
                  <c:v>20.339452859320726</c:v>
                </c:pt>
                <c:pt idx="60">
                  <c:v>20.343654902019139</c:v>
                </c:pt>
                <c:pt idx="61">
                  <c:v>20.360465252551798</c:v>
                </c:pt>
                <c:pt idx="62">
                  <c:v>20.356988628230269</c:v>
                </c:pt>
                <c:pt idx="63">
                  <c:v>20.358164134282518</c:v>
                </c:pt>
                <c:pt idx="64">
                  <c:v>20.386054323862329</c:v>
                </c:pt>
                <c:pt idx="65">
                  <c:v>20.382256838748638</c:v>
                </c:pt>
                <c:pt idx="66">
                  <c:v>20.364697322876694</c:v>
                </c:pt>
                <c:pt idx="67">
                  <c:v>20.349975533567342</c:v>
                </c:pt>
                <c:pt idx="68">
                  <c:v>20.350368743547683</c:v>
                </c:pt>
                <c:pt idx="69">
                  <c:v>20.338560044216699</c:v>
                </c:pt>
                <c:pt idx="70">
                  <c:v>20.315438027699315</c:v>
                </c:pt>
                <c:pt idx="71">
                  <c:v>20.300887360510256</c:v>
                </c:pt>
                <c:pt idx="72">
                  <c:v>20.271841191629072</c:v>
                </c:pt>
                <c:pt idx="73">
                  <c:v>20.244210036267248</c:v>
                </c:pt>
                <c:pt idx="74">
                  <c:v>20.228083181955462</c:v>
                </c:pt>
                <c:pt idx="75">
                  <c:v>20.203170980456491</c:v>
                </c:pt>
                <c:pt idx="76">
                  <c:v>20.14514046240188</c:v>
                </c:pt>
                <c:pt idx="77">
                  <c:v>20.082650347942682</c:v>
                </c:pt>
                <c:pt idx="78">
                  <c:v>20.026937716988321</c:v>
                </c:pt>
                <c:pt idx="79">
                  <c:v>19.965553055260109</c:v>
                </c:pt>
                <c:pt idx="80">
                  <c:v>19.909842083895008</c:v>
                </c:pt>
                <c:pt idx="81">
                  <c:v>19.843764195454984</c:v>
                </c:pt>
                <c:pt idx="82">
                  <c:v>19.789399640974025</c:v>
                </c:pt>
                <c:pt idx="83">
                  <c:v>19.694163208041605</c:v>
                </c:pt>
                <c:pt idx="84">
                  <c:v>19.604858096085145</c:v>
                </c:pt>
                <c:pt idx="85">
                  <c:v>19.506739934558894</c:v>
                </c:pt>
                <c:pt idx="86">
                  <c:v>19.401469608922543</c:v>
                </c:pt>
                <c:pt idx="87">
                  <c:v>19.319292798244931</c:v>
                </c:pt>
                <c:pt idx="88">
                  <c:v>19.26674825408811</c:v>
                </c:pt>
                <c:pt idx="89">
                  <c:v>19.205837094595474</c:v>
                </c:pt>
                <c:pt idx="90">
                  <c:v>19.180015824578472</c:v>
                </c:pt>
                <c:pt idx="91">
                  <c:v>19.128454776478453</c:v>
                </c:pt>
                <c:pt idx="92">
                  <c:v>19.082023639637338</c:v>
                </c:pt>
                <c:pt idx="93">
                  <c:v>19.040090174076081</c:v>
                </c:pt>
                <c:pt idx="94">
                  <c:v>18.995226559625461</c:v>
                </c:pt>
                <c:pt idx="95">
                  <c:v>18.949552654223748</c:v>
                </c:pt>
                <c:pt idx="96">
                  <c:v>18.918474613613199</c:v>
                </c:pt>
                <c:pt idx="97">
                  <c:v>18.886201633521857</c:v>
                </c:pt>
                <c:pt idx="98">
                  <c:v>18.852842216289247</c:v>
                </c:pt>
                <c:pt idx="99">
                  <c:v>18.825604165596442</c:v>
                </c:pt>
                <c:pt idx="100">
                  <c:v>18.789350441084231</c:v>
                </c:pt>
                <c:pt idx="101">
                  <c:v>18.739237777070635</c:v>
                </c:pt>
                <c:pt idx="102">
                  <c:v>18.681752126000106</c:v>
                </c:pt>
                <c:pt idx="103">
                  <c:v>18.656138338568294</c:v>
                </c:pt>
                <c:pt idx="104">
                  <c:v>18.623705682056329</c:v>
                </c:pt>
                <c:pt idx="105">
                  <c:v>18.597295719172674</c:v>
                </c:pt>
                <c:pt idx="106">
                  <c:v>18.561773533038764</c:v>
                </c:pt>
                <c:pt idx="107">
                  <c:v>18.509493845849104</c:v>
                </c:pt>
                <c:pt idx="108">
                  <c:v>18.420955369384004</c:v>
                </c:pt>
                <c:pt idx="109">
                  <c:v>18.350164339475722</c:v>
                </c:pt>
                <c:pt idx="110">
                  <c:v>18.25561545791815</c:v>
                </c:pt>
                <c:pt idx="111">
                  <c:v>18.182332368132869</c:v>
                </c:pt>
                <c:pt idx="112">
                  <c:v>18.097594530430868</c:v>
                </c:pt>
                <c:pt idx="113">
                  <c:v>18.001254437679219</c:v>
                </c:pt>
                <c:pt idx="114">
                  <c:v>17.92255950214005</c:v>
                </c:pt>
                <c:pt idx="115">
                  <c:v>17.889314722518684</c:v>
                </c:pt>
                <c:pt idx="116">
                  <c:v>17.877605275391254</c:v>
                </c:pt>
                <c:pt idx="117">
                  <c:v>17.873932585778487</c:v>
                </c:pt>
                <c:pt idx="118">
                  <c:v>17.860160019175314</c:v>
                </c:pt>
                <c:pt idx="119">
                  <c:v>17.846634056698377</c:v>
                </c:pt>
                <c:pt idx="120">
                  <c:v>17.839753940682861</c:v>
                </c:pt>
                <c:pt idx="121">
                  <c:v>17.858889602172766</c:v>
                </c:pt>
                <c:pt idx="122">
                  <c:v>17.947620914061496</c:v>
                </c:pt>
                <c:pt idx="123">
                  <c:v>18.01381065453868</c:v>
                </c:pt>
                <c:pt idx="124">
                  <c:v>18.062046248754676</c:v>
                </c:pt>
                <c:pt idx="125">
                  <c:v>18.135703970234943</c:v>
                </c:pt>
                <c:pt idx="126">
                  <c:v>18.226935389386377</c:v>
                </c:pt>
                <c:pt idx="127">
                  <c:v>18.315918796262249</c:v>
                </c:pt>
                <c:pt idx="128">
                  <c:v>18.41113481777602</c:v>
                </c:pt>
                <c:pt idx="129">
                  <c:v>18.509012090937322</c:v>
                </c:pt>
                <c:pt idx="130">
                  <c:v>18.616895290350218</c:v>
                </c:pt>
                <c:pt idx="131">
                  <c:v>18.732274974819436</c:v>
                </c:pt>
                <c:pt idx="132">
                  <c:v>18.855147065135949</c:v>
                </c:pt>
                <c:pt idx="133">
                  <c:v>18.980796363591136</c:v>
                </c:pt>
                <c:pt idx="134">
                  <c:v>19.098032358482801</c:v>
                </c:pt>
                <c:pt idx="135">
                  <c:v>19.183449274576756</c:v>
                </c:pt>
                <c:pt idx="136">
                  <c:v>19.23954772794611</c:v>
                </c:pt>
                <c:pt idx="137">
                  <c:v>19.259835525193274</c:v>
                </c:pt>
                <c:pt idx="138">
                  <c:v>19.303700434318099</c:v>
                </c:pt>
                <c:pt idx="139">
                  <c:v>19.317113113044066</c:v>
                </c:pt>
                <c:pt idx="140">
                  <c:v>19.323728121666651</c:v>
                </c:pt>
                <c:pt idx="141">
                  <c:v>19.326395274625874</c:v>
                </c:pt>
                <c:pt idx="142">
                  <c:v>19.263540364766332</c:v>
                </c:pt>
                <c:pt idx="143">
                  <c:v>19.220276364218222</c:v>
                </c:pt>
                <c:pt idx="144">
                  <c:v>19.181023337588876</c:v>
                </c:pt>
                <c:pt idx="145">
                  <c:v>19.141745693803159</c:v>
                </c:pt>
                <c:pt idx="146">
                  <c:v>19.104445253936188</c:v>
                </c:pt>
                <c:pt idx="147">
                  <c:v>19.07060497417152</c:v>
                </c:pt>
                <c:pt idx="148">
                  <c:v>19.02869343487729</c:v>
                </c:pt>
                <c:pt idx="149">
                  <c:v>18.972787705389557</c:v>
                </c:pt>
                <c:pt idx="150">
                  <c:v>18.922121897124278</c:v>
                </c:pt>
                <c:pt idx="151">
                  <c:v>18.887650631458868</c:v>
                </c:pt>
                <c:pt idx="152">
                  <c:v>18.846625424470684</c:v>
                </c:pt>
                <c:pt idx="153">
                  <c:v>18.826208859841433</c:v>
                </c:pt>
                <c:pt idx="154">
                  <c:v>18.796909167664349</c:v>
                </c:pt>
                <c:pt idx="155">
                  <c:v>18.755708387875263</c:v>
                </c:pt>
                <c:pt idx="156">
                  <c:v>18.708219241605416</c:v>
                </c:pt>
                <c:pt idx="157">
                  <c:v>18.687903276559027</c:v>
                </c:pt>
                <c:pt idx="158">
                  <c:v>18.675006975124564</c:v>
                </c:pt>
                <c:pt idx="159">
                  <c:v>18.68005747354961</c:v>
                </c:pt>
                <c:pt idx="160">
                  <c:v>18.701177219490475</c:v>
                </c:pt>
                <c:pt idx="161">
                  <c:v>18.722896938621076</c:v>
                </c:pt>
                <c:pt idx="162">
                  <c:v>18.760590773407564</c:v>
                </c:pt>
                <c:pt idx="163">
                  <c:v>18.791073771108749</c:v>
                </c:pt>
                <c:pt idx="164">
                  <c:v>18.840689014836023</c:v>
                </c:pt>
                <c:pt idx="165">
                  <c:v>18.866401159604006</c:v>
                </c:pt>
                <c:pt idx="166">
                  <c:v>18.890827996720493</c:v>
                </c:pt>
                <c:pt idx="167">
                  <c:v>18.919353204105651</c:v>
                </c:pt>
                <c:pt idx="168">
                  <c:v>18.954697990349754</c:v>
                </c:pt>
                <c:pt idx="169">
                  <c:v>18.998245357715884</c:v>
                </c:pt>
                <c:pt idx="170">
                  <c:v>19.046151434964244</c:v>
                </c:pt>
                <c:pt idx="171">
                  <c:v>19.08120649703412</c:v>
                </c:pt>
                <c:pt idx="172">
                  <c:v>19.122109866997995</c:v>
                </c:pt>
                <c:pt idx="173">
                  <c:v>19.126228772689149</c:v>
                </c:pt>
                <c:pt idx="174">
                  <c:v>19.132587464826077</c:v>
                </c:pt>
                <c:pt idx="175">
                  <c:v>19.14081889379441</c:v>
                </c:pt>
                <c:pt idx="176">
                  <c:v>19.16585583333395</c:v>
                </c:pt>
                <c:pt idx="177">
                  <c:v>19.191114452919251</c:v>
                </c:pt>
                <c:pt idx="178">
                  <c:v>19.176424046785861</c:v>
                </c:pt>
                <c:pt idx="179">
                  <c:v>19.150403687229609</c:v>
                </c:pt>
                <c:pt idx="180">
                  <c:v>19.102686465232512</c:v>
                </c:pt>
                <c:pt idx="181">
                  <c:v>19.057872296256868</c:v>
                </c:pt>
                <c:pt idx="182">
                  <c:v>19.000903744412664</c:v>
                </c:pt>
                <c:pt idx="183">
                  <c:v>19.012952280363692</c:v>
                </c:pt>
                <c:pt idx="184">
                  <c:v>19.029428832830682</c:v>
                </c:pt>
                <c:pt idx="185">
                  <c:v>18.990383194783693</c:v>
                </c:pt>
                <c:pt idx="186">
                  <c:v>18.95274151292276</c:v>
                </c:pt>
                <c:pt idx="187">
                  <c:v>18.900148774918911</c:v>
                </c:pt>
                <c:pt idx="188">
                  <c:v>18.830122305879023</c:v>
                </c:pt>
                <c:pt idx="189">
                  <c:v>18.754736965131926</c:v>
                </c:pt>
                <c:pt idx="190">
                  <c:v>18.653477051694228</c:v>
                </c:pt>
                <c:pt idx="191">
                  <c:v>18.539284978993713</c:v>
                </c:pt>
                <c:pt idx="192">
                  <c:v>18.440598491178577</c:v>
                </c:pt>
                <c:pt idx="193">
                  <c:v>18.35757511844832</c:v>
                </c:pt>
                <c:pt idx="194">
                  <c:v>18.260760268041697</c:v>
                </c:pt>
                <c:pt idx="195">
                  <c:v>18.181697890405818</c:v>
                </c:pt>
                <c:pt idx="196">
                  <c:v>18.080094938188573</c:v>
                </c:pt>
                <c:pt idx="197">
                  <c:v>17.991247425320374</c:v>
                </c:pt>
                <c:pt idx="198">
                  <c:v>17.917951962689592</c:v>
                </c:pt>
                <c:pt idx="199">
                  <c:v>17.872547182296579</c:v>
                </c:pt>
                <c:pt idx="200">
                  <c:v>17.832537837855156</c:v>
                </c:pt>
                <c:pt idx="201">
                  <c:v>17.7781978363574</c:v>
                </c:pt>
                <c:pt idx="202">
                  <c:v>17.719452624020143</c:v>
                </c:pt>
                <c:pt idx="203">
                  <c:v>17.590460788754882</c:v>
                </c:pt>
                <c:pt idx="204">
                  <c:v>17.43690896261581</c:v>
                </c:pt>
                <c:pt idx="205">
                  <c:v>17.343580557737599</c:v>
                </c:pt>
                <c:pt idx="206">
                  <c:v>17.252428878123453</c:v>
                </c:pt>
                <c:pt idx="207">
                  <c:v>17.163931037733342</c:v>
                </c:pt>
                <c:pt idx="208">
                  <c:v>17.068554459399387</c:v>
                </c:pt>
                <c:pt idx="209">
                  <c:v>16.986239628124544</c:v>
                </c:pt>
                <c:pt idx="210">
                  <c:v>16.907467396729025</c:v>
                </c:pt>
                <c:pt idx="211">
                  <c:v>16.838283949262607</c:v>
                </c:pt>
                <c:pt idx="212">
                  <c:v>16.751120870301971</c:v>
                </c:pt>
                <c:pt idx="213">
                  <c:v>16.66261385919799</c:v>
                </c:pt>
                <c:pt idx="214">
                  <c:v>16.586204087978036</c:v>
                </c:pt>
                <c:pt idx="215">
                  <c:v>16.461184121601178</c:v>
                </c:pt>
                <c:pt idx="216">
                  <c:v>16.34456652159049</c:v>
                </c:pt>
                <c:pt idx="217">
                  <c:v>16.209832889678406</c:v>
                </c:pt>
                <c:pt idx="218">
                  <c:v>16.075541274569201</c:v>
                </c:pt>
                <c:pt idx="219">
                  <c:v>15.935615746672372</c:v>
                </c:pt>
                <c:pt idx="220">
                  <c:v>15.800381736101187</c:v>
                </c:pt>
                <c:pt idx="221">
                  <c:v>15.68028313642437</c:v>
                </c:pt>
                <c:pt idx="222">
                  <c:v>15.550490374317791</c:v>
                </c:pt>
                <c:pt idx="223">
                  <c:v>15.422277670470782</c:v>
                </c:pt>
                <c:pt idx="224">
                  <c:v>15.313931448052957</c:v>
                </c:pt>
                <c:pt idx="225">
                  <c:v>15.206757066669397</c:v>
                </c:pt>
                <c:pt idx="226">
                  <c:v>15.103447082879615</c:v>
                </c:pt>
                <c:pt idx="227">
                  <c:v>15.003752620839185</c:v>
                </c:pt>
                <c:pt idx="228">
                  <c:v>14.909627838751874</c:v>
                </c:pt>
                <c:pt idx="229">
                  <c:v>14.809499690463236</c:v>
                </c:pt>
                <c:pt idx="230">
                  <c:v>14.723950599868473</c:v>
                </c:pt>
                <c:pt idx="231">
                  <c:v>14.632389067431735</c:v>
                </c:pt>
                <c:pt idx="232">
                  <c:v>14.54759111019578</c:v>
                </c:pt>
                <c:pt idx="233">
                  <c:v>14.457269628699528</c:v>
                </c:pt>
                <c:pt idx="234">
                  <c:v>14.363485322060731</c:v>
                </c:pt>
                <c:pt idx="235">
                  <c:v>14.30076708364931</c:v>
                </c:pt>
                <c:pt idx="236">
                  <c:v>14.235161314857015</c:v>
                </c:pt>
                <c:pt idx="237">
                  <c:v>14.175397712355585</c:v>
                </c:pt>
                <c:pt idx="238">
                  <c:v>14.1230121923833</c:v>
                </c:pt>
                <c:pt idx="239">
                  <c:v>14.101827667227653</c:v>
                </c:pt>
                <c:pt idx="240">
                  <c:v>14.09183095381657</c:v>
                </c:pt>
                <c:pt idx="241">
                  <c:v>14.100910346034578</c:v>
                </c:pt>
                <c:pt idx="242">
                  <c:v>14.098168950465491</c:v>
                </c:pt>
                <c:pt idx="243">
                  <c:v>14.075821774621371</c:v>
                </c:pt>
                <c:pt idx="244">
                  <c:v>14.05747100046516</c:v>
                </c:pt>
                <c:pt idx="245">
                  <c:v>14.037076868172885</c:v>
                </c:pt>
                <c:pt idx="246">
                  <c:v>14.01756182458629</c:v>
                </c:pt>
                <c:pt idx="247">
                  <c:v>14.005018307267942</c:v>
                </c:pt>
                <c:pt idx="248">
                  <c:v>14.009575353464783</c:v>
                </c:pt>
                <c:pt idx="249">
                  <c:v>14.00715326247324</c:v>
                </c:pt>
                <c:pt idx="250">
                  <c:v>14.000119779870484</c:v>
                </c:pt>
                <c:pt idx="251">
                  <c:v>13.987320752994599</c:v>
                </c:pt>
                <c:pt idx="252">
                  <c:v>13.977916468712982</c:v>
                </c:pt>
                <c:pt idx="253">
                  <c:v>13.968469893233724</c:v>
                </c:pt>
                <c:pt idx="254">
                  <c:v>13.964080172118425</c:v>
                </c:pt>
                <c:pt idx="255">
                  <c:v>13.962790259472049</c:v>
                </c:pt>
                <c:pt idx="256">
                  <c:v>13.980662134161431</c:v>
                </c:pt>
                <c:pt idx="257">
                  <c:v>14.004972743258413</c:v>
                </c:pt>
                <c:pt idx="258">
                  <c:v>14.056927964980337</c:v>
                </c:pt>
                <c:pt idx="259">
                  <c:v>14.071263475254231</c:v>
                </c:pt>
                <c:pt idx="260">
                  <c:v>14.076499065526999</c:v>
                </c:pt>
                <c:pt idx="261">
                  <c:v>14.056631668647409</c:v>
                </c:pt>
                <c:pt idx="262">
                  <c:v>14.05617436937858</c:v>
                </c:pt>
                <c:pt idx="263">
                  <c:v>14.059774038918512</c:v>
                </c:pt>
                <c:pt idx="264">
                  <c:v>14.071365764395072</c:v>
                </c:pt>
                <c:pt idx="265">
                  <c:v>14.082825786729376</c:v>
                </c:pt>
                <c:pt idx="266">
                  <c:v>14.085932842996682</c:v>
                </c:pt>
                <c:pt idx="267">
                  <c:v>14.093181812154997</c:v>
                </c:pt>
                <c:pt idx="268">
                  <c:v>14.094794248032285</c:v>
                </c:pt>
                <c:pt idx="269">
                  <c:v>14.100030530308146</c:v>
                </c:pt>
                <c:pt idx="270">
                  <c:v>14.107816169169338</c:v>
                </c:pt>
                <c:pt idx="271">
                  <c:v>14.108786692963868</c:v>
                </c:pt>
                <c:pt idx="272">
                  <c:v>14.10172063317945</c:v>
                </c:pt>
                <c:pt idx="273">
                  <c:v>14.104023813808695</c:v>
                </c:pt>
                <c:pt idx="274">
                  <c:v>14.096925083750895</c:v>
                </c:pt>
                <c:pt idx="275">
                  <c:v>14.079553217272418</c:v>
                </c:pt>
                <c:pt idx="276">
                  <c:v>14.061162881033901</c:v>
                </c:pt>
                <c:pt idx="277">
                  <c:v>14.033660869312415</c:v>
                </c:pt>
                <c:pt idx="278">
                  <c:v>13.974694856931494</c:v>
                </c:pt>
                <c:pt idx="279">
                  <c:v>13.90580604924045</c:v>
                </c:pt>
                <c:pt idx="280">
                  <c:v>13.842175285632146</c:v>
                </c:pt>
                <c:pt idx="281">
                  <c:v>13.781328305777496</c:v>
                </c:pt>
                <c:pt idx="282">
                  <c:v>13.721431615310458</c:v>
                </c:pt>
                <c:pt idx="283">
                  <c:v>13.675081054918847</c:v>
                </c:pt>
                <c:pt idx="284">
                  <c:v>13.612771426785137</c:v>
                </c:pt>
                <c:pt idx="285">
                  <c:v>13.549262942576391</c:v>
                </c:pt>
                <c:pt idx="286">
                  <c:v>13.479982211260671</c:v>
                </c:pt>
                <c:pt idx="287">
                  <c:v>13.40502193466973</c:v>
                </c:pt>
                <c:pt idx="288">
                  <c:v>13.334366463245937</c:v>
                </c:pt>
                <c:pt idx="289">
                  <c:v>13.269852239330305</c:v>
                </c:pt>
                <c:pt idx="290">
                  <c:v>13.205492583622112</c:v>
                </c:pt>
                <c:pt idx="291">
                  <c:v>13.158182525634382</c:v>
                </c:pt>
                <c:pt idx="292">
                  <c:v>13.118901458537092</c:v>
                </c:pt>
                <c:pt idx="293">
                  <c:v>13.068550761945408</c:v>
                </c:pt>
                <c:pt idx="294">
                  <c:v>13.010868026036009</c:v>
                </c:pt>
                <c:pt idx="295">
                  <c:v>12.96223733959642</c:v>
                </c:pt>
                <c:pt idx="296">
                  <c:v>12.899449181307036</c:v>
                </c:pt>
                <c:pt idx="297">
                  <c:v>12.832753204334281</c:v>
                </c:pt>
                <c:pt idx="298">
                  <c:v>12.765073502321997</c:v>
                </c:pt>
                <c:pt idx="299">
                  <c:v>12.713297197836035</c:v>
                </c:pt>
                <c:pt idx="300">
                  <c:v>12.65635534813476</c:v>
                </c:pt>
                <c:pt idx="301">
                  <c:v>12.60427862885285</c:v>
                </c:pt>
                <c:pt idx="302">
                  <c:v>12.559708427845621</c:v>
                </c:pt>
                <c:pt idx="303">
                  <c:v>12.51767116718365</c:v>
                </c:pt>
                <c:pt idx="304">
                  <c:v>12.478236533839386</c:v>
                </c:pt>
                <c:pt idx="305">
                  <c:v>12.439275594077719</c:v>
                </c:pt>
                <c:pt idx="306">
                  <c:v>12.404374886673898</c:v>
                </c:pt>
                <c:pt idx="307">
                  <c:v>12.374199261791613</c:v>
                </c:pt>
                <c:pt idx="308">
                  <c:v>12.341613195040535</c:v>
                </c:pt>
                <c:pt idx="309">
                  <c:v>12.307322955823059</c:v>
                </c:pt>
                <c:pt idx="310">
                  <c:v>12.268028429233869</c:v>
                </c:pt>
                <c:pt idx="311">
                  <c:v>12.186391967817675</c:v>
                </c:pt>
                <c:pt idx="312">
                  <c:v>12.105859700798975</c:v>
                </c:pt>
                <c:pt idx="313">
                  <c:v>12.027105286281824</c:v>
                </c:pt>
                <c:pt idx="314">
                  <c:v>11.973901279180227</c:v>
                </c:pt>
                <c:pt idx="315">
                  <c:v>11.922050627665621</c:v>
                </c:pt>
                <c:pt idx="316">
                  <c:v>11.893267375187138</c:v>
                </c:pt>
                <c:pt idx="317">
                  <c:v>11.873418789466266</c:v>
                </c:pt>
                <c:pt idx="318">
                  <c:v>11.850495466533529</c:v>
                </c:pt>
                <c:pt idx="319">
                  <c:v>11.832689529954703</c:v>
                </c:pt>
                <c:pt idx="320">
                  <c:v>11.817996907767371</c:v>
                </c:pt>
                <c:pt idx="321">
                  <c:v>11.806715318259917</c:v>
                </c:pt>
                <c:pt idx="322">
                  <c:v>11.776244826953041</c:v>
                </c:pt>
                <c:pt idx="323">
                  <c:v>11.750753815319452</c:v>
                </c:pt>
                <c:pt idx="324">
                  <c:v>11.721487602696619</c:v>
                </c:pt>
                <c:pt idx="325">
                  <c:v>11.698176272306693</c:v>
                </c:pt>
                <c:pt idx="326">
                  <c:v>11.680722006288601</c:v>
                </c:pt>
                <c:pt idx="327">
                  <c:v>11.669882619486739</c:v>
                </c:pt>
                <c:pt idx="328">
                  <c:v>11.67582308253585</c:v>
                </c:pt>
                <c:pt idx="329">
                  <c:v>11.679695298411046</c:v>
                </c:pt>
                <c:pt idx="330">
                  <c:v>11.68669292450417</c:v>
                </c:pt>
                <c:pt idx="331">
                  <c:v>11.720376211051747</c:v>
                </c:pt>
                <c:pt idx="332">
                  <c:v>11.745826134495013</c:v>
                </c:pt>
                <c:pt idx="333">
                  <c:v>11.779062833416218</c:v>
                </c:pt>
                <c:pt idx="334">
                  <c:v>11.800350435535755</c:v>
                </c:pt>
                <c:pt idx="335">
                  <c:v>11.821656145075066</c:v>
                </c:pt>
                <c:pt idx="336">
                  <c:v>11.82492754307844</c:v>
                </c:pt>
                <c:pt idx="337">
                  <c:v>11.825329150100712</c:v>
                </c:pt>
                <c:pt idx="338">
                  <c:v>11.844155556365743</c:v>
                </c:pt>
                <c:pt idx="339">
                  <c:v>11.857942746936896</c:v>
                </c:pt>
                <c:pt idx="340">
                  <c:v>11.859980504307606</c:v>
                </c:pt>
                <c:pt idx="341">
                  <c:v>11.845248389241796</c:v>
                </c:pt>
                <c:pt idx="342">
                  <c:v>11.844664225370511</c:v>
                </c:pt>
                <c:pt idx="343">
                  <c:v>11.828154144794709</c:v>
                </c:pt>
                <c:pt idx="344">
                  <c:v>11.814381434365393</c:v>
                </c:pt>
                <c:pt idx="345">
                  <c:v>11.801447163650671</c:v>
                </c:pt>
                <c:pt idx="346">
                  <c:v>11.797348900458486</c:v>
                </c:pt>
                <c:pt idx="347">
                  <c:v>11.798909199689753</c:v>
                </c:pt>
                <c:pt idx="348">
                  <c:v>11.785094489695153</c:v>
                </c:pt>
                <c:pt idx="349">
                  <c:v>11.773055067496365</c:v>
                </c:pt>
                <c:pt idx="350">
                  <c:v>11.769892036097882</c:v>
                </c:pt>
                <c:pt idx="351">
                  <c:v>11.78293425077711</c:v>
                </c:pt>
                <c:pt idx="352">
                  <c:v>11.791840941483473</c:v>
                </c:pt>
                <c:pt idx="353">
                  <c:v>11.785597408365449</c:v>
                </c:pt>
                <c:pt idx="354">
                  <c:v>11.781848501552831</c:v>
                </c:pt>
                <c:pt idx="355">
                  <c:v>11.770551881438481</c:v>
                </c:pt>
                <c:pt idx="356">
                  <c:v>11.763575291687099</c:v>
                </c:pt>
                <c:pt idx="357">
                  <c:v>11.755233104490539</c:v>
                </c:pt>
                <c:pt idx="358">
                  <c:v>11.740716532691073</c:v>
                </c:pt>
                <c:pt idx="359">
                  <c:v>11.725742766477554</c:v>
                </c:pt>
                <c:pt idx="360">
                  <c:v>11.71765287368547</c:v>
                </c:pt>
                <c:pt idx="361">
                  <c:v>11.726176895027363</c:v>
                </c:pt>
                <c:pt idx="362">
                  <c:v>11.737501843390268</c:v>
                </c:pt>
                <c:pt idx="363">
                  <c:v>11.756393003611462</c:v>
                </c:pt>
                <c:pt idx="364">
                  <c:v>11.782340103653926</c:v>
                </c:pt>
                <c:pt idx="365">
                  <c:v>11.801777350164189</c:v>
                </c:pt>
                <c:pt idx="366">
                  <c:v>11.804070668378509</c:v>
                </c:pt>
                <c:pt idx="367">
                  <c:v>11.81088797674794</c:v>
                </c:pt>
                <c:pt idx="368">
                  <c:v>11.814451305860299</c:v>
                </c:pt>
                <c:pt idx="369">
                  <c:v>11.81594510651721</c:v>
                </c:pt>
                <c:pt idx="370">
                  <c:v>11.800359070712425</c:v>
                </c:pt>
                <c:pt idx="371">
                  <c:v>11.79220333351272</c:v>
                </c:pt>
                <c:pt idx="372">
                  <c:v>11.794411641256248</c:v>
                </c:pt>
                <c:pt idx="373">
                  <c:v>11.810039713201105</c:v>
                </c:pt>
                <c:pt idx="374">
                  <c:v>11.828563537216954</c:v>
                </c:pt>
                <c:pt idx="375">
                  <c:v>11.86944909217017</c:v>
                </c:pt>
                <c:pt idx="376">
                  <c:v>11.90401169486325</c:v>
                </c:pt>
                <c:pt idx="377">
                  <c:v>11.933309424165024</c:v>
                </c:pt>
                <c:pt idx="378">
                  <c:v>11.955311542611971</c:v>
                </c:pt>
                <c:pt idx="379">
                  <c:v>11.971533176185726</c:v>
                </c:pt>
                <c:pt idx="380">
                  <c:v>11.98669953611909</c:v>
                </c:pt>
                <c:pt idx="381">
                  <c:v>11.991506582515903</c:v>
                </c:pt>
                <c:pt idx="382">
                  <c:v>11.990513425062044</c:v>
                </c:pt>
                <c:pt idx="383">
                  <c:v>11.979946405714621</c:v>
                </c:pt>
                <c:pt idx="384">
                  <c:v>11.964962391534986</c:v>
                </c:pt>
                <c:pt idx="385">
                  <c:v>11.949734834897127</c:v>
                </c:pt>
                <c:pt idx="386">
                  <c:v>11.94395396593138</c:v>
                </c:pt>
                <c:pt idx="387">
                  <c:v>11.916212623392916</c:v>
                </c:pt>
                <c:pt idx="388">
                  <c:v>11.882830106959029</c:v>
                </c:pt>
                <c:pt idx="389">
                  <c:v>11.843247972598947</c:v>
                </c:pt>
                <c:pt idx="390">
                  <c:v>11.834191999154589</c:v>
                </c:pt>
                <c:pt idx="391">
                  <c:v>11.82041359213842</c:v>
                </c:pt>
                <c:pt idx="392">
                  <c:v>11.807968985968831</c:v>
                </c:pt>
                <c:pt idx="393">
                  <c:v>11.788209677363831</c:v>
                </c:pt>
                <c:pt idx="394">
                  <c:v>11.758962505587002</c:v>
                </c:pt>
                <c:pt idx="395">
                  <c:v>11.704922781474632</c:v>
                </c:pt>
                <c:pt idx="396">
                  <c:v>11.655558702236027</c:v>
                </c:pt>
                <c:pt idx="397">
                  <c:v>11.6040544265005</c:v>
                </c:pt>
                <c:pt idx="398">
                  <c:v>11.555022092014173</c:v>
                </c:pt>
                <c:pt idx="399">
                  <c:v>11.51592800705456</c:v>
                </c:pt>
                <c:pt idx="400">
                  <c:v>11.486301198077729</c:v>
                </c:pt>
                <c:pt idx="401">
                  <c:v>11.458437804092206</c:v>
                </c:pt>
                <c:pt idx="402">
                  <c:v>11.43703348339915</c:v>
                </c:pt>
                <c:pt idx="403">
                  <c:v>11.431713149927903</c:v>
                </c:pt>
                <c:pt idx="404">
                  <c:v>11.433372756313759</c:v>
                </c:pt>
                <c:pt idx="405">
                  <c:v>11.457122463475896</c:v>
                </c:pt>
                <c:pt idx="406">
                  <c:v>11.475930951515256</c:v>
                </c:pt>
                <c:pt idx="407">
                  <c:v>11.497265326395587</c:v>
                </c:pt>
                <c:pt idx="408">
                  <c:v>11.525667324777423</c:v>
                </c:pt>
                <c:pt idx="409">
                  <c:v>11.565102480644327</c:v>
                </c:pt>
                <c:pt idx="410">
                  <c:v>11.581895473735766</c:v>
                </c:pt>
                <c:pt idx="411">
                  <c:v>11.590580724720189</c:v>
                </c:pt>
                <c:pt idx="412">
                  <c:v>11.589928525392002</c:v>
                </c:pt>
                <c:pt idx="413">
                  <c:v>11.603035676954912</c:v>
                </c:pt>
                <c:pt idx="414">
                  <c:v>11.607024801235484</c:v>
                </c:pt>
                <c:pt idx="415">
                  <c:v>11.612744441394437</c:v>
                </c:pt>
                <c:pt idx="416">
                  <c:v>11.62877081402593</c:v>
                </c:pt>
                <c:pt idx="417">
                  <c:v>11.655376687370797</c:v>
                </c:pt>
                <c:pt idx="418">
                  <c:v>11.68554014679642</c:v>
                </c:pt>
                <c:pt idx="419">
                  <c:v>11.707268676511241</c:v>
                </c:pt>
                <c:pt idx="420">
                  <c:v>11.724171784666435</c:v>
                </c:pt>
                <c:pt idx="421">
                  <c:v>11.758120352484891</c:v>
                </c:pt>
                <c:pt idx="422">
                  <c:v>11.783592166916266</c:v>
                </c:pt>
                <c:pt idx="423">
                  <c:v>11.799898066842655</c:v>
                </c:pt>
                <c:pt idx="424">
                  <c:v>11.808991561747924</c:v>
                </c:pt>
                <c:pt idx="425">
                  <c:v>11.799956878460366</c:v>
                </c:pt>
                <c:pt idx="426">
                  <c:v>11.789943356613652</c:v>
                </c:pt>
                <c:pt idx="427">
                  <c:v>11.785569431939599</c:v>
                </c:pt>
                <c:pt idx="428">
                  <c:v>11.77631890795255</c:v>
                </c:pt>
                <c:pt idx="429">
                  <c:v>11.764342102267399</c:v>
                </c:pt>
                <c:pt idx="430">
                  <c:v>11.760921108867533</c:v>
                </c:pt>
                <c:pt idx="431">
                  <c:v>11.756401857338361</c:v>
                </c:pt>
                <c:pt idx="432">
                  <c:v>11.756151247484839</c:v>
                </c:pt>
                <c:pt idx="433">
                  <c:v>11.74694325812804</c:v>
                </c:pt>
                <c:pt idx="434">
                  <c:v>11.730632141001166</c:v>
                </c:pt>
                <c:pt idx="435">
                  <c:v>11.734744792193034</c:v>
                </c:pt>
                <c:pt idx="436">
                  <c:v>11.733606511385016</c:v>
                </c:pt>
                <c:pt idx="437">
                  <c:v>11.745492176879786</c:v>
                </c:pt>
                <c:pt idx="438">
                  <c:v>11.747339216601732</c:v>
                </c:pt>
                <c:pt idx="439">
                  <c:v>11.739212478879629</c:v>
                </c:pt>
                <c:pt idx="440">
                  <c:v>11.726864125903683</c:v>
                </c:pt>
                <c:pt idx="441">
                  <c:v>11.72146772787757</c:v>
                </c:pt>
                <c:pt idx="442">
                  <c:v>11.720471737120167</c:v>
                </c:pt>
                <c:pt idx="443">
                  <c:v>11.724271374012307</c:v>
                </c:pt>
                <c:pt idx="444">
                  <c:v>11.733479502508418</c:v>
                </c:pt>
                <c:pt idx="445">
                  <c:v>11.741432095258979</c:v>
                </c:pt>
                <c:pt idx="446">
                  <c:v>11.744388888390896</c:v>
                </c:pt>
                <c:pt idx="447">
                  <c:v>11.752353341541101</c:v>
                </c:pt>
                <c:pt idx="448">
                  <c:v>11.743705570659046</c:v>
                </c:pt>
                <c:pt idx="449">
                  <c:v>11.739654288144038</c:v>
                </c:pt>
                <c:pt idx="450">
                  <c:v>11.727107415144381</c:v>
                </c:pt>
                <c:pt idx="451">
                  <c:v>11.710526928839869</c:v>
                </c:pt>
                <c:pt idx="452">
                  <c:v>11.684991395656164</c:v>
                </c:pt>
                <c:pt idx="453">
                  <c:v>11.659946731775911</c:v>
                </c:pt>
                <c:pt idx="454">
                  <c:v>11.661231889296378</c:v>
                </c:pt>
                <c:pt idx="455">
                  <c:v>11.640630458308138</c:v>
                </c:pt>
                <c:pt idx="456">
                  <c:v>11.611901939367907</c:v>
                </c:pt>
                <c:pt idx="457">
                  <c:v>11.55860304244155</c:v>
                </c:pt>
                <c:pt idx="458">
                  <c:v>11.498803215875014</c:v>
                </c:pt>
                <c:pt idx="459">
                  <c:v>11.45454059115432</c:v>
                </c:pt>
                <c:pt idx="460">
                  <c:v>11.383092784333918</c:v>
                </c:pt>
                <c:pt idx="461">
                  <c:v>11.327976609341802</c:v>
                </c:pt>
                <c:pt idx="462">
                  <c:v>11.284306482134285</c:v>
                </c:pt>
                <c:pt idx="463">
                  <c:v>11.246402166790835</c:v>
                </c:pt>
                <c:pt idx="464">
                  <c:v>11.172223140200069</c:v>
                </c:pt>
                <c:pt idx="465">
                  <c:v>11.098869943951467</c:v>
                </c:pt>
                <c:pt idx="466">
                  <c:v>11.035191913428028</c:v>
                </c:pt>
                <c:pt idx="467">
                  <c:v>10.960158930446877</c:v>
                </c:pt>
                <c:pt idx="468">
                  <c:v>10.947768319785546</c:v>
                </c:pt>
                <c:pt idx="469">
                  <c:v>10.906500042523394</c:v>
                </c:pt>
                <c:pt idx="470">
                  <c:v>10.886509410025923</c:v>
                </c:pt>
                <c:pt idx="471">
                  <c:v>10.909496720373571</c:v>
                </c:pt>
                <c:pt idx="472">
                  <c:v>10.945700220803269</c:v>
                </c:pt>
                <c:pt idx="473">
                  <c:v>10.978716681123956</c:v>
                </c:pt>
                <c:pt idx="474">
                  <c:v>11.014394370206727</c:v>
                </c:pt>
                <c:pt idx="475">
                  <c:v>11.051279226296602</c:v>
                </c:pt>
                <c:pt idx="476">
                  <c:v>11.081375531623159</c:v>
                </c:pt>
                <c:pt idx="477">
                  <c:v>11.126221415605881</c:v>
                </c:pt>
                <c:pt idx="478">
                  <c:v>11.194648651267801</c:v>
                </c:pt>
                <c:pt idx="479">
                  <c:v>11.249029207929937</c:v>
                </c:pt>
                <c:pt idx="480">
                  <c:v>11.320885874173443</c:v>
                </c:pt>
                <c:pt idx="481">
                  <c:v>11.36853794217523</c:v>
                </c:pt>
                <c:pt idx="482">
                  <c:v>11.402241125246549</c:v>
                </c:pt>
                <c:pt idx="483">
                  <c:v>11.43643271066434</c:v>
                </c:pt>
                <c:pt idx="484">
                  <c:v>11.502772838685477</c:v>
                </c:pt>
                <c:pt idx="485">
                  <c:v>11.586930418268681</c:v>
                </c:pt>
                <c:pt idx="486">
                  <c:v>11.673631252556612</c:v>
                </c:pt>
                <c:pt idx="487">
                  <c:v>11.742278612533704</c:v>
                </c:pt>
                <c:pt idx="488">
                  <c:v>11.776484053693345</c:v>
                </c:pt>
                <c:pt idx="489">
                  <c:v>11.826336811241422</c:v>
                </c:pt>
                <c:pt idx="490">
                  <c:v>11.852925663172641</c:v>
                </c:pt>
                <c:pt idx="491">
                  <c:v>11.857190762608017</c:v>
                </c:pt>
                <c:pt idx="492">
                  <c:v>11.853704998877658</c:v>
                </c:pt>
                <c:pt idx="493">
                  <c:v>11.845069703208953</c:v>
                </c:pt>
                <c:pt idx="494">
                  <c:v>11.81730702725415</c:v>
                </c:pt>
                <c:pt idx="495">
                  <c:v>11.799545540598837</c:v>
                </c:pt>
                <c:pt idx="496">
                  <c:v>11.786073048182452</c:v>
                </c:pt>
                <c:pt idx="497">
                  <c:v>11.802001641996616</c:v>
                </c:pt>
                <c:pt idx="498">
                  <c:v>11.806950114130149</c:v>
                </c:pt>
                <c:pt idx="499">
                  <c:v>11.827681043912602</c:v>
                </c:pt>
                <c:pt idx="500">
                  <c:v>11.866852802104443</c:v>
                </c:pt>
                <c:pt idx="501">
                  <c:v>11.892266565290663</c:v>
                </c:pt>
                <c:pt idx="502">
                  <c:v>11.912025489693207</c:v>
                </c:pt>
                <c:pt idx="503">
                  <c:v>11.927978714996771</c:v>
                </c:pt>
                <c:pt idx="504">
                  <c:v>11.940457143656872</c:v>
                </c:pt>
                <c:pt idx="505">
                  <c:v>11.944729066400019</c:v>
                </c:pt>
                <c:pt idx="506">
                  <c:v>11.938681101662926</c:v>
                </c:pt>
                <c:pt idx="507">
                  <c:v>11.966187575265632</c:v>
                </c:pt>
                <c:pt idx="508">
                  <c:v>11.986139499930097</c:v>
                </c:pt>
                <c:pt idx="509">
                  <c:v>12.009755734463637</c:v>
                </c:pt>
                <c:pt idx="510">
                  <c:v>12.030676603750532</c:v>
                </c:pt>
                <c:pt idx="511">
                  <c:v>12.043842692141737</c:v>
                </c:pt>
                <c:pt idx="512">
                  <c:v>12.060307446554015</c:v>
                </c:pt>
                <c:pt idx="513">
                  <c:v>12.08676448013045</c:v>
                </c:pt>
                <c:pt idx="514">
                  <c:v>12.126821395463821</c:v>
                </c:pt>
                <c:pt idx="515">
                  <c:v>12.157957094863555</c:v>
                </c:pt>
                <c:pt idx="516">
                  <c:v>12.194436047449059</c:v>
                </c:pt>
                <c:pt idx="517">
                  <c:v>12.165257758826055</c:v>
                </c:pt>
                <c:pt idx="518">
                  <c:v>12.136007463553735</c:v>
                </c:pt>
                <c:pt idx="519">
                  <c:v>12.096167186482887</c:v>
                </c:pt>
                <c:pt idx="520">
                  <c:v>12.046828541952769</c:v>
                </c:pt>
                <c:pt idx="521">
                  <c:v>12.019082374084997</c:v>
                </c:pt>
                <c:pt idx="522">
                  <c:v>12.016594064903019</c:v>
                </c:pt>
                <c:pt idx="523">
                  <c:v>12.003103451091503</c:v>
                </c:pt>
                <c:pt idx="524">
                  <c:v>11.996697945338825</c:v>
                </c:pt>
                <c:pt idx="525">
                  <c:v>11.973287290016231</c:v>
                </c:pt>
                <c:pt idx="526">
                  <c:v>12.002247212666317</c:v>
                </c:pt>
                <c:pt idx="527">
                  <c:v>11.930088855991444</c:v>
                </c:pt>
                <c:pt idx="528">
                  <c:v>11.825195959492891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6A-43B8-A7C0-D2D446302E8D}"/>
            </c:ext>
          </c:extLst>
        </c:ser>
        <c:ser>
          <c:idx val="4"/>
          <c:order val="4"/>
          <c:tx>
            <c:v>Bande inf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'Deutch bank'!$AM$2:$AM$530</c:f>
              <c:numCache>
                <c:formatCode>General</c:formatCode>
                <c:ptCount val="529"/>
                <c:pt idx="0">
                  <c:v>13.594432145899107</c:v>
                </c:pt>
                <c:pt idx="1">
                  <c:v>13.570531857939443</c:v>
                </c:pt>
                <c:pt idx="2">
                  <c:v>13.532501582434868</c:v>
                </c:pt>
                <c:pt idx="3">
                  <c:v>13.47991530191031</c:v>
                </c:pt>
                <c:pt idx="4">
                  <c:v>13.426144126145614</c:v>
                </c:pt>
                <c:pt idx="5">
                  <c:v>13.369478575240581</c:v>
                </c:pt>
                <c:pt idx="6">
                  <c:v>13.327094440825599</c:v>
                </c:pt>
                <c:pt idx="7">
                  <c:v>13.279417558568159</c:v>
                </c:pt>
                <c:pt idx="8">
                  <c:v>13.233002258315757</c:v>
                </c:pt>
                <c:pt idx="9">
                  <c:v>13.153660179458351</c:v>
                </c:pt>
                <c:pt idx="10">
                  <c:v>13.067909300404722</c:v>
                </c:pt>
                <c:pt idx="11">
                  <c:v>12.941700500115456</c:v>
                </c:pt>
                <c:pt idx="12">
                  <c:v>12.822803450571278</c:v>
                </c:pt>
                <c:pt idx="13">
                  <c:v>12.706495649598747</c:v>
                </c:pt>
                <c:pt idx="14">
                  <c:v>12.581713765399478</c:v>
                </c:pt>
                <c:pt idx="15">
                  <c:v>12.472907026698831</c:v>
                </c:pt>
                <c:pt idx="16">
                  <c:v>12.393516464028274</c:v>
                </c:pt>
                <c:pt idx="17">
                  <c:v>12.308877885060303</c:v>
                </c:pt>
                <c:pt idx="18">
                  <c:v>12.238358609882191</c:v>
                </c:pt>
                <c:pt idx="19">
                  <c:v>12.1776703689128</c:v>
                </c:pt>
                <c:pt idx="20">
                  <c:v>12.126789856464587</c:v>
                </c:pt>
                <c:pt idx="21">
                  <c:v>12.079491464134859</c:v>
                </c:pt>
                <c:pt idx="22">
                  <c:v>12.062503070699936</c:v>
                </c:pt>
                <c:pt idx="23">
                  <c:v>12.0643436427181</c:v>
                </c:pt>
                <c:pt idx="24">
                  <c:v>12.063148789795964</c:v>
                </c:pt>
                <c:pt idx="25">
                  <c:v>12.065596836916793</c:v>
                </c:pt>
                <c:pt idx="26">
                  <c:v>12.069814473583744</c:v>
                </c:pt>
                <c:pt idx="27">
                  <c:v>12.074015007303087</c:v>
                </c:pt>
                <c:pt idx="28">
                  <c:v>12.047898789286947</c:v>
                </c:pt>
                <c:pt idx="29">
                  <c:v>12.014243248482416</c:v>
                </c:pt>
                <c:pt idx="30">
                  <c:v>11.972393436500697</c:v>
                </c:pt>
                <c:pt idx="31">
                  <c:v>11.92369040127792</c:v>
                </c:pt>
                <c:pt idx="32">
                  <c:v>11.884986026549521</c:v>
                </c:pt>
                <c:pt idx="33">
                  <c:v>11.865053859807809</c:v>
                </c:pt>
                <c:pt idx="34">
                  <c:v>11.84012887319718</c:v>
                </c:pt>
                <c:pt idx="35">
                  <c:v>11.821075416399072</c:v>
                </c:pt>
                <c:pt idx="36">
                  <c:v>11.7801354716328</c:v>
                </c:pt>
                <c:pt idx="37">
                  <c:v>11.744953580627044</c:v>
                </c:pt>
                <c:pt idx="38">
                  <c:v>11.706071586771335</c:v>
                </c:pt>
                <c:pt idx="39">
                  <c:v>11.664964365819852</c:v>
                </c:pt>
                <c:pt idx="40">
                  <c:v>11.621617573100153</c:v>
                </c:pt>
                <c:pt idx="41">
                  <c:v>11.558917118571083</c:v>
                </c:pt>
                <c:pt idx="42">
                  <c:v>11.505832353539322</c:v>
                </c:pt>
                <c:pt idx="43">
                  <c:v>11.478232590952516</c:v>
                </c:pt>
                <c:pt idx="44">
                  <c:v>11.419391539264538</c:v>
                </c:pt>
                <c:pt idx="45">
                  <c:v>11.377801245044914</c:v>
                </c:pt>
                <c:pt idx="46">
                  <c:v>11.358979068178115</c:v>
                </c:pt>
                <c:pt idx="47">
                  <c:v>11.325375907038953</c:v>
                </c:pt>
                <c:pt idx="48">
                  <c:v>11.30669491950486</c:v>
                </c:pt>
                <c:pt idx="49">
                  <c:v>11.300634215859354</c:v>
                </c:pt>
                <c:pt idx="50">
                  <c:v>11.300976308133263</c:v>
                </c:pt>
                <c:pt idx="51">
                  <c:v>11.31016325675537</c:v>
                </c:pt>
                <c:pt idx="52">
                  <c:v>11.325853718151993</c:v>
                </c:pt>
                <c:pt idx="53">
                  <c:v>11.34009180688032</c:v>
                </c:pt>
                <c:pt idx="54">
                  <c:v>11.353569158790002</c:v>
                </c:pt>
                <c:pt idx="55">
                  <c:v>11.349881882815762</c:v>
                </c:pt>
                <c:pt idx="56">
                  <c:v>11.371214355557441</c:v>
                </c:pt>
                <c:pt idx="57">
                  <c:v>11.39973761435531</c:v>
                </c:pt>
                <c:pt idx="58">
                  <c:v>11.404203593942839</c:v>
                </c:pt>
                <c:pt idx="59">
                  <c:v>11.419547140679278</c:v>
                </c:pt>
                <c:pt idx="60">
                  <c:v>11.43994509798085</c:v>
                </c:pt>
                <c:pt idx="61">
                  <c:v>11.473334747448197</c:v>
                </c:pt>
                <c:pt idx="62">
                  <c:v>11.487011371769732</c:v>
                </c:pt>
                <c:pt idx="63">
                  <c:v>11.505635865717485</c:v>
                </c:pt>
                <c:pt idx="64">
                  <c:v>11.551345676137668</c:v>
                </c:pt>
                <c:pt idx="65">
                  <c:v>11.566143161251363</c:v>
                </c:pt>
                <c:pt idx="66">
                  <c:v>11.567502677123301</c:v>
                </c:pt>
                <c:pt idx="67">
                  <c:v>11.571824466432655</c:v>
                </c:pt>
                <c:pt idx="68">
                  <c:v>11.591431256452317</c:v>
                </c:pt>
                <c:pt idx="69">
                  <c:v>11.599239955783299</c:v>
                </c:pt>
                <c:pt idx="70">
                  <c:v>11.595961972300691</c:v>
                </c:pt>
                <c:pt idx="71">
                  <c:v>11.601312639489748</c:v>
                </c:pt>
                <c:pt idx="72">
                  <c:v>11.592358808370932</c:v>
                </c:pt>
                <c:pt idx="73">
                  <c:v>11.584789963732751</c:v>
                </c:pt>
                <c:pt idx="74">
                  <c:v>11.588716818044539</c:v>
                </c:pt>
                <c:pt idx="75">
                  <c:v>11.584029019543504</c:v>
                </c:pt>
                <c:pt idx="76">
                  <c:v>11.546259537598125</c:v>
                </c:pt>
                <c:pt idx="77">
                  <c:v>11.503549652057321</c:v>
                </c:pt>
                <c:pt idx="78">
                  <c:v>11.467062283011684</c:v>
                </c:pt>
                <c:pt idx="79">
                  <c:v>11.424446944739895</c:v>
                </c:pt>
                <c:pt idx="80">
                  <c:v>11.386957916104992</c:v>
                </c:pt>
                <c:pt idx="81">
                  <c:v>11.33863580454501</c:v>
                </c:pt>
                <c:pt idx="82">
                  <c:v>11.301400359025966</c:v>
                </c:pt>
                <c:pt idx="83">
                  <c:v>11.22283679195839</c:v>
                </c:pt>
                <c:pt idx="84">
                  <c:v>11.149141903914852</c:v>
                </c:pt>
                <c:pt idx="85">
                  <c:v>11.065660065441103</c:v>
                </c:pt>
                <c:pt idx="86">
                  <c:v>10.973930391077452</c:v>
                </c:pt>
                <c:pt idx="87">
                  <c:v>10.904107201755062</c:v>
                </c:pt>
                <c:pt idx="88">
                  <c:v>10.863051745911886</c:v>
                </c:pt>
                <c:pt idx="89">
                  <c:v>10.813162905404523</c:v>
                </c:pt>
                <c:pt idx="90">
                  <c:v>10.797784175421523</c:v>
                </c:pt>
                <c:pt idx="91">
                  <c:v>10.756545223521545</c:v>
                </c:pt>
                <c:pt idx="92">
                  <c:v>10.719976360362665</c:v>
                </c:pt>
                <c:pt idx="93">
                  <c:v>10.687509825923925</c:v>
                </c:pt>
                <c:pt idx="94">
                  <c:v>10.651773440374541</c:v>
                </c:pt>
                <c:pt idx="95">
                  <c:v>10.614847345776251</c:v>
                </c:pt>
                <c:pt idx="96">
                  <c:v>10.592125386386799</c:v>
                </c:pt>
                <c:pt idx="97">
                  <c:v>10.56799836647814</c:v>
                </c:pt>
                <c:pt idx="98">
                  <c:v>10.542557783710748</c:v>
                </c:pt>
                <c:pt idx="99">
                  <c:v>10.522995834403552</c:v>
                </c:pt>
                <c:pt idx="100">
                  <c:v>10.49424955891577</c:v>
                </c:pt>
                <c:pt idx="101">
                  <c:v>10.451362222929363</c:v>
                </c:pt>
                <c:pt idx="102">
                  <c:v>10.400647873999889</c:v>
                </c:pt>
                <c:pt idx="103">
                  <c:v>10.381261661431708</c:v>
                </c:pt>
                <c:pt idx="104">
                  <c:v>10.354894317943678</c:v>
                </c:pt>
                <c:pt idx="105">
                  <c:v>10.334304280827336</c:v>
                </c:pt>
                <c:pt idx="106">
                  <c:v>10.304426466961239</c:v>
                </c:pt>
                <c:pt idx="107">
                  <c:v>10.257506154150899</c:v>
                </c:pt>
                <c:pt idx="108">
                  <c:v>10.173844630615999</c:v>
                </c:pt>
                <c:pt idx="109">
                  <c:v>10.107035660524271</c:v>
                </c:pt>
                <c:pt idx="110">
                  <c:v>10.015784542081843</c:v>
                </c:pt>
                <c:pt idx="111">
                  <c:v>9.9448676318671296</c:v>
                </c:pt>
                <c:pt idx="112">
                  <c:v>9.8618054695691306</c:v>
                </c:pt>
                <c:pt idx="113">
                  <c:v>9.7663455623207867</c:v>
                </c:pt>
                <c:pt idx="114">
                  <c:v>9.6876404978599489</c:v>
                </c:pt>
                <c:pt idx="115">
                  <c:v>9.653685277481312</c:v>
                </c:pt>
                <c:pt idx="116">
                  <c:v>9.6409947246087473</c:v>
                </c:pt>
                <c:pt idx="117">
                  <c:v>9.6362674142215106</c:v>
                </c:pt>
                <c:pt idx="118">
                  <c:v>9.6214399808246895</c:v>
                </c:pt>
                <c:pt idx="119">
                  <c:v>9.6067659433016281</c:v>
                </c:pt>
                <c:pt idx="120">
                  <c:v>9.5986460593171383</c:v>
                </c:pt>
                <c:pt idx="121">
                  <c:v>9.6165103978272342</c:v>
                </c:pt>
                <c:pt idx="122">
                  <c:v>9.704179085938506</c:v>
                </c:pt>
                <c:pt idx="123">
                  <c:v>9.770189345461322</c:v>
                </c:pt>
                <c:pt idx="124">
                  <c:v>9.8189537512453242</c:v>
                </c:pt>
                <c:pt idx="125">
                  <c:v>9.8936960297650547</c:v>
                </c:pt>
                <c:pt idx="126">
                  <c:v>9.9868646106136154</c:v>
                </c:pt>
                <c:pt idx="127">
                  <c:v>10.078881203737755</c:v>
                </c:pt>
                <c:pt idx="128">
                  <c:v>10.178265182223981</c:v>
                </c:pt>
                <c:pt idx="129">
                  <c:v>10.281587909062672</c:v>
                </c:pt>
                <c:pt idx="130">
                  <c:v>10.396304709649776</c:v>
                </c:pt>
                <c:pt idx="131">
                  <c:v>10.520125025180558</c:v>
                </c:pt>
                <c:pt idx="132">
                  <c:v>10.653252934864053</c:v>
                </c:pt>
                <c:pt idx="133">
                  <c:v>10.791203636408863</c:v>
                </c:pt>
                <c:pt idx="134">
                  <c:v>10.922967641517197</c:v>
                </c:pt>
                <c:pt idx="135">
                  <c:v>11.025150725423241</c:v>
                </c:pt>
                <c:pt idx="136">
                  <c:v>11.099852272053891</c:v>
                </c:pt>
                <c:pt idx="137">
                  <c:v>11.140164474806726</c:v>
                </c:pt>
                <c:pt idx="138">
                  <c:v>11.204899565681909</c:v>
                </c:pt>
                <c:pt idx="139">
                  <c:v>11.24048688695594</c:v>
                </c:pt>
                <c:pt idx="140">
                  <c:v>11.270071878333354</c:v>
                </c:pt>
                <c:pt idx="141">
                  <c:v>11.296404725374128</c:v>
                </c:pt>
                <c:pt idx="142">
                  <c:v>11.257859635233668</c:v>
                </c:pt>
                <c:pt idx="143">
                  <c:v>11.238323635781777</c:v>
                </c:pt>
                <c:pt idx="144">
                  <c:v>11.222576662411118</c:v>
                </c:pt>
                <c:pt idx="145">
                  <c:v>11.206654306196839</c:v>
                </c:pt>
                <c:pt idx="146">
                  <c:v>11.192554746063809</c:v>
                </c:pt>
                <c:pt idx="147">
                  <c:v>11.181795025828484</c:v>
                </c:pt>
                <c:pt idx="148">
                  <c:v>11.162906565122713</c:v>
                </c:pt>
                <c:pt idx="149">
                  <c:v>11.129812294610446</c:v>
                </c:pt>
                <c:pt idx="150">
                  <c:v>11.101478102875729</c:v>
                </c:pt>
                <c:pt idx="151">
                  <c:v>11.088949368541133</c:v>
                </c:pt>
                <c:pt idx="152">
                  <c:v>11.069774575529317</c:v>
                </c:pt>
                <c:pt idx="153">
                  <c:v>11.070991140158563</c:v>
                </c:pt>
                <c:pt idx="154">
                  <c:v>11.063490832335649</c:v>
                </c:pt>
                <c:pt idx="155">
                  <c:v>11.044091612124735</c:v>
                </c:pt>
                <c:pt idx="156">
                  <c:v>11.018180758394578</c:v>
                </c:pt>
                <c:pt idx="157">
                  <c:v>11.019096723440974</c:v>
                </c:pt>
                <c:pt idx="158">
                  <c:v>11.027593024875438</c:v>
                </c:pt>
                <c:pt idx="159">
                  <c:v>11.054342526450391</c:v>
                </c:pt>
                <c:pt idx="160">
                  <c:v>11.097822780509524</c:v>
                </c:pt>
                <c:pt idx="161">
                  <c:v>11.142903061378925</c:v>
                </c:pt>
                <c:pt idx="162">
                  <c:v>11.205009226592439</c:v>
                </c:pt>
                <c:pt idx="163">
                  <c:v>11.261326228891249</c:v>
                </c:pt>
                <c:pt idx="164">
                  <c:v>11.338110985163979</c:v>
                </c:pt>
                <c:pt idx="165">
                  <c:v>11.392798840395994</c:v>
                </c:pt>
                <c:pt idx="166">
                  <c:v>11.447572003279507</c:v>
                </c:pt>
                <c:pt idx="167">
                  <c:v>11.507846795894354</c:v>
                </c:pt>
                <c:pt idx="168">
                  <c:v>11.576502009650248</c:v>
                </c:pt>
                <c:pt idx="169">
                  <c:v>11.655154642284121</c:v>
                </c:pt>
                <c:pt idx="170">
                  <c:v>11.74024856503576</c:v>
                </c:pt>
                <c:pt idx="171">
                  <c:v>11.814793502965877</c:v>
                </c:pt>
                <c:pt idx="172">
                  <c:v>11.897290133002002</c:v>
                </c:pt>
                <c:pt idx="173">
                  <c:v>11.945371227310851</c:v>
                </c:pt>
                <c:pt idx="174">
                  <c:v>11.997212535173919</c:v>
                </c:pt>
                <c:pt idx="175">
                  <c:v>12.052581106205587</c:v>
                </c:pt>
                <c:pt idx="176">
                  <c:v>12.126544166666045</c:v>
                </c:pt>
                <c:pt idx="177">
                  <c:v>12.203085547080743</c:v>
                </c:pt>
                <c:pt idx="178">
                  <c:v>12.242175953214138</c:v>
                </c:pt>
                <c:pt idx="179">
                  <c:v>12.271396312770392</c:v>
                </c:pt>
                <c:pt idx="180">
                  <c:v>12.280113534767491</c:v>
                </c:pt>
                <c:pt idx="181">
                  <c:v>12.292327703743133</c:v>
                </c:pt>
                <c:pt idx="182">
                  <c:v>12.293096255587336</c:v>
                </c:pt>
                <c:pt idx="183">
                  <c:v>12.363247719636304</c:v>
                </c:pt>
                <c:pt idx="184">
                  <c:v>12.440371167169317</c:v>
                </c:pt>
                <c:pt idx="185">
                  <c:v>12.464816805216305</c:v>
                </c:pt>
                <c:pt idx="186">
                  <c:v>12.49185848707724</c:v>
                </c:pt>
                <c:pt idx="187">
                  <c:v>12.505251225081093</c:v>
                </c:pt>
                <c:pt idx="188">
                  <c:v>12.502077694120977</c:v>
                </c:pt>
                <c:pt idx="189">
                  <c:v>12.493863034868077</c:v>
                </c:pt>
                <c:pt idx="190">
                  <c:v>12.459922948305776</c:v>
                </c:pt>
                <c:pt idx="191">
                  <c:v>12.412315021006282</c:v>
                </c:pt>
                <c:pt idx="192">
                  <c:v>12.379001508821423</c:v>
                </c:pt>
                <c:pt idx="193">
                  <c:v>12.360624881551685</c:v>
                </c:pt>
                <c:pt idx="194">
                  <c:v>12.328239731958309</c:v>
                </c:pt>
                <c:pt idx="195">
                  <c:v>12.312902109594186</c:v>
                </c:pt>
                <c:pt idx="196">
                  <c:v>12.274905061811429</c:v>
                </c:pt>
                <c:pt idx="197">
                  <c:v>12.24875257467963</c:v>
                </c:pt>
                <c:pt idx="198">
                  <c:v>12.237648037310413</c:v>
                </c:pt>
                <c:pt idx="199">
                  <c:v>12.25445281770342</c:v>
                </c:pt>
                <c:pt idx="200">
                  <c:v>12.277662162144846</c:v>
                </c:pt>
                <c:pt idx="201">
                  <c:v>12.287802163642596</c:v>
                </c:pt>
                <c:pt idx="202">
                  <c:v>12.294347375979854</c:v>
                </c:pt>
                <c:pt idx="203">
                  <c:v>12.231339211245123</c:v>
                </c:pt>
                <c:pt idx="204">
                  <c:v>12.141891037384203</c:v>
                </c:pt>
                <c:pt idx="205">
                  <c:v>12.109819442262406</c:v>
                </c:pt>
                <c:pt idx="206">
                  <c:v>12.079171121876547</c:v>
                </c:pt>
                <c:pt idx="207">
                  <c:v>12.05046896226666</c:v>
                </c:pt>
                <c:pt idx="208">
                  <c:v>12.014245540600614</c:v>
                </c:pt>
                <c:pt idx="209">
                  <c:v>11.990160371875451</c:v>
                </c:pt>
                <c:pt idx="210">
                  <c:v>11.969132603270969</c:v>
                </c:pt>
                <c:pt idx="211">
                  <c:v>11.95731605073739</c:v>
                </c:pt>
                <c:pt idx="212">
                  <c:v>11.927479129698028</c:v>
                </c:pt>
                <c:pt idx="213">
                  <c:v>11.89558614080201</c:v>
                </c:pt>
                <c:pt idx="214">
                  <c:v>11.87499591202196</c:v>
                </c:pt>
                <c:pt idx="215">
                  <c:v>11.805415878398811</c:v>
                </c:pt>
                <c:pt idx="216">
                  <c:v>11.742033478409507</c:v>
                </c:pt>
                <c:pt idx="217">
                  <c:v>11.658567110321593</c:v>
                </c:pt>
                <c:pt idx="218">
                  <c:v>11.572858725430802</c:v>
                </c:pt>
                <c:pt idx="219">
                  <c:v>11.478784253327621</c:v>
                </c:pt>
                <c:pt idx="220">
                  <c:v>11.386418263898811</c:v>
                </c:pt>
                <c:pt idx="221">
                  <c:v>11.306316863575629</c:v>
                </c:pt>
                <c:pt idx="222">
                  <c:v>11.214109625682211</c:v>
                </c:pt>
                <c:pt idx="223">
                  <c:v>11.120722329529217</c:v>
                </c:pt>
                <c:pt idx="224">
                  <c:v>11.044468551947043</c:v>
                </c:pt>
                <c:pt idx="225">
                  <c:v>10.96724293333061</c:v>
                </c:pt>
                <c:pt idx="226">
                  <c:v>10.891752917120389</c:v>
                </c:pt>
                <c:pt idx="227">
                  <c:v>10.817847379160822</c:v>
                </c:pt>
                <c:pt idx="228">
                  <c:v>10.747572161248126</c:v>
                </c:pt>
                <c:pt idx="229">
                  <c:v>10.669500309536771</c:v>
                </c:pt>
                <c:pt idx="230">
                  <c:v>10.60404940013153</c:v>
                </c:pt>
                <c:pt idx="231">
                  <c:v>10.531010932568268</c:v>
                </c:pt>
                <c:pt idx="232">
                  <c:v>10.463008889804227</c:v>
                </c:pt>
                <c:pt idx="233">
                  <c:v>10.387930371300474</c:v>
                </c:pt>
                <c:pt idx="234">
                  <c:v>10.307714677939275</c:v>
                </c:pt>
                <c:pt idx="235">
                  <c:v>10.256832916350694</c:v>
                </c:pt>
                <c:pt idx="236">
                  <c:v>10.202038685142986</c:v>
                </c:pt>
                <c:pt idx="237">
                  <c:v>10.15200228764442</c:v>
                </c:pt>
                <c:pt idx="238">
                  <c:v>10.108387807616701</c:v>
                </c:pt>
                <c:pt idx="239">
                  <c:v>10.09517233277235</c:v>
                </c:pt>
                <c:pt idx="240">
                  <c:v>10.092969046183429</c:v>
                </c:pt>
                <c:pt idx="241">
                  <c:v>10.109889653965421</c:v>
                </c:pt>
                <c:pt idx="242">
                  <c:v>10.115431049534505</c:v>
                </c:pt>
                <c:pt idx="243">
                  <c:v>10.101578225378628</c:v>
                </c:pt>
                <c:pt idx="244">
                  <c:v>10.091528999534837</c:v>
                </c:pt>
                <c:pt idx="245">
                  <c:v>10.079323131827117</c:v>
                </c:pt>
                <c:pt idx="246">
                  <c:v>10.06783817541371</c:v>
                </c:pt>
                <c:pt idx="247">
                  <c:v>10.063181692732055</c:v>
                </c:pt>
                <c:pt idx="248">
                  <c:v>10.075624646535218</c:v>
                </c:pt>
                <c:pt idx="249">
                  <c:v>10.081446737526759</c:v>
                </c:pt>
                <c:pt idx="250">
                  <c:v>10.082880220129518</c:v>
                </c:pt>
                <c:pt idx="251">
                  <c:v>10.0786792470054</c:v>
                </c:pt>
                <c:pt idx="252">
                  <c:v>10.07788353128702</c:v>
                </c:pt>
                <c:pt idx="253">
                  <c:v>10.077130106766276</c:v>
                </c:pt>
                <c:pt idx="254">
                  <c:v>10.081519827881575</c:v>
                </c:pt>
                <c:pt idx="255">
                  <c:v>10.08920974052795</c:v>
                </c:pt>
                <c:pt idx="256">
                  <c:v>10.11633786583857</c:v>
                </c:pt>
                <c:pt idx="257">
                  <c:v>10.150627256741586</c:v>
                </c:pt>
                <c:pt idx="258">
                  <c:v>10.213472035019661</c:v>
                </c:pt>
                <c:pt idx="259">
                  <c:v>10.240336524745768</c:v>
                </c:pt>
                <c:pt idx="260">
                  <c:v>10.258900934473001</c:v>
                </c:pt>
                <c:pt idx="261">
                  <c:v>10.252968331352587</c:v>
                </c:pt>
                <c:pt idx="262">
                  <c:v>10.266425630621418</c:v>
                </c:pt>
                <c:pt idx="263">
                  <c:v>10.284425961081485</c:v>
                </c:pt>
                <c:pt idx="264">
                  <c:v>10.311034235604929</c:v>
                </c:pt>
                <c:pt idx="265">
                  <c:v>10.338374213270622</c:v>
                </c:pt>
                <c:pt idx="266">
                  <c:v>10.35826715700332</c:v>
                </c:pt>
                <c:pt idx="267">
                  <c:v>10.383018187845005</c:v>
                </c:pt>
                <c:pt idx="268">
                  <c:v>10.403005751967717</c:v>
                </c:pt>
                <c:pt idx="269">
                  <c:v>10.427369469691854</c:v>
                </c:pt>
                <c:pt idx="270">
                  <c:v>10.455183830830665</c:v>
                </c:pt>
                <c:pt idx="271">
                  <c:v>10.477213307036134</c:v>
                </c:pt>
                <c:pt idx="272">
                  <c:v>10.492079366820548</c:v>
                </c:pt>
                <c:pt idx="273">
                  <c:v>10.516976186191304</c:v>
                </c:pt>
                <c:pt idx="274">
                  <c:v>10.533474916249103</c:v>
                </c:pt>
                <c:pt idx="275">
                  <c:v>10.54044678272758</c:v>
                </c:pt>
                <c:pt idx="276">
                  <c:v>10.546837118966096</c:v>
                </c:pt>
                <c:pt idx="277">
                  <c:v>10.544539130687584</c:v>
                </c:pt>
                <c:pt idx="278">
                  <c:v>10.510905143068504</c:v>
                </c:pt>
                <c:pt idx="279">
                  <c:v>10.466393950759549</c:v>
                </c:pt>
                <c:pt idx="280">
                  <c:v>10.425824714367854</c:v>
                </c:pt>
                <c:pt idx="281">
                  <c:v>10.386871694222503</c:v>
                </c:pt>
                <c:pt idx="282">
                  <c:v>10.347768384689545</c:v>
                </c:pt>
                <c:pt idx="283">
                  <c:v>10.321118945081151</c:v>
                </c:pt>
                <c:pt idx="284">
                  <c:v>10.277828573214862</c:v>
                </c:pt>
                <c:pt idx="285">
                  <c:v>10.232137057423607</c:v>
                </c:pt>
                <c:pt idx="286">
                  <c:v>10.179417788739327</c:v>
                </c:pt>
                <c:pt idx="287">
                  <c:v>10.11957806533027</c:v>
                </c:pt>
                <c:pt idx="288">
                  <c:v>10.062433536754062</c:v>
                </c:pt>
                <c:pt idx="289">
                  <c:v>10.009947760669693</c:v>
                </c:pt>
                <c:pt idx="290">
                  <c:v>9.9563074163778875</c:v>
                </c:pt>
                <c:pt idx="291">
                  <c:v>9.9184174743656133</c:v>
                </c:pt>
                <c:pt idx="292">
                  <c:v>9.8876985414629104</c:v>
                </c:pt>
                <c:pt idx="293">
                  <c:v>9.8452492380545937</c:v>
                </c:pt>
                <c:pt idx="294">
                  <c:v>9.7945319739639896</c:v>
                </c:pt>
                <c:pt idx="295">
                  <c:v>9.7517626604035819</c:v>
                </c:pt>
                <c:pt idx="296">
                  <c:v>9.6939508186929633</c:v>
                </c:pt>
                <c:pt idx="297">
                  <c:v>9.6310467956657178</c:v>
                </c:pt>
                <c:pt idx="298">
                  <c:v>9.565926497678003</c:v>
                </c:pt>
                <c:pt idx="299">
                  <c:v>9.5155028021639687</c:v>
                </c:pt>
                <c:pt idx="300">
                  <c:v>9.4590446518652413</c:v>
                </c:pt>
                <c:pt idx="301">
                  <c:v>9.4065213711471465</c:v>
                </c:pt>
                <c:pt idx="302">
                  <c:v>9.3606915721543764</c:v>
                </c:pt>
                <c:pt idx="303">
                  <c:v>9.3167288328163487</c:v>
                </c:pt>
                <c:pt idx="304">
                  <c:v>9.2747634661606142</c:v>
                </c:pt>
                <c:pt idx="305">
                  <c:v>9.2327244059222817</c:v>
                </c:pt>
                <c:pt idx="306">
                  <c:v>9.1942251133260999</c:v>
                </c:pt>
                <c:pt idx="307">
                  <c:v>9.1600007382083817</c:v>
                </c:pt>
                <c:pt idx="308">
                  <c:v>9.1229868049594618</c:v>
                </c:pt>
                <c:pt idx="309">
                  <c:v>9.0838770441769352</c:v>
                </c:pt>
                <c:pt idx="310">
                  <c:v>9.0393715707661251</c:v>
                </c:pt>
                <c:pt idx="311">
                  <c:v>8.9521080321823217</c:v>
                </c:pt>
                <c:pt idx="312">
                  <c:v>8.8652402992010249</c:v>
                </c:pt>
                <c:pt idx="313">
                  <c:v>8.7795947137181756</c:v>
                </c:pt>
                <c:pt idx="314">
                  <c:v>8.7190987208197708</c:v>
                </c:pt>
                <c:pt idx="315">
                  <c:v>8.6597493723343764</c:v>
                </c:pt>
                <c:pt idx="316">
                  <c:v>8.6233326248128623</c:v>
                </c:pt>
                <c:pt idx="317">
                  <c:v>8.5957812105337315</c:v>
                </c:pt>
                <c:pt idx="318">
                  <c:v>8.5651045334664726</c:v>
                </c:pt>
                <c:pt idx="319">
                  <c:v>8.5395104700452968</c:v>
                </c:pt>
                <c:pt idx="320">
                  <c:v>8.5170030922326294</c:v>
                </c:pt>
                <c:pt idx="321">
                  <c:v>8.4978846817400839</c:v>
                </c:pt>
                <c:pt idx="322">
                  <c:v>8.4595551730469563</c:v>
                </c:pt>
                <c:pt idx="323">
                  <c:v>8.4262461846805472</c:v>
                </c:pt>
                <c:pt idx="324">
                  <c:v>8.3892123973033819</c:v>
                </c:pt>
                <c:pt idx="325">
                  <c:v>8.3582237276933107</c:v>
                </c:pt>
                <c:pt idx="326">
                  <c:v>8.3331779937114021</c:v>
                </c:pt>
                <c:pt idx="327">
                  <c:v>8.314817380513265</c:v>
                </c:pt>
                <c:pt idx="328">
                  <c:v>8.313276917464151</c:v>
                </c:pt>
                <c:pt idx="329">
                  <c:v>8.3096047015889578</c:v>
                </c:pt>
                <c:pt idx="330">
                  <c:v>8.309007075495833</c:v>
                </c:pt>
                <c:pt idx="331">
                  <c:v>8.3350237889482592</c:v>
                </c:pt>
                <c:pt idx="332">
                  <c:v>8.3525738655049917</c:v>
                </c:pt>
                <c:pt idx="333">
                  <c:v>8.377737166583783</c:v>
                </c:pt>
                <c:pt idx="334">
                  <c:v>8.3907495644642509</c:v>
                </c:pt>
                <c:pt idx="335">
                  <c:v>8.4036438549249386</c:v>
                </c:pt>
                <c:pt idx="336">
                  <c:v>8.3983724569215621</c:v>
                </c:pt>
                <c:pt idx="337">
                  <c:v>8.39017084989929</c:v>
                </c:pt>
                <c:pt idx="338">
                  <c:v>8.4003444436342587</c:v>
                </c:pt>
                <c:pt idx="339">
                  <c:v>8.4053572530631051</c:v>
                </c:pt>
                <c:pt idx="340">
                  <c:v>8.3985194956923994</c:v>
                </c:pt>
                <c:pt idx="341">
                  <c:v>8.3748516107582063</c:v>
                </c:pt>
                <c:pt idx="342">
                  <c:v>8.3653357746294859</c:v>
                </c:pt>
                <c:pt idx="343">
                  <c:v>8.3398458552052901</c:v>
                </c:pt>
                <c:pt idx="344">
                  <c:v>8.3171185656346065</c:v>
                </c:pt>
                <c:pt idx="345">
                  <c:v>8.2952528363493307</c:v>
                </c:pt>
                <c:pt idx="346">
                  <c:v>8.2822510995415097</c:v>
                </c:pt>
                <c:pt idx="347">
                  <c:v>8.2748908003102457</c:v>
                </c:pt>
                <c:pt idx="348">
                  <c:v>8.2521055103048422</c:v>
                </c:pt>
                <c:pt idx="349">
                  <c:v>8.2311449325036321</c:v>
                </c:pt>
                <c:pt idx="350">
                  <c:v>8.2191079639021147</c:v>
                </c:pt>
                <c:pt idx="351">
                  <c:v>8.2232657492228896</c:v>
                </c:pt>
                <c:pt idx="352">
                  <c:v>8.2231590585165275</c:v>
                </c:pt>
                <c:pt idx="353">
                  <c:v>8.2078025916345521</c:v>
                </c:pt>
                <c:pt idx="354">
                  <c:v>8.194951498447173</c:v>
                </c:pt>
                <c:pt idx="355">
                  <c:v>8.1745481185615194</c:v>
                </c:pt>
                <c:pt idx="356">
                  <c:v>8.1585247083129051</c:v>
                </c:pt>
                <c:pt idx="357">
                  <c:v>8.1411668955094605</c:v>
                </c:pt>
                <c:pt idx="358">
                  <c:v>8.1176834673089271</c:v>
                </c:pt>
                <c:pt idx="359">
                  <c:v>8.0938572335224404</c:v>
                </c:pt>
                <c:pt idx="360">
                  <c:v>8.0770471263145289</c:v>
                </c:pt>
                <c:pt idx="361">
                  <c:v>8.0769231049726304</c:v>
                </c:pt>
                <c:pt idx="362">
                  <c:v>8.0794981566097324</c:v>
                </c:pt>
                <c:pt idx="363">
                  <c:v>8.0895069963885344</c:v>
                </c:pt>
                <c:pt idx="364">
                  <c:v>8.1063598963460741</c:v>
                </c:pt>
                <c:pt idx="365">
                  <c:v>8.1164226498358065</c:v>
                </c:pt>
                <c:pt idx="366">
                  <c:v>8.109129331621487</c:v>
                </c:pt>
                <c:pt idx="367">
                  <c:v>8.1063120232520607</c:v>
                </c:pt>
                <c:pt idx="368">
                  <c:v>8.1001486941397047</c:v>
                </c:pt>
                <c:pt idx="369">
                  <c:v>8.0918548934827914</c:v>
                </c:pt>
                <c:pt idx="370">
                  <c:v>8.0664409292875803</c:v>
                </c:pt>
                <c:pt idx="371">
                  <c:v>8.0485966664872777</c:v>
                </c:pt>
                <c:pt idx="372">
                  <c:v>8.0411883587437583</c:v>
                </c:pt>
                <c:pt idx="373">
                  <c:v>8.0471602867988974</c:v>
                </c:pt>
                <c:pt idx="374">
                  <c:v>8.0558364627830485</c:v>
                </c:pt>
                <c:pt idx="375">
                  <c:v>8.0866509078298332</c:v>
                </c:pt>
                <c:pt idx="376">
                  <c:v>8.1106883051367511</c:v>
                </c:pt>
                <c:pt idx="377">
                  <c:v>8.1290905758349759</c:v>
                </c:pt>
                <c:pt idx="378">
                  <c:v>8.1398884573880306</c:v>
                </c:pt>
                <c:pt idx="379">
                  <c:v>8.1446668238142763</c:v>
                </c:pt>
                <c:pt idx="380">
                  <c:v>8.1482004638809151</c:v>
                </c:pt>
                <c:pt idx="381">
                  <c:v>8.1411934174840965</c:v>
                </c:pt>
                <c:pt idx="382">
                  <c:v>8.128286574937956</c:v>
                </c:pt>
                <c:pt idx="383">
                  <c:v>8.1057535942853747</c:v>
                </c:pt>
                <c:pt idx="384">
                  <c:v>8.0788376084650118</c:v>
                </c:pt>
                <c:pt idx="385">
                  <c:v>8.0517651651028732</c:v>
                </c:pt>
                <c:pt idx="386">
                  <c:v>8.0342460340686213</c:v>
                </c:pt>
                <c:pt idx="387">
                  <c:v>7.9947873766070812</c:v>
                </c:pt>
                <c:pt idx="388">
                  <c:v>7.9499698930409703</c:v>
                </c:pt>
                <c:pt idx="389">
                  <c:v>7.899352027401056</c:v>
                </c:pt>
                <c:pt idx="390">
                  <c:v>7.8798080008454132</c:v>
                </c:pt>
                <c:pt idx="391">
                  <c:v>7.8556864078615787</c:v>
                </c:pt>
                <c:pt idx="392">
                  <c:v>7.8331310140311716</c:v>
                </c:pt>
                <c:pt idx="393">
                  <c:v>7.8034903226361658</c:v>
                </c:pt>
                <c:pt idx="394">
                  <c:v>7.7647374944129952</c:v>
                </c:pt>
                <c:pt idx="395">
                  <c:v>7.7017772185253648</c:v>
                </c:pt>
                <c:pt idx="396">
                  <c:v>7.6446412977639699</c:v>
                </c:pt>
                <c:pt idx="397">
                  <c:v>7.5865455734994969</c:v>
                </c:pt>
                <c:pt idx="398">
                  <c:v>7.5322779079858222</c:v>
                </c:pt>
                <c:pt idx="399">
                  <c:v>7.4893719929454381</c:v>
                </c:pt>
                <c:pt idx="400">
                  <c:v>7.4571988019222664</c:v>
                </c:pt>
                <c:pt idx="401">
                  <c:v>7.4278621959077915</c:v>
                </c:pt>
                <c:pt idx="402">
                  <c:v>7.4060665166008501</c:v>
                </c:pt>
                <c:pt idx="403">
                  <c:v>7.4012868500720952</c:v>
                </c:pt>
                <c:pt idx="404">
                  <c:v>7.4039272436862449</c:v>
                </c:pt>
                <c:pt idx="405">
                  <c:v>7.4288775365241033</c:v>
                </c:pt>
                <c:pt idx="406">
                  <c:v>7.4483690484847385</c:v>
                </c:pt>
                <c:pt idx="407">
                  <c:v>7.470034673604415</c:v>
                </c:pt>
                <c:pt idx="408">
                  <c:v>7.4983326752225743</c:v>
                </c:pt>
                <c:pt idx="409">
                  <c:v>7.5369975193556655</c:v>
                </c:pt>
                <c:pt idx="410">
                  <c:v>7.5520045262642306</c:v>
                </c:pt>
                <c:pt idx="411">
                  <c:v>7.5586192752798045</c:v>
                </c:pt>
                <c:pt idx="412">
                  <c:v>7.5558714746079954</c:v>
                </c:pt>
                <c:pt idx="413">
                  <c:v>7.5671643230450858</c:v>
                </c:pt>
                <c:pt idx="414">
                  <c:v>7.5691751987645173</c:v>
                </c:pt>
                <c:pt idx="415">
                  <c:v>7.5730555586055628</c:v>
                </c:pt>
                <c:pt idx="416">
                  <c:v>7.5873291859740704</c:v>
                </c:pt>
                <c:pt idx="417">
                  <c:v>7.6119233126292016</c:v>
                </c:pt>
                <c:pt idx="418">
                  <c:v>7.6394598532035758</c:v>
                </c:pt>
                <c:pt idx="419">
                  <c:v>7.6578313234887609</c:v>
                </c:pt>
                <c:pt idx="420">
                  <c:v>7.6709282153335616</c:v>
                </c:pt>
                <c:pt idx="421">
                  <c:v>7.700779647515108</c:v>
                </c:pt>
                <c:pt idx="422">
                  <c:v>7.721307833083733</c:v>
                </c:pt>
                <c:pt idx="423">
                  <c:v>7.7321019331573453</c:v>
                </c:pt>
                <c:pt idx="424">
                  <c:v>7.735408438252076</c:v>
                </c:pt>
                <c:pt idx="425">
                  <c:v>7.7205431215396327</c:v>
                </c:pt>
                <c:pt idx="426">
                  <c:v>7.7052566433863481</c:v>
                </c:pt>
                <c:pt idx="427">
                  <c:v>7.6962305680604031</c:v>
                </c:pt>
                <c:pt idx="428">
                  <c:v>7.6827810920474491</c:v>
                </c:pt>
                <c:pt idx="429">
                  <c:v>7.6672578977326005</c:v>
                </c:pt>
                <c:pt idx="430">
                  <c:v>7.6610788911324672</c:v>
                </c:pt>
                <c:pt idx="431">
                  <c:v>7.6542981426616388</c:v>
                </c:pt>
                <c:pt idx="432">
                  <c:v>7.6523487525151648</c:v>
                </c:pt>
                <c:pt idx="433">
                  <c:v>7.6418567418719601</c:v>
                </c:pt>
                <c:pt idx="434">
                  <c:v>7.6250678589988281</c:v>
                </c:pt>
                <c:pt idx="435">
                  <c:v>7.629855207806969</c:v>
                </c:pt>
                <c:pt idx="436">
                  <c:v>7.6296934886149863</c:v>
                </c:pt>
                <c:pt idx="437">
                  <c:v>7.6431078231202179</c:v>
                </c:pt>
                <c:pt idx="438">
                  <c:v>7.6464607833982701</c:v>
                </c:pt>
                <c:pt idx="439">
                  <c:v>7.6402875211203698</c:v>
                </c:pt>
                <c:pt idx="440">
                  <c:v>7.6308358740963182</c:v>
                </c:pt>
                <c:pt idx="441">
                  <c:v>7.6295322721224323</c:v>
                </c:pt>
                <c:pt idx="442">
                  <c:v>7.6335282628798318</c:v>
                </c:pt>
                <c:pt idx="443">
                  <c:v>7.6430286259876956</c:v>
                </c:pt>
                <c:pt idx="444">
                  <c:v>7.6584204974915817</c:v>
                </c:pt>
                <c:pt idx="445">
                  <c:v>7.6727679047410176</c:v>
                </c:pt>
                <c:pt idx="446">
                  <c:v>7.6824111116091043</c:v>
                </c:pt>
                <c:pt idx="447">
                  <c:v>7.6976466584588987</c:v>
                </c:pt>
                <c:pt idx="448">
                  <c:v>7.6965944293409541</c:v>
                </c:pt>
                <c:pt idx="449">
                  <c:v>7.7014457118559605</c:v>
                </c:pt>
                <c:pt idx="450">
                  <c:v>7.6988925848556162</c:v>
                </c:pt>
                <c:pt idx="451">
                  <c:v>7.6939730711601308</c:v>
                </c:pt>
                <c:pt idx="452">
                  <c:v>7.6821086043438367</c:v>
                </c:pt>
                <c:pt idx="453">
                  <c:v>7.673453268224093</c:v>
                </c:pt>
                <c:pt idx="454">
                  <c:v>7.6939681107036249</c:v>
                </c:pt>
                <c:pt idx="455">
                  <c:v>7.6936695416918646</c:v>
                </c:pt>
                <c:pt idx="456">
                  <c:v>7.6879980606320935</c:v>
                </c:pt>
                <c:pt idx="457">
                  <c:v>7.6612969575584531</c:v>
                </c:pt>
                <c:pt idx="458">
                  <c:v>7.6338967841249845</c:v>
                </c:pt>
                <c:pt idx="459">
                  <c:v>7.6288594088456811</c:v>
                </c:pt>
                <c:pt idx="460">
                  <c:v>7.6025072156660789</c:v>
                </c:pt>
                <c:pt idx="461">
                  <c:v>7.6015233906581958</c:v>
                </c:pt>
                <c:pt idx="462">
                  <c:v>7.6199935178657139</c:v>
                </c:pt>
                <c:pt idx="463">
                  <c:v>7.6514978332091639</c:v>
                </c:pt>
                <c:pt idx="464">
                  <c:v>7.6537768597999314</c:v>
                </c:pt>
                <c:pt idx="465">
                  <c:v>7.6691300560485338</c:v>
                </c:pt>
                <c:pt idx="466">
                  <c:v>7.7074080865719719</c:v>
                </c:pt>
                <c:pt idx="467">
                  <c:v>7.7473410695531228</c:v>
                </c:pt>
                <c:pt idx="468">
                  <c:v>7.8660316802144594</c:v>
                </c:pt>
                <c:pt idx="469">
                  <c:v>7.9624999574766093</c:v>
                </c:pt>
                <c:pt idx="470">
                  <c:v>8.0927905899740793</c:v>
                </c:pt>
                <c:pt idx="471">
                  <c:v>8.2756032796264307</c:v>
                </c:pt>
                <c:pt idx="472">
                  <c:v>8.4729997791967318</c:v>
                </c:pt>
                <c:pt idx="473">
                  <c:v>8.6657833188760449</c:v>
                </c:pt>
                <c:pt idx="474">
                  <c:v>8.8604056297932736</c:v>
                </c:pt>
                <c:pt idx="475">
                  <c:v>9.0547207737033997</c:v>
                </c:pt>
                <c:pt idx="476">
                  <c:v>9.2403244683768442</c:v>
                </c:pt>
                <c:pt idx="477">
                  <c:v>9.4403785843941233</c:v>
                </c:pt>
                <c:pt idx="478">
                  <c:v>9.659751348732204</c:v>
                </c:pt>
                <c:pt idx="479">
                  <c:v>9.8538707920700688</c:v>
                </c:pt>
                <c:pt idx="480">
                  <c:v>10.057414125826559</c:v>
                </c:pt>
                <c:pt idx="481">
                  <c:v>10.222962057824773</c:v>
                </c:pt>
                <c:pt idx="482">
                  <c:v>10.366958874753452</c:v>
                </c:pt>
                <c:pt idx="483">
                  <c:v>10.507467289335663</c:v>
                </c:pt>
                <c:pt idx="484">
                  <c:v>10.675627161314527</c:v>
                </c:pt>
                <c:pt idx="485">
                  <c:v>10.846069581731319</c:v>
                </c:pt>
                <c:pt idx="486">
                  <c:v>10.99746874744339</c:v>
                </c:pt>
                <c:pt idx="487">
                  <c:v>11.109521387466296</c:v>
                </c:pt>
                <c:pt idx="488">
                  <c:v>11.17231594630665</c:v>
                </c:pt>
                <c:pt idx="489">
                  <c:v>11.244663188758576</c:v>
                </c:pt>
                <c:pt idx="490">
                  <c:v>11.285074336827357</c:v>
                </c:pt>
                <c:pt idx="491">
                  <c:v>11.299409237391977</c:v>
                </c:pt>
                <c:pt idx="492">
                  <c:v>11.306095001122339</c:v>
                </c:pt>
                <c:pt idx="493">
                  <c:v>11.309130296791043</c:v>
                </c:pt>
                <c:pt idx="494">
                  <c:v>11.295692972745849</c:v>
                </c:pt>
                <c:pt idx="495">
                  <c:v>11.299654459401163</c:v>
                </c:pt>
                <c:pt idx="496">
                  <c:v>11.314126951817546</c:v>
                </c:pt>
                <c:pt idx="497">
                  <c:v>11.363998358003384</c:v>
                </c:pt>
                <c:pt idx="498">
                  <c:v>11.399849885869848</c:v>
                </c:pt>
                <c:pt idx="499">
                  <c:v>11.451918956087393</c:v>
                </c:pt>
                <c:pt idx="500">
                  <c:v>11.517347197895553</c:v>
                </c:pt>
                <c:pt idx="501">
                  <c:v>11.558333434709334</c:v>
                </c:pt>
                <c:pt idx="502">
                  <c:v>11.58797451030679</c:v>
                </c:pt>
                <c:pt idx="503">
                  <c:v>11.610021285003226</c:v>
                </c:pt>
                <c:pt idx="504">
                  <c:v>11.625942856343123</c:v>
                </c:pt>
                <c:pt idx="505">
                  <c:v>11.631870933599977</c:v>
                </c:pt>
                <c:pt idx="506">
                  <c:v>11.627318898337073</c:v>
                </c:pt>
                <c:pt idx="507">
                  <c:v>11.658412424734365</c:v>
                </c:pt>
                <c:pt idx="508">
                  <c:v>11.677060500069899</c:v>
                </c:pt>
                <c:pt idx="509">
                  <c:v>11.696644265536358</c:v>
                </c:pt>
                <c:pt idx="510">
                  <c:v>11.710923396249466</c:v>
                </c:pt>
                <c:pt idx="511">
                  <c:v>11.71573625522668</c:v>
                </c:pt>
                <c:pt idx="512">
                  <c:v>11.722803664557096</c:v>
                </c:pt>
                <c:pt idx="513">
                  <c:v>11.738882578693081</c:v>
                </c:pt>
                <c:pt idx="514">
                  <c:v>11.768428604536176</c:v>
                </c:pt>
                <c:pt idx="515">
                  <c:v>11.792976238469777</c:v>
                </c:pt>
                <c:pt idx="516">
                  <c:v>11.83070680969379</c:v>
                </c:pt>
                <c:pt idx="517">
                  <c:v>11.823357625789328</c:v>
                </c:pt>
                <c:pt idx="518">
                  <c:v>11.816992536446264</c:v>
                </c:pt>
                <c:pt idx="519">
                  <c:v>11.802014631698931</c:v>
                </c:pt>
                <c:pt idx="520">
                  <c:v>11.773171458047232</c:v>
                </c:pt>
                <c:pt idx="521">
                  <c:v>11.751584292581667</c:v>
                </c:pt>
                <c:pt idx="522">
                  <c:v>11.746905935096981</c:v>
                </c:pt>
                <c:pt idx="523">
                  <c:v>11.733467977479927</c:v>
                </c:pt>
                <c:pt idx="524">
                  <c:v>11.723968721327845</c:v>
                </c:pt>
                <c:pt idx="525">
                  <c:v>11.69871270998377</c:v>
                </c:pt>
                <c:pt idx="526">
                  <c:v>11.710752787333684</c:v>
                </c:pt>
                <c:pt idx="527">
                  <c:v>11.689911144008557</c:v>
                </c:pt>
                <c:pt idx="528">
                  <c:v>11.666804040507106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6A-43B8-A7C0-D2D446302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861584"/>
        <c:axId val="1556315632"/>
      </c:lineChart>
      <c:catAx>
        <c:axId val="97686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315632"/>
        <c:crosses val="autoZero"/>
        <c:auto val="1"/>
        <c:lblAlgn val="ctr"/>
        <c:lblOffset val="100"/>
        <c:noMultiLvlLbl val="0"/>
      </c:catAx>
      <c:valAx>
        <c:axId val="155631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686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Mercedes!$U$2:$U$15</c:f>
              <c:numCache>
                <c:formatCode>General</c:formatCode>
                <c:ptCount val="14"/>
                <c:pt idx="0">
                  <c:v>59.034195933456601</c:v>
                </c:pt>
                <c:pt idx="1">
                  <c:v>56.162246489859655</c:v>
                </c:pt>
                <c:pt idx="2">
                  <c:v>54.215646534252159</c:v>
                </c:pt>
                <c:pt idx="3">
                  <c:v>51.617048618547898</c:v>
                </c:pt>
                <c:pt idx="4">
                  <c:v>58.558116723884275</c:v>
                </c:pt>
                <c:pt idx="5">
                  <c:v>59.78394303952868</c:v>
                </c:pt>
                <c:pt idx="6">
                  <c:v>47.586476451045549</c:v>
                </c:pt>
                <c:pt idx="7">
                  <c:v>47.432379459035637</c:v>
                </c:pt>
                <c:pt idx="8">
                  <c:v>50.259896041583318</c:v>
                </c:pt>
                <c:pt idx="9">
                  <c:v>47.516198704103594</c:v>
                </c:pt>
                <c:pt idx="10">
                  <c:v>55.616438356164309</c:v>
                </c:pt>
                <c:pt idx="11">
                  <c:v>55.083179297596963</c:v>
                </c:pt>
                <c:pt idx="12">
                  <c:v>49.78282659538921</c:v>
                </c:pt>
                <c:pt idx="13">
                  <c:v>48.711823920832593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96-42E2-B873-35A0FD661F6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Mercedes!$V$2:$V$15</c:f>
              <c:numCache>
                <c:formatCode>General</c:formatCode>
                <c:ptCount val="14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96-42E2-B873-35A0FD661F6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Mercedes!$W$2:$W$15</c:f>
              <c:numCache>
                <c:formatCode>General</c:formatCode>
                <c:ptCount val="14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96-42E2-B873-35A0FD661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586160"/>
        <c:axId val="1416586640"/>
      </c:lineChart>
      <c:catAx>
        <c:axId val="141658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6586640"/>
        <c:crosses val="autoZero"/>
        <c:auto val="1"/>
        <c:lblAlgn val="ctr"/>
        <c:lblOffset val="100"/>
        <c:noMultiLvlLbl val="0"/>
      </c:catAx>
      <c:valAx>
        <c:axId val="141658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658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Graph</a:t>
            </a:r>
            <a:r>
              <a:rPr lang="fr-FR" baseline="0"/>
              <a:t> Stochastique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Mercedes!$AB$1</c:f>
              <c:strCache>
                <c:ptCount val="1"/>
                <c:pt idx="0">
                  <c:v>Stochastique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Mercedes!$AB$2:$AB$15</c:f>
              <c:numCache>
                <c:formatCode>General</c:formatCode>
                <c:ptCount val="14"/>
                <c:pt idx="0">
                  <c:v>100</c:v>
                </c:pt>
                <c:pt idx="1">
                  <c:v>38.461538461538467</c:v>
                </c:pt>
                <c:pt idx="2">
                  <c:v>73.267326732672913</c:v>
                </c:pt>
                <c:pt idx="3">
                  <c:v>21.118012422360469</c:v>
                </c:pt>
                <c:pt idx="4">
                  <c:v>85.207100591716028</c:v>
                </c:pt>
                <c:pt idx="5">
                  <c:v>48.760330578512054</c:v>
                </c:pt>
                <c:pt idx="6">
                  <c:v>100</c:v>
                </c:pt>
                <c:pt idx="7">
                  <c:v>92.207792207792366</c:v>
                </c:pt>
                <c:pt idx="8">
                  <c:v>37.974683544304376</c:v>
                </c:pt>
                <c:pt idx="9">
                  <c:v>86.315789473683978</c:v>
                </c:pt>
                <c:pt idx="10">
                  <c:v>90.721649484536442</c:v>
                </c:pt>
                <c:pt idx="11">
                  <c:v>21.698113207546829</c:v>
                </c:pt>
                <c:pt idx="12">
                  <c:v>95.689655172413438</c:v>
                </c:pt>
                <c:pt idx="13">
                  <c:v>36.649214659685711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65-475B-A0A7-B1543B6F9DFF}"/>
            </c:ext>
          </c:extLst>
        </c:ser>
        <c:ser>
          <c:idx val="1"/>
          <c:order val="1"/>
          <c:tx>
            <c:strRef>
              <c:f>Mercedes!$AC$1</c:f>
              <c:strCache>
                <c:ptCount val="1"/>
                <c:pt idx="0">
                  <c:v>Moyenne stochastiques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Mercedes!$AC$2:$AC$15</c:f>
              <c:numCache>
                <c:formatCode>General</c:formatCode>
                <c:ptCount val="14"/>
                <c:pt idx="0">
                  <c:v>66.290800466911648</c:v>
                </c:pt>
                <c:pt idx="1">
                  <c:v>63.697785118212543</c:v>
                </c:pt>
                <c:pt idx="2">
                  <c:v>65.800805672935368</c:v>
                </c:pt>
                <c:pt idx="3">
                  <c:v>65.122031031141077</c:v>
                </c:pt>
                <c:pt idx="4">
                  <c:v>69.52243289201914</c:v>
                </c:pt>
                <c:pt idx="5">
                  <c:v>67.779692036497238</c:v>
                </c:pt>
                <c:pt idx="6">
                  <c:v>70.157112218745397</c:v>
                </c:pt>
                <c:pt idx="7">
                  <c:v>65.893842535709013</c:v>
                </c:pt>
                <c:pt idx="8">
                  <c:v>61.508184257028461</c:v>
                </c:pt>
                <c:pt idx="9">
                  <c:v>66.214884399573279</c:v>
                </c:pt>
                <c:pt idx="10">
                  <c:v>61.189658131045604</c:v>
                </c:pt>
                <c:pt idx="11">
                  <c:v>51.345661013215327</c:v>
                </c:pt>
                <c:pt idx="12">
                  <c:v>66.169434916049568</c:v>
                </c:pt>
                <c:pt idx="13">
                  <c:v>36.649214659685711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65-475B-A0A7-B1543B6F9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295600"/>
        <c:axId val="1416296560"/>
      </c:lineChart>
      <c:catAx>
        <c:axId val="141629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6296560"/>
        <c:crosses val="autoZero"/>
        <c:auto val="1"/>
        <c:lblAlgn val="ctr"/>
        <c:lblOffset val="100"/>
        <c:noMultiLvlLbl val="0"/>
      </c:catAx>
      <c:valAx>
        <c:axId val="14162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629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Derniers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Mercedes!$B$2:$B$531</c:f>
              <c:numCache>
                <c:formatCode>General</c:formatCode>
                <c:ptCount val="530"/>
                <c:pt idx="0">
                  <c:v>57.835000000000001</c:v>
                </c:pt>
                <c:pt idx="1">
                  <c:v>57.18</c:v>
                </c:pt>
                <c:pt idx="2">
                  <c:v>57.55</c:v>
                </c:pt>
                <c:pt idx="3">
                  <c:v>56.88</c:v>
                </c:pt>
                <c:pt idx="4">
                  <c:v>57.52</c:v>
                </c:pt>
                <c:pt idx="5">
                  <c:v>56.65</c:v>
                </c:pt>
                <c:pt idx="6">
                  <c:v>57.34</c:v>
                </c:pt>
                <c:pt idx="7">
                  <c:v>57.21</c:v>
                </c:pt>
                <c:pt idx="8">
                  <c:v>58.92</c:v>
                </c:pt>
                <c:pt idx="9">
                  <c:v>59.33</c:v>
                </c:pt>
                <c:pt idx="10">
                  <c:v>58.74</c:v>
                </c:pt>
                <c:pt idx="11">
                  <c:v>58.44</c:v>
                </c:pt>
                <c:pt idx="12">
                  <c:v>57.62</c:v>
                </c:pt>
                <c:pt idx="13">
                  <c:v>56.79</c:v>
                </c:pt>
                <c:pt idx="14">
                  <c:v>55.82</c:v>
                </c:pt>
                <c:pt idx="15">
                  <c:v>56.25</c:v>
                </c:pt>
                <c:pt idx="16">
                  <c:v>56.05</c:v>
                </c:pt>
                <c:pt idx="17">
                  <c:v>56.37</c:v>
                </c:pt>
                <c:pt idx="18">
                  <c:v>55.09</c:v>
                </c:pt>
                <c:pt idx="19">
                  <c:v>55.16</c:v>
                </c:pt>
                <c:pt idx="20">
                  <c:v>56.3</c:v>
                </c:pt>
                <c:pt idx="21">
                  <c:v>55.55</c:v>
                </c:pt>
                <c:pt idx="22">
                  <c:v>55.45</c:v>
                </c:pt>
                <c:pt idx="23">
                  <c:v>55.04</c:v>
                </c:pt>
                <c:pt idx="24">
                  <c:v>53.06</c:v>
                </c:pt>
                <c:pt idx="25">
                  <c:v>53.31</c:v>
                </c:pt>
                <c:pt idx="26">
                  <c:v>54.32</c:v>
                </c:pt>
                <c:pt idx="27">
                  <c:v>54.34</c:v>
                </c:pt>
                <c:pt idx="28">
                  <c:v>52.45</c:v>
                </c:pt>
                <c:pt idx="29">
                  <c:v>52.88</c:v>
                </c:pt>
                <c:pt idx="30">
                  <c:v>53.8</c:v>
                </c:pt>
                <c:pt idx="31">
                  <c:v>53.55</c:v>
                </c:pt>
                <c:pt idx="32">
                  <c:v>52.72</c:v>
                </c:pt>
                <c:pt idx="33">
                  <c:v>53.45</c:v>
                </c:pt>
                <c:pt idx="34">
                  <c:v>53.47</c:v>
                </c:pt>
                <c:pt idx="35">
                  <c:v>53.94</c:v>
                </c:pt>
                <c:pt idx="36">
                  <c:v>54.05</c:v>
                </c:pt>
                <c:pt idx="37">
                  <c:v>54.35</c:v>
                </c:pt>
                <c:pt idx="38">
                  <c:v>56.53</c:v>
                </c:pt>
                <c:pt idx="39">
                  <c:v>56.26</c:v>
                </c:pt>
                <c:pt idx="40">
                  <c:v>55.69</c:v>
                </c:pt>
                <c:pt idx="41">
                  <c:v>56.07</c:v>
                </c:pt>
                <c:pt idx="42">
                  <c:v>55.52</c:v>
                </c:pt>
                <c:pt idx="43">
                  <c:v>53.78</c:v>
                </c:pt>
                <c:pt idx="44">
                  <c:v>53.38</c:v>
                </c:pt>
                <c:pt idx="45">
                  <c:v>53.04</c:v>
                </c:pt>
                <c:pt idx="46">
                  <c:v>52</c:v>
                </c:pt>
                <c:pt idx="47">
                  <c:v>53.35</c:v>
                </c:pt>
                <c:pt idx="48">
                  <c:v>52.96</c:v>
                </c:pt>
                <c:pt idx="49">
                  <c:v>52.66</c:v>
                </c:pt>
                <c:pt idx="50">
                  <c:v>52.33</c:v>
                </c:pt>
                <c:pt idx="51">
                  <c:v>52.28</c:v>
                </c:pt>
                <c:pt idx="52">
                  <c:v>52.83</c:v>
                </c:pt>
                <c:pt idx="53">
                  <c:v>52.27</c:v>
                </c:pt>
                <c:pt idx="54">
                  <c:v>51.85</c:v>
                </c:pt>
                <c:pt idx="55">
                  <c:v>51.89</c:v>
                </c:pt>
                <c:pt idx="56">
                  <c:v>52.87</c:v>
                </c:pt>
                <c:pt idx="57">
                  <c:v>53.51</c:v>
                </c:pt>
                <c:pt idx="58">
                  <c:v>52.95</c:v>
                </c:pt>
                <c:pt idx="59">
                  <c:v>52.47</c:v>
                </c:pt>
                <c:pt idx="60">
                  <c:v>51.44</c:v>
                </c:pt>
                <c:pt idx="61">
                  <c:v>52.06</c:v>
                </c:pt>
                <c:pt idx="62">
                  <c:v>52.85</c:v>
                </c:pt>
                <c:pt idx="63">
                  <c:v>52.36</c:v>
                </c:pt>
                <c:pt idx="64">
                  <c:v>53.77</c:v>
                </c:pt>
                <c:pt idx="65">
                  <c:v>52.3</c:v>
                </c:pt>
                <c:pt idx="66">
                  <c:v>55.9</c:v>
                </c:pt>
                <c:pt idx="67">
                  <c:v>56.18</c:v>
                </c:pt>
                <c:pt idx="68">
                  <c:v>55.95</c:v>
                </c:pt>
                <c:pt idx="69">
                  <c:v>55.7</c:v>
                </c:pt>
                <c:pt idx="70">
                  <c:v>56.4</c:v>
                </c:pt>
                <c:pt idx="71">
                  <c:v>56.95</c:v>
                </c:pt>
                <c:pt idx="72">
                  <c:v>57.43</c:v>
                </c:pt>
                <c:pt idx="73">
                  <c:v>57.79</c:v>
                </c:pt>
                <c:pt idx="74">
                  <c:v>58.36</c:v>
                </c:pt>
                <c:pt idx="75">
                  <c:v>57.53</c:v>
                </c:pt>
                <c:pt idx="76">
                  <c:v>57.38</c:v>
                </c:pt>
                <c:pt idx="77">
                  <c:v>57</c:v>
                </c:pt>
                <c:pt idx="78">
                  <c:v>57.3</c:v>
                </c:pt>
                <c:pt idx="79">
                  <c:v>56.9</c:v>
                </c:pt>
                <c:pt idx="80">
                  <c:v>56.77</c:v>
                </c:pt>
                <c:pt idx="81">
                  <c:v>57.27</c:v>
                </c:pt>
                <c:pt idx="82">
                  <c:v>57.76</c:v>
                </c:pt>
                <c:pt idx="83">
                  <c:v>57.82</c:v>
                </c:pt>
                <c:pt idx="84">
                  <c:v>57.2</c:v>
                </c:pt>
                <c:pt idx="85">
                  <c:v>57</c:v>
                </c:pt>
                <c:pt idx="86">
                  <c:v>56.44</c:v>
                </c:pt>
                <c:pt idx="87">
                  <c:v>57.67</c:v>
                </c:pt>
                <c:pt idx="88">
                  <c:v>57.32</c:v>
                </c:pt>
                <c:pt idx="89">
                  <c:v>56.72</c:v>
                </c:pt>
                <c:pt idx="90">
                  <c:v>57.35</c:v>
                </c:pt>
                <c:pt idx="91">
                  <c:v>57.5</c:v>
                </c:pt>
                <c:pt idx="92">
                  <c:v>58.04</c:v>
                </c:pt>
                <c:pt idx="93">
                  <c:v>59.49</c:v>
                </c:pt>
                <c:pt idx="94">
                  <c:v>57.71</c:v>
                </c:pt>
                <c:pt idx="95">
                  <c:v>55.88</c:v>
                </c:pt>
                <c:pt idx="96">
                  <c:v>56.83</c:v>
                </c:pt>
                <c:pt idx="97">
                  <c:v>56.09</c:v>
                </c:pt>
                <c:pt idx="98">
                  <c:v>54.99</c:v>
                </c:pt>
                <c:pt idx="99">
                  <c:v>59.01</c:v>
                </c:pt>
                <c:pt idx="100">
                  <c:v>57.61</c:v>
                </c:pt>
                <c:pt idx="101">
                  <c:v>57.17</c:v>
                </c:pt>
                <c:pt idx="102">
                  <c:v>56.54</c:v>
                </c:pt>
                <c:pt idx="103">
                  <c:v>56.74</c:v>
                </c:pt>
                <c:pt idx="104">
                  <c:v>55.67</c:v>
                </c:pt>
                <c:pt idx="105">
                  <c:v>55.68</c:v>
                </c:pt>
                <c:pt idx="106">
                  <c:v>55.4</c:v>
                </c:pt>
                <c:pt idx="107">
                  <c:v>58.24</c:v>
                </c:pt>
                <c:pt idx="108">
                  <c:v>58.45</c:v>
                </c:pt>
                <c:pt idx="109">
                  <c:v>60.04</c:v>
                </c:pt>
                <c:pt idx="110">
                  <c:v>59.89</c:v>
                </c:pt>
                <c:pt idx="111">
                  <c:v>60.9</c:v>
                </c:pt>
                <c:pt idx="112">
                  <c:v>61.96</c:v>
                </c:pt>
                <c:pt idx="113">
                  <c:v>62.34</c:v>
                </c:pt>
                <c:pt idx="114">
                  <c:v>62.38</c:v>
                </c:pt>
                <c:pt idx="115">
                  <c:v>62.14</c:v>
                </c:pt>
                <c:pt idx="116">
                  <c:v>62.56</c:v>
                </c:pt>
                <c:pt idx="117">
                  <c:v>62.31</c:v>
                </c:pt>
                <c:pt idx="118">
                  <c:v>62.09</c:v>
                </c:pt>
                <c:pt idx="119">
                  <c:v>61.61</c:v>
                </c:pt>
                <c:pt idx="120">
                  <c:v>61.86</c:v>
                </c:pt>
                <c:pt idx="121">
                  <c:v>60.96</c:v>
                </c:pt>
                <c:pt idx="122">
                  <c:v>60.7</c:v>
                </c:pt>
                <c:pt idx="123">
                  <c:v>60.09</c:v>
                </c:pt>
                <c:pt idx="124">
                  <c:v>59.59</c:v>
                </c:pt>
                <c:pt idx="125">
                  <c:v>58.27</c:v>
                </c:pt>
                <c:pt idx="126">
                  <c:v>57.44</c:v>
                </c:pt>
                <c:pt idx="127">
                  <c:v>57.48</c:v>
                </c:pt>
                <c:pt idx="128">
                  <c:v>57.81</c:v>
                </c:pt>
                <c:pt idx="129">
                  <c:v>58.04</c:v>
                </c:pt>
                <c:pt idx="130">
                  <c:v>57.84</c:v>
                </c:pt>
                <c:pt idx="131">
                  <c:v>56.58</c:v>
                </c:pt>
                <c:pt idx="132">
                  <c:v>56.92</c:v>
                </c:pt>
                <c:pt idx="133">
                  <c:v>58.3</c:v>
                </c:pt>
                <c:pt idx="134">
                  <c:v>59.43</c:v>
                </c:pt>
                <c:pt idx="135">
                  <c:v>61.16</c:v>
                </c:pt>
                <c:pt idx="136">
                  <c:v>61.63</c:v>
                </c:pt>
                <c:pt idx="137">
                  <c:v>61.9</c:v>
                </c:pt>
                <c:pt idx="138">
                  <c:v>63.02</c:v>
                </c:pt>
                <c:pt idx="139">
                  <c:v>62.96</c:v>
                </c:pt>
                <c:pt idx="140">
                  <c:v>63.46</c:v>
                </c:pt>
                <c:pt idx="141">
                  <c:v>63.97</c:v>
                </c:pt>
                <c:pt idx="142">
                  <c:v>64.25</c:v>
                </c:pt>
                <c:pt idx="143">
                  <c:v>63.53</c:v>
                </c:pt>
                <c:pt idx="144">
                  <c:v>64.400000000000006</c:v>
                </c:pt>
                <c:pt idx="145">
                  <c:v>63.35</c:v>
                </c:pt>
                <c:pt idx="146">
                  <c:v>63.55</c:v>
                </c:pt>
                <c:pt idx="147">
                  <c:v>64.459999999999994</c:v>
                </c:pt>
                <c:pt idx="148">
                  <c:v>64.78</c:v>
                </c:pt>
                <c:pt idx="149">
                  <c:v>64</c:v>
                </c:pt>
                <c:pt idx="150">
                  <c:v>63.95</c:v>
                </c:pt>
                <c:pt idx="151">
                  <c:v>63.15</c:v>
                </c:pt>
                <c:pt idx="152">
                  <c:v>65.39</c:v>
                </c:pt>
                <c:pt idx="153">
                  <c:v>65.47</c:v>
                </c:pt>
                <c:pt idx="154">
                  <c:v>65.94</c:v>
                </c:pt>
                <c:pt idx="155">
                  <c:v>65.3</c:v>
                </c:pt>
                <c:pt idx="156">
                  <c:v>64.73</c:v>
                </c:pt>
                <c:pt idx="157">
                  <c:v>64.8</c:v>
                </c:pt>
                <c:pt idx="158">
                  <c:v>64.569999999999993</c:v>
                </c:pt>
                <c:pt idx="159">
                  <c:v>63.43</c:v>
                </c:pt>
                <c:pt idx="160">
                  <c:v>64.25</c:v>
                </c:pt>
                <c:pt idx="161">
                  <c:v>64.81</c:v>
                </c:pt>
                <c:pt idx="162">
                  <c:v>64.540000000000006</c:v>
                </c:pt>
                <c:pt idx="163">
                  <c:v>63.66</c:v>
                </c:pt>
                <c:pt idx="164">
                  <c:v>64.34</c:v>
                </c:pt>
                <c:pt idx="165">
                  <c:v>63.83</c:v>
                </c:pt>
                <c:pt idx="166">
                  <c:v>63.52</c:v>
                </c:pt>
                <c:pt idx="167">
                  <c:v>63.59</c:v>
                </c:pt>
                <c:pt idx="168">
                  <c:v>63.2</c:v>
                </c:pt>
                <c:pt idx="169">
                  <c:v>63.65</c:v>
                </c:pt>
                <c:pt idx="170">
                  <c:v>64.819999999999993</c:v>
                </c:pt>
                <c:pt idx="171">
                  <c:v>65.41</c:v>
                </c:pt>
                <c:pt idx="172">
                  <c:v>65.52</c:v>
                </c:pt>
                <c:pt idx="173">
                  <c:v>65.11</c:v>
                </c:pt>
                <c:pt idx="174">
                  <c:v>65.78</c:v>
                </c:pt>
                <c:pt idx="175">
                  <c:v>65.58</c:v>
                </c:pt>
                <c:pt idx="176">
                  <c:v>65.53</c:v>
                </c:pt>
                <c:pt idx="177">
                  <c:v>66.33</c:v>
                </c:pt>
                <c:pt idx="178">
                  <c:v>66.400000000000006</c:v>
                </c:pt>
                <c:pt idx="179">
                  <c:v>65.930000000000007</c:v>
                </c:pt>
                <c:pt idx="180">
                  <c:v>65.47</c:v>
                </c:pt>
                <c:pt idx="181">
                  <c:v>66.38</c:v>
                </c:pt>
                <c:pt idx="182">
                  <c:v>66.290000000000006</c:v>
                </c:pt>
                <c:pt idx="183">
                  <c:v>66.03</c:v>
                </c:pt>
                <c:pt idx="184">
                  <c:v>65.709999999999994</c:v>
                </c:pt>
                <c:pt idx="185">
                  <c:v>65.760000000000005</c:v>
                </c:pt>
                <c:pt idx="186">
                  <c:v>66.81</c:v>
                </c:pt>
                <c:pt idx="187">
                  <c:v>67.13</c:v>
                </c:pt>
                <c:pt idx="188">
                  <c:v>68.06</c:v>
                </c:pt>
                <c:pt idx="189">
                  <c:v>68.319999999999993</c:v>
                </c:pt>
                <c:pt idx="190">
                  <c:v>69</c:v>
                </c:pt>
                <c:pt idx="191">
                  <c:v>69.33</c:v>
                </c:pt>
                <c:pt idx="192">
                  <c:v>68.36</c:v>
                </c:pt>
                <c:pt idx="193">
                  <c:v>68.19</c:v>
                </c:pt>
                <c:pt idx="194">
                  <c:v>68.349999999999994</c:v>
                </c:pt>
                <c:pt idx="195">
                  <c:v>72.569999999999993</c:v>
                </c:pt>
                <c:pt idx="196">
                  <c:v>73.3</c:v>
                </c:pt>
                <c:pt idx="197">
                  <c:v>72.53</c:v>
                </c:pt>
                <c:pt idx="198">
                  <c:v>71.58</c:v>
                </c:pt>
                <c:pt idx="199">
                  <c:v>70.91</c:v>
                </c:pt>
                <c:pt idx="200">
                  <c:v>70.94</c:v>
                </c:pt>
                <c:pt idx="201">
                  <c:v>74.790000000000006</c:v>
                </c:pt>
                <c:pt idx="202">
                  <c:v>74.36</c:v>
                </c:pt>
                <c:pt idx="203">
                  <c:v>73.22</c:v>
                </c:pt>
                <c:pt idx="204">
                  <c:v>74.02</c:v>
                </c:pt>
                <c:pt idx="205">
                  <c:v>74.05</c:v>
                </c:pt>
                <c:pt idx="206">
                  <c:v>74.19</c:v>
                </c:pt>
                <c:pt idx="207">
                  <c:v>74.14</c:v>
                </c:pt>
                <c:pt idx="208">
                  <c:v>74.81</c:v>
                </c:pt>
                <c:pt idx="209">
                  <c:v>74.400000000000006</c:v>
                </c:pt>
                <c:pt idx="210">
                  <c:v>74.61</c:v>
                </c:pt>
                <c:pt idx="211">
                  <c:v>76.239999999999995</c:v>
                </c:pt>
                <c:pt idx="212">
                  <c:v>75.37</c:v>
                </c:pt>
                <c:pt idx="213">
                  <c:v>75.739999999999995</c:v>
                </c:pt>
                <c:pt idx="214">
                  <c:v>76</c:v>
                </c:pt>
                <c:pt idx="215">
                  <c:v>76.180000000000007</c:v>
                </c:pt>
                <c:pt idx="216">
                  <c:v>76.61</c:v>
                </c:pt>
                <c:pt idx="217">
                  <c:v>74.709999999999994</c:v>
                </c:pt>
                <c:pt idx="218">
                  <c:v>75.27</c:v>
                </c:pt>
                <c:pt idx="219">
                  <c:v>73.91</c:v>
                </c:pt>
                <c:pt idx="220">
                  <c:v>73.47</c:v>
                </c:pt>
                <c:pt idx="221">
                  <c:v>73.81</c:v>
                </c:pt>
                <c:pt idx="222">
                  <c:v>73.52</c:v>
                </c:pt>
                <c:pt idx="223">
                  <c:v>73.45</c:v>
                </c:pt>
                <c:pt idx="224">
                  <c:v>73.72</c:v>
                </c:pt>
                <c:pt idx="225">
                  <c:v>73.5</c:v>
                </c:pt>
                <c:pt idx="226">
                  <c:v>73.34</c:v>
                </c:pt>
                <c:pt idx="227">
                  <c:v>73.8</c:v>
                </c:pt>
                <c:pt idx="228">
                  <c:v>74.150000000000006</c:v>
                </c:pt>
                <c:pt idx="229">
                  <c:v>73.36</c:v>
                </c:pt>
                <c:pt idx="230">
                  <c:v>73.099999999999994</c:v>
                </c:pt>
                <c:pt idx="231">
                  <c:v>72.540000000000006</c:v>
                </c:pt>
                <c:pt idx="232">
                  <c:v>72.489999999999995</c:v>
                </c:pt>
                <c:pt idx="233">
                  <c:v>73.319999999999993</c:v>
                </c:pt>
                <c:pt idx="234">
                  <c:v>72.400000000000006</c:v>
                </c:pt>
                <c:pt idx="235">
                  <c:v>72.55</c:v>
                </c:pt>
                <c:pt idx="236">
                  <c:v>72.400000000000006</c:v>
                </c:pt>
                <c:pt idx="237">
                  <c:v>72.849999999999994</c:v>
                </c:pt>
                <c:pt idx="238">
                  <c:v>73.760000000000005</c:v>
                </c:pt>
                <c:pt idx="239">
                  <c:v>73.739999999999995</c:v>
                </c:pt>
                <c:pt idx="240">
                  <c:v>74.09</c:v>
                </c:pt>
                <c:pt idx="241">
                  <c:v>73.64</c:v>
                </c:pt>
                <c:pt idx="242">
                  <c:v>73.400000000000006</c:v>
                </c:pt>
                <c:pt idx="243">
                  <c:v>72.16</c:v>
                </c:pt>
                <c:pt idx="244">
                  <c:v>71.36</c:v>
                </c:pt>
                <c:pt idx="245">
                  <c:v>71.680000000000007</c:v>
                </c:pt>
                <c:pt idx="246">
                  <c:v>71.27</c:v>
                </c:pt>
                <c:pt idx="247">
                  <c:v>68.069999999999993</c:v>
                </c:pt>
                <c:pt idx="248">
                  <c:v>66.78</c:v>
                </c:pt>
                <c:pt idx="249">
                  <c:v>67.63</c:v>
                </c:pt>
                <c:pt idx="250">
                  <c:v>67.38</c:v>
                </c:pt>
                <c:pt idx="251">
                  <c:v>66.849999999999994</c:v>
                </c:pt>
                <c:pt idx="252">
                  <c:v>65.53</c:v>
                </c:pt>
                <c:pt idx="253">
                  <c:v>65.44</c:v>
                </c:pt>
                <c:pt idx="254">
                  <c:v>65.650000000000006</c:v>
                </c:pt>
                <c:pt idx="255">
                  <c:v>64.92</c:v>
                </c:pt>
                <c:pt idx="256">
                  <c:v>65.040000000000006</c:v>
                </c:pt>
                <c:pt idx="257">
                  <c:v>63.98</c:v>
                </c:pt>
                <c:pt idx="258">
                  <c:v>63.96</c:v>
                </c:pt>
                <c:pt idx="259">
                  <c:v>63.18</c:v>
                </c:pt>
                <c:pt idx="260">
                  <c:v>64.34</c:v>
                </c:pt>
                <c:pt idx="261">
                  <c:v>63.08</c:v>
                </c:pt>
                <c:pt idx="262">
                  <c:v>62.85</c:v>
                </c:pt>
                <c:pt idx="263">
                  <c:v>62.26</c:v>
                </c:pt>
                <c:pt idx="264">
                  <c:v>61.88</c:v>
                </c:pt>
                <c:pt idx="265">
                  <c:v>61.26</c:v>
                </c:pt>
                <c:pt idx="266">
                  <c:v>59.75</c:v>
                </c:pt>
                <c:pt idx="267">
                  <c:v>60.73</c:v>
                </c:pt>
                <c:pt idx="268">
                  <c:v>60.22</c:v>
                </c:pt>
                <c:pt idx="269">
                  <c:v>59.29</c:v>
                </c:pt>
                <c:pt idx="270">
                  <c:v>59.11</c:v>
                </c:pt>
                <c:pt idx="271">
                  <c:v>59.84</c:v>
                </c:pt>
                <c:pt idx="272">
                  <c:v>59.32</c:v>
                </c:pt>
                <c:pt idx="273">
                  <c:v>61.28</c:v>
                </c:pt>
                <c:pt idx="274">
                  <c:v>61.42</c:v>
                </c:pt>
                <c:pt idx="275">
                  <c:v>61.36</c:v>
                </c:pt>
                <c:pt idx="276">
                  <c:v>62.22</c:v>
                </c:pt>
                <c:pt idx="277">
                  <c:v>62.96</c:v>
                </c:pt>
                <c:pt idx="278">
                  <c:v>63.8</c:v>
                </c:pt>
                <c:pt idx="279">
                  <c:v>63.56</c:v>
                </c:pt>
                <c:pt idx="280">
                  <c:v>62.55</c:v>
                </c:pt>
                <c:pt idx="281">
                  <c:v>62.32</c:v>
                </c:pt>
                <c:pt idx="282">
                  <c:v>62.2</c:v>
                </c:pt>
                <c:pt idx="283">
                  <c:v>63.33</c:v>
                </c:pt>
                <c:pt idx="284">
                  <c:v>62.55</c:v>
                </c:pt>
                <c:pt idx="285">
                  <c:v>62.26</c:v>
                </c:pt>
                <c:pt idx="286">
                  <c:v>62.67</c:v>
                </c:pt>
                <c:pt idx="287">
                  <c:v>62.85</c:v>
                </c:pt>
                <c:pt idx="288">
                  <c:v>62.71</c:v>
                </c:pt>
                <c:pt idx="289">
                  <c:v>63.14</c:v>
                </c:pt>
                <c:pt idx="290">
                  <c:v>63.21</c:v>
                </c:pt>
                <c:pt idx="291">
                  <c:v>63.54</c:v>
                </c:pt>
                <c:pt idx="292">
                  <c:v>64.37</c:v>
                </c:pt>
                <c:pt idx="293">
                  <c:v>63.5</c:v>
                </c:pt>
                <c:pt idx="294">
                  <c:v>61.74</c:v>
                </c:pt>
                <c:pt idx="295">
                  <c:v>62.72</c:v>
                </c:pt>
                <c:pt idx="296">
                  <c:v>63.05</c:v>
                </c:pt>
                <c:pt idx="297">
                  <c:v>62.87</c:v>
                </c:pt>
                <c:pt idx="298">
                  <c:v>62.34</c:v>
                </c:pt>
                <c:pt idx="299">
                  <c:v>62.37</c:v>
                </c:pt>
                <c:pt idx="300">
                  <c:v>61.45</c:v>
                </c:pt>
                <c:pt idx="301">
                  <c:v>60.52</c:v>
                </c:pt>
                <c:pt idx="302">
                  <c:v>60.14</c:v>
                </c:pt>
                <c:pt idx="303">
                  <c:v>59.58</c:v>
                </c:pt>
                <c:pt idx="304">
                  <c:v>59.29</c:v>
                </c:pt>
                <c:pt idx="305">
                  <c:v>57.96</c:v>
                </c:pt>
                <c:pt idx="306">
                  <c:v>58.36</c:v>
                </c:pt>
                <c:pt idx="307">
                  <c:v>58.56</c:v>
                </c:pt>
                <c:pt idx="308">
                  <c:v>58.24</c:v>
                </c:pt>
                <c:pt idx="309">
                  <c:v>58.28</c:v>
                </c:pt>
                <c:pt idx="310">
                  <c:v>58.16</c:v>
                </c:pt>
                <c:pt idx="311">
                  <c:v>58.93</c:v>
                </c:pt>
                <c:pt idx="312">
                  <c:v>58.6</c:v>
                </c:pt>
                <c:pt idx="313">
                  <c:v>57.95</c:v>
                </c:pt>
                <c:pt idx="314">
                  <c:v>58.69</c:v>
                </c:pt>
                <c:pt idx="315">
                  <c:v>57.99</c:v>
                </c:pt>
                <c:pt idx="316">
                  <c:v>56.6</c:v>
                </c:pt>
                <c:pt idx="317">
                  <c:v>56.49</c:v>
                </c:pt>
                <c:pt idx="318">
                  <c:v>57.29</c:v>
                </c:pt>
                <c:pt idx="319">
                  <c:v>57.45</c:v>
                </c:pt>
                <c:pt idx="320">
                  <c:v>56.87</c:v>
                </c:pt>
                <c:pt idx="321">
                  <c:v>57.53</c:v>
                </c:pt>
                <c:pt idx="322">
                  <c:v>57.9</c:v>
                </c:pt>
                <c:pt idx="323">
                  <c:v>57.52</c:v>
                </c:pt>
                <c:pt idx="324">
                  <c:v>55.97</c:v>
                </c:pt>
                <c:pt idx="325">
                  <c:v>55.43</c:v>
                </c:pt>
                <c:pt idx="326">
                  <c:v>55.58</c:v>
                </c:pt>
                <c:pt idx="327">
                  <c:v>56.21</c:v>
                </c:pt>
                <c:pt idx="328">
                  <c:v>57.84</c:v>
                </c:pt>
                <c:pt idx="329">
                  <c:v>61.38</c:v>
                </c:pt>
                <c:pt idx="330">
                  <c:v>61.53</c:v>
                </c:pt>
                <c:pt idx="331">
                  <c:v>61.7</c:v>
                </c:pt>
                <c:pt idx="332">
                  <c:v>62.01</c:v>
                </c:pt>
                <c:pt idx="333">
                  <c:v>63.45</c:v>
                </c:pt>
                <c:pt idx="334">
                  <c:v>64.180000000000007</c:v>
                </c:pt>
                <c:pt idx="335">
                  <c:v>64.87</c:v>
                </c:pt>
                <c:pt idx="336">
                  <c:v>64.7</c:v>
                </c:pt>
                <c:pt idx="337">
                  <c:v>64.319999999999993</c:v>
                </c:pt>
                <c:pt idx="338">
                  <c:v>65.19</c:v>
                </c:pt>
                <c:pt idx="339">
                  <c:v>64.849999999999994</c:v>
                </c:pt>
                <c:pt idx="340">
                  <c:v>64.61</c:v>
                </c:pt>
                <c:pt idx="341">
                  <c:v>63.45</c:v>
                </c:pt>
                <c:pt idx="342">
                  <c:v>63.85</c:v>
                </c:pt>
                <c:pt idx="343">
                  <c:v>64.42</c:v>
                </c:pt>
                <c:pt idx="344">
                  <c:v>64.930000000000007</c:v>
                </c:pt>
                <c:pt idx="345">
                  <c:v>64.930000000000007</c:v>
                </c:pt>
                <c:pt idx="346">
                  <c:v>65.61</c:v>
                </c:pt>
                <c:pt idx="347">
                  <c:v>65.89</c:v>
                </c:pt>
                <c:pt idx="348">
                  <c:v>65.89</c:v>
                </c:pt>
                <c:pt idx="349">
                  <c:v>65.260000000000005</c:v>
                </c:pt>
                <c:pt idx="350">
                  <c:v>65.459999999999994</c:v>
                </c:pt>
                <c:pt idx="351">
                  <c:v>66.38</c:v>
                </c:pt>
                <c:pt idx="352">
                  <c:v>67.33</c:v>
                </c:pt>
                <c:pt idx="353">
                  <c:v>67.430000000000007</c:v>
                </c:pt>
                <c:pt idx="354">
                  <c:v>68.209999999999994</c:v>
                </c:pt>
                <c:pt idx="355">
                  <c:v>66.84</c:v>
                </c:pt>
                <c:pt idx="356">
                  <c:v>66.44</c:v>
                </c:pt>
                <c:pt idx="357">
                  <c:v>67.209999999999994</c:v>
                </c:pt>
                <c:pt idx="358">
                  <c:v>66.459999999999994</c:v>
                </c:pt>
                <c:pt idx="359">
                  <c:v>66.849999999999994</c:v>
                </c:pt>
                <c:pt idx="360">
                  <c:v>66.91</c:v>
                </c:pt>
                <c:pt idx="361">
                  <c:v>66.23</c:v>
                </c:pt>
                <c:pt idx="362">
                  <c:v>65.83</c:v>
                </c:pt>
                <c:pt idx="363">
                  <c:v>65.3</c:v>
                </c:pt>
                <c:pt idx="364">
                  <c:v>66.239999999999995</c:v>
                </c:pt>
                <c:pt idx="365">
                  <c:v>66.91</c:v>
                </c:pt>
                <c:pt idx="366">
                  <c:v>66.5</c:v>
                </c:pt>
                <c:pt idx="367">
                  <c:v>65.86</c:v>
                </c:pt>
                <c:pt idx="368">
                  <c:v>67.540000000000006</c:v>
                </c:pt>
                <c:pt idx="369">
                  <c:v>67.510000000000005</c:v>
                </c:pt>
                <c:pt idx="370">
                  <c:v>67.83</c:v>
                </c:pt>
                <c:pt idx="371">
                  <c:v>67.430000000000007</c:v>
                </c:pt>
                <c:pt idx="372">
                  <c:v>67</c:v>
                </c:pt>
                <c:pt idx="373">
                  <c:v>66.989999999999995</c:v>
                </c:pt>
                <c:pt idx="374">
                  <c:v>67.540000000000006</c:v>
                </c:pt>
                <c:pt idx="375">
                  <c:v>67.790000000000006</c:v>
                </c:pt>
                <c:pt idx="376">
                  <c:v>67.540000000000006</c:v>
                </c:pt>
                <c:pt idx="377">
                  <c:v>67.02</c:v>
                </c:pt>
                <c:pt idx="378">
                  <c:v>67.52</c:v>
                </c:pt>
                <c:pt idx="379">
                  <c:v>68.28</c:v>
                </c:pt>
                <c:pt idx="380">
                  <c:v>68.13</c:v>
                </c:pt>
                <c:pt idx="381">
                  <c:v>68.84</c:v>
                </c:pt>
                <c:pt idx="382">
                  <c:v>69.11</c:v>
                </c:pt>
                <c:pt idx="383">
                  <c:v>70.33</c:v>
                </c:pt>
                <c:pt idx="384">
                  <c:v>69.5</c:v>
                </c:pt>
                <c:pt idx="385">
                  <c:v>70.28</c:v>
                </c:pt>
                <c:pt idx="386">
                  <c:v>71.400000000000006</c:v>
                </c:pt>
                <c:pt idx="387">
                  <c:v>71.5</c:v>
                </c:pt>
                <c:pt idx="388">
                  <c:v>71.16</c:v>
                </c:pt>
                <c:pt idx="389">
                  <c:v>71.05</c:v>
                </c:pt>
                <c:pt idx="390">
                  <c:v>70.92</c:v>
                </c:pt>
                <c:pt idx="391">
                  <c:v>72.64</c:v>
                </c:pt>
                <c:pt idx="392">
                  <c:v>73.56</c:v>
                </c:pt>
                <c:pt idx="393">
                  <c:v>72.72</c:v>
                </c:pt>
                <c:pt idx="394">
                  <c:v>69.959999999999994</c:v>
                </c:pt>
                <c:pt idx="395">
                  <c:v>71.22</c:v>
                </c:pt>
                <c:pt idx="396">
                  <c:v>71.400000000000006</c:v>
                </c:pt>
                <c:pt idx="397">
                  <c:v>71.2</c:v>
                </c:pt>
                <c:pt idx="398">
                  <c:v>71.56</c:v>
                </c:pt>
                <c:pt idx="399">
                  <c:v>71.89</c:v>
                </c:pt>
                <c:pt idx="400">
                  <c:v>72.47</c:v>
                </c:pt>
                <c:pt idx="401">
                  <c:v>72.52</c:v>
                </c:pt>
                <c:pt idx="402">
                  <c:v>72.430000000000007</c:v>
                </c:pt>
                <c:pt idx="403">
                  <c:v>72.8</c:v>
                </c:pt>
                <c:pt idx="404">
                  <c:v>72.61</c:v>
                </c:pt>
                <c:pt idx="405">
                  <c:v>72.38</c:v>
                </c:pt>
                <c:pt idx="406">
                  <c:v>71.91</c:v>
                </c:pt>
                <c:pt idx="407">
                  <c:v>71.95</c:v>
                </c:pt>
                <c:pt idx="408">
                  <c:v>71.42</c:v>
                </c:pt>
                <c:pt idx="409">
                  <c:v>73.569999999999993</c:v>
                </c:pt>
                <c:pt idx="410">
                  <c:v>72.75</c:v>
                </c:pt>
                <c:pt idx="411">
                  <c:v>73.62</c:v>
                </c:pt>
                <c:pt idx="412">
                  <c:v>73.67</c:v>
                </c:pt>
                <c:pt idx="413">
                  <c:v>72.98</c:v>
                </c:pt>
                <c:pt idx="414">
                  <c:v>72.540000000000006</c:v>
                </c:pt>
                <c:pt idx="415">
                  <c:v>71.83</c:v>
                </c:pt>
                <c:pt idx="416">
                  <c:v>71.98</c:v>
                </c:pt>
                <c:pt idx="417">
                  <c:v>72.03</c:v>
                </c:pt>
                <c:pt idx="418">
                  <c:v>72.349999999999994</c:v>
                </c:pt>
                <c:pt idx="419">
                  <c:v>74.05</c:v>
                </c:pt>
                <c:pt idx="420">
                  <c:v>75.05</c:v>
                </c:pt>
                <c:pt idx="421">
                  <c:v>75.540000000000006</c:v>
                </c:pt>
                <c:pt idx="422">
                  <c:v>76.099999999999994</c:v>
                </c:pt>
                <c:pt idx="423">
                  <c:v>75.180000000000007</c:v>
                </c:pt>
                <c:pt idx="424">
                  <c:v>75.349999999999994</c:v>
                </c:pt>
                <c:pt idx="425">
                  <c:v>74.38</c:v>
                </c:pt>
                <c:pt idx="426">
                  <c:v>73.599999999999994</c:v>
                </c:pt>
                <c:pt idx="427">
                  <c:v>72.599999999999994</c:v>
                </c:pt>
                <c:pt idx="428">
                  <c:v>73</c:v>
                </c:pt>
                <c:pt idx="429">
                  <c:v>72.47</c:v>
                </c:pt>
                <c:pt idx="430">
                  <c:v>72.03</c:v>
                </c:pt>
                <c:pt idx="431">
                  <c:v>72.040000000000006</c:v>
                </c:pt>
                <c:pt idx="432">
                  <c:v>72.239999999999995</c:v>
                </c:pt>
                <c:pt idx="433">
                  <c:v>70.56</c:v>
                </c:pt>
                <c:pt idx="434">
                  <c:v>69.77</c:v>
                </c:pt>
                <c:pt idx="435">
                  <c:v>71.2</c:v>
                </c:pt>
                <c:pt idx="436">
                  <c:v>71.16</c:v>
                </c:pt>
                <c:pt idx="437">
                  <c:v>71.44</c:v>
                </c:pt>
                <c:pt idx="438">
                  <c:v>70.25</c:v>
                </c:pt>
                <c:pt idx="439">
                  <c:v>69.92</c:v>
                </c:pt>
                <c:pt idx="440">
                  <c:v>71.260000000000005</c:v>
                </c:pt>
                <c:pt idx="441">
                  <c:v>71.400000000000006</c:v>
                </c:pt>
                <c:pt idx="442">
                  <c:v>71.180000000000007</c:v>
                </c:pt>
                <c:pt idx="443">
                  <c:v>70.5</c:v>
                </c:pt>
                <c:pt idx="444">
                  <c:v>68.38</c:v>
                </c:pt>
                <c:pt idx="445">
                  <c:v>67.400000000000006</c:v>
                </c:pt>
                <c:pt idx="446">
                  <c:v>68</c:v>
                </c:pt>
                <c:pt idx="447">
                  <c:v>67.86</c:v>
                </c:pt>
                <c:pt idx="448">
                  <c:v>67.77</c:v>
                </c:pt>
                <c:pt idx="449">
                  <c:v>67.66</c:v>
                </c:pt>
                <c:pt idx="450">
                  <c:v>67.150000000000006</c:v>
                </c:pt>
                <c:pt idx="451">
                  <c:v>66.680000000000007</c:v>
                </c:pt>
                <c:pt idx="452">
                  <c:v>66.680000000000007</c:v>
                </c:pt>
                <c:pt idx="453">
                  <c:v>65.06</c:v>
                </c:pt>
                <c:pt idx="454">
                  <c:v>70.25</c:v>
                </c:pt>
                <c:pt idx="455">
                  <c:v>69.56</c:v>
                </c:pt>
                <c:pt idx="456">
                  <c:v>70.58</c:v>
                </c:pt>
                <c:pt idx="457">
                  <c:v>70.06</c:v>
                </c:pt>
                <c:pt idx="458">
                  <c:v>70.06</c:v>
                </c:pt>
                <c:pt idx="459">
                  <c:v>69.760000000000005</c:v>
                </c:pt>
                <c:pt idx="460">
                  <c:v>69.89</c:v>
                </c:pt>
                <c:pt idx="461">
                  <c:v>69.209999999999994</c:v>
                </c:pt>
                <c:pt idx="462">
                  <c:v>68.23</c:v>
                </c:pt>
                <c:pt idx="463">
                  <c:v>70.61</c:v>
                </c:pt>
                <c:pt idx="464">
                  <c:v>70.17</c:v>
                </c:pt>
                <c:pt idx="465">
                  <c:v>69.25</c:v>
                </c:pt>
                <c:pt idx="466">
                  <c:v>70.41</c:v>
                </c:pt>
                <c:pt idx="467">
                  <c:v>69.790000000000006</c:v>
                </c:pt>
                <c:pt idx="468">
                  <c:v>69.34</c:v>
                </c:pt>
                <c:pt idx="469">
                  <c:v>68.88</c:v>
                </c:pt>
                <c:pt idx="470">
                  <c:v>67.819999999999993</c:v>
                </c:pt>
                <c:pt idx="471">
                  <c:v>68.430000000000007</c:v>
                </c:pt>
                <c:pt idx="472">
                  <c:v>70.44</c:v>
                </c:pt>
                <c:pt idx="473">
                  <c:v>70.41</c:v>
                </c:pt>
                <c:pt idx="474">
                  <c:v>70.78</c:v>
                </c:pt>
                <c:pt idx="475">
                  <c:v>70.91</c:v>
                </c:pt>
                <c:pt idx="476">
                  <c:v>70.36</c:v>
                </c:pt>
                <c:pt idx="477">
                  <c:v>71.89</c:v>
                </c:pt>
                <c:pt idx="478">
                  <c:v>71.48</c:v>
                </c:pt>
                <c:pt idx="479">
                  <c:v>69.650000000000006</c:v>
                </c:pt>
                <c:pt idx="480">
                  <c:v>70.72</c:v>
                </c:pt>
                <c:pt idx="481">
                  <c:v>71.17</c:v>
                </c:pt>
                <c:pt idx="482">
                  <c:v>70.48</c:v>
                </c:pt>
                <c:pt idx="483">
                  <c:v>69.14</c:v>
                </c:pt>
                <c:pt idx="484">
                  <c:v>69.260000000000005</c:v>
                </c:pt>
                <c:pt idx="485">
                  <c:v>70.36</c:v>
                </c:pt>
                <c:pt idx="486">
                  <c:v>70.150000000000006</c:v>
                </c:pt>
                <c:pt idx="487">
                  <c:v>72.819999999999993</c:v>
                </c:pt>
                <c:pt idx="488">
                  <c:v>71.680000000000007</c:v>
                </c:pt>
                <c:pt idx="489">
                  <c:v>74.03</c:v>
                </c:pt>
                <c:pt idx="490">
                  <c:v>74.77</c:v>
                </c:pt>
                <c:pt idx="491">
                  <c:v>75.12</c:v>
                </c:pt>
                <c:pt idx="492">
                  <c:v>75.34</c:v>
                </c:pt>
                <c:pt idx="493">
                  <c:v>75.77</c:v>
                </c:pt>
                <c:pt idx="494">
                  <c:v>75.59</c:v>
                </c:pt>
                <c:pt idx="495">
                  <c:v>73.62</c:v>
                </c:pt>
                <c:pt idx="496">
                  <c:v>73.33</c:v>
                </c:pt>
                <c:pt idx="497">
                  <c:v>72.650000000000006</c:v>
                </c:pt>
                <c:pt idx="498">
                  <c:v>72.59</c:v>
                </c:pt>
                <c:pt idx="499">
                  <c:v>71.94</c:v>
                </c:pt>
                <c:pt idx="500">
                  <c:v>74.11</c:v>
                </c:pt>
                <c:pt idx="501">
                  <c:v>73.98</c:v>
                </c:pt>
                <c:pt idx="502">
                  <c:v>74.59</c:v>
                </c:pt>
                <c:pt idx="503">
                  <c:v>74.87</c:v>
                </c:pt>
                <c:pt idx="504">
                  <c:v>74.64</c:v>
                </c:pt>
                <c:pt idx="505">
                  <c:v>72.58</c:v>
                </c:pt>
                <c:pt idx="506">
                  <c:v>72.36</c:v>
                </c:pt>
                <c:pt idx="507">
                  <c:v>71.48</c:v>
                </c:pt>
                <c:pt idx="508">
                  <c:v>71.47</c:v>
                </c:pt>
                <c:pt idx="509">
                  <c:v>71.959999999999994</c:v>
                </c:pt>
                <c:pt idx="510">
                  <c:v>72.989999999999995</c:v>
                </c:pt>
                <c:pt idx="511">
                  <c:v>71.790000000000006</c:v>
                </c:pt>
                <c:pt idx="512">
                  <c:v>71.95</c:v>
                </c:pt>
                <c:pt idx="513">
                  <c:v>71.849999999999994</c:v>
                </c:pt>
                <c:pt idx="514">
                  <c:v>72</c:v>
                </c:pt>
                <c:pt idx="515">
                  <c:v>72.2</c:v>
                </c:pt>
                <c:pt idx="516">
                  <c:v>69.599999999999994</c:v>
                </c:pt>
                <c:pt idx="517">
                  <c:v>68.150000000000006</c:v>
                </c:pt>
                <c:pt idx="518">
                  <c:v>67.72</c:v>
                </c:pt>
                <c:pt idx="519">
                  <c:v>68.87</c:v>
                </c:pt>
                <c:pt idx="520">
                  <c:v>68.3</c:v>
                </c:pt>
                <c:pt idx="521">
                  <c:v>67.599999999999994</c:v>
                </c:pt>
                <c:pt idx="522">
                  <c:v>67.75</c:v>
                </c:pt>
                <c:pt idx="523">
                  <c:v>67.27</c:v>
                </c:pt>
                <c:pt idx="524">
                  <c:v>65.790000000000006</c:v>
                </c:pt>
                <c:pt idx="525">
                  <c:v>65.52</c:v>
                </c:pt>
                <c:pt idx="526">
                  <c:v>67.3</c:v>
                </c:pt>
                <c:pt idx="527">
                  <c:v>67.23</c:v>
                </c:pt>
                <c:pt idx="528">
                  <c:v>67.16</c:v>
                </c:pt>
                <c:pt idx="529">
                  <c:v>67.040000000000006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33-4927-8344-F5E81AFA00A1}"/>
            </c:ext>
          </c:extLst>
        </c:ser>
        <c:ser>
          <c:idx val="1"/>
          <c:order val="1"/>
          <c:tx>
            <c:v>Moyenne 20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Mercedes!$I$2:$I$531</c:f>
              <c:numCache>
                <c:formatCode>General</c:formatCode>
                <c:ptCount val="530"/>
                <c:pt idx="0">
                  <c:v>57.137249999999995</c:v>
                </c:pt>
                <c:pt idx="1">
                  <c:v>57.060500000000005</c:v>
                </c:pt>
                <c:pt idx="2">
                  <c:v>56.978999999999999</c:v>
                </c:pt>
                <c:pt idx="3">
                  <c:v>56.874000000000002</c:v>
                </c:pt>
                <c:pt idx="4">
                  <c:v>56.781999999999996</c:v>
                </c:pt>
                <c:pt idx="5">
                  <c:v>56.55899999999999</c:v>
                </c:pt>
                <c:pt idx="6">
                  <c:v>56.391999999999996</c:v>
                </c:pt>
                <c:pt idx="7">
                  <c:v>56.240999999999985</c:v>
                </c:pt>
                <c:pt idx="8">
                  <c:v>56.097499999999989</c:v>
                </c:pt>
                <c:pt idx="9">
                  <c:v>55.774000000000001</c:v>
                </c:pt>
                <c:pt idx="10">
                  <c:v>55.45150000000001</c:v>
                </c:pt>
                <c:pt idx="11">
                  <c:v>55.204499999999996</c:v>
                </c:pt>
                <c:pt idx="12">
                  <c:v>54.96</c:v>
                </c:pt>
                <c:pt idx="13">
                  <c:v>54.715000000000011</c:v>
                </c:pt>
                <c:pt idx="14">
                  <c:v>54.548000000000002</c:v>
                </c:pt>
                <c:pt idx="15">
                  <c:v>54.430499999999995</c:v>
                </c:pt>
                <c:pt idx="16">
                  <c:v>54.315000000000012</c:v>
                </c:pt>
                <c:pt idx="17">
                  <c:v>54.215000000000011</c:v>
                </c:pt>
                <c:pt idx="18">
                  <c:v>54.113999999999997</c:v>
                </c:pt>
                <c:pt idx="19">
                  <c:v>54.185999999999993</c:v>
                </c:pt>
                <c:pt idx="20">
                  <c:v>54.241000000000007</c:v>
                </c:pt>
                <c:pt idx="21">
                  <c:v>54.210500000000003</c:v>
                </c:pt>
                <c:pt idx="22">
                  <c:v>54.236499999999992</c:v>
                </c:pt>
                <c:pt idx="23">
                  <c:v>54.239999999999995</c:v>
                </c:pt>
                <c:pt idx="24">
                  <c:v>54.177000000000007</c:v>
                </c:pt>
                <c:pt idx="25">
                  <c:v>54.193000000000005</c:v>
                </c:pt>
                <c:pt idx="26">
                  <c:v>54.179499999999997</c:v>
                </c:pt>
                <c:pt idx="27">
                  <c:v>54.063499999999998</c:v>
                </c:pt>
                <c:pt idx="28">
                  <c:v>54.013999999999989</c:v>
                </c:pt>
                <c:pt idx="29">
                  <c:v>54.039499999999997</c:v>
                </c:pt>
                <c:pt idx="30">
                  <c:v>54.028499999999994</c:v>
                </c:pt>
                <c:pt idx="31">
                  <c:v>53.954999999999998</c:v>
                </c:pt>
                <c:pt idx="32">
                  <c:v>53.891499999999994</c:v>
                </c:pt>
                <c:pt idx="33">
                  <c:v>53.897000000000006</c:v>
                </c:pt>
                <c:pt idx="34">
                  <c:v>53.838000000000001</c:v>
                </c:pt>
                <c:pt idx="35">
                  <c:v>53.756999999999991</c:v>
                </c:pt>
                <c:pt idx="36">
                  <c:v>53.654500000000006</c:v>
                </c:pt>
                <c:pt idx="37">
                  <c:v>53.595499999999994</c:v>
                </c:pt>
                <c:pt idx="38">
                  <c:v>53.553500000000007</c:v>
                </c:pt>
                <c:pt idx="39">
                  <c:v>53.374499999999998</c:v>
                </c:pt>
                <c:pt idx="40">
                  <c:v>53.185000000000002</c:v>
                </c:pt>
                <c:pt idx="41">
                  <c:v>52.972500000000004</c:v>
                </c:pt>
                <c:pt idx="42">
                  <c:v>52.772000000000006</c:v>
                </c:pt>
                <c:pt idx="43">
                  <c:v>52.638500000000001</c:v>
                </c:pt>
                <c:pt idx="44">
                  <c:v>52.56750000000001</c:v>
                </c:pt>
                <c:pt idx="45">
                  <c:v>52.587000000000003</c:v>
                </c:pt>
                <c:pt idx="46">
                  <c:v>52.55</c:v>
                </c:pt>
                <c:pt idx="47">
                  <c:v>52.745000000000005</c:v>
                </c:pt>
                <c:pt idx="48">
                  <c:v>52.886499999999998</c:v>
                </c:pt>
                <c:pt idx="49">
                  <c:v>53.035999999999987</c:v>
                </c:pt>
                <c:pt idx="50">
                  <c:v>53.188000000000002</c:v>
                </c:pt>
                <c:pt idx="51">
                  <c:v>53.391499999999994</c:v>
                </c:pt>
                <c:pt idx="52">
                  <c:v>53.625</c:v>
                </c:pt>
                <c:pt idx="53">
                  <c:v>53.854999999999997</c:v>
                </c:pt>
                <c:pt idx="54">
                  <c:v>54.130999999999993</c:v>
                </c:pt>
                <c:pt idx="55">
                  <c:v>54.456499999999991</c:v>
                </c:pt>
                <c:pt idx="56">
                  <c:v>54.738500000000002</c:v>
                </c:pt>
                <c:pt idx="57">
                  <c:v>54.964000000000013</c:v>
                </c:pt>
                <c:pt idx="58">
                  <c:v>55.138500000000001</c:v>
                </c:pt>
                <c:pt idx="59">
                  <c:v>55.355999999999995</c:v>
                </c:pt>
                <c:pt idx="60">
                  <c:v>55.577500000000001</c:v>
                </c:pt>
                <c:pt idx="61">
                  <c:v>55.843999999999994</c:v>
                </c:pt>
                <c:pt idx="62">
                  <c:v>56.104499999999994</c:v>
                </c:pt>
                <c:pt idx="63">
                  <c:v>56.349999999999987</c:v>
                </c:pt>
                <c:pt idx="64">
                  <c:v>56.62299999999999</c:v>
                </c:pt>
                <c:pt idx="65">
                  <c:v>56.794499999999992</c:v>
                </c:pt>
                <c:pt idx="66">
                  <c:v>57.029499999999999</c:v>
                </c:pt>
                <c:pt idx="67">
                  <c:v>57.056500000000007</c:v>
                </c:pt>
                <c:pt idx="68">
                  <c:v>57.131000000000007</c:v>
                </c:pt>
                <c:pt idx="69">
                  <c:v>57.1995</c:v>
                </c:pt>
                <c:pt idx="70">
                  <c:v>57.250500000000002</c:v>
                </c:pt>
                <c:pt idx="71">
                  <c:v>57.298000000000002</c:v>
                </c:pt>
                <c:pt idx="72">
                  <c:v>57.325499999999998</c:v>
                </c:pt>
                <c:pt idx="73">
                  <c:v>57.355999999999995</c:v>
                </c:pt>
                <c:pt idx="74">
                  <c:v>57.440999999999995</c:v>
                </c:pt>
                <c:pt idx="75">
                  <c:v>57.408500000000004</c:v>
                </c:pt>
                <c:pt idx="76">
                  <c:v>57.326000000000001</c:v>
                </c:pt>
                <c:pt idx="77">
                  <c:v>57.298500000000004</c:v>
                </c:pt>
                <c:pt idx="78">
                  <c:v>57.253</c:v>
                </c:pt>
                <c:pt idx="79">
                  <c:v>57.137500000000003</c:v>
                </c:pt>
                <c:pt idx="80">
                  <c:v>57.243000000000009</c:v>
                </c:pt>
                <c:pt idx="81">
                  <c:v>57.285000000000004</c:v>
                </c:pt>
                <c:pt idx="82">
                  <c:v>57.280000000000008</c:v>
                </c:pt>
                <c:pt idx="83">
                  <c:v>57.219000000000008</c:v>
                </c:pt>
                <c:pt idx="84">
                  <c:v>57.165000000000006</c:v>
                </c:pt>
                <c:pt idx="85">
                  <c:v>57.08850000000001</c:v>
                </c:pt>
                <c:pt idx="86">
                  <c:v>57.022500000000001</c:v>
                </c:pt>
                <c:pt idx="87">
                  <c:v>56.970500000000015</c:v>
                </c:pt>
                <c:pt idx="88">
                  <c:v>56.999000000000002</c:v>
                </c:pt>
                <c:pt idx="89">
                  <c:v>57.055499999999995</c:v>
                </c:pt>
                <c:pt idx="90">
                  <c:v>57.221499999999992</c:v>
                </c:pt>
                <c:pt idx="91">
                  <c:v>57.348499999999987</c:v>
                </c:pt>
                <c:pt idx="92">
                  <c:v>57.518500000000003</c:v>
                </c:pt>
                <c:pt idx="93">
                  <c:v>57.714500000000001</c:v>
                </c:pt>
                <c:pt idx="94">
                  <c:v>57.856999999999992</c:v>
                </c:pt>
                <c:pt idx="95">
                  <c:v>58.090499999999999</c:v>
                </c:pt>
                <c:pt idx="96">
                  <c:v>58.403500000000008</c:v>
                </c:pt>
                <c:pt idx="97">
                  <c:v>58.690000000000012</c:v>
                </c:pt>
                <c:pt idx="98">
                  <c:v>59.000999999999998</c:v>
                </c:pt>
                <c:pt idx="99">
                  <c:v>59.355999999999995</c:v>
                </c:pt>
                <c:pt idx="100">
                  <c:v>59.48599999999999</c:v>
                </c:pt>
                <c:pt idx="101">
                  <c:v>59.698499999999981</c:v>
                </c:pt>
                <c:pt idx="102">
                  <c:v>59.887999999999998</c:v>
                </c:pt>
                <c:pt idx="103">
                  <c:v>60.096000000000004</c:v>
                </c:pt>
                <c:pt idx="104">
                  <c:v>60.263500000000001</c:v>
                </c:pt>
                <c:pt idx="105">
                  <c:v>60.459499999999991</c:v>
                </c:pt>
                <c:pt idx="106">
                  <c:v>60.588999999999984</c:v>
                </c:pt>
                <c:pt idx="107">
                  <c:v>60.690999999999995</c:v>
                </c:pt>
                <c:pt idx="108">
                  <c:v>60.653000000000006</c:v>
                </c:pt>
                <c:pt idx="109">
                  <c:v>60.621000000000016</c:v>
                </c:pt>
                <c:pt idx="110">
                  <c:v>60.521000000000001</c:v>
                </c:pt>
                <c:pt idx="111">
                  <c:v>60.418499999999995</c:v>
                </c:pt>
                <c:pt idx="112">
                  <c:v>60.202500000000001</c:v>
                </c:pt>
                <c:pt idx="113">
                  <c:v>59.950499999999998</c:v>
                </c:pt>
                <c:pt idx="114">
                  <c:v>59.7485</c:v>
                </c:pt>
                <c:pt idx="115">
                  <c:v>59.600999999999999</c:v>
                </c:pt>
                <c:pt idx="116">
                  <c:v>59.552000000000007</c:v>
                </c:pt>
                <c:pt idx="117">
                  <c:v>59.505500000000005</c:v>
                </c:pt>
                <c:pt idx="118">
                  <c:v>59.485000000000014</c:v>
                </c:pt>
                <c:pt idx="119">
                  <c:v>59.531499999999994</c:v>
                </c:pt>
                <c:pt idx="120">
                  <c:v>59.599000000000004</c:v>
                </c:pt>
                <c:pt idx="121">
                  <c:v>59.678999999999995</c:v>
                </c:pt>
                <c:pt idx="122">
                  <c:v>59.829499999999996</c:v>
                </c:pt>
                <c:pt idx="123">
                  <c:v>60.006999999999991</c:v>
                </c:pt>
                <c:pt idx="124">
                  <c:v>60.178999999999995</c:v>
                </c:pt>
                <c:pt idx="125">
                  <c:v>60.419500000000006</c:v>
                </c:pt>
                <c:pt idx="126">
                  <c:v>60.673500000000004</c:v>
                </c:pt>
                <c:pt idx="127">
                  <c:v>60.979000000000006</c:v>
                </c:pt>
                <c:pt idx="128">
                  <c:v>61.327999999999996</c:v>
                </c:pt>
                <c:pt idx="129">
                  <c:v>61.676499999999997</c:v>
                </c:pt>
                <c:pt idx="130">
                  <c:v>61.974499999999999</c:v>
                </c:pt>
                <c:pt idx="131">
                  <c:v>62.279999999999994</c:v>
                </c:pt>
                <c:pt idx="132">
                  <c:v>62.608500000000006</c:v>
                </c:pt>
                <c:pt idx="133">
                  <c:v>63.032000000000004</c:v>
                </c:pt>
                <c:pt idx="134">
                  <c:v>63.39050000000001</c:v>
                </c:pt>
                <c:pt idx="135">
                  <c:v>63.716000000000008</c:v>
                </c:pt>
                <c:pt idx="136">
                  <c:v>63.923000000000002</c:v>
                </c:pt>
                <c:pt idx="137">
                  <c:v>64.078000000000003</c:v>
                </c:pt>
                <c:pt idx="138">
                  <c:v>64.222999999999985</c:v>
                </c:pt>
                <c:pt idx="139">
                  <c:v>64.300499999999985</c:v>
                </c:pt>
                <c:pt idx="140">
                  <c:v>64.323999999999998</c:v>
                </c:pt>
                <c:pt idx="141">
                  <c:v>64.363500000000002</c:v>
                </c:pt>
                <c:pt idx="142">
                  <c:v>64.405499999999989</c:v>
                </c:pt>
                <c:pt idx="143">
                  <c:v>64.419999999999987</c:v>
                </c:pt>
                <c:pt idx="144">
                  <c:v>64.426500000000004</c:v>
                </c:pt>
                <c:pt idx="145">
                  <c:v>64.42349999999999</c:v>
                </c:pt>
                <c:pt idx="146">
                  <c:v>64.447499999999977</c:v>
                </c:pt>
                <c:pt idx="147">
                  <c:v>64.445999999999984</c:v>
                </c:pt>
                <c:pt idx="148">
                  <c:v>64.402499999999989</c:v>
                </c:pt>
                <c:pt idx="149">
                  <c:v>64.323499999999996</c:v>
                </c:pt>
                <c:pt idx="150">
                  <c:v>64.305999999999997</c:v>
                </c:pt>
                <c:pt idx="151">
                  <c:v>64.349500000000006</c:v>
                </c:pt>
                <c:pt idx="152">
                  <c:v>64.462500000000006</c:v>
                </c:pt>
                <c:pt idx="153">
                  <c:v>64.469000000000008</c:v>
                </c:pt>
                <c:pt idx="154">
                  <c:v>64.450999999999993</c:v>
                </c:pt>
                <c:pt idx="155">
                  <c:v>64.442999999999998</c:v>
                </c:pt>
                <c:pt idx="156">
                  <c:v>64.456999999999994</c:v>
                </c:pt>
                <c:pt idx="157">
                  <c:v>64.497</c:v>
                </c:pt>
                <c:pt idx="158">
                  <c:v>64.573499999999996</c:v>
                </c:pt>
                <c:pt idx="159">
                  <c:v>64.664999999999992</c:v>
                </c:pt>
                <c:pt idx="160">
                  <c:v>64.789999999999992</c:v>
                </c:pt>
                <c:pt idx="161">
                  <c:v>64.851000000000013</c:v>
                </c:pt>
                <c:pt idx="162">
                  <c:v>64.929500000000004</c:v>
                </c:pt>
                <c:pt idx="163">
                  <c:v>65.01700000000001</c:v>
                </c:pt>
                <c:pt idx="164">
                  <c:v>65.135499999999993</c:v>
                </c:pt>
                <c:pt idx="165">
                  <c:v>65.204000000000008</c:v>
                </c:pt>
                <c:pt idx="166">
                  <c:v>65.300499999999985</c:v>
                </c:pt>
                <c:pt idx="167">
                  <c:v>65.465000000000003</c:v>
                </c:pt>
                <c:pt idx="168">
                  <c:v>65.64200000000001</c:v>
                </c:pt>
                <c:pt idx="169">
                  <c:v>65.884999999999991</c:v>
                </c:pt>
                <c:pt idx="170">
                  <c:v>66.118500000000012</c:v>
                </c:pt>
                <c:pt idx="171">
                  <c:v>66.327500000000001</c:v>
                </c:pt>
                <c:pt idx="172">
                  <c:v>66.523499999999999</c:v>
                </c:pt>
                <c:pt idx="173">
                  <c:v>66.66549999999998</c:v>
                </c:pt>
                <c:pt idx="174">
                  <c:v>66.819499999999991</c:v>
                </c:pt>
                <c:pt idx="175">
                  <c:v>66.947999999999993</c:v>
                </c:pt>
                <c:pt idx="176">
                  <c:v>67.297499999999985</c:v>
                </c:pt>
                <c:pt idx="177">
                  <c:v>67.686000000000007</c:v>
                </c:pt>
                <c:pt idx="178">
                  <c:v>67.995999999999995</c:v>
                </c:pt>
                <c:pt idx="179">
                  <c:v>68.254999999999981</c:v>
                </c:pt>
                <c:pt idx="180">
                  <c:v>68.503999999999991</c:v>
                </c:pt>
                <c:pt idx="181">
                  <c:v>68.777500000000003</c:v>
                </c:pt>
                <c:pt idx="182">
                  <c:v>69.198000000000008</c:v>
                </c:pt>
                <c:pt idx="183">
                  <c:v>69.601500000000001</c:v>
                </c:pt>
                <c:pt idx="184">
                  <c:v>69.960999999999999</c:v>
                </c:pt>
                <c:pt idx="185">
                  <c:v>70.376499999999993</c:v>
                </c:pt>
                <c:pt idx="186">
                  <c:v>70.790999999999997</c:v>
                </c:pt>
                <c:pt idx="187">
                  <c:v>71.16</c:v>
                </c:pt>
                <c:pt idx="188">
                  <c:v>71.510500000000008</c:v>
                </c:pt>
                <c:pt idx="189">
                  <c:v>71.847999999999985</c:v>
                </c:pt>
                <c:pt idx="190">
                  <c:v>72.152000000000015</c:v>
                </c:pt>
                <c:pt idx="191">
                  <c:v>72.432500000000005</c:v>
                </c:pt>
                <c:pt idx="192">
                  <c:v>72.777999999999992</c:v>
                </c:pt>
                <c:pt idx="193">
                  <c:v>73.128499999999988</c:v>
                </c:pt>
                <c:pt idx="194">
                  <c:v>73.506</c:v>
                </c:pt>
                <c:pt idx="195">
                  <c:v>73.888500000000008</c:v>
                </c:pt>
                <c:pt idx="196">
                  <c:v>74.069000000000003</c:v>
                </c:pt>
                <c:pt idx="197">
                  <c:v>74.234499999999997</c:v>
                </c:pt>
                <c:pt idx="198">
                  <c:v>74.343500000000006</c:v>
                </c:pt>
                <c:pt idx="199">
                  <c:v>74.528000000000006</c:v>
                </c:pt>
                <c:pt idx="200">
                  <c:v>74.677999999999997</c:v>
                </c:pt>
                <c:pt idx="201">
                  <c:v>74.804500000000004</c:v>
                </c:pt>
                <c:pt idx="202">
                  <c:v>74.755499999999998</c:v>
                </c:pt>
                <c:pt idx="203">
                  <c:v>74.713499999999996</c:v>
                </c:pt>
                <c:pt idx="204">
                  <c:v>74.724999999999994</c:v>
                </c:pt>
                <c:pt idx="205">
                  <c:v>74.710000000000008</c:v>
                </c:pt>
                <c:pt idx="206">
                  <c:v>74.682500000000005</c:v>
                </c:pt>
                <c:pt idx="207">
                  <c:v>74.64</c:v>
                </c:pt>
                <c:pt idx="208">
                  <c:v>74.623000000000005</c:v>
                </c:pt>
                <c:pt idx="209">
                  <c:v>74.59</c:v>
                </c:pt>
                <c:pt idx="210">
                  <c:v>74.537999999999997</c:v>
                </c:pt>
                <c:pt idx="211">
                  <c:v>74.462499999999991</c:v>
                </c:pt>
                <c:pt idx="212">
                  <c:v>74.277499999999989</c:v>
                </c:pt>
                <c:pt idx="213">
                  <c:v>74.133499999999998</c:v>
                </c:pt>
                <c:pt idx="214">
                  <c:v>74.012500000000003</c:v>
                </c:pt>
                <c:pt idx="215">
                  <c:v>73.832499999999996</c:v>
                </c:pt>
                <c:pt idx="216">
                  <c:v>73.650999999999996</c:v>
                </c:pt>
                <c:pt idx="217">
                  <c:v>73.4405</c:v>
                </c:pt>
                <c:pt idx="218">
                  <c:v>73.347499999999997</c:v>
                </c:pt>
                <c:pt idx="219">
                  <c:v>73.271999999999991</c:v>
                </c:pt>
                <c:pt idx="220">
                  <c:v>73.263499999999993</c:v>
                </c:pt>
                <c:pt idx="221">
                  <c:v>73.294499999999999</c:v>
                </c:pt>
                <c:pt idx="222">
                  <c:v>73.286000000000001</c:v>
                </c:pt>
                <c:pt idx="223">
                  <c:v>73.28</c:v>
                </c:pt>
                <c:pt idx="224">
                  <c:v>73.215500000000006</c:v>
                </c:pt>
                <c:pt idx="225">
                  <c:v>73.097499999999997</c:v>
                </c:pt>
                <c:pt idx="226">
                  <c:v>73.006500000000003</c:v>
                </c:pt>
                <c:pt idx="227">
                  <c:v>72.903000000000006</c:v>
                </c:pt>
                <c:pt idx="228">
                  <c:v>72.616500000000002</c:v>
                </c:pt>
                <c:pt idx="229">
                  <c:v>72.248000000000005</c:v>
                </c:pt>
                <c:pt idx="230">
                  <c:v>71.961500000000001</c:v>
                </c:pt>
                <c:pt idx="231">
                  <c:v>71.675500000000014</c:v>
                </c:pt>
                <c:pt idx="232">
                  <c:v>71.390999999999991</c:v>
                </c:pt>
                <c:pt idx="233">
                  <c:v>71.042999999999992</c:v>
                </c:pt>
                <c:pt idx="234">
                  <c:v>70.648999999999987</c:v>
                </c:pt>
                <c:pt idx="235">
                  <c:v>70.311499999999995</c:v>
                </c:pt>
                <c:pt idx="236">
                  <c:v>69.929999999999993</c:v>
                </c:pt>
                <c:pt idx="237">
                  <c:v>69.561999999999998</c:v>
                </c:pt>
                <c:pt idx="238">
                  <c:v>69.118500000000012</c:v>
                </c:pt>
                <c:pt idx="239">
                  <c:v>68.628500000000003</c:v>
                </c:pt>
                <c:pt idx="240">
                  <c:v>68.100500000000011</c:v>
                </c:pt>
                <c:pt idx="241">
                  <c:v>67.613</c:v>
                </c:pt>
                <c:pt idx="242">
                  <c:v>67.084999999999994</c:v>
                </c:pt>
                <c:pt idx="243">
                  <c:v>66.557499999999976</c:v>
                </c:pt>
                <c:pt idx="244">
                  <c:v>66.062499999999986</c:v>
                </c:pt>
                <c:pt idx="245">
                  <c:v>65.588499999999982</c:v>
                </c:pt>
                <c:pt idx="246">
                  <c:v>65.067499999999995</c:v>
                </c:pt>
                <c:pt idx="247">
                  <c:v>64.491500000000002</c:v>
                </c:pt>
                <c:pt idx="248">
                  <c:v>64.124500000000012</c:v>
                </c:pt>
                <c:pt idx="249">
                  <c:v>63.796500000000016</c:v>
                </c:pt>
                <c:pt idx="250">
                  <c:v>63.379500000000007</c:v>
                </c:pt>
                <c:pt idx="251">
                  <c:v>62.965999999999994</c:v>
                </c:pt>
                <c:pt idx="252">
                  <c:v>62.615499999999997</c:v>
                </c:pt>
                <c:pt idx="253">
                  <c:v>62.304999999999993</c:v>
                </c:pt>
                <c:pt idx="254">
                  <c:v>62.096999999999994</c:v>
                </c:pt>
                <c:pt idx="255">
                  <c:v>61.8855</c:v>
                </c:pt>
                <c:pt idx="256">
                  <c:v>61.707500000000003</c:v>
                </c:pt>
                <c:pt idx="257">
                  <c:v>61.566500000000005</c:v>
                </c:pt>
                <c:pt idx="258">
                  <c:v>61.515499999999996</c:v>
                </c:pt>
                <c:pt idx="259">
                  <c:v>61.507500000000007</c:v>
                </c:pt>
                <c:pt idx="260">
                  <c:v>61.526499999999999</c:v>
                </c:pt>
                <c:pt idx="261">
                  <c:v>61.436999999999991</c:v>
                </c:pt>
                <c:pt idx="262">
                  <c:v>61.399000000000001</c:v>
                </c:pt>
                <c:pt idx="263">
                  <c:v>61.366499999999995</c:v>
                </c:pt>
                <c:pt idx="264">
                  <c:v>61.419999999999995</c:v>
                </c:pt>
                <c:pt idx="265">
                  <c:v>61.453499999999998</c:v>
                </c:pt>
                <c:pt idx="266">
                  <c:v>61.503499999999988</c:v>
                </c:pt>
                <c:pt idx="267">
                  <c:v>61.649500000000003</c:v>
                </c:pt>
                <c:pt idx="268">
                  <c:v>61.755500000000005</c:v>
                </c:pt>
                <c:pt idx="269">
                  <c:v>61.88000000000001</c:v>
                </c:pt>
                <c:pt idx="270">
                  <c:v>62.072500000000012</c:v>
                </c:pt>
                <c:pt idx="271">
                  <c:v>62.277500000000011</c:v>
                </c:pt>
                <c:pt idx="272">
                  <c:v>62.462500000000013</c:v>
                </c:pt>
                <c:pt idx="273">
                  <c:v>62.715000000000011</c:v>
                </c:pt>
                <c:pt idx="274">
                  <c:v>62.826000000000001</c:v>
                </c:pt>
                <c:pt idx="275">
                  <c:v>62.841999999999999</c:v>
                </c:pt>
                <c:pt idx="276">
                  <c:v>62.910000000000004</c:v>
                </c:pt>
                <c:pt idx="277">
                  <c:v>62.951499999999996</c:v>
                </c:pt>
                <c:pt idx="278">
                  <c:v>62.946999999999989</c:v>
                </c:pt>
                <c:pt idx="279">
                  <c:v>62.873999999999988</c:v>
                </c:pt>
                <c:pt idx="280">
                  <c:v>62.814499999999988</c:v>
                </c:pt>
                <c:pt idx="281">
                  <c:v>62.759499999999989</c:v>
                </c:pt>
                <c:pt idx="282">
                  <c:v>62.669499999999992</c:v>
                </c:pt>
                <c:pt idx="283">
                  <c:v>62.566500000000005</c:v>
                </c:pt>
                <c:pt idx="284">
                  <c:v>62.378999999999998</c:v>
                </c:pt>
                <c:pt idx="285">
                  <c:v>62.216000000000008</c:v>
                </c:pt>
                <c:pt idx="286">
                  <c:v>62.000999999999998</c:v>
                </c:pt>
                <c:pt idx="287">
                  <c:v>61.785499999999992</c:v>
                </c:pt>
                <c:pt idx="288">
                  <c:v>61.571000000000005</c:v>
                </c:pt>
                <c:pt idx="289">
                  <c:v>61.347499999999989</c:v>
                </c:pt>
                <c:pt idx="290">
                  <c:v>61.104499999999994</c:v>
                </c:pt>
                <c:pt idx="291">
                  <c:v>60.852000000000011</c:v>
                </c:pt>
                <c:pt idx="292">
                  <c:v>60.621500000000012</c:v>
                </c:pt>
                <c:pt idx="293">
                  <c:v>60.333000000000006</c:v>
                </c:pt>
                <c:pt idx="294">
                  <c:v>60.055500000000009</c:v>
                </c:pt>
                <c:pt idx="295">
                  <c:v>59.902999999999999</c:v>
                </c:pt>
                <c:pt idx="296">
                  <c:v>59.666499999999999</c:v>
                </c:pt>
                <c:pt idx="297">
                  <c:v>59.343999999999994</c:v>
                </c:pt>
                <c:pt idx="298">
                  <c:v>59.024999999999991</c:v>
                </c:pt>
                <c:pt idx="299">
                  <c:v>58.772499999999994</c:v>
                </c:pt>
                <c:pt idx="300">
                  <c:v>58.526499999999999</c:v>
                </c:pt>
                <c:pt idx="301">
                  <c:v>58.297499999999999</c:v>
                </c:pt>
                <c:pt idx="302">
                  <c:v>58.147999999999989</c:v>
                </c:pt>
                <c:pt idx="303">
                  <c:v>58.036000000000001</c:v>
                </c:pt>
                <c:pt idx="304">
                  <c:v>57.933000000000007</c:v>
                </c:pt>
                <c:pt idx="305">
                  <c:v>57.76700000000001</c:v>
                </c:pt>
                <c:pt idx="306">
                  <c:v>57.64050000000001</c:v>
                </c:pt>
                <c:pt idx="307">
                  <c:v>57.5015</c:v>
                </c:pt>
                <c:pt idx="308">
                  <c:v>57.384</c:v>
                </c:pt>
                <c:pt idx="309">
                  <c:v>57.363999999999997</c:v>
                </c:pt>
                <c:pt idx="310">
                  <c:v>57.519000000000005</c:v>
                </c:pt>
                <c:pt idx="311">
                  <c:v>57.687500000000014</c:v>
                </c:pt>
                <c:pt idx="312">
                  <c:v>57.826000000000008</c:v>
                </c:pt>
                <c:pt idx="313">
                  <c:v>57.996500000000005</c:v>
                </c:pt>
                <c:pt idx="314">
                  <c:v>58.271500000000003</c:v>
                </c:pt>
                <c:pt idx="315">
                  <c:v>58.546000000000014</c:v>
                </c:pt>
                <c:pt idx="316">
                  <c:v>58.890000000000008</c:v>
                </c:pt>
                <c:pt idx="317">
                  <c:v>59.295000000000016</c:v>
                </c:pt>
                <c:pt idx="318">
                  <c:v>59.686500000000002</c:v>
                </c:pt>
                <c:pt idx="319">
                  <c:v>60.081499999999991</c:v>
                </c:pt>
                <c:pt idx="320">
                  <c:v>60.45150000000001</c:v>
                </c:pt>
                <c:pt idx="321">
                  <c:v>60.838499999999996</c:v>
                </c:pt>
                <c:pt idx="322">
                  <c:v>61.134500000000003</c:v>
                </c:pt>
                <c:pt idx="323">
                  <c:v>61.431999999999995</c:v>
                </c:pt>
                <c:pt idx="324">
                  <c:v>61.777000000000022</c:v>
                </c:pt>
                <c:pt idx="325">
                  <c:v>62.225000000000009</c:v>
                </c:pt>
                <c:pt idx="326">
                  <c:v>62.70000000000001</c:v>
                </c:pt>
                <c:pt idx="327">
                  <c:v>63.20150000000001</c:v>
                </c:pt>
                <c:pt idx="328">
                  <c:v>63.685500000000012</c:v>
                </c:pt>
                <c:pt idx="329">
                  <c:v>64.088000000000008</c:v>
                </c:pt>
                <c:pt idx="330">
                  <c:v>64.282000000000011</c:v>
                </c:pt>
                <c:pt idx="331">
                  <c:v>64.478500000000011</c:v>
                </c:pt>
                <c:pt idx="332">
                  <c:v>64.71250000000002</c:v>
                </c:pt>
                <c:pt idx="333">
                  <c:v>64.978500000000011</c:v>
                </c:pt>
                <c:pt idx="334">
                  <c:v>65.177500000000023</c:v>
                </c:pt>
                <c:pt idx="335">
                  <c:v>65.378999999999991</c:v>
                </c:pt>
                <c:pt idx="336">
                  <c:v>65.477499999999992</c:v>
                </c:pt>
                <c:pt idx="337">
                  <c:v>65.564499999999995</c:v>
                </c:pt>
                <c:pt idx="338">
                  <c:v>65.709000000000003</c:v>
                </c:pt>
                <c:pt idx="339">
                  <c:v>65.772500000000008</c:v>
                </c:pt>
                <c:pt idx="340">
                  <c:v>65.872500000000002</c:v>
                </c:pt>
                <c:pt idx="341">
                  <c:v>65.987500000000011</c:v>
                </c:pt>
                <c:pt idx="342">
                  <c:v>66.126500000000007</c:v>
                </c:pt>
                <c:pt idx="343">
                  <c:v>66.225499999999997</c:v>
                </c:pt>
                <c:pt idx="344">
                  <c:v>66.269499999999994</c:v>
                </c:pt>
                <c:pt idx="345">
                  <c:v>66.335000000000008</c:v>
                </c:pt>
                <c:pt idx="346">
                  <c:v>66.433999999999997</c:v>
                </c:pt>
                <c:pt idx="347">
                  <c:v>66.478500000000011</c:v>
                </c:pt>
                <c:pt idx="348">
                  <c:v>66.477000000000004</c:v>
                </c:pt>
                <c:pt idx="349">
                  <c:v>66.559499999999986</c:v>
                </c:pt>
                <c:pt idx="350">
                  <c:v>66.671999999999997</c:v>
                </c:pt>
                <c:pt idx="351">
                  <c:v>66.79049999999998</c:v>
                </c:pt>
                <c:pt idx="352">
                  <c:v>66.842999999999989</c:v>
                </c:pt>
                <c:pt idx="353">
                  <c:v>66.826499999999996</c:v>
                </c:pt>
                <c:pt idx="354">
                  <c:v>66.80449999999999</c:v>
                </c:pt>
                <c:pt idx="355">
                  <c:v>66.770999999999987</c:v>
                </c:pt>
                <c:pt idx="356">
                  <c:v>66.8185</c:v>
                </c:pt>
                <c:pt idx="357">
                  <c:v>66.873499999999993</c:v>
                </c:pt>
                <c:pt idx="358">
                  <c:v>66.864000000000004</c:v>
                </c:pt>
                <c:pt idx="359">
                  <c:v>66.917000000000002</c:v>
                </c:pt>
                <c:pt idx="360">
                  <c:v>66.988499999999988</c:v>
                </c:pt>
                <c:pt idx="361">
                  <c:v>67.049499999999995</c:v>
                </c:pt>
                <c:pt idx="362">
                  <c:v>67.179999999999978</c:v>
                </c:pt>
                <c:pt idx="363">
                  <c:v>67.34399999999998</c:v>
                </c:pt>
                <c:pt idx="364">
                  <c:v>67.595499999999973</c:v>
                </c:pt>
                <c:pt idx="365">
                  <c:v>67.758499999999984</c:v>
                </c:pt>
                <c:pt idx="366">
                  <c:v>67.926999999999978</c:v>
                </c:pt>
                <c:pt idx="367">
                  <c:v>68.171999999999997</c:v>
                </c:pt>
                <c:pt idx="368">
                  <c:v>68.453999999999994</c:v>
                </c:pt>
                <c:pt idx="369">
                  <c:v>68.635000000000019</c:v>
                </c:pt>
                <c:pt idx="370">
                  <c:v>68.812000000000012</c:v>
                </c:pt>
                <c:pt idx="371">
                  <c:v>68.966500000000011</c:v>
                </c:pt>
                <c:pt idx="372">
                  <c:v>69.227000000000018</c:v>
                </c:pt>
                <c:pt idx="373">
                  <c:v>69.555000000000007</c:v>
                </c:pt>
                <c:pt idx="374">
                  <c:v>69.841500000000011</c:v>
                </c:pt>
                <c:pt idx="375">
                  <c:v>69.962500000000006</c:v>
                </c:pt>
                <c:pt idx="376">
                  <c:v>70.134</c:v>
                </c:pt>
                <c:pt idx="377">
                  <c:v>70.326999999999998</c:v>
                </c:pt>
                <c:pt idx="378">
                  <c:v>70.536000000000001</c:v>
                </c:pt>
                <c:pt idx="379">
                  <c:v>70.738</c:v>
                </c:pt>
                <c:pt idx="380">
                  <c:v>70.918500000000009</c:v>
                </c:pt>
                <c:pt idx="381">
                  <c:v>71.135500000000008</c:v>
                </c:pt>
                <c:pt idx="382">
                  <c:v>71.319500000000005</c:v>
                </c:pt>
                <c:pt idx="383">
                  <c:v>71.485500000000002</c:v>
                </c:pt>
                <c:pt idx="384">
                  <c:v>71.609000000000009</c:v>
                </c:pt>
                <c:pt idx="385">
                  <c:v>71.764500000000012</c:v>
                </c:pt>
                <c:pt idx="386">
                  <c:v>71.869499999999988</c:v>
                </c:pt>
                <c:pt idx="387">
                  <c:v>71.89500000000001</c:v>
                </c:pt>
                <c:pt idx="388">
                  <c:v>71.91749999999999</c:v>
                </c:pt>
                <c:pt idx="389">
                  <c:v>71.930500000000009</c:v>
                </c:pt>
                <c:pt idx="390">
                  <c:v>72.0565</c:v>
                </c:pt>
                <c:pt idx="391">
                  <c:v>72.147999999999996</c:v>
                </c:pt>
                <c:pt idx="392">
                  <c:v>72.197000000000003</c:v>
                </c:pt>
                <c:pt idx="393">
                  <c:v>72.202499999999986</c:v>
                </c:pt>
                <c:pt idx="394">
                  <c:v>72.215499999999992</c:v>
                </c:pt>
                <c:pt idx="395">
                  <c:v>72.344499999999996</c:v>
                </c:pt>
                <c:pt idx="396">
                  <c:v>72.375</c:v>
                </c:pt>
                <c:pt idx="397">
                  <c:v>72.403999999999996</c:v>
                </c:pt>
                <c:pt idx="398">
                  <c:v>72.445499999999996</c:v>
                </c:pt>
                <c:pt idx="399">
                  <c:v>72.484999999999985</c:v>
                </c:pt>
                <c:pt idx="400">
                  <c:v>72.592999999999989</c:v>
                </c:pt>
                <c:pt idx="401">
                  <c:v>72.72199999999998</c:v>
                </c:pt>
                <c:pt idx="402">
                  <c:v>72.872999999999976</c:v>
                </c:pt>
                <c:pt idx="403">
                  <c:v>73.056499999999986</c:v>
                </c:pt>
                <c:pt idx="404">
                  <c:v>73.175499999999985</c:v>
                </c:pt>
                <c:pt idx="405">
                  <c:v>73.312499999999986</c:v>
                </c:pt>
                <c:pt idx="406">
                  <c:v>73.412499999999994</c:v>
                </c:pt>
                <c:pt idx="407">
                  <c:v>73.496999999999986</c:v>
                </c:pt>
                <c:pt idx="408">
                  <c:v>73.529499999999985</c:v>
                </c:pt>
                <c:pt idx="409">
                  <c:v>73.608499999999978</c:v>
                </c:pt>
                <c:pt idx="410">
                  <c:v>73.5535</c:v>
                </c:pt>
                <c:pt idx="411">
                  <c:v>73.517499999999998</c:v>
                </c:pt>
                <c:pt idx="412">
                  <c:v>73.438499999999991</c:v>
                </c:pt>
                <c:pt idx="413">
                  <c:v>73.36699999999999</c:v>
                </c:pt>
                <c:pt idx="414">
                  <c:v>73.246000000000009</c:v>
                </c:pt>
                <c:pt idx="415">
                  <c:v>73.107500000000002</c:v>
                </c:pt>
                <c:pt idx="416">
                  <c:v>73.075999999999993</c:v>
                </c:pt>
                <c:pt idx="417">
                  <c:v>73.034999999999997</c:v>
                </c:pt>
                <c:pt idx="418">
                  <c:v>73.005500000000012</c:v>
                </c:pt>
                <c:pt idx="419">
                  <c:v>72.900499999999994</c:v>
                </c:pt>
                <c:pt idx="420">
                  <c:v>72.694000000000017</c:v>
                </c:pt>
                <c:pt idx="421">
                  <c:v>72.504500000000007</c:v>
                </c:pt>
                <c:pt idx="422">
                  <c:v>72.297500000000014</c:v>
                </c:pt>
                <c:pt idx="423">
                  <c:v>72.051500000000004</c:v>
                </c:pt>
                <c:pt idx="424">
                  <c:v>71.81750000000001</c:v>
                </c:pt>
                <c:pt idx="425">
                  <c:v>71.469000000000008</c:v>
                </c:pt>
                <c:pt idx="426">
                  <c:v>71.12</c:v>
                </c:pt>
                <c:pt idx="427">
                  <c:v>70.84</c:v>
                </c:pt>
                <c:pt idx="428">
                  <c:v>70.603000000000009</c:v>
                </c:pt>
                <c:pt idx="429">
                  <c:v>70.341500000000011</c:v>
                </c:pt>
                <c:pt idx="430">
                  <c:v>70.100999999999999</c:v>
                </c:pt>
                <c:pt idx="431">
                  <c:v>69.856999999999999</c:v>
                </c:pt>
                <c:pt idx="432">
                  <c:v>69.588999999999999</c:v>
                </c:pt>
                <c:pt idx="433">
                  <c:v>69.311000000000007</c:v>
                </c:pt>
                <c:pt idx="434">
                  <c:v>69.036000000000016</c:v>
                </c:pt>
                <c:pt idx="435">
                  <c:v>69.06</c:v>
                </c:pt>
                <c:pt idx="436">
                  <c:v>68.977999999999994</c:v>
                </c:pt>
                <c:pt idx="437">
                  <c:v>68.948999999999984</c:v>
                </c:pt>
                <c:pt idx="438">
                  <c:v>68.88</c:v>
                </c:pt>
                <c:pt idx="439">
                  <c:v>68.870499999999979</c:v>
                </c:pt>
                <c:pt idx="440">
                  <c:v>68.862499999999983</c:v>
                </c:pt>
                <c:pt idx="441">
                  <c:v>68.793999999999997</c:v>
                </c:pt>
                <c:pt idx="442">
                  <c:v>68.684499999999986</c:v>
                </c:pt>
                <c:pt idx="443">
                  <c:v>68.537000000000006</c:v>
                </c:pt>
                <c:pt idx="444">
                  <c:v>68.54249999999999</c:v>
                </c:pt>
                <c:pt idx="445">
                  <c:v>68.632000000000005</c:v>
                </c:pt>
                <c:pt idx="446">
                  <c:v>68.724500000000006</c:v>
                </c:pt>
                <c:pt idx="447">
                  <c:v>68.844999999999999</c:v>
                </c:pt>
                <c:pt idx="448">
                  <c:v>68.941499999999991</c:v>
                </c:pt>
                <c:pt idx="449">
                  <c:v>69.02000000000001</c:v>
                </c:pt>
                <c:pt idx="450">
                  <c:v>69.080999999999989</c:v>
                </c:pt>
                <c:pt idx="451">
                  <c:v>69.114500000000007</c:v>
                </c:pt>
                <c:pt idx="452">
                  <c:v>69.201999999999998</c:v>
                </c:pt>
                <c:pt idx="453">
                  <c:v>69.390000000000015</c:v>
                </c:pt>
                <c:pt idx="454">
                  <c:v>69.657499999999999</c:v>
                </c:pt>
                <c:pt idx="455">
                  <c:v>69.683999999999997</c:v>
                </c:pt>
                <c:pt idx="456">
                  <c:v>69.751500000000007</c:v>
                </c:pt>
                <c:pt idx="457">
                  <c:v>69.740500000000011</c:v>
                </c:pt>
                <c:pt idx="458">
                  <c:v>69.832000000000022</c:v>
                </c:pt>
                <c:pt idx="459">
                  <c:v>69.90300000000002</c:v>
                </c:pt>
                <c:pt idx="460">
                  <c:v>69.897500000000008</c:v>
                </c:pt>
                <c:pt idx="461">
                  <c:v>69.939000000000007</c:v>
                </c:pt>
                <c:pt idx="462">
                  <c:v>70.037000000000006</c:v>
                </c:pt>
                <c:pt idx="463">
                  <c:v>70.149500000000018</c:v>
                </c:pt>
                <c:pt idx="464">
                  <c:v>70.076000000000008</c:v>
                </c:pt>
                <c:pt idx="465">
                  <c:v>70.030500000000004</c:v>
                </c:pt>
                <c:pt idx="466">
                  <c:v>70.085999999999999</c:v>
                </c:pt>
                <c:pt idx="467">
                  <c:v>70.073000000000008</c:v>
                </c:pt>
                <c:pt idx="468">
                  <c:v>70.224500000000006</c:v>
                </c:pt>
                <c:pt idx="469">
                  <c:v>70.341499999999996</c:v>
                </c:pt>
                <c:pt idx="470">
                  <c:v>70.599000000000004</c:v>
                </c:pt>
                <c:pt idx="471">
                  <c:v>70.9465</c:v>
                </c:pt>
                <c:pt idx="472">
                  <c:v>71.280999999999992</c:v>
                </c:pt>
                <c:pt idx="473">
                  <c:v>71.525999999999982</c:v>
                </c:pt>
                <c:pt idx="474">
                  <c:v>71.793999999999997</c:v>
                </c:pt>
                <c:pt idx="475">
                  <c:v>72.03449999999998</c:v>
                </c:pt>
                <c:pt idx="476">
                  <c:v>72.169999999999987</c:v>
                </c:pt>
                <c:pt idx="477">
                  <c:v>72.3185</c:v>
                </c:pt>
                <c:pt idx="478">
                  <c:v>72.356500000000011</c:v>
                </c:pt>
                <c:pt idx="479">
                  <c:v>72.412000000000006</c:v>
                </c:pt>
                <c:pt idx="480">
                  <c:v>72.526499999999999</c:v>
                </c:pt>
                <c:pt idx="481">
                  <c:v>72.695999999999998</c:v>
                </c:pt>
                <c:pt idx="482">
                  <c:v>72.836500000000001</c:v>
                </c:pt>
                <c:pt idx="483">
                  <c:v>73.042000000000002</c:v>
                </c:pt>
                <c:pt idx="484">
                  <c:v>73.328500000000005</c:v>
                </c:pt>
                <c:pt idx="485">
                  <c:v>73.597499999999997</c:v>
                </c:pt>
                <c:pt idx="486">
                  <c:v>73.708499999999987</c:v>
                </c:pt>
                <c:pt idx="487">
                  <c:v>73.818999999999988</c:v>
                </c:pt>
                <c:pt idx="488">
                  <c:v>73.751999999999995</c:v>
                </c:pt>
                <c:pt idx="489">
                  <c:v>73.741500000000002</c:v>
                </c:pt>
                <c:pt idx="490">
                  <c:v>73.638000000000005</c:v>
                </c:pt>
                <c:pt idx="491">
                  <c:v>73.549000000000007</c:v>
                </c:pt>
                <c:pt idx="492">
                  <c:v>73.382500000000007</c:v>
                </c:pt>
                <c:pt idx="493">
                  <c:v>73.213000000000008</c:v>
                </c:pt>
                <c:pt idx="494">
                  <c:v>73.01700000000001</c:v>
                </c:pt>
                <c:pt idx="495">
                  <c:v>72.837500000000006</c:v>
                </c:pt>
                <c:pt idx="496">
                  <c:v>72.766500000000008</c:v>
                </c:pt>
                <c:pt idx="497">
                  <c:v>72.580000000000013</c:v>
                </c:pt>
                <c:pt idx="498">
                  <c:v>72.355000000000004</c:v>
                </c:pt>
                <c:pt idx="499">
                  <c:v>72.111500000000007</c:v>
                </c:pt>
                <c:pt idx="500">
                  <c:v>71.958000000000013</c:v>
                </c:pt>
                <c:pt idx="501">
                  <c:v>71.667500000000004</c:v>
                </c:pt>
                <c:pt idx="502">
                  <c:v>71.348500000000001</c:v>
                </c:pt>
                <c:pt idx="503">
                  <c:v>71.006499999999988</c:v>
                </c:pt>
                <c:pt idx="504">
                  <c:v>70.626499999999993</c:v>
                </c:pt>
                <c:pt idx="505">
                  <c:v>70.183999999999997</c:v>
                </c:pt>
                <c:pt idx="506">
                  <c:v>69.830999999999989</c:v>
                </c:pt>
                <c:pt idx="507">
                  <c:v>69.578000000000003</c:v>
                </c:pt>
                <c:pt idx="508">
                  <c:v>69.365499999999997</c:v>
                </c:pt>
                <c:pt idx="509">
                  <c:v>69.150000000000006</c:v>
                </c:pt>
                <c:pt idx="510">
                  <c:v>68.903999999999996</c:v>
                </c:pt>
                <c:pt idx="511">
                  <c:v>68.688947368421054</c:v>
                </c:pt>
                <c:pt idx="512">
                  <c:v>68.516666666666666</c:v>
                </c:pt>
                <c:pt idx="513">
                  <c:v>68.314705882352939</c:v>
                </c:pt>
                <c:pt idx="514">
                  <c:v>68.093749999999986</c:v>
                </c:pt>
                <c:pt idx="515">
                  <c:v>67.833333333333329</c:v>
                </c:pt>
                <c:pt idx="516">
                  <c:v>67.521428571428558</c:v>
                </c:pt>
                <c:pt idx="517">
                  <c:v>67.361538461538444</c:v>
                </c:pt>
                <c:pt idx="518">
                  <c:v>67.295833333333334</c:v>
                </c:pt>
                <c:pt idx="519">
                  <c:v>67.257272727272721</c:v>
                </c:pt>
                <c:pt idx="520">
                  <c:v>67.095999999999989</c:v>
                </c:pt>
                <c:pt idx="521">
                  <c:v>66.962222222222223</c:v>
                </c:pt>
                <c:pt idx="522">
                  <c:v>66.882499999999993</c:v>
                </c:pt>
                <c:pt idx="523">
                  <c:v>66.758571428571429</c:v>
                </c:pt>
                <c:pt idx="524">
                  <c:v>66.673333333333332</c:v>
                </c:pt>
                <c:pt idx="525">
                  <c:v>66.850000000000009</c:v>
                </c:pt>
                <c:pt idx="526">
                  <c:v>67.182500000000005</c:v>
                </c:pt>
                <c:pt idx="527">
                  <c:v>67.143333333333331</c:v>
                </c:pt>
                <c:pt idx="528">
                  <c:v>67.099999999999994</c:v>
                </c:pt>
                <c:pt idx="529">
                  <c:v>67.040000000000006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33-4927-8344-F5E81AFA00A1}"/>
            </c:ext>
          </c:extLst>
        </c:ser>
        <c:ser>
          <c:idx val="2"/>
          <c:order val="2"/>
          <c:tx>
            <c:v>Moyenne 40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Mercedes!$J$2:$J$531</c:f>
              <c:numCache>
                <c:formatCode>General</c:formatCode>
                <c:ptCount val="530"/>
                <c:pt idx="0">
                  <c:v>55.689125000000004</c:v>
                </c:pt>
                <c:pt idx="1">
                  <c:v>55.635500000000015</c:v>
                </c:pt>
                <c:pt idx="2">
                  <c:v>55.60775000000001</c:v>
                </c:pt>
                <c:pt idx="3">
                  <c:v>55.557000000000002</c:v>
                </c:pt>
                <c:pt idx="4">
                  <c:v>55.479499999999994</c:v>
                </c:pt>
                <c:pt idx="5">
                  <c:v>55.375999999999998</c:v>
                </c:pt>
                <c:pt idx="6">
                  <c:v>55.285750000000007</c:v>
                </c:pt>
                <c:pt idx="7">
                  <c:v>55.152249999999995</c:v>
                </c:pt>
                <c:pt idx="8">
                  <c:v>55.055750000000003</c:v>
                </c:pt>
                <c:pt idx="9">
                  <c:v>54.906750000000002</c:v>
                </c:pt>
                <c:pt idx="10">
                  <c:v>54.739999999999995</c:v>
                </c:pt>
                <c:pt idx="11">
                  <c:v>54.57974999999999</c:v>
                </c:pt>
                <c:pt idx="12">
                  <c:v>54.425750000000008</c:v>
                </c:pt>
                <c:pt idx="13">
                  <c:v>54.306000000000004</c:v>
                </c:pt>
                <c:pt idx="14">
                  <c:v>54.192999999999998</c:v>
                </c:pt>
                <c:pt idx="15">
                  <c:v>54.093749999999986</c:v>
                </c:pt>
                <c:pt idx="16">
                  <c:v>53.984749999999998</c:v>
                </c:pt>
                <c:pt idx="17">
                  <c:v>53.905249999999988</c:v>
                </c:pt>
                <c:pt idx="18">
                  <c:v>53.833749999999995</c:v>
                </c:pt>
                <c:pt idx="19">
                  <c:v>53.780249999999988</c:v>
                </c:pt>
                <c:pt idx="20">
                  <c:v>53.712999999999987</c:v>
                </c:pt>
                <c:pt idx="21">
                  <c:v>53.591499999999996</c:v>
                </c:pt>
                <c:pt idx="22">
                  <c:v>53.504249999999992</c:v>
                </c:pt>
                <c:pt idx="23">
                  <c:v>53.439249999999994</c:v>
                </c:pt>
                <c:pt idx="24">
                  <c:v>53.372250000000008</c:v>
                </c:pt>
                <c:pt idx="25">
                  <c:v>53.39</c:v>
                </c:pt>
                <c:pt idx="26">
                  <c:v>53.364749999999994</c:v>
                </c:pt>
                <c:pt idx="27">
                  <c:v>53.40424999999999</c:v>
                </c:pt>
                <c:pt idx="28">
                  <c:v>53.450249999999983</c:v>
                </c:pt>
                <c:pt idx="29">
                  <c:v>53.537749999999981</c:v>
                </c:pt>
                <c:pt idx="30">
                  <c:v>53.608249999999984</c:v>
                </c:pt>
                <c:pt idx="31">
                  <c:v>53.673249999999996</c:v>
                </c:pt>
                <c:pt idx="32">
                  <c:v>53.75824999999999</c:v>
                </c:pt>
                <c:pt idx="33">
                  <c:v>53.875999999999998</c:v>
                </c:pt>
                <c:pt idx="34">
                  <c:v>53.984500000000004</c:v>
                </c:pt>
                <c:pt idx="35">
                  <c:v>54.106749999999998</c:v>
                </c:pt>
                <c:pt idx="36">
                  <c:v>54.196500000000015</c:v>
                </c:pt>
                <c:pt idx="37">
                  <c:v>54.279750000000014</c:v>
                </c:pt>
                <c:pt idx="38">
                  <c:v>54.346000000000018</c:v>
                </c:pt>
                <c:pt idx="39">
                  <c:v>54.365250000000003</c:v>
                </c:pt>
                <c:pt idx="40">
                  <c:v>54.381250000000009</c:v>
                </c:pt>
                <c:pt idx="41">
                  <c:v>54.40825000000001</c:v>
                </c:pt>
                <c:pt idx="42">
                  <c:v>54.438250000000004</c:v>
                </c:pt>
                <c:pt idx="43">
                  <c:v>54.494250000000008</c:v>
                </c:pt>
                <c:pt idx="44">
                  <c:v>54.595250000000021</c:v>
                </c:pt>
                <c:pt idx="45">
                  <c:v>54.690750000000016</c:v>
                </c:pt>
                <c:pt idx="46">
                  <c:v>54.789750000000005</c:v>
                </c:pt>
                <c:pt idx="47">
                  <c:v>54.900750000000002</c:v>
                </c:pt>
                <c:pt idx="48">
                  <c:v>55.008750000000006</c:v>
                </c:pt>
                <c:pt idx="49">
                  <c:v>55.117750000000001</c:v>
                </c:pt>
                <c:pt idx="50">
                  <c:v>55.219250000000002</c:v>
                </c:pt>
                <c:pt idx="51">
                  <c:v>55.344749999999998</c:v>
                </c:pt>
                <c:pt idx="52">
                  <c:v>55.475249999999996</c:v>
                </c:pt>
                <c:pt idx="53">
                  <c:v>55.605499999999992</c:v>
                </c:pt>
                <c:pt idx="54">
                  <c:v>55.785999999999987</c:v>
                </c:pt>
                <c:pt idx="55">
                  <c:v>55.93249999999999</c:v>
                </c:pt>
                <c:pt idx="56">
                  <c:v>56.032249999999998</c:v>
                </c:pt>
                <c:pt idx="57">
                  <c:v>56.131250000000001</c:v>
                </c:pt>
                <c:pt idx="58">
                  <c:v>56.195749999999997</c:v>
                </c:pt>
                <c:pt idx="59">
                  <c:v>56.246749999999999</c:v>
                </c:pt>
                <c:pt idx="60">
                  <c:v>56.410250000000005</c:v>
                </c:pt>
                <c:pt idx="61">
                  <c:v>56.564499999999995</c:v>
                </c:pt>
                <c:pt idx="62">
                  <c:v>56.692250000000001</c:v>
                </c:pt>
                <c:pt idx="63">
                  <c:v>56.784500000000001</c:v>
                </c:pt>
                <c:pt idx="64">
                  <c:v>56.893999999999991</c:v>
                </c:pt>
                <c:pt idx="65">
                  <c:v>56.941499999999998</c:v>
                </c:pt>
                <c:pt idx="66">
                  <c:v>57.025999999999989</c:v>
                </c:pt>
                <c:pt idx="67">
                  <c:v>57.013500000000001</c:v>
                </c:pt>
                <c:pt idx="68">
                  <c:v>57.064999999999984</c:v>
                </c:pt>
                <c:pt idx="69">
                  <c:v>57.127499999999984</c:v>
                </c:pt>
                <c:pt idx="70">
                  <c:v>57.23599999999999</c:v>
                </c:pt>
                <c:pt idx="71">
                  <c:v>57.323249999999987</c:v>
                </c:pt>
                <c:pt idx="72">
                  <c:v>57.42199999999999</c:v>
                </c:pt>
                <c:pt idx="73">
                  <c:v>57.535249999999998</c:v>
                </c:pt>
                <c:pt idx="74">
                  <c:v>57.649000000000015</c:v>
                </c:pt>
                <c:pt idx="75">
                  <c:v>57.749500000000012</c:v>
                </c:pt>
                <c:pt idx="76">
                  <c:v>57.864750000000001</c:v>
                </c:pt>
                <c:pt idx="77">
                  <c:v>57.994250000000008</c:v>
                </c:pt>
                <c:pt idx="78">
                  <c:v>58.12700000000001</c:v>
                </c:pt>
                <c:pt idx="79">
                  <c:v>58.246750000000006</c:v>
                </c:pt>
                <c:pt idx="80">
                  <c:v>58.364500000000021</c:v>
                </c:pt>
                <c:pt idx="81">
                  <c:v>58.491750000000025</c:v>
                </c:pt>
                <c:pt idx="82">
                  <c:v>58.584000000000024</c:v>
                </c:pt>
                <c:pt idx="83">
                  <c:v>58.657500000000013</c:v>
                </c:pt>
                <c:pt idx="84">
                  <c:v>58.714250000000014</c:v>
                </c:pt>
                <c:pt idx="85">
                  <c:v>58.774000000000015</c:v>
                </c:pt>
                <c:pt idx="86">
                  <c:v>58.80575000000001</c:v>
                </c:pt>
                <c:pt idx="87">
                  <c:v>58.830750000000009</c:v>
                </c:pt>
                <c:pt idx="88">
                  <c:v>58.826000000000008</c:v>
                </c:pt>
                <c:pt idx="89">
                  <c:v>58.838250000000002</c:v>
                </c:pt>
                <c:pt idx="90">
                  <c:v>58.871249999999996</c:v>
                </c:pt>
                <c:pt idx="91">
                  <c:v>58.883499999999991</c:v>
                </c:pt>
                <c:pt idx="92">
                  <c:v>58.860499999999988</c:v>
                </c:pt>
                <c:pt idx="93">
                  <c:v>58.832499999999996</c:v>
                </c:pt>
                <c:pt idx="94">
                  <c:v>58.802750000000003</c:v>
                </c:pt>
                <c:pt idx="95">
                  <c:v>58.845749999999995</c:v>
                </c:pt>
                <c:pt idx="96">
                  <c:v>58.977749999999993</c:v>
                </c:pt>
                <c:pt idx="97">
                  <c:v>59.097749999999998</c:v>
                </c:pt>
                <c:pt idx="98">
                  <c:v>59.242999999999981</c:v>
                </c:pt>
                <c:pt idx="99">
                  <c:v>59.443749999999987</c:v>
                </c:pt>
                <c:pt idx="100">
                  <c:v>59.542499999999983</c:v>
                </c:pt>
                <c:pt idx="101">
                  <c:v>59.688749999999992</c:v>
                </c:pt>
                <c:pt idx="102">
                  <c:v>59.858750000000001</c:v>
                </c:pt>
                <c:pt idx="103">
                  <c:v>60.051499999999997</c:v>
                </c:pt>
                <c:pt idx="104">
                  <c:v>60.221250000000012</c:v>
                </c:pt>
                <c:pt idx="105">
                  <c:v>60.439499999999995</c:v>
                </c:pt>
                <c:pt idx="106">
                  <c:v>60.631250000000001</c:v>
                </c:pt>
                <c:pt idx="107">
                  <c:v>60.835000000000001</c:v>
                </c:pt>
                <c:pt idx="108">
                  <c:v>60.990500000000019</c:v>
                </c:pt>
                <c:pt idx="109">
                  <c:v>61.148750000000028</c:v>
                </c:pt>
                <c:pt idx="110">
                  <c:v>61.247750000000018</c:v>
                </c:pt>
                <c:pt idx="111">
                  <c:v>61.349250000000005</c:v>
                </c:pt>
                <c:pt idx="112">
                  <c:v>61.405500000000018</c:v>
                </c:pt>
                <c:pt idx="113">
                  <c:v>61.491250000000015</c:v>
                </c:pt>
                <c:pt idx="114">
                  <c:v>61.569500000000005</c:v>
                </c:pt>
                <c:pt idx="115">
                  <c:v>61.658500000000004</c:v>
                </c:pt>
                <c:pt idx="116">
                  <c:v>61.737499999999997</c:v>
                </c:pt>
                <c:pt idx="117">
                  <c:v>61.79175</c:v>
                </c:pt>
                <c:pt idx="118">
                  <c:v>61.854000000000006</c:v>
                </c:pt>
                <c:pt idx="119">
                  <c:v>61.916000000000011</c:v>
                </c:pt>
                <c:pt idx="120">
                  <c:v>61.961500000000015</c:v>
                </c:pt>
                <c:pt idx="121">
                  <c:v>62.021250000000009</c:v>
                </c:pt>
                <c:pt idx="122">
                  <c:v>62.117500000000007</c:v>
                </c:pt>
                <c:pt idx="123">
                  <c:v>62.213499999999996</c:v>
                </c:pt>
                <c:pt idx="124">
                  <c:v>62.302750000000003</c:v>
                </c:pt>
                <c:pt idx="125">
                  <c:v>62.421500000000002</c:v>
                </c:pt>
                <c:pt idx="126">
                  <c:v>62.560500000000005</c:v>
                </c:pt>
                <c:pt idx="127">
                  <c:v>62.712499999999999</c:v>
                </c:pt>
                <c:pt idx="128">
                  <c:v>62.865250000000003</c:v>
                </c:pt>
                <c:pt idx="129">
                  <c:v>63</c:v>
                </c:pt>
                <c:pt idx="130">
                  <c:v>63.140250000000002</c:v>
                </c:pt>
                <c:pt idx="131">
                  <c:v>63.314750000000004</c:v>
                </c:pt>
                <c:pt idx="132">
                  <c:v>63.535499999999999</c:v>
                </c:pt>
                <c:pt idx="133">
                  <c:v>63.750500000000002</c:v>
                </c:pt>
                <c:pt idx="134">
                  <c:v>63.920750000000012</c:v>
                </c:pt>
                <c:pt idx="135">
                  <c:v>64.07950000000001</c:v>
                </c:pt>
                <c:pt idx="136">
                  <c:v>64.19</c:v>
                </c:pt>
                <c:pt idx="137">
                  <c:v>64.287499999999994</c:v>
                </c:pt>
                <c:pt idx="138">
                  <c:v>64.39824999999999</c:v>
                </c:pt>
                <c:pt idx="139">
                  <c:v>64.482749999999996</c:v>
                </c:pt>
                <c:pt idx="140">
                  <c:v>64.557000000000002</c:v>
                </c:pt>
                <c:pt idx="141">
                  <c:v>64.607249999999993</c:v>
                </c:pt>
                <c:pt idx="142">
                  <c:v>64.66749999999999</c:v>
                </c:pt>
                <c:pt idx="143">
                  <c:v>64.718499999999992</c:v>
                </c:pt>
                <c:pt idx="144">
                  <c:v>64.780999999999992</c:v>
                </c:pt>
                <c:pt idx="145">
                  <c:v>64.813749999999999</c:v>
                </c:pt>
                <c:pt idx="146">
                  <c:v>64.873999999999995</c:v>
                </c:pt>
                <c:pt idx="147">
                  <c:v>64.955499999999986</c:v>
                </c:pt>
                <c:pt idx="148">
                  <c:v>65.02225</c:v>
                </c:pt>
                <c:pt idx="149">
                  <c:v>65.104250000000008</c:v>
                </c:pt>
                <c:pt idx="150">
                  <c:v>65.212250000000012</c:v>
                </c:pt>
                <c:pt idx="151">
                  <c:v>65.33850000000001</c:v>
                </c:pt>
                <c:pt idx="152">
                  <c:v>65.493000000000023</c:v>
                </c:pt>
                <c:pt idx="153">
                  <c:v>65.567250000000001</c:v>
                </c:pt>
                <c:pt idx="154">
                  <c:v>65.635250000000013</c:v>
                </c:pt>
                <c:pt idx="155">
                  <c:v>65.69550000000001</c:v>
                </c:pt>
                <c:pt idx="156">
                  <c:v>65.877250000000004</c:v>
                </c:pt>
                <c:pt idx="157">
                  <c:v>66.091500000000025</c:v>
                </c:pt>
                <c:pt idx="158">
                  <c:v>66.284750000000017</c:v>
                </c:pt>
                <c:pt idx="159">
                  <c:v>66.460000000000008</c:v>
                </c:pt>
                <c:pt idx="160">
                  <c:v>66.64700000000002</c:v>
                </c:pt>
                <c:pt idx="161">
                  <c:v>66.814250000000001</c:v>
                </c:pt>
                <c:pt idx="162">
                  <c:v>67.063749999999999</c:v>
                </c:pt>
                <c:pt idx="163">
                  <c:v>67.309250000000006</c:v>
                </c:pt>
                <c:pt idx="164">
                  <c:v>67.548249999999996</c:v>
                </c:pt>
                <c:pt idx="165">
                  <c:v>67.79025</c:v>
                </c:pt>
                <c:pt idx="166">
                  <c:v>68.045749999999984</c:v>
                </c:pt>
                <c:pt idx="167">
                  <c:v>68.312499999999986</c:v>
                </c:pt>
                <c:pt idx="168">
                  <c:v>68.576249999999987</c:v>
                </c:pt>
                <c:pt idx="169">
                  <c:v>68.866499999999988</c:v>
                </c:pt>
                <c:pt idx="170">
                  <c:v>69.135249999999999</c:v>
                </c:pt>
                <c:pt idx="171">
                  <c:v>69.38</c:v>
                </c:pt>
                <c:pt idx="172">
                  <c:v>69.650749999999988</c:v>
                </c:pt>
                <c:pt idx="173">
                  <c:v>69.896999999999977</c:v>
                </c:pt>
                <c:pt idx="174">
                  <c:v>70.162749999999988</c:v>
                </c:pt>
                <c:pt idx="175">
                  <c:v>70.418249999999986</c:v>
                </c:pt>
                <c:pt idx="176">
                  <c:v>70.683249999999973</c:v>
                </c:pt>
                <c:pt idx="177">
                  <c:v>70.960249999999988</c:v>
                </c:pt>
                <c:pt idx="178">
                  <c:v>71.169749999999993</c:v>
                </c:pt>
                <c:pt idx="179">
                  <c:v>71.391499999999979</c:v>
                </c:pt>
                <c:pt idx="180">
                  <c:v>71.59099999999998</c:v>
                </c:pt>
                <c:pt idx="181">
                  <c:v>71.790999999999983</c:v>
                </c:pt>
                <c:pt idx="182">
                  <c:v>71.976749999999981</c:v>
                </c:pt>
                <c:pt idx="183">
                  <c:v>72.157499999999985</c:v>
                </c:pt>
                <c:pt idx="184">
                  <c:v>72.342999999999989</c:v>
                </c:pt>
                <c:pt idx="185">
                  <c:v>72.543249999999972</c:v>
                </c:pt>
                <c:pt idx="186">
                  <c:v>72.736749999999972</c:v>
                </c:pt>
                <c:pt idx="187">
                  <c:v>72.899999999999991</c:v>
                </c:pt>
                <c:pt idx="188">
                  <c:v>73.066749999999985</c:v>
                </c:pt>
                <c:pt idx="189">
                  <c:v>73.21899999999998</c:v>
                </c:pt>
                <c:pt idx="190">
                  <c:v>73.344999999999999</c:v>
                </c:pt>
                <c:pt idx="191">
                  <c:v>73.447500000000005</c:v>
                </c:pt>
                <c:pt idx="192">
                  <c:v>73.527749999999997</c:v>
                </c:pt>
                <c:pt idx="193">
                  <c:v>73.630999999999986</c:v>
                </c:pt>
                <c:pt idx="194">
                  <c:v>73.759250000000009</c:v>
                </c:pt>
                <c:pt idx="195">
                  <c:v>73.860500000000016</c:v>
                </c:pt>
                <c:pt idx="196">
                  <c:v>73.860000000000014</c:v>
                </c:pt>
                <c:pt idx="197">
                  <c:v>73.837500000000006</c:v>
                </c:pt>
                <c:pt idx="198">
                  <c:v>73.84550000000003</c:v>
                </c:pt>
                <c:pt idx="199">
                  <c:v>73.90000000000002</c:v>
                </c:pt>
                <c:pt idx="200">
                  <c:v>73.97075000000001</c:v>
                </c:pt>
                <c:pt idx="201">
                  <c:v>74.049500000000009</c:v>
                </c:pt>
                <c:pt idx="202">
                  <c:v>74.020749999999992</c:v>
                </c:pt>
                <c:pt idx="203">
                  <c:v>73.996750000000006</c:v>
                </c:pt>
                <c:pt idx="204">
                  <c:v>73.970249999999993</c:v>
                </c:pt>
                <c:pt idx="205">
                  <c:v>73.903750000000016</c:v>
                </c:pt>
                <c:pt idx="206">
                  <c:v>73.844500000000011</c:v>
                </c:pt>
                <c:pt idx="207">
                  <c:v>73.771499999999989</c:v>
                </c:pt>
                <c:pt idx="208">
                  <c:v>73.619749999999996</c:v>
                </c:pt>
                <c:pt idx="209">
                  <c:v>73.418999999999997</c:v>
                </c:pt>
                <c:pt idx="210">
                  <c:v>73.249750000000006</c:v>
                </c:pt>
                <c:pt idx="211">
                  <c:v>73.069000000000003</c:v>
                </c:pt>
                <c:pt idx="212">
                  <c:v>72.834249999999997</c:v>
                </c:pt>
                <c:pt idx="213">
                  <c:v>72.588250000000002</c:v>
                </c:pt>
                <c:pt idx="214">
                  <c:v>72.330750000000009</c:v>
                </c:pt>
                <c:pt idx="215">
                  <c:v>72.072000000000017</c:v>
                </c:pt>
                <c:pt idx="216">
                  <c:v>71.790500000000023</c:v>
                </c:pt>
                <c:pt idx="217">
                  <c:v>71.501250000000013</c:v>
                </c:pt>
                <c:pt idx="218">
                  <c:v>71.233000000000033</c:v>
                </c:pt>
                <c:pt idx="219">
                  <c:v>70.950250000000011</c:v>
                </c:pt>
                <c:pt idx="220">
                  <c:v>70.682000000000016</c:v>
                </c:pt>
                <c:pt idx="221">
                  <c:v>70.453750000000014</c:v>
                </c:pt>
                <c:pt idx="222">
                  <c:v>70.185500000000019</c:v>
                </c:pt>
                <c:pt idx="223">
                  <c:v>69.918750000000003</c:v>
                </c:pt>
                <c:pt idx="224">
                  <c:v>69.63900000000001</c:v>
                </c:pt>
                <c:pt idx="225">
                  <c:v>69.342999999999989</c:v>
                </c:pt>
                <c:pt idx="226">
                  <c:v>69.037000000000006</c:v>
                </c:pt>
                <c:pt idx="227">
                  <c:v>68.697250000000011</c:v>
                </c:pt>
                <c:pt idx="228">
                  <c:v>68.370500000000021</c:v>
                </c:pt>
                <c:pt idx="229">
                  <c:v>68.022250000000014</c:v>
                </c:pt>
                <c:pt idx="230">
                  <c:v>67.670500000000018</c:v>
                </c:pt>
                <c:pt idx="231">
                  <c:v>67.320750000000018</c:v>
                </c:pt>
                <c:pt idx="232">
                  <c:v>67.003250000000008</c:v>
                </c:pt>
                <c:pt idx="233">
                  <c:v>66.674000000000021</c:v>
                </c:pt>
                <c:pt idx="234">
                  <c:v>66.373000000000019</c:v>
                </c:pt>
                <c:pt idx="235">
                  <c:v>66.098500000000016</c:v>
                </c:pt>
                <c:pt idx="236">
                  <c:v>65.818750000000009</c:v>
                </c:pt>
                <c:pt idx="237">
                  <c:v>65.564250000000001</c:v>
                </c:pt>
                <c:pt idx="238">
                  <c:v>65.317000000000021</c:v>
                </c:pt>
                <c:pt idx="239">
                  <c:v>65.068000000000026</c:v>
                </c:pt>
                <c:pt idx="240">
                  <c:v>64.813500000000005</c:v>
                </c:pt>
                <c:pt idx="241">
                  <c:v>64.525000000000006</c:v>
                </c:pt>
                <c:pt idx="242">
                  <c:v>64.242000000000004</c:v>
                </c:pt>
                <c:pt idx="243">
                  <c:v>63.961999999999989</c:v>
                </c:pt>
                <c:pt idx="244">
                  <c:v>63.741249999999994</c:v>
                </c:pt>
                <c:pt idx="245">
                  <c:v>63.520999999999994</c:v>
                </c:pt>
                <c:pt idx="246">
                  <c:v>63.285499999999999</c:v>
                </c:pt>
                <c:pt idx="247">
                  <c:v>63.070500000000017</c:v>
                </c:pt>
                <c:pt idx="248">
                  <c:v>62.940000000000012</c:v>
                </c:pt>
                <c:pt idx="249">
                  <c:v>62.838250000000002</c:v>
                </c:pt>
                <c:pt idx="250">
                  <c:v>62.725999999999999</c:v>
                </c:pt>
                <c:pt idx="251">
                  <c:v>62.621749999999999</c:v>
                </c:pt>
                <c:pt idx="252">
                  <c:v>62.539000000000001</c:v>
                </c:pt>
                <c:pt idx="253">
                  <c:v>62.509999999999991</c:v>
                </c:pt>
                <c:pt idx="254">
                  <c:v>62.46149999999998</c:v>
                </c:pt>
                <c:pt idx="255">
                  <c:v>62.363749999999982</c:v>
                </c:pt>
                <c:pt idx="256">
                  <c:v>62.308749999999975</c:v>
                </c:pt>
                <c:pt idx="257">
                  <c:v>62.258999999999993</c:v>
                </c:pt>
                <c:pt idx="258">
                  <c:v>62.231249999999989</c:v>
                </c:pt>
                <c:pt idx="259">
                  <c:v>62.190749999999994</c:v>
                </c:pt>
                <c:pt idx="260">
                  <c:v>62.17049999999999</c:v>
                </c:pt>
                <c:pt idx="261">
                  <c:v>62.098249999999986</c:v>
                </c:pt>
                <c:pt idx="262">
                  <c:v>62.03425</c:v>
                </c:pt>
                <c:pt idx="263">
                  <c:v>61.966499999999996</c:v>
                </c:pt>
                <c:pt idx="264">
                  <c:v>61.899499999999989</c:v>
                </c:pt>
                <c:pt idx="265">
                  <c:v>61.834749999999985</c:v>
                </c:pt>
                <c:pt idx="266">
                  <c:v>61.752249999999982</c:v>
                </c:pt>
                <c:pt idx="267">
                  <c:v>61.717499999999987</c:v>
                </c:pt>
                <c:pt idx="268">
                  <c:v>61.663249999999991</c:v>
                </c:pt>
                <c:pt idx="269">
                  <c:v>61.613749999999996</c:v>
                </c:pt>
                <c:pt idx="270">
                  <c:v>61.588499999999996</c:v>
                </c:pt>
                <c:pt idx="271">
                  <c:v>61.564749999999989</c:v>
                </c:pt>
                <c:pt idx="272">
                  <c:v>61.541999999999994</c:v>
                </c:pt>
                <c:pt idx="273">
                  <c:v>61.523999999999987</c:v>
                </c:pt>
                <c:pt idx="274">
                  <c:v>61.44074999999998</c:v>
                </c:pt>
                <c:pt idx="275">
                  <c:v>61.372499999999981</c:v>
                </c:pt>
                <c:pt idx="276">
                  <c:v>61.288249999999969</c:v>
                </c:pt>
                <c:pt idx="277">
                  <c:v>61.147749999999974</c:v>
                </c:pt>
                <c:pt idx="278">
                  <c:v>60.985999999999969</c:v>
                </c:pt>
                <c:pt idx="279">
                  <c:v>60.823249999999973</c:v>
                </c:pt>
                <c:pt idx="280">
                  <c:v>60.670499999999969</c:v>
                </c:pt>
                <c:pt idx="281">
                  <c:v>60.528499999999973</c:v>
                </c:pt>
                <c:pt idx="282">
                  <c:v>60.408749999999984</c:v>
                </c:pt>
                <c:pt idx="283">
                  <c:v>60.301249999999996</c:v>
                </c:pt>
                <c:pt idx="284">
                  <c:v>60.155999999999992</c:v>
                </c:pt>
                <c:pt idx="285">
                  <c:v>59.991499999999995</c:v>
                </c:pt>
                <c:pt idx="286">
                  <c:v>59.82074999999999</c:v>
                </c:pt>
                <c:pt idx="287">
                  <c:v>59.643499999999982</c:v>
                </c:pt>
                <c:pt idx="288">
                  <c:v>59.477499999999985</c:v>
                </c:pt>
                <c:pt idx="289">
                  <c:v>59.355749999999986</c:v>
                </c:pt>
                <c:pt idx="290">
                  <c:v>59.311749999999996</c:v>
                </c:pt>
                <c:pt idx="291">
                  <c:v>59.269750000000009</c:v>
                </c:pt>
                <c:pt idx="292">
                  <c:v>59.223750000000017</c:v>
                </c:pt>
                <c:pt idx="293">
                  <c:v>59.164750000000012</c:v>
                </c:pt>
                <c:pt idx="294">
                  <c:v>59.163500000000013</c:v>
                </c:pt>
                <c:pt idx="295">
                  <c:v>59.224499999999992</c:v>
                </c:pt>
                <c:pt idx="296">
                  <c:v>59.278249999999993</c:v>
                </c:pt>
                <c:pt idx="297">
                  <c:v>59.319499999999984</c:v>
                </c:pt>
                <c:pt idx="298">
                  <c:v>59.355749999999986</c:v>
                </c:pt>
                <c:pt idx="299">
                  <c:v>59.426999999999985</c:v>
                </c:pt>
                <c:pt idx="300">
                  <c:v>59.488999999999997</c:v>
                </c:pt>
                <c:pt idx="301">
                  <c:v>59.568000000000005</c:v>
                </c:pt>
                <c:pt idx="302">
                  <c:v>59.641249999999999</c:v>
                </c:pt>
                <c:pt idx="303">
                  <c:v>59.734000000000002</c:v>
                </c:pt>
                <c:pt idx="304">
                  <c:v>59.855000000000004</c:v>
                </c:pt>
                <c:pt idx="305">
                  <c:v>59.996000000000002</c:v>
                </c:pt>
                <c:pt idx="306">
                  <c:v>60.170249999999996</c:v>
                </c:pt>
                <c:pt idx="307">
                  <c:v>60.351500000000001</c:v>
                </c:pt>
                <c:pt idx="308">
                  <c:v>60.534749999999995</c:v>
                </c:pt>
                <c:pt idx="309">
                  <c:v>60.725999999999985</c:v>
                </c:pt>
                <c:pt idx="310">
                  <c:v>60.900500000000001</c:v>
                </c:pt>
                <c:pt idx="311">
                  <c:v>61.083000000000006</c:v>
                </c:pt>
                <c:pt idx="312">
                  <c:v>61.269250000000014</c:v>
                </c:pt>
                <c:pt idx="313">
                  <c:v>61.487500000000011</c:v>
                </c:pt>
                <c:pt idx="314">
                  <c:v>61.724499999999999</c:v>
                </c:pt>
                <c:pt idx="315">
                  <c:v>61.962500000000013</c:v>
                </c:pt>
                <c:pt idx="316">
                  <c:v>62.183750000000011</c:v>
                </c:pt>
                <c:pt idx="317">
                  <c:v>62.429750000000013</c:v>
                </c:pt>
                <c:pt idx="318">
                  <c:v>62.697750000000006</c:v>
                </c:pt>
                <c:pt idx="319">
                  <c:v>62.927</c:v>
                </c:pt>
                <c:pt idx="320">
                  <c:v>63.162000000000013</c:v>
                </c:pt>
                <c:pt idx="321">
                  <c:v>63.412999999999997</c:v>
                </c:pt>
                <c:pt idx="322">
                  <c:v>63.630500000000005</c:v>
                </c:pt>
                <c:pt idx="323">
                  <c:v>63.828749999999999</c:v>
                </c:pt>
                <c:pt idx="324">
                  <c:v>64.023250000000019</c:v>
                </c:pt>
                <c:pt idx="325">
                  <c:v>64.28</c:v>
                </c:pt>
                <c:pt idx="326">
                  <c:v>64.566999999999993</c:v>
                </c:pt>
                <c:pt idx="327">
                  <c:v>64.84</c:v>
                </c:pt>
                <c:pt idx="328">
                  <c:v>65.081249999999997</c:v>
                </c:pt>
                <c:pt idx="329">
                  <c:v>65.32374999999999</c:v>
                </c:pt>
                <c:pt idx="330">
                  <c:v>65.477000000000004</c:v>
                </c:pt>
                <c:pt idx="331">
                  <c:v>65.634500000000017</c:v>
                </c:pt>
                <c:pt idx="332">
                  <c:v>65.777749999999997</c:v>
                </c:pt>
                <c:pt idx="333">
                  <c:v>65.902500000000003</c:v>
                </c:pt>
                <c:pt idx="334">
                  <c:v>65.991000000000014</c:v>
                </c:pt>
                <c:pt idx="335">
                  <c:v>66.074999999999989</c:v>
                </c:pt>
                <c:pt idx="336">
                  <c:v>66.147999999999996</c:v>
                </c:pt>
                <c:pt idx="337">
                  <c:v>66.218999999999994</c:v>
                </c:pt>
                <c:pt idx="338">
                  <c:v>66.28649999999999</c:v>
                </c:pt>
                <c:pt idx="339">
                  <c:v>66.344749999999991</c:v>
                </c:pt>
                <c:pt idx="340">
                  <c:v>66.430499999999995</c:v>
                </c:pt>
                <c:pt idx="341">
                  <c:v>66.518499999999989</c:v>
                </c:pt>
                <c:pt idx="342">
                  <c:v>66.65325</c:v>
                </c:pt>
                <c:pt idx="343">
                  <c:v>66.784750000000003</c:v>
                </c:pt>
                <c:pt idx="344">
                  <c:v>66.932500000000005</c:v>
                </c:pt>
                <c:pt idx="345">
                  <c:v>67.046750000000003</c:v>
                </c:pt>
                <c:pt idx="346">
                  <c:v>67.180500000000023</c:v>
                </c:pt>
                <c:pt idx="347">
                  <c:v>67.325250000000011</c:v>
                </c:pt>
                <c:pt idx="348">
                  <c:v>67.46550000000002</c:v>
                </c:pt>
                <c:pt idx="349">
                  <c:v>67.597250000000003</c:v>
                </c:pt>
                <c:pt idx="350">
                  <c:v>67.742000000000004</c:v>
                </c:pt>
                <c:pt idx="351">
                  <c:v>67.878500000000003</c:v>
                </c:pt>
                <c:pt idx="352">
                  <c:v>68.034999999999997</c:v>
                </c:pt>
                <c:pt idx="353">
                  <c:v>68.190749999999994</c:v>
                </c:pt>
                <c:pt idx="354">
                  <c:v>68.322999999999993</c:v>
                </c:pt>
                <c:pt idx="355">
                  <c:v>68.366749999999996</c:v>
                </c:pt>
                <c:pt idx="356">
                  <c:v>68.476249999999965</c:v>
                </c:pt>
                <c:pt idx="357">
                  <c:v>68.600249999999974</c:v>
                </c:pt>
                <c:pt idx="358">
                  <c:v>68.699999999999989</c:v>
                </c:pt>
                <c:pt idx="359">
                  <c:v>68.827499999999986</c:v>
                </c:pt>
                <c:pt idx="360">
                  <c:v>68.953499999999963</c:v>
                </c:pt>
                <c:pt idx="361">
                  <c:v>69.092499999999973</c:v>
                </c:pt>
                <c:pt idx="362">
                  <c:v>69.249749999999977</c:v>
                </c:pt>
                <c:pt idx="363">
                  <c:v>69.41474999999997</c:v>
                </c:pt>
                <c:pt idx="364">
                  <c:v>69.60224999999997</c:v>
                </c:pt>
                <c:pt idx="365">
                  <c:v>69.761499999999984</c:v>
                </c:pt>
                <c:pt idx="366">
                  <c:v>69.89824999999999</c:v>
                </c:pt>
                <c:pt idx="367">
                  <c:v>70.033499999999989</c:v>
                </c:pt>
                <c:pt idx="368">
                  <c:v>70.185749999999999</c:v>
                </c:pt>
                <c:pt idx="369">
                  <c:v>70.282750000000007</c:v>
                </c:pt>
                <c:pt idx="370">
                  <c:v>70.434250000000006</c:v>
                </c:pt>
                <c:pt idx="371">
                  <c:v>70.55725000000001</c:v>
                </c:pt>
                <c:pt idx="372">
                  <c:v>70.712000000000018</c:v>
                </c:pt>
                <c:pt idx="373">
                  <c:v>70.878750000000011</c:v>
                </c:pt>
                <c:pt idx="374">
                  <c:v>71.028500000000022</c:v>
                </c:pt>
                <c:pt idx="375">
                  <c:v>71.153500000000008</c:v>
                </c:pt>
                <c:pt idx="376">
                  <c:v>71.254500000000007</c:v>
                </c:pt>
                <c:pt idx="377">
                  <c:v>71.365499999999997</c:v>
                </c:pt>
                <c:pt idx="378">
                  <c:v>71.490750000000006</c:v>
                </c:pt>
                <c:pt idx="379">
                  <c:v>71.611500000000007</c:v>
                </c:pt>
                <c:pt idx="380">
                  <c:v>71.755750000000006</c:v>
                </c:pt>
                <c:pt idx="381">
                  <c:v>71.928750000000008</c:v>
                </c:pt>
                <c:pt idx="382">
                  <c:v>72.096250000000012</c:v>
                </c:pt>
                <c:pt idx="383">
                  <c:v>72.271000000000015</c:v>
                </c:pt>
                <c:pt idx="384">
                  <c:v>72.392250000000018</c:v>
                </c:pt>
                <c:pt idx="385">
                  <c:v>72.538500000000013</c:v>
                </c:pt>
                <c:pt idx="386">
                  <c:v>72.641000000000005</c:v>
                </c:pt>
                <c:pt idx="387">
                  <c:v>72.696000000000012</c:v>
                </c:pt>
                <c:pt idx="388">
                  <c:v>72.723500000000001</c:v>
                </c:pt>
                <c:pt idx="389">
                  <c:v>72.769500000000008</c:v>
                </c:pt>
                <c:pt idx="390">
                  <c:v>72.804999999999993</c:v>
                </c:pt>
                <c:pt idx="391">
                  <c:v>72.83274999999999</c:v>
                </c:pt>
                <c:pt idx="392">
                  <c:v>72.81774999999999</c:v>
                </c:pt>
                <c:pt idx="393">
                  <c:v>72.784749999999974</c:v>
                </c:pt>
                <c:pt idx="394">
                  <c:v>72.730749999999972</c:v>
                </c:pt>
                <c:pt idx="395">
                  <c:v>72.725999999999971</c:v>
                </c:pt>
                <c:pt idx="396">
                  <c:v>72.725499999999982</c:v>
                </c:pt>
                <c:pt idx="397">
                  <c:v>72.719499999999968</c:v>
                </c:pt>
                <c:pt idx="398">
                  <c:v>72.725499999999968</c:v>
                </c:pt>
                <c:pt idx="399">
                  <c:v>72.692749999999961</c:v>
                </c:pt>
                <c:pt idx="400">
                  <c:v>72.643499999999975</c:v>
                </c:pt>
                <c:pt idx="401">
                  <c:v>72.613249999999965</c:v>
                </c:pt>
                <c:pt idx="402">
                  <c:v>72.585249999999974</c:v>
                </c:pt>
                <c:pt idx="403">
                  <c:v>72.553999999999974</c:v>
                </c:pt>
                <c:pt idx="404">
                  <c:v>72.496499999999983</c:v>
                </c:pt>
                <c:pt idx="405">
                  <c:v>72.390749999999983</c:v>
                </c:pt>
                <c:pt idx="406">
                  <c:v>72.266249999999999</c:v>
                </c:pt>
                <c:pt idx="407">
                  <c:v>72.168499999999995</c:v>
                </c:pt>
                <c:pt idx="408">
                  <c:v>72.066249999999997</c:v>
                </c:pt>
                <c:pt idx="409">
                  <c:v>71.974999999999994</c:v>
                </c:pt>
                <c:pt idx="410">
                  <c:v>71.827250000000021</c:v>
                </c:pt>
                <c:pt idx="411">
                  <c:v>71.687250000000006</c:v>
                </c:pt>
                <c:pt idx="412">
                  <c:v>71.513750000000002</c:v>
                </c:pt>
                <c:pt idx="413">
                  <c:v>71.338999999999999</c:v>
                </c:pt>
                <c:pt idx="414">
                  <c:v>71.141000000000005</c:v>
                </c:pt>
                <c:pt idx="415">
                  <c:v>71.083750000000009</c:v>
                </c:pt>
                <c:pt idx="416">
                  <c:v>71.027000000000001</c:v>
                </c:pt>
                <c:pt idx="417">
                  <c:v>70.99199999999999</c:v>
                </c:pt>
                <c:pt idx="418">
                  <c:v>70.942750000000004</c:v>
                </c:pt>
                <c:pt idx="419">
                  <c:v>70.885499999999993</c:v>
                </c:pt>
                <c:pt idx="420">
                  <c:v>70.77825</c:v>
                </c:pt>
                <c:pt idx="421">
                  <c:v>70.649249999999995</c:v>
                </c:pt>
                <c:pt idx="422">
                  <c:v>70.491</c:v>
                </c:pt>
                <c:pt idx="423">
                  <c:v>70.294250000000005</c:v>
                </c:pt>
                <c:pt idx="424">
                  <c:v>70.180000000000007</c:v>
                </c:pt>
                <c:pt idx="425">
                  <c:v>70.050500000000014</c:v>
                </c:pt>
                <c:pt idx="426">
                  <c:v>69.922250000000005</c:v>
                </c:pt>
                <c:pt idx="427">
                  <c:v>69.842500000000001</c:v>
                </c:pt>
                <c:pt idx="428">
                  <c:v>69.772250000000014</c:v>
                </c:pt>
                <c:pt idx="429">
                  <c:v>69.680750000000018</c:v>
                </c:pt>
                <c:pt idx="430">
                  <c:v>69.591000000000008</c:v>
                </c:pt>
                <c:pt idx="431">
                  <c:v>69.48575000000001</c:v>
                </c:pt>
                <c:pt idx="432">
                  <c:v>69.395499999999998</c:v>
                </c:pt>
                <c:pt idx="433">
                  <c:v>69.350499999999997</c:v>
                </c:pt>
                <c:pt idx="434">
                  <c:v>69.346750000000014</c:v>
                </c:pt>
                <c:pt idx="435">
                  <c:v>69.372</c:v>
                </c:pt>
                <c:pt idx="436">
                  <c:v>69.364750000000001</c:v>
                </c:pt>
                <c:pt idx="437">
                  <c:v>69.344750000000005</c:v>
                </c:pt>
                <c:pt idx="438">
                  <c:v>69.356000000000009</c:v>
                </c:pt>
                <c:pt idx="439">
                  <c:v>69.386749999999992</c:v>
                </c:pt>
                <c:pt idx="440">
                  <c:v>69.38</c:v>
                </c:pt>
                <c:pt idx="441">
                  <c:v>69.366500000000002</c:v>
                </c:pt>
                <c:pt idx="442">
                  <c:v>69.360749999999996</c:v>
                </c:pt>
                <c:pt idx="443">
                  <c:v>69.343249999999998</c:v>
                </c:pt>
                <c:pt idx="444">
                  <c:v>69.309249999999992</c:v>
                </c:pt>
                <c:pt idx="445">
                  <c:v>69.331249999999997</c:v>
                </c:pt>
                <c:pt idx="446">
                  <c:v>69.405249999999995</c:v>
                </c:pt>
                <c:pt idx="447">
                  <c:v>69.459000000000003</c:v>
                </c:pt>
                <c:pt idx="448">
                  <c:v>69.582999999999998</c:v>
                </c:pt>
                <c:pt idx="449">
                  <c:v>69.680750000000018</c:v>
                </c:pt>
                <c:pt idx="450">
                  <c:v>69.84</c:v>
                </c:pt>
                <c:pt idx="451">
                  <c:v>70.030500000000032</c:v>
                </c:pt>
                <c:pt idx="452">
                  <c:v>70.241500000000016</c:v>
                </c:pt>
                <c:pt idx="453">
                  <c:v>70.458000000000027</c:v>
                </c:pt>
                <c:pt idx="454">
                  <c:v>70.725750000000019</c:v>
                </c:pt>
                <c:pt idx="455">
                  <c:v>70.859250000000017</c:v>
                </c:pt>
                <c:pt idx="456">
                  <c:v>70.960750000000019</c:v>
                </c:pt>
                <c:pt idx="457">
                  <c:v>71.029500000000013</c:v>
                </c:pt>
                <c:pt idx="458">
                  <c:v>71.094250000000017</c:v>
                </c:pt>
                <c:pt idx="459">
                  <c:v>71.157500000000027</c:v>
                </c:pt>
                <c:pt idx="460">
                  <c:v>71.212000000000018</c:v>
                </c:pt>
                <c:pt idx="461">
                  <c:v>71.317500000000024</c:v>
                </c:pt>
                <c:pt idx="462">
                  <c:v>71.436750000000018</c:v>
                </c:pt>
                <c:pt idx="463">
                  <c:v>71.595750000000024</c:v>
                </c:pt>
                <c:pt idx="464">
                  <c:v>71.702250000000021</c:v>
                </c:pt>
                <c:pt idx="465">
                  <c:v>71.814000000000007</c:v>
                </c:pt>
                <c:pt idx="466">
                  <c:v>71.89725</c:v>
                </c:pt>
                <c:pt idx="467">
                  <c:v>71.945999999999998</c:v>
                </c:pt>
                <c:pt idx="468">
                  <c:v>71.988250000000008</c:v>
                </c:pt>
                <c:pt idx="469">
                  <c:v>72.041499999999999</c:v>
                </c:pt>
                <c:pt idx="470">
                  <c:v>72.118499999999997</c:v>
                </c:pt>
                <c:pt idx="471">
                  <c:v>72.247749999999982</c:v>
                </c:pt>
                <c:pt idx="472">
                  <c:v>72.331749999999971</c:v>
                </c:pt>
                <c:pt idx="473">
                  <c:v>72.369499999999974</c:v>
                </c:pt>
                <c:pt idx="474">
                  <c:v>72.405499999999975</c:v>
                </c:pt>
                <c:pt idx="475">
                  <c:v>72.435999999999964</c:v>
                </c:pt>
                <c:pt idx="476">
                  <c:v>72.468249999999969</c:v>
                </c:pt>
                <c:pt idx="477">
                  <c:v>72.449249999999978</c:v>
                </c:pt>
                <c:pt idx="478">
                  <c:v>72.355749999999972</c:v>
                </c:pt>
                <c:pt idx="479">
                  <c:v>72.261749999999978</c:v>
                </c:pt>
                <c:pt idx="480">
                  <c:v>72.24224999999997</c:v>
                </c:pt>
                <c:pt idx="481">
                  <c:v>72.18174999999998</c:v>
                </c:pt>
                <c:pt idx="482">
                  <c:v>72.092499999999987</c:v>
                </c:pt>
                <c:pt idx="483">
                  <c:v>72.024249999999981</c:v>
                </c:pt>
                <c:pt idx="484">
                  <c:v>71.977499999999992</c:v>
                </c:pt>
                <c:pt idx="485">
                  <c:v>71.890749999999983</c:v>
                </c:pt>
                <c:pt idx="486">
                  <c:v>71.769749999999988</c:v>
                </c:pt>
                <c:pt idx="487">
                  <c:v>71.698499999999996</c:v>
                </c:pt>
                <c:pt idx="488">
                  <c:v>71.558750000000003</c:v>
                </c:pt>
                <c:pt idx="489">
                  <c:v>71.445750000000004</c:v>
                </c:pt>
                <c:pt idx="490">
                  <c:v>71.270999999999987</c:v>
                </c:pt>
                <c:pt idx="491">
                  <c:v>71.181282051282054</c:v>
                </c:pt>
                <c:pt idx="492">
                  <c:v>71.077631578947376</c:v>
                </c:pt>
                <c:pt idx="493">
                  <c:v>70.962432432432436</c:v>
                </c:pt>
                <c:pt idx="494">
                  <c:v>70.828888888888883</c:v>
                </c:pt>
                <c:pt idx="495">
                  <c:v>70.692857142857136</c:v>
                </c:pt>
                <c:pt idx="496">
                  <c:v>70.606764705882355</c:v>
                </c:pt>
                <c:pt idx="497">
                  <c:v>70.524242424242431</c:v>
                </c:pt>
                <c:pt idx="498">
                  <c:v>70.457812499999989</c:v>
                </c:pt>
                <c:pt idx="499">
                  <c:v>70.389032258064518</c:v>
                </c:pt>
                <c:pt idx="500">
                  <c:v>70.337333333333348</c:v>
                </c:pt>
                <c:pt idx="501">
                  <c:v>70.207241379310346</c:v>
                </c:pt>
                <c:pt idx="502">
                  <c:v>70.072500000000005</c:v>
                </c:pt>
                <c:pt idx="503">
                  <c:v>69.905185185185175</c:v>
                </c:pt>
                <c:pt idx="504">
                  <c:v>69.714230769230767</c:v>
                </c:pt>
                <c:pt idx="505">
                  <c:v>69.517200000000003</c:v>
                </c:pt>
                <c:pt idx="506">
                  <c:v>69.389583333333334</c:v>
                </c:pt>
                <c:pt idx="507">
                  <c:v>69.260434782608698</c:v>
                </c:pt>
                <c:pt idx="508">
                  <c:v>69.159545454545452</c:v>
                </c:pt>
                <c:pt idx="509">
                  <c:v>69.049523809523805</c:v>
                </c:pt>
                <c:pt idx="510">
                  <c:v>68.903999999999996</c:v>
                </c:pt>
                <c:pt idx="511">
                  <c:v>68.688947368421054</c:v>
                </c:pt>
                <c:pt idx="512">
                  <c:v>68.516666666666666</c:v>
                </c:pt>
                <c:pt idx="513">
                  <c:v>68.314705882352939</c:v>
                </c:pt>
                <c:pt idx="514">
                  <c:v>68.093749999999986</c:v>
                </c:pt>
                <c:pt idx="515">
                  <c:v>67.833333333333329</c:v>
                </c:pt>
                <c:pt idx="516">
                  <c:v>67.521428571428558</c:v>
                </c:pt>
                <c:pt idx="517">
                  <c:v>67.361538461538444</c:v>
                </c:pt>
                <c:pt idx="518">
                  <c:v>67.295833333333334</c:v>
                </c:pt>
                <c:pt idx="519">
                  <c:v>67.257272727272721</c:v>
                </c:pt>
                <c:pt idx="520">
                  <c:v>67.095999999999989</c:v>
                </c:pt>
                <c:pt idx="521">
                  <c:v>66.962222222222223</c:v>
                </c:pt>
                <c:pt idx="522">
                  <c:v>66.882499999999993</c:v>
                </c:pt>
                <c:pt idx="523">
                  <c:v>66.758571428571429</c:v>
                </c:pt>
                <c:pt idx="524">
                  <c:v>66.673333333333332</c:v>
                </c:pt>
                <c:pt idx="525">
                  <c:v>66.850000000000009</c:v>
                </c:pt>
                <c:pt idx="526">
                  <c:v>67.182500000000005</c:v>
                </c:pt>
                <c:pt idx="527">
                  <c:v>67.143333333333331</c:v>
                </c:pt>
                <c:pt idx="528">
                  <c:v>67.099999999999994</c:v>
                </c:pt>
                <c:pt idx="529">
                  <c:v>67.040000000000006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3-4927-8344-F5E81AFA00A1}"/>
            </c:ext>
          </c:extLst>
        </c:ser>
        <c:ser>
          <c:idx val="3"/>
          <c:order val="3"/>
          <c:tx>
            <c:v>Bande sup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Mercedes!$AL$2:$AL$530</c:f>
              <c:numCache>
                <c:formatCode>General</c:formatCode>
                <c:ptCount val="529"/>
                <c:pt idx="0">
                  <c:v>69.900251966045857</c:v>
                </c:pt>
                <c:pt idx="1">
                  <c:v>69.816959681462706</c:v>
                </c:pt>
                <c:pt idx="2">
                  <c:v>69.728453670739697</c:v>
                </c:pt>
                <c:pt idx="3">
                  <c:v>69.615951522597143</c:v>
                </c:pt>
                <c:pt idx="4">
                  <c:v>69.515827214595845</c:v>
                </c:pt>
                <c:pt idx="5">
                  <c:v>69.284131152816215</c:v>
                </c:pt>
                <c:pt idx="6">
                  <c:v>69.107179345694888</c:v>
                </c:pt>
                <c:pt idx="7">
                  <c:v>68.945221757196919</c:v>
                </c:pt>
                <c:pt idx="8">
                  <c:v>68.789814164222406</c:v>
                </c:pt>
                <c:pt idx="9">
                  <c:v>68.453470815669021</c:v>
                </c:pt>
                <c:pt idx="10">
                  <c:v>68.116141644611247</c:v>
                </c:pt>
                <c:pt idx="11">
                  <c:v>67.852238963739197</c:v>
                </c:pt>
                <c:pt idx="12">
                  <c:v>67.589133507312226</c:v>
                </c:pt>
                <c:pt idx="13">
                  <c:v>67.323776785041673</c:v>
                </c:pt>
                <c:pt idx="14">
                  <c:v>67.134600341297073</c:v>
                </c:pt>
                <c:pt idx="15">
                  <c:v>66.993558893846412</c:v>
                </c:pt>
                <c:pt idx="16">
                  <c:v>66.853448773383988</c:v>
                </c:pt>
                <c:pt idx="17">
                  <c:v>66.727757328139134</c:v>
                </c:pt>
                <c:pt idx="18">
                  <c:v>66.60006646338077</c:v>
                </c:pt>
                <c:pt idx="19">
                  <c:v>66.644345770003454</c:v>
                </c:pt>
                <c:pt idx="20">
                  <c:v>66.671809478052353</c:v>
                </c:pt>
                <c:pt idx="21">
                  <c:v>66.61383825866686</c:v>
                </c:pt>
                <c:pt idx="22">
                  <c:v>66.61182154908164</c:v>
                </c:pt>
                <c:pt idx="23">
                  <c:v>66.587157993240467</c:v>
                </c:pt>
                <c:pt idx="24">
                  <c:v>66.495682920551062</c:v>
                </c:pt>
                <c:pt idx="25">
                  <c:v>66.48240560339508</c:v>
                </c:pt>
                <c:pt idx="26">
                  <c:v>66.439393899039601</c:v>
                </c:pt>
                <c:pt idx="27">
                  <c:v>66.293425867077474</c:v>
                </c:pt>
                <c:pt idx="28">
                  <c:v>66.212723536902715</c:v>
                </c:pt>
                <c:pt idx="29">
                  <c:v>66.206264446384097</c:v>
                </c:pt>
                <c:pt idx="30">
                  <c:v>66.16311059331909</c:v>
                </c:pt>
                <c:pt idx="31">
                  <c:v>66.056977834251754</c:v>
                </c:pt>
                <c:pt idx="32">
                  <c:v>65.959870222209645</c:v>
                </c:pt>
                <c:pt idx="33">
                  <c:v>65.930845293930247</c:v>
                </c:pt>
                <c:pt idx="34">
                  <c:v>65.836935276375613</c:v>
                </c:pt>
                <c:pt idx="35">
                  <c:v>65.720114824891823</c:v>
                </c:pt>
                <c:pt idx="36">
                  <c:v>65.58068441553111</c:v>
                </c:pt>
                <c:pt idx="37">
                  <c:v>65.483439184605174</c:v>
                </c:pt>
                <c:pt idx="38">
                  <c:v>65.402212239466053</c:v>
                </c:pt>
                <c:pt idx="39">
                  <c:v>65.183126586200203</c:v>
                </c:pt>
                <c:pt idx="40">
                  <c:v>64.951478790793601</c:v>
                </c:pt>
                <c:pt idx="41">
                  <c:v>64.694607948558044</c:v>
                </c:pt>
                <c:pt idx="42">
                  <c:v>64.447229139573992</c:v>
                </c:pt>
                <c:pt idx="43">
                  <c:v>64.264364261846765</c:v>
                </c:pt>
                <c:pt idx="44">
                  <c:v>64.142064819720275</c:v>
                </c:pt>
                <c:pt idx="45">
                  <c:v>64.108876685575865</c:v>
                </c:pt>
                <c:pt idx="46">
                  <c:v>64.018646925348449</c:v>
                </c:pt>
                <c:pt idx="47">
                  <c:v>64.15931065926604</c:v>
                </c:pt>
                <c:pt idx="48">
                  <c:v>64.247630983231858</c:v>
                </c:pt>
                <c:pt idx="49">
                  <c:v>64.344594032947811</c:v>
                </c:pt>
                <c:pt idx="50">
                  <c:v>64.4447844780114</c:v>
                </c:pt>
                <c:pt idx="51">
                  <c:v>64.597233598358812</c:v>
                </c:pt>
                <c:pt idx="52">
                  <c:v>64.780945897440887</c:v>
                </c:pt>
                <c:pt idx="53">
                  <c:v>64.962713983886204</c:v>
                </c:pt>
                <c:pt idx="54">
                  <c:v>65.192007393616095</c:v>
                </c:pt>
                <c:pt idx="55">
                  <c:v>65.47275769297616</c:v>
                </c:pt>
                <c:pt idx="56">
                  <c:v>65.71241213734136</c:v>
                </c:pt>
                <c:pt idx="57">
                  <c:v>65.897559909359231</c:v>
                </c:pt>
                <c:pt idx="58">
                  <c:v>66.033188661974435</c:v>
                </c:pt>
                <c:pt idx="59">
                  <c:v>66.212847406235852</c:v>
                </c:pt>
                <c:pt idx="60">
                  <c:v>66.397914545594659</c:v>
                </c:pt>
                <c:pt idx="61">
                  <c:v>66.629422039911802</c:v>
                </c:pt>
                <c:pt idx="62">
                  <c:v>66.856747337702444</c:v>
                </c:pt>
                <c:pt idx="63">
                  <c:v>67.070826333325073</c:v>
                </c:pt>
                <c:pt idx="64">
                  <c:v>67.314022173704785</c:v>
                </c:pt>
                <c:pt idx="65">
                  <c:v>67.457543074782805</c:v>
                </c:pt>
                <c:pt idx="66">
                  <c:v>67.665568427371966</c:v>
                </c:pt>
                <c:pt idx="67">
                  <c:v>67.667092564627595</c:v>
                </c:pt>
                <c:pt idx="68">
                  <c:v>67.715994641757504</c:v>
                </c:pt>
                <c:pt idx="69">
                  <c:v>67.759144800842137</c:v>
                </c:pt>
                <c:pt idx="70">
                  <c:v>67.784998228012341</c:v>
                </c:pt>
                <c:pt idx="71">
                  <c:v>67.80742009069705</c:v>
                </c:pt>
                <c:pt idx="72">
                  <c:v>67.809883736936939</c:v>
                </c:pt>
                <c:pt idx="73">
                  <c:v>67.815232705002813</c:v>
                </c:pt>
                <c:pt idx="74">
                  <c:v>67.874989183583381</c:v>
                </c:pt>
                <c:pt idx="75">
                  <c:v>67.81758190600388</c:v>
                </c:pt>
                <c:pt idx="76">
                  <c:v>67.709585379195431</c:v>
                </c:pt>
                <c:pt idx="77">
                  <c:v>67.655585485163826</c:v>
                </c:pt>
                <c:pt idx="78">
                  <c:v>67.583006586268041</c:v>
                </c:pt>
                <c:pt idx="79">
                  <c:v>67.439689042773495</c:v>
                </c:pt>
                <c:pt idx="80">
                  <c:v>67.516030252093017</c:v>
                </c:pt>
                <c:pt idx="81">
                  <c:v>67.529364546936904</c:v>
                </c:pt>
                <c:pt idx="82">
                  <c:v>67.495663000885742</c:v>
                </c:pt>
                <c:pt idx="83">
                  <c:v>67.405528060438613</c:v>
                </c:pt>
                <c:pt idx="84">
                  <c:v>67.321472524912735</c:v>
                </c:pt>
                <c:pt idx="85">
                  <c:v>67.214035353908329</c:v>
                </c:pt>
                <c:pt idx="86">
                  <c:v>67.115997368876222</c:v>
                </c:pt>
                <c:pt idx="87">
                  <c:v>67.030924217960589</c:v>
                </c:pt>
                <c:pt idx="88">
                  <c:v>67.025417228964031</c:v>
                </c:pt>
                <c:pt idx="89">
                  <c:v>67.047692166184561</c:v>
                </c:pt>
                <c:pt idx="90">
                  <c:v>67.179502322287462</c:v>
                </c:pt>
                <c:pt idx="91">
                  <c:v>67.27334721522476</c:v>
                </c:pt>
                <c:pt idx="92">
                  <c:v>67.410877345634518</c:v>
                </c:pt>
                <c:pt idx="93">
                  <c:v>67.57548163338646</c:v>
                </c:pt>
                <c:pt idx="94">
                  <c:v>67.68789030754921</c:v>
                </c:pt>
                <c:pt idx="95">
                  <c:v>67.892132601458854</c:v>
                </c:pt>
                <c:pt idx="96">
                  <c:v>68.177497018875158</c:v>
                </c:pt>
                <c:pt idx="97">
                  <c:v>68.438638035316103</c:v>
                </c:pt>
                <c:pt idx="98">
                  <c:v>68.726297816209367</c:v>
                </c:pt>
                <c:pt idx="99">
                  <c:v>69.060135909066219</c:v>
                </c:pt>
                <c:pt idx="100">
                  <c:v>69.171441206301452</c:v>
                </c:pt>
                <c:pt idx="101">
                  <c:v>69.365970297629701</c:v>
                </c:pt>
                <c:pt idx="102">
                  <c:v>69.538834259959685</c:v>
                </c:pt>
                <c:pt idx="103">
                  <c:v>69.731349451261238</c:v>
                </c:pt>
                <c:pt idx="104">
                  <c:v>69.88463460512061</c:v>
                </c:pt>
                <c:pt idx="105">
                  <c:v>70.067390495441259</c:v>
                </c:pt>
                <c:pt idx="106">
                  <c:v>70.184802412231733</c:v>
                </c:pt>
                <c:pt idx="107">
                  <c:v>70.275409029675103</c:v>
                </c:pt>
                <c:pt idx="108">
                  <c:v>70.226523919314928</c:v>
                </c:pt>
                <c:pt idx="109">
                  <c:v>70.183212979260887</c:v>
                </c:pt>
                <c:pt idx="110">
                  <c:v>70.071508565028566</c:v>
                </c:pt>
                <c:pt idx="111">
                  <c:v>69.956432775039815</c:v>
                </c:pt>
                <c:pt idx="112">
                  <c:v>69.726942363708304</c:v>
                </c:pt>
                <c:pt idx="113">
                  <c:v>69.459681167074123</c:v>
                </c:pt>
                <c:pt idx="114">
                  <c:v>69.240292810462591</c:v>
                </c:pt>
                <c:pt idx="115">
                  <c:v>69.07356821377725</c:v>
                </c:pt>
                <c:pt idx="116">
                  <c:v>69.00387341618142</c:v>
                </c:pt>
                <c:pt idx="117">
                  <c:v>68.935973039734378</c:v>
                </c:pt>
                <c:pt idx="118">
                  <c:v>68.893371734602098</c:v>
                </c:pt>
                <c:pt idx="119">
                  <c:v>68.917273110490612</c:v>
                </c:pt>
                <c:pt idx="120">
                  <c:v>68.962235635892682</c:v>
                </c:pt>
                <c:pt idx="121">
                  <c:v>69.019937406080558</c:v>
                </c:pt>
                <c:pt idx="122">
                  <c:v>69.148485728073567</c:v>
                </c:pt>
                <c:pt idx="123">
                  <c:v>69.304971810991518</c:v>
                </c:pt>
                <c:pt idx="124">
                  <c:v>69.457114680571578</c:v>
                </c:pt>
                <c:pt idx="125">
                  <c:v>69.678862365968413</c:v>
                </c:pt>
                <c:pt idx="126">
                  <c:v>69.915748008382437</c:v>
                </c:pt>
                <c:pt idx="127">
                  <c:v>70.20584697689354</c:v>
                </c:pt>
                <c:pt idx="128">
                  <c:v>70.541504408309791</c:v>
                </c:pt>
                <c:pt idx="129">
                  <c:v>70.878965451148716</c:v>
                </c:pt>
                <c:pt idx="130">
                  <c:v>71.168137216596904</c:v>
                </c:pt>
                <c:pt idx="131">
                  <c:v>71.466605579230432</c:v>
                </c:pt>
                <c:pt idx="132">
                  <c:v>71.789850151894299</c:v>
                </c:pt>
                <c:pt idx="133">
                  <c:v>72.209930843084777</c:v>
                </c:pt>
                <c:pt idx="134">
                  <c:v>72.567268513809907</c:v>
                </c:pt>
                <c:pt idx="135">
                  <c:v>72.893380182137932</c:v>
                </c:pt>
                <c:pt idx="136">
                  <c:v>73.102498076422478</c:v>
                </c:pt>
                <c:pt idx="137">
                  <c:v>73.260512368470728</c:v>
                </c:pt>
                <c:pt idx="138">
                  <c:v>73.409168553632355</c:v>
                </c:pt>
                <c:pt idx="139">
                  <c:v>73.49090771641086</c:v>
                </c:pt>
                <c:pt idx="140">
                  <c:v>73.518944306897694</c:v>
                </c:pt>
                <c:pt idx="141">
                  <c:v>73.563059588000243</c:v>
                </c:pt>
                <c:pt idx="142">
                  <c:v>73.609818110261486</c:v>
                </c:pt>
                <c:pt idx="143">
                  <c:v>73.629229908484547</c:v>
                </c:pt>
                <c:pt idx="144">
                  <c:v>73.640686008708968</c:v>
                </c:pt>
                <c:pt idx="145">
                  <c:v>73.642654757643498</c:v>
                </c:pt>
                <c:pt idx="146">
                  <c:v>73.67159806906983</c:v>
                </c:pt>
                <c:pt idx="147">
                  <c:v>73.67512390252007</c:v>
                </c:pt>
                <c:pt idx="148">
                  <c:v>73.636630379907658</c:v>
                </c:pt>
                <c:pt idx="149">
                  <c:v>73.562446202606992</c:v>
                </c:pt>
                <c:pt idx="150">
                  <c:v>73.54941786541977</c:v>
                </c:pt>
                <c:pt idx="151">
                  <c:v>73.597296157186236</c:v>
                </c:pt>
                <c:pt idx="152">
                  <c:v>73.714838342897167</c:v>
                </c:pt>
                <c:pt idx="153">
                  <c:v>73.726332386915431</c:v>
                </c:pt>
                <c:pt idx="154">
                  <c:v>73.71333818742832</c:v>
                </c:pt>
                <c:pt idx="155">
                  <c:v>73.710254232475819</c:v>
                </c:pt>
                <c:pt idx="156">
                  <c:v>73.729120580894289</c:v>
                </c:pt>
                <c:pt idx="157">
                  <c:v>73.774028702149593</c:v>
                </c:pt>
                <c:pt idx="158">
                  <c:v>73.85558742804875</c:v>
                </c:pt>
                <c:pt idx="159">
                  <c:v>73.952447098261544</c:v>
                </c:pt>
                <c:pt idx="160">
                  <c:v>74.083165273095688</c:v>
                </c:pt>
                <c:pt idx="161">
                  <c:v>74.150367712177811</c:v>
                </c:pt>
                <c:pt idx="162">
                  <c:v>74.235300370502969</c:v>
                </c:pt>
                <c:pt idx="163">
                  <c:v>74.329527774264719</c:v>
                </c:pt>
                <c:pt idx="164">
                  <c:v>74.455079674160203</c:v>
                </c:pt>
                <c:pt idx="165">
                  <c:v>74.531061794869956</c:v>
                </c:pt>
                <c:pt idx="166">
                  <c:v>74.635290894738944</c:v>
                </c:pt>
                <c:pt idx="167">
                  <c:v>74.807859745030783</c:v>
                </c:pt>
                <c:pt idx="168">
                  <c:v>74.993482146488304</c:v>
                </c:pt>
                <c:pt idx="169">
                  <c:v>75.245670921573193</c:v>
                </c:pt>
                <c:pt idx="170">
                  <c:v>75.489078831401088</c:v>
                </c:pt>
                <c:pt idx="171">
                  <c:v>75.708621408330814</c:v>
                </c:pt>
                <c:pt idx="172">
                  <c:v>75.915687483437239</c:v>
                </c:pt>
                <c:pt idx="173">
                  <c:v>76.069205452612849</c:v>
                </c:pt>
                <c:pt idx="174">
                  <c:v>76.235037457951421</c:v>
                </c:pt>
                <c:pt idx="175">
                  <c:v>76.375683038940366</c:v>
                </c:pt>
                <c:pt idx="176">
                  <c:v>76.737579273019804</c:v>
                </c:pt>
                <c:pt idx="177">
                  <c:v>77.138980831591311</c:v>
                </c:pt>
                <c:pt idx="178">
                  <c:v>77.462271825302764</c:v>
                </c:pt>
                <c:pt idx="179">
                  <c:v>77.734757573026471</c:v>
                </c:pt>
                <c:pt idx="180">
                  <c:v>77.997328014607746</c:v>
                </c:pt>
                <c:pt idx="181">
                  <c:v>78.284406071063273</c:v>
                </c:pt>
                <c:pt idx="182">
                  <c:v>78.718399599537747</c:v>
                </c:pt>
                <c:pt idx="183">
                  <c:v>79.135052333884531</c:v>
                </c:pt>
                <c:pt idx="184">
                  <c:v>79.507172811372385</c:v>
                </c:pt>
                <c:pt idx="185">
                  <c:v>79.934650213631087</c:v>
                </c:pt>
                <c:pt idx="186">
                  <c:v>80.360169904733951</c:v>
                </c:pt>
                <c:pt idx="187">
                  <c:v>80.739009529648513</c:v>
                </c:pt>
                <c:pt idx="188">
                  <c:v>81.098107997236099</c:v>
                </c:pt>
                <c:pt idx="189">
                  <c:v>81.442854854713573</c:v>
                </c:pt>
                <c:pt idx="190">
                  <c:v>81.752636424691843</c:v>
                </c:pt>
                <c:pt idx="191">
                  <c:v>82.037454327484994</c:v>
                </c:pt>
                <c:pt idx="192">
                  <c:v>82.385794845521971</c:v>
                </c:pt>
                <c:pt idx="193">
                  <c:v>82.737161925078325</c:v>
                </c:pt>
                <c:pt idx="194">
                  <c:v>83.113340362695268</c:v>
                </c:pt>
                <c:pt idx="195">
                  <c:v>83.491953890208947</c:v>
                </c:pt>
                <c:pt idx="196">
                  <c:v>83.665737624557849</c:v>
                </c:pt>
                <c:pt idx="197">
                  <c:v>83.823003865893611</c:v>
                </c:pt>
                <c:pt idx="198">
                  <c:v>83.922297882576132</c:v>
                </c:pt>
                <c:pt idx="199">
                  <c:v>84.096009417737463</c:v>
                </c:pt>
                <c:pt idx="200">
                  <c:v>84.23347628444769</c:v>
                </c:pt>
                <c:pt idx="201">
                  <c:v>84.345913278355368</c:v>
                </c:pt>
                <c:pt idx="202">
                  <c:v>84.281464686904016</c:v>
                </c:pt>
                <c:pt idx="203">
                  <c:v>84.224144277358818</c:v>
                </c:pt>
                <c:pt idx="204">
                  <c:v>84.220391544714431</c:v>
                </c:pt>
                <c:pt idx="205">
                  <c:v>84.189732580293594</c:v>
                </c:pt>
                <c:pt idx="206">
                  <c:v>84.146396743401965</c:v>
                </c:pt>
                <c:pt idx="207">
                  <c:v>84.087993410747771</c:v>
                </c:pt>
                <c:pt idx="208">
                  <c:v>84.055156610953787</c:v>
                </c:pt>
                <c:pt idx="209">
                  <c:v>84.00615652752883</c:v>
                </c:pt>
                <c:pt idx="210">
                  <c:v>83.938135778529585</c:v>
                </c:pt>
                <c:pt idx="211">
                  <c:v>83.846766712327536</c:v>
                </c:pt>
                <c:pt idx="212">
                  <c:v>83.646263954544196</c:v>
                </c:pt>
                <c:pt idx="213">
                  <c:v>83.488109979025012</c:v>
                </c:pt>
                <c:pt idx="214">
                  <c:v>83.353933839472077</c:v>
                </c:pt>
                <c:pt idx="215">
                  <c:v>83.16153264806583</c:v>
                </c:pt>
                <c:pt idx="216">
                  <c:v>82.968907318380474</c:v>
                </c:pt>
                <c:pt idx="217">
                  <c:v>82.748555647803911</c:v>
                </c:pt>
                <c:pt idx="218">
                  <c:v>82.647195426260808</c:v>
                </c:pt>
                <c:pt idx="219">
                  <c:v>82.563870886330974</c:v>
                </c:pt>
                <c:pt idx="220">
                  <c:v>82.547943789649281</c:v>
                </c:pt>
                <c:pt idx="221">
                  <c:v>82.571384229962618</c:v>
                </c:pt>
                <c:pt idx="222">
                  <c:v>82.554871785390077</c:v>
                </c:pt>
                <c:pt idx="223">
                  <c:v>82.540717735877394</c:v>
                </c:pt>
                <c:pt idx="224">
                  <c:v>82.467899026931391</c:v>
                </c:pt>
                <c:pt idx="225">
                  <c:v>82.341891654345105</c:v>
                </c:pt>
                <c:pt idx="226">
                  <c:v>82.24362942767911</c:v>
                </c:pt>
                <c:pt idx="227">
                  <c:v>82.133394937785866</c:v>
                </c:pt>
                <c:pt idx="228">
                  <c:v>81.840787024096883</c:v>
                </c:pt>
                <c:pt idx="229">
                  <c:v>81.4682041734672</c:v>
                </c:pt>
                <c:pt idx="230">
                  <c:v>81.180151899473017</c:v>
                </c:pt>
                <c:pt idx="231">
                  <c:v>80.894442938666614</c:v>
                </c:pt>
                <c:pt idx="232">
                  <c:v>80.611990821381951</c:v>
                </c:pt>
                <c:pt idx="233">
                  <c:v>80.267700666434195</c:v>
                </c:pt>
                <c:pt idx="234">
                  <c:v>79.879332285896481</c:v>
                </c:pt>
                <c:pt idx="235">
                  <c:v>79.54946782994999</c:v>
                </c:pt>
                <c:pt idx="236">
                  <c:v>79.177166039184385</c:v>
                </c:pt>
                <c:pt idx="237">
                  <c:v>78.819956035059732</c:v>
                </c:pt>
                <c:pt idx="238">
                  <c:v>78.388602711884872</c:v>
                </c:pt>
                <c:pt idx="239">
                  <c:v>77.912133848956046</c:v>
                </c:pt>
                <c:pt idx="240">
                  <c:v>77.398870898458455</c:v>
                </c:pt>
                <c:pt idx="241">
                  <c:v>76.92701941631168</c:v>
                </c:pt>
                <c:pt idx="242">
                  <c:v>76.415156659533352</c:v>
                </c:pt>
                <c:pt idx="243">
                  <c:v>75.903920707635237</c:v>
                </c:pt>
                <c:pt idx="244">
                  <c:v>75.424893417829153</c:v>
                </c:pt>
                <c:pt idx="245">
                  <c:v>74.966210761261181</c:v>
                </c:pt>
                <c:pt idx="246">
                  <c:v>74.459545477575574</c:v>
                </c:pt>
                <c:pt idx="247">
                  <c:v>73.896382154046094</c:v>
                </c:pt>
                <c:pt idx="248">
                  <c:v>73.540048343378785</c:v>
                </c:pt>
                <c:pt idx="249">
                  <c:v>73.221050110040338</c:v>
                </c:pt>
                <c:pt idx="250">
                  <c:v>72.81136193312399</c:v>
                </c:pt>
                <c:pt idx="251">
                  <c:v>72.402751089870677</c:v>
                </c:pt>
                <c:pt idx="252">
                  <c:v>72.054424616670488</c:v>
                </c:pt>
                <c:pt idx="253">
                  <c:v>71.743526765265713</c:v>
                </c:pt>
                <c:pt idx="254">
                  <c:v>71.532626942604963</c:v>
                </c:pt>
                <c:pt idx="255">
                  <c:v>71.316373287163486</c:v>
                </c:pt>
                <c:pt idx="256">
                  <c:v>71.131624534312579</c:v>
                </c:pt>
                <c:pt idx="257">
                  <c:v>70.982065298747258</c:v>
                </c:pt>
                <c:pt idx="258">
                  <c:v>70.920946718612527</c:v>
                </c:pt>
                <c:pt idx="259">
                  <c:v>70.902057204538238</c:v>
                </c:pt>
                <c:pt idx="260">
                  <c:v>70.909786572201</c:v>
                </c:pt>
                <c:pt idx="261">
                  <c:v>70.80888626198697</c:v>
                </c:pt>
                <c:pt idx="262">
                  <c:v>70.758294698665281</c:v>
                </c:pt>
                <c:pt idx="263">
                  <c:v>70.712485438669759</c:v>
                </c:pt>
                <c:pt idx="264">
                  <c:v>70.751994040430276</c:v>
                </c:pt>
                <c:pt idx="265">
                  <c:v>70.771680234616198</c:v>
                </c:pt>
                <c:pt idx="266">
                  <c:v>70.807842556130041</c:v>
                </c:pt>
                <c:pt idx="267">
                  <c:v>70.94014856746648</c:v>
                </c:pt>
                <c:pt idx="268">
                  <c:v>71.033571467753035</c:v>
                </c:pt>
                <c:pt idx="269">
                  <c:v>71.14621082246876</c:v>
                </c:pt>
                <c:pt idx="270">
                  <c:v>71.327750913201925</c:v>
                </c:pt>
                <c:pt idx="271">
                  <c:v>71.52334776559168</c:v>
                </c:pt>
                <c:pt idx="272">
                  <c:v>71.700597816393838</c:v>
                </c:pt>
                <c:pt idx="273">
                  <c:v>71.946791900742056</c:v>
                </c:pt>
                <c:pt idx="274">
                  <c:v>72.053503423529662</c:v>
                </c:pt>
                <c:pt idx="275">
                  <c:v>72.065970768563417</c:v>
                </c:pt>
                <c:pt idx="276">
                  <c:v>72.130376109170982</c:v>
                </c:pt>
                <c:pt idx="277">
                  <c:v>72.168668616074413</c:v>
                </c:pt>
                <c:pt idx="278">
                  <c:v>72.161122369050261</c:v>
                </c:pt>
                <c:pt idx="279">
                  <c:v>72.084840216015962</c:v>
                </c:pt>
                <c:pt idx="280">
                  <c:v>72.021210622198453</c:v>
                </c:pt>
                <c:pt idx="281">
                  <c:v>71.961325711738013</c:v>
                </c:pt>
                <c:pt idx="282">
                  <c:v>71.865701800484999</c:v>
                </c:pt>
                <c:pt idx="283">
                  <c:v>71.755983075712123</c:v>
                </c:pt>
                <c:pt idx="284">
                  <c:v>71.560499531440669</c:v>
                </c:pt>
                <c:pt idx="285">
                  <c:v>71.387342797507742</c:v>
                </c:pt>
                <c:pt idx="286">
                  <c:v>71.160149417461739</c:v>
                </c:pt>
                <c:pt idx="287">
                  <c:v>70.929739490803485</c:v>
                </c:pt>
                <c:pt idx="288">
                  <c:v>70.69744321172162</c:v>
                </c:pt>
                <c:pt idx="289">
                  <c:v>70.453100070659559</c:v>
                </c:pt>
                <c:pt idx="290">
                  <c:v>70.185915929107097</c:v>
                </c:pt>
                <c:pt idx="291">
                  <c:v>69.905431402088539</c:v>
                </c:pt>
                <c:pt idx="292">
                  <c:v>69.642775704933769</c:v>
                </c:pt>
                <c:pt idx="293">
                  <c:v>69.318001353513651</c:v>
                </c:pt>
                <c:pt idx="294">
                  <c:v>68.99897614602159</c:v>
                </c:pt>
                <c:pt idx="295">
                  <c:v>68.799514088751721</c:v>
                </c:pt>
                <c:pt idx="296">
                  <c:v>68.512327675169104</c:v>
                </c:pt>
                <c:pt idx="297">
                  <c:v>68.133780585106052</c:v>
                </c:pt>
                <c:pt idx="298">
                  <c:v>67.751477191912201</c:v>
                </c:pt>
                <c:pt idx="299">
                  <c:v>67.427939835951761</c:v>
                </c:pt>
                <c:pt idx="300">
                  <c:v>67.103915079733355</c:v>
                </c:pt>
                <c:pt idx="301">
                  <c:v>66.789551534238043</c:v>
                </c:pt>
                <c:pt idx="302">
                  <c:v>66.547199974140312</c:v>
                </c:pt>
                <c:pt idx="303">
                  <c:v>66.336126617525451</c:v>
                </c:pt>
                <c:pt idx="304">
                  <c:v>66.128302128720946</c:v>
                </c:pt>
                <c:pt idx="305">
                  <c:v>65.851579666296786</c:v>
                </c:pt>
                <c:pt idx="306">
                  <c:v>65.60650982192341</c:v>
                </c:pt>
                <c:pt idx="307">
                  <c:v>65.341537979437206</c:v>
                </c:pt>
                <c:pt idx="308">
                  <c:v>65.089787210424305</c:v>
                </c:pt>
                <c:pt idx="309">
                  <c:v>64.927214688136601</c:v>
                </c:pt>
                <c:pt idx="310">
                  <c:v>64.933479715014101</c:v>
                </c:pt>
                <c:pt idx="311">
                  <c:v>64.951792226731072</c:v>
                </c:pt>
                <c:pt idx="312">
                  <c:v>64.938964287654656</c:v>
                </c:pt>
                <c:pt idx="313">
                  <c:v>64.956014980389369</c:v>
                </c:pt>
                <c:pt idx="314">
                  <c:v>65.076290054926488</c:v>
                </c:pt>
                <c:pt idx="315">
                  <c:v>65.197963798383697</c:v>
                </c:pt>
                <c:pt idx="316">
                  <c:v>65.391114494361204</c:v>
                </c:pt>
                <c:pt idx="317">
                  <c:v>65.649521800727086</c:v>
                </c:pt>
                <c:pt idx="318">
                  <c:v>65.900772499748243</c:v>
                </c:pt>
                <c:pt idx="319">
                  <c:v>66.161679650610722</c:v>
                </c:pt>
                <c:pt idx="320">
                  <c:v>66.404065258907607</c:v>
                </c:pt>
                <c:pt idx="321">
                  <c:v>66.66938174354469</c:v>
                </c:pt>
                <c:pt idx="322">
                  <c:v>66.850325199882036</c:v>
                </c:pt>
                <c:pt idx="323">
                  <c:v>67.036890574565575</c:v>
                </c:pt>
                <c:pt idx="324">
                  <c:v>67.275268916404485</c:v>
                </c:pt>
                <c:pt idx="325">
                  <c:v>67.622488249634301</c:v>
                </c:pt>
                <c:pt idx="326">
                  <c:v>68.005611742690192</c:v>
                </c:pt>
                <c:pt idx="327">
                  <c:v>68.424916674961111</c:v>
                </c:pt>
                <c:pt idx="328">
                  <c:v>68.837028609420116</c:v>
                </c:pt>
                <c:pt idx="329">
                  <c:v>69.177326729792739</c:v>
                </c:pt>
                <c:pt idx="330">
                  <c:v>69.316676565548832</c:v>
                </c:pt>
                <c:pt idx="331">
                  <c:v>69.461218504996907</c:v>
                </c:pt>
                <c:pt idx="332">
                  <c:v>69.646048105334415</c:v>
                </c:pt>
                <c:pt idx="333">
                  <c:v>69.866531797197041</c:v>
                </c:pt>
                <c:pt idx="334">
                  <c:v>70.02436360656624</c:v>
                </c:pt>
                <c:pt idx="335">
                  <c:v>70.187610840693807</c:v>
                </c:pt>
                <c:pt idx="336">
                  <c:v>70.250830524713166</c:v>
                </c:pt>
                <c:pt idx="337">
                  <c:v>70.303442566304369</c:v>
                </c:pt>
                <c:pt idx="338">
                  <c:v>70.414231587622623</c:v>
                </c:pt>
                <c:pt idx="339">
                  <c:v>70.445874274055654</c:v>
                </c:pt>
                <c:pt idx="340">
                  <c:v>70.51427120382607</c:v>
                </c:pt>
                <c:pt idx="341">
                  <c:v>70.598662834640663</c:v>
                </c:pt>
                <c:pt idx="342">
                  <c:v>70.70836429873404</c:v>
                </c:pt>
                <c:pt idx="343">
                  <c:v>70.779861394449483</c:v>
                </c:pt>
                <c:pt idx="344">
                  <c:v>70.797394333980336</c:v>
                </c:pt>
                <c:pt idx="345">
                  <c:v>70.836416081765591</c:v>
                </c:pt>
                <c:pt idx="346">
                  <c:v>70.909345773704572</c:v>
                </c:pt>
                <c:pt idx="347">
                  <c:v>70.928841560214877</c:v>
                </c:pt>
                <c:pt idx="348">
                  <c:v>70.902368879550025</c:v>
                </c:pt>
                <c:pt idx="349">
                  <c:v>70.959027002135812</c:v>
                </c:pt>
                <c:pt idx="350">
                  <c:v>71.046448109564892</c:v>
                </c:pt>
                <c:pt idx="351">
                  <c:v>71.141229545882737</c:v>
                </c:pt>
                <c:pt idx="352">
                  <c:v>71.171497679332106</c:v>
                </c:pt>
                <c:pt idx="353">
                  <c:v>71.133011346794603</c:v>
                </c:pt>
                <c:pt idx="354">
                  <c:v>71.087942390632961</c:v>
                </c:pt>
                <c:pt idx="355">
                  <c:v>71.030132706144997</c:v>
                </c:pt>
                <c:pt idx="356">
                  <c:v>71.05178842818529</c:v>
                </c:pt>
                <c:pt idx="357">
                  <c:v>71.081019517580287</c:v>
                </c:pt>
                <c:pt idx="358">
                  <c:v>71.045983483733991</c:v>
                </c:pt>
                <c:pt idx="359">
                  <c:v>71.072337306947347</c:v>
                </c:pt>
                <c:pt idx="360">
                  <c:v>71.11736605474124</c:v>
                </c:pt>
                <c:pt idx="361">
                  <c:v>71.152467305714623</c:v>
                </c:pt>
                <c:pt idx="362">
                  <c:v>71.257432174957245</c:v>
                </c:pt>
                <c:pt idx="363">
                  <c:v>71.39772942520969</c:v>
                </c:pt>
                <c:pt idx="364">
                  <c:v>71.628045272430057</c:v>
                </c:pt>
                <c:pt idx="365">
                  <c:v>71.774039682018866</c:v>
                </c:pt>
                <c:pt idx="366">
                  <c:v>71.927947231418926</c:v>
                </c:pt>
                <c:pt idx="367">
                  <c:v>72.16082086566874</c:v>
                </c:pt>
                <c:pt idx="368">
                  <c:v>72.434359293878188</c:v>
                </c:pt>
                <c:pt idx="369">
                  <c:v>72.610892482881312</c:v>
                </c:pt>
                <c:pt idx="370">
                  <c:v>72.785731119633212</c:v>
                </c:pt>
                <c:pt idx="371">
                  <c:v>72.940206271888528</c:v>
                </c:pt>
                <c:pt idx="372">
                  <c:v>73.202432018173752</c:v>
                </c:pt>
                <c:pt idx="373">
                  <c:v>73.534948559457376</c:v>
                </c:pt>
                <c:pt idx="374">
                  <c:v>73.828985296697084</c:v>
                </c:pt>
                <c:pt idx="375">
                  <c:v>73.959671228389738</c:v>
                </c:pt>
                <c:pt idx="376">
                  <c:v>74.14166565363108</c:v>
                </c:pt>
                <c:pt idx="377">
                  <c:v>74.346142121359364</c:v>
                </c:pt>
                <c:pt idx="378">
                  <c:v>74.567510783007734</c:v>
                </c:pt>
                <c:pt idx="379">
                  <c:v>74.782584252255276</c:v>
                </c:pt>
                <c:pt idx="380">
                  <c:v>74.976584883500834</c:v>
                </c:pt>
                <c:pt idx="381">
                  <c:v>75.207260211233574</c:v>
                </c:pt>
                <c:pt idx="382">
                  <c:v>75.404831522755757</c:v>
                </c:pt>
                <c:pt idx="383">
                  <c:v>75.584081859258944</c:v>
                </c:pt>
                <c:pt idx="384">
                  <c:v>75.720347407487949</c:v>
                </c:pt>
                <c:pt idx="385">
                  <c:v>75.88814774540711</c:v>
                </c:pt>
                <c:pt idx="386">
                  <c:v>76.004664418949574</c:v>
                </c:pt>
                <c:pt idx="387">
                  <c:v>76.041067651928856</c:v>
                </c:pt>
                <c:pt idx="388">
                  <c:v>76.074360828621451</c:v>
                </c:pt>
                <c:pt idx="389">
                  <c:v>76.098056199985024</c:v>
                </c:pt>
                <c:pt idx="390">
                  <c:v>76.234718404112257</c:v>
                </c:pt>
                <c:pt idx="391">
                  <c:v>76.335904476124455</c:v>
                </c:pt>
                <c:pt idx="392">
                  <c:v>76.393794854983682</c:v>
                </c:pt>
                <c:pt idx="393">
                  <c:v>76.407725963443255</c:v>
                </c:pt>
                <c:pt idx="394">
                  <c:v>76.429106261508991</c:v>
                </c:pt>
                <c:pt idx="395">
                  <c:v>76.56635446420799</c:v>
                </c:pt>
                <c:pt idx="396">
                  <c:v>76.603692133192027</c:v>
                </c:pt>
                <c:pt idx="397">
                  <c:v>76.639131060443503</c:v>
                </c:pt>
                <c:pt idx="398">
                  <c:v>76.686664369065554</c:v>
                </c:pt>
                <c:pt idx="399">
                  <c:v>76.731610363985908</c:v>
                </c:pt>
                <c:pt idx="400">
                  <c:v>76.844455683631338</c:v>
                </c:pt>
                <c:pt idx="401">
                  <c:v>76.976716038364856</c:v>
                </c:pt>
                <c:pt idx="402">
                  <c:v>77.128913190045722</c:v>
                </c:pt>
                <c:pt idx="403">
                  <c:v>77.310960223487314</c:v>
                </c:pt>
                <c:pt idx="404">
                  <c:v>77.424962495300178</c:v>
                </c:pt>
                <c:pt idx="405">
                  <c:v>77.554252837757531</c:v>
                </c:pt>
                <c:pt idx="406">
                  <c:v>77.643199815547362</c:v>
                </c:pt>
                <c:pt idx="407">
                  <c:v>77.713793518561346</c:v>
                </c:pt>
                <c:pt idx="408">
                  <c:v>77.729651709130337</c:v>
                </c:pt>
                <c:pt idx="409">
                  <c:v>77.790315864722018</c:v>
                </c:pt>
                <c:pt idx="410">
                  <c:v>77.714016131040424</c:v>
                </c:pt>
                <c:pt idx="411">
                  <c:v>77.656983266725021</c:v>
                </c:pt>
                <c:pt idx="412">
                  <c:v>77.556740227719658</c:v>
                </c:pt>
                <c:pt idx="413">
                  <c:v>77.464880403482056</c:v>
                </c:pt>
                <c:pt idx="414">
                  <c:v>77.32423434823616</c:v>
                </c:pt>
                <c:pt idx="415">
                  <c:v>77.168065453588625</c:v>
                </c:pt>
                <c:pt idx="416">
                  <c:v>77.121315267706123</c:v>
                </c:pt>
                <c:pt idx="417">
                  <c:v>77.064912429687027</c:v>
                </c:pt>
                <c:pt idx="418">
                  <c:v>77.020083144405419</c:v>
                </c:pt>
                <c:pt idx="419">
                  <c:v>76.899541502399856</c:v>
                </c:pt>
                <c:pt idx="420">
                  <c:v>76.679153449758829</c:v>
                </c:pt>
                <c:pt idx="421">
                  <c:v>76.479827633374285</c:v>
                </c:pt>
                <c:pt idx="422">
                  <c:v>76.266556686084826</c:v>
                </c:pt>
                <c:pt idx="423">
                  <c:v>76.018073629711083</c:v>
                </c:pt>
                <c:pt idx="424">
                  <c:v>75.785904934916658</c:v>
                </c:pt>
                <c:pt idx="425">
                  <c:v>75.443006618263539</c:v>
                </c:pt>
                <c:pt idx="426">
                  <c:v>75.104599001976283</c:v>
                </c:pt>
                <c:pt idx="427">
                  <c:v>74.839228766313596</c:v>
                </c:pt>
                <c:pt idx="428">
                  <c:v>74.619396505971352</c:v>
                </c:pt>
                <c:pt idx="429">
                  <c:v>74.376725535687584</c:v>
                </c:pt>
                <c:pt idx="430">
                  <c:v>74.156279622762497</c:v>
                </c:pt>
                <c:pt idx="431">
                  <c:v>73.932917207620505</c:v>
                </c:pt>
                <c:pt idx="432">
                  <c:v>73.685559061232539</c:v>
                </c:pt>
                <c:pt idx="433">
                  <c:v>73.427462384357227</c:v>
                </c:pt>
                <c:pt idx="434">
                  <c:v>73.170759695982511</c:v>
                </c:pt>
                <c:pt idx="435">
                  <c:v>73.210591989582937</c:v>
                </c:pt>
                <c:pt idx="436">
                  <c:v>73.144843533914226</c:v>
                </c:pt>
                <c:pt idx="437">
                  <c:v>73.131283278001206</c:v>
                </c:pt>
                <c:pt idx="438">
                  <c:v>73.077480664783806</c:v>
                </c:pt>
                <c:pt idx="439">
                  <c:v>73.082363704893837</c:v>
                </c:pt>
                <c:pt idx="440">
                  <c:v>73.088686718476723</c:v>
                </c:pt>
                <c:pt idx="441">
                  <c:v>73.034459396828524</c:v>
                </c:pt>
                <c:pt idx="442">
                  <c:v>72.938251169741818</c:v>
                </c:pt>
                <c:pt idx="443">
                  <c:v>72.802253161474113</c:v>
                </c:pt>
                <c:pt idx="444">
                  <c:v>72.816495397306184</c:v>
                </c:pt>
                <c:pt idx="445">
                  <c:v>72.914646802380929</c:v>
                </c:pt>
                <c:pt idx="446">
                  <c:v>73.01731567324002</c:v>
                </c:pt>
                <c:pt idx="447">
                  <c:v>73.149557777450426</c:v>
                </c:pt>
                <c:pt idx="448">
                  <c:v>73.259854335351363</c:v>
                </c:pt>
                <c:pt idx="449">
                  <c:v>73.353770133498699</c:v>
                </c:pt>
                <c:pt idx="450">
                  <c:v>73.431507547726525</c:v>
                </c:pt>
                <c:pt idx="451">
                  <c:v>73.482799964925974</c:v>
                </c:pt>
                <c:pt idx="452">
                  <c:v>73.58874190192499</c:v>
                </c:pt>
                <c:pt idx="453">
                  <c:v>73.796658510343164</c:v>
                </c:pt>
                <c:pt idx="454">
                  <c:v>74.086874369652705</c:v>
                </c:pt>
                <c:pt idx="455">
                  <c:v>74.13942592121488</c:v>
                </c:pt>
                <c:pt idx="456">
                  <c:v>74.233687116496114</c:v>
                </c:pt>
                <c:pt idx="457">
                  <c:v>74.250552916048179</c:v>
                </c:pt>
                <c:pt idx="458">
                  <c:v>74.370336471431145</c:v>
                </c:pt>
                <c:pt idx="459">
                  <c:v>74.470957659393463</c:v>
                </c:pt>
                <c:pt idx="460">
                  <c:v>74.496227392735435</c:v>
                </c:pt>
                <c:pt idx="461">
                  <c:v>74.569081395169718</c:v>
                </c:pt>
                <c:pt idx="462">
                  <c:v>74.699399920659346</c:v>
                </c:pt>
                <c:pt idx="463">
                  <c:v>74.845580639262892</c:v>
                </c:pt>
                <c:pt idx="464">
                  <c:v>74.80714057091329</c:v>
                </c:pt>
                <c:pt idx="465">
                  <c:v>74.797089369790072</c:v>
                </c:pt>
                <c:pt idx="466">
                  <c:v>74.888550816301432</c:v>
                </c:pt>
                <c:pt idx="467">
                  <c:v>74.912702484928531</c:v>
                </c:pt>
                <c:pt idx="468">
                  <c:v>75.102145012893061</c:v>
                </c:pt>
                <c:pt idx="469">
                  <c:v>75.258850606475704</c:v>
                </c:pt>
                <c:pt idx="470">
                  <c:v>75.55750059816981</c:v>
                </c:pt>
                <c:pt idx="471">
                  <c:v>75.947557216575106</c:v>
                </c:pt>
                <c:pt idx="472">
                  <c:v>76.324723177631142</c:v>
                </c:pt>
                <c:pt idx="473">
                  <c:v>76.610861351019153</c:v>
                </c:pt>
                <c:pt idx="474">
                  <c:v>76.917990718745401</c:v>
                </c:pt>
                <c:pt idx="475">
                  <c:v>77.194084593308418</c:v>
                </c:pt>
                <c:pt idx="476">
                  <c:v>77.360824180017914</c:v>
                </c:pt>
                <c:pt idx="477">
                  <c:v>77.537609743097079</c:v>
                </c:pt>
                <c:pt idx="478">
                  <c:v>77.59994343922628</c:v>
                </c:pt>
                <c:pt idx="479">
                  <c:v>77.678437367737459</c:v>
                </c:pt>
                <c:pt idx="480">
                  <c:v>77.813818330474732</c:v>
                </c:pt>
                <c:pt idx="481">
                  <c:v>77.999706648184315</c:v>
                </c:pt>
                <c:pt idx="482">
                  <c:v>78.149170480697265</c:v>
                </c:pt>
                <c:pt idx="483">
                  <c:v>78.356020630306773</c:v>
                </c:pt>
                <c:pt idx="484">
                  <c:v>78.63173557522542</c:v>
                </c:pt>
                <c:pt idx="485">
                  <c:v>78.870803075843114</c:v>
                </c:pt>
                <c:pt idx="486">
                  <c:v>78.929350927935189</c:v>
                </c:pt>
                <c:pt idx="487">
                  <c:v>78.971080845352674</c:v>
                </c:pt>
                <c:pt idx="488">
                  <c:v>78.8159573846592</c:v>
                </c:pt>
                <c:pt idx="489">
                  <c:v>78.708979653238103</c:v>
                </c:pt>
                <c:pt idx="490">
                  <c:v>78.494424176493112</c:v>
                </c:pt>
                <c:pt idx="491">
                  <c:v>78.285804152025051</c:v>
                </c:pt>
                <c:pt idx="492">
                  <c:v>77.988285547494755</c:v>
                </c:pt>
                <c:pt idx="493">
                  <c:v>77.682312693420741</c:v>
                </c:pt>
                <c:pt idx="494">
                  <c:v>77.343815129294967</c:v>
                </c:pt>
                <c:pt idx="495">
                  <c:v>77.017732721480087</c:v>
                </c:pt>
                <c:pt idx="496">
                  <c:v>76.793459765818781</c:v>
                </c:pt>
                <c:pt idx="497">
                  <c:v>76.43210724913682</c:v>
                </c:pt>
                <c:pt idx="498">
                  <c:v>76.021275726637271</c:v>
                </c:pt>
                <c:pt idx="499">
                  <c:v>75.584117110570062</c:v>
                </c:pt>
                <c:pt idx="500">
                  <c:v>75.230281313962053</c:v>
                </c:pt>
                <c:pt idx="501">
                  <c:v>74.71634171596726</c:v>
                </c:pt>
                <c:pt idx="502">
                  <c:v>74.168769039955848</c:v>
                </c:pt>
                <c:pt idx="503">
                  <c:v>73.597394832936331</c:v>
                </c:pt>
                <c:pt idx="504">
                  <c:v>72.992101295770723</c:v>
                </c:pt>
                <c:pt idx="505">
                  <c:v>72.338268844821016</c:v>
                </c:pt>
                <c:pt idx="506">
                  <c:v>71.805942513049814</c:v>
                </c:pt>
                <c:pt idx="507">
                  <c:v>71.395005880967091</c:v>
                </c:pt>
                <c:pt idx="508">
                  <c:v>71.030307740056742</c:v>
                </c:pt>
                <c:pt idx="509">
                  <c:v>70.661100297167351</c:v>
                </c:pt>
                <c:pt idx="510">
                  <c:v>70.260563512542447</c:v>
                </c:pt>
                <c:pt idx="511">
                  <c:v>69.898916943644664</c:v>
                </c:pt>
                <c:pt idx="512">
                  <c:v>69.582765960475115</c:v>
                </c:pt>
                <c:pt idx="513">
                  <c:v>69.227316316077548</c:v>
                </c:pt>
                <c:pt idx="514">
                  <c:v>68.849600798773167</c:v>
                </c:pt>
                <c:pt idx="515">
                  <c:v>68.436325483941431</c:v>
                </c:pt>
                <c:pt idx="516">
                  <c:v>67.999687139724415</c:v>
                </c:pt>
                <c:pt idx="517">
                  <c:v>67.783374131683644</c:v>
                </c:pt>
                <c:pt idx="518">
                  <c:v>67.689530369079222</c:v>
                </c:pt>
                <c:pt idx="519">
                  <c:v>67.627850928977395</c:v>
                </c:pt>
                <c:pt idx="520">
                  <c:v>67.440927221806263</c:v>
                </c:pt>
                <c:pt idx="521">
                  <c:v>67.315583710685232</c:v>
                </c:pt>
                <c:pt idx="522">
                  <c:v>67.260211399563929</c:v>
                </c:pt>
                <c:pt idx="523">
                  <c:v>67.161774184609939</c:v>
                </c:pt>
                <c:pt idx="524">
                  <c:v>67.067939207968138</c:v>
                </c:pt>
                <c:pt idx="525">
                  <c:v>67.110769161435087</c:v>
                </c:pt>
                <c:pt idx="526">
                  <c:v>67.304704859877901</c:v>
                </c:pt>
                <c:pt idx="527">
                  <c:v>67.247113728256309</c:v>
                </c:pt>
                <c:pt idx="528">
                  <c:v>67.184852813742367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3-4927-8344-F5E81AFA00A1}"/>
            </c:ext>
          </c:extLst>
        </c:ser>
        <c:ser>
          <c:idx val="4"/>
          <c:order val="4"/>
          <c:tx>
            <c:v>Bande inf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Mercedes!$AM$2:$AM$530</c:f>
              <c:numCache>
                <c:formatCode>General</c:formatCode>
                <c:ptCount val="529"/>
                <c:pt idx="0">
                  <c:v>44.374248033954132</c:v>
                </c:pt>
                <c:pt idx="1">
                  <c:v>44.304040318537304</c:v>
                </c:pt>
                <c:pt idx="2">
                  <c:v>44.229546329260309</c:v>
                </c:pt>
                <c:pt idx="3">
                  <c:v>44.132048477402854</c:v>
                </c:pt>
                <c:pt idx="4">
                  <c:v>44.048172785404155</c:v>
                </c:pt>
                <c:pt idx="5">
                  <c:v>43.833868847183759</c:v>
                </c:pt>
                <c:pt idx="6">
                  <c:v>43.676820654305104</c:v>
                </c:pt>
                <c:pt idx="7">
                  <c:v>43.536778242803052</c:v>
                </c:pt>
                <c:pt idx="8">
                  <c:v>43.405185835777566</c:v>
                </c:pt>
                <c:pt idx="9">
                  <c:v>43.094529184330973</c:v>
                </c:pt>
                <c:pt idx="10">
                  <c:v>42.78685835538878</c:v>
                </c:pt>
                <c:pt idx="11">
                  <c:v>42.556761036260795</c:v>
                </c:pt>
                <c:pt idx="12">
                  <c:v>42.330866492687768</c:v>
                </c:pt>
                <c:pt idx="13">
                  <c:v>42.106223214958341</c:v>
                </c:pt>
                <c:pt idx="14">
                  <c:v>41.961399658702931</c:v>
                </c:pt>
                <c:pt idx="15">
                  <c:v>41.867441106153578</c:v>
                </c:pt>
                <c:pt idx="16">
                  <c:v>41.776551226616029</c:v>
                </c:pt>
                <c:pt idx="17">
                  <c:v>41.702242671860887</c:v>
                </c:pt>
                <c:pt idx="18">
                  <c:v>41.627933536619231</c:v>
                </c:pt>
                <c:pt idx="19">
                  <c:v>41.727654229996524</c:v>
                </c:pt>
                <c:pt idx="20">
                  <c:v>41.810190521947654</c:v>
                </c:pt>
                <c:pt idx="21">
                  <c:v>41.807161741333147</c:v>
                </c:pt>
                <c:pt idx="22">
                  <c:v>41.861178450918345</c:v>
                </c:pt>
                <c:pt idx="23">
                  <c:v>41.892842006759523</c:v>
                </c:pt>
                <c:pt idx="24">
                  <c:v>41.858317079448945</c:v>
                </c:pt>
                <c:pt idx="25">
                  <c:v>41.90359439660493</c:v>
                </c:pt>
                <c:pt idx="26">
                  <c:v>41.919606100960394</c:v>
                </c:pt>
                <c:pt idx="27">
                  <c:v>41.833574132922514</c:v>
                </c:pt>
                <c:pt idx="28">
                  <c:v>41.815276463097263</c:v>
                </c:pt>
                <c:pt idx="29">
                  <c:v>41.872735553615897</c:v>
                </c:pt>
                <c:pt idx="30">
                  <c:v>41.893889406680898</c:v>
                </c:pt>
                <c:pt idx="31">
                  <c:v>41.853022165748236</c:v>
                </c:pt>
                <c:pt idx="32">
                  <c:v>41.823129777790342</c:v>
                </c:pt>
                <c:pt idx="33">
                  <c:v>41.863154706069764</c:v>
                </c:pt>
                <c:pt idx="34">
                  <c:v>41.839064723624389</c:v>
                </c:pt>
                <c:pt idx="35">
                  <c:v>41.793885175108159</c:v>
                </c:pt>
                <c:pt idx="36">
                  <c:v>41.728315584468902</c:v>
                </c:pt>
                <c:pt idx="37">
                  <c:v>41.707560815394814</c:v>
                </c:pt>
                <c:pt idx="38">
                  <c:v>41.704787760533954</c:v>
                </c:pt>
                <c:pt idx="39">
                  <c:v>41.565873413799785</c:v>
                </c:pt>
                <c:pt idx="40">
                  <c:v>41.418521209206396</c:v>
                </c:pt>
                <c:pt idx="41">
                  <c:v>41.250392051441963</c:v>
                </c:pt>
                <c:pt idx="42">
                  <c:v>41.09677086042602</c:v>
                </c:pt>
                <c:pt idx="43">
                  <c:v>41.012635738153236</c:v>
                </c:pt>
                <c:pt idx="44">
                  <c:v>40.992935180279737</c:v>
                </c:pt>
                <c:pt idx="45">
                  <c:v>41.065123314424142</c:v>
                </c:pt>
                <c:pt idx="46">
                  <c:v>41.081353074651545</c:v>
                </c:pt>
                <c:pt idx="47">
                  <c:v>41.330689340733969</c:v>
                </c:pt>
                <c:pt idx="48">
                  <c:v>41.525369016768138</c:v>
                </c:pt>
                <c:pt idx="49">
                  <c:v>41.727405967052164</c:v>
                </c:pt>
                <c:pt idx="50">
                  <c:v>41.931215521988605</c:v>
                </c:pt>
                <c:pt idx="51">
                  <c:v>42.185766401641168</c:v>
                </c:pt>
                <c:pt idx="52">
                  <c:v>42.46905410255912</c:v>
                </c:pt>
                <c:pt idx="53">
                  <c:v>42.74728601611379</c:v>
                </c:pt>
                <c:pt idx="54">
                  <c:v>43.069992606383892</c:v>
                </c:pt>
                <c:pt idx="55">
                  <c:v>43.440242307023816</c:v>
                </c:pt>
                <c:pt idx="56">
                  <c:v>43.764587862658644</c:v>
                </c:pt>
                <c:pt idx="57">
                  <c:v>44.030440090640795</c:v>
                </c:pt>
                <c:pt idx="58">
                  <c:v>44.243811338025566</c:v>
                </c:pt>
                <c:pt idx="59">
                  <c:v>44.499152593764144</c:v>
                </c:pt>
                <c:pt idx="60">
                  <c:v>44.757085454405335</c:v>
                </c:pt>
                <c:pt idx="61">
                  <c:v>45.058577960088186</c:v>
                </c:pt>
                <c:pt idx="62">
                  <c:v>45.352252662297538</c:v>
                </c:pt>
                <c:pt idx="63">
                  <c:v>45.629173666674902</c:v>
                </c:pt>
                <c:pt idx="64">
                  <c:v>45.931977826295189</c:v>
                </c:pt>
                <c:pt idx="65">
                  <c:v>46.131456925217172</c:v>
                </c:pt>
                <c:pt idx="66">
                  <c:v>46.393431572628039</c:v>
                </c:pt>
                <c:pt idx="67">
                  <c:v>46.445907435372419</c:v>
                </c:pt>
                <c:pt idx="68">
                  <c:v>46.54600535824251</c:v>
                </c:pt>
                <c:pt idx="69">
                  <c:v>46.639855199157871</c:v>
                </c:pt>
                <c:pt idx="70">
                  <c:v>46.716001771987663</c:v>
                </c:pt>
                <c:pt idx="71">
                  <c:v>46.788579909302953</c:v>
                </c:pt>
                <c:pt idx="72">
                  <c:v>46.841116263063057</c:v>
                </c:pt>
                <c:pt idx="73">
                  <c:v>46.896767294997176</c:v>
                </c:pt>
                <c:pt idx="74">
                  <c:v>47.00701081641661</c:v>
                </c:pt>
                <c:pt idx="75">
                  <c:v>46.99941809399612</c:v>
                </c:pt>
                <c:pt idx="76">
                  <c:v>46.942414620804577</c:v>
                </c:pt>
                <c:pt idx="77">
                  <c:v>46.941414514836175</c:v>
                </c:pt>
                <c:pt idx="78">
                  <c:v>46.922993413731952</c:v>
                </c:pt>
                <c:pt idx="79">
                  <c:v>46.835310957226511</c:v>
                </c:pt>
                <c:pt idx="80">
                  <c:v>46.969969747907001</c:v>
                </c:pt>
                <c:pt idx="81">
                  <c:v>47.040635453063103</c:v>
                </c:pt>
                <c:pt idx="82">
                  <c:v>47.064336999114268</c:v>
                </c:pt>
                <c:pt idx="83">
                  <c:v>47.032471939561411</c:v>
                </c:pt>
                <c:pt idx="84">
                  <c:v>47.008527475087277</c:v>
                </c:pt>
                <c:pt idx="85">
                  <c:v>46.962964646091699</c:v>
                </c:pt>
                <c:pt idx="86">
                  <c:v>46.92900263112378</c:v>
                </c:pt>
                <c:pt idx="87">
                  <c:v>46.910075782039442</c:v>
                </c:pt>
                <c:pt idx="88">
                  <c:v>46.972582771035974</c:v>
                </c:pt>
                <c:pt idx="89">
                  <c:v>47.063307833815429</c:v>
                </c:pt>
                <c:pt idx="90">
                  <c:v>47.263497677712529</c:v>
                </c:pt>
                <c:pt idx="91">
                  <c:v>47.423652784775214</c:v>
                </c:pt>
                <c:pt idx="92">
                  <c:v>47.626122654365481</c:v>
                </c:pt>
                <c:pt idx="93">
                  <c:v>47.853518366613542</c:v>
                </c:pt>
                <c:pt idx="94">
                  <c:v>48.026109692450774</c:v>
                </c:pt>
                <c:pt idx="95">
                  <c:v>48.288867398541143</c:v>
                </c:pt>
                <c:pt idx="96">
                  <c:v>48.629502981124858</c:v>
                </c:pt>
                <c:pt idx="97">
                  <c:v>48.941361964683914</c:v>
                </c:pt>
                <c:pt idx="98">
                  <c:v>49.275702183790621</c:v>
                </c:pt>
                <c:pt idx="99">
                  <c:v>49.651864090933763</c:v>
                </c:pt>
                <c:pt idx="100">
                  <c:v>49.800558793698528</c:v>
                </c:pt>
                <c:pt idx="101">
                  <c:v>50.031029702370262</c:v>
                </c:pt>
                <c:pt idx="102">
                  <c:v>50.237165740040318</c:v>
                </c:pt>
                <c:pt idx="103">
                  <c:v>50.460650548738776</c:v>
                </c:pt>
                <c:pt idx="104">
                  <c:v>50.642365394879391</c:v>
                </c:pt>
                <c:pt idx="105">
                  <c:v>50.851609504558724</c:v>
                </c:pt>
                <c:pt idx="106">
                  <c:v>50.993197587768236</c:v>
                </c:pt>
                <c:pt idx="107">
                  <c:v>51.106590970324881</c:v>
                </c:pt>
                <c:pt idx="108">
                  <c:v>51.079476080685083</c:v>
                </c:pt>
                <c:pt idx="109">
                  <c:v>51.058787020739146</c:v>
                </c:pt>
                <c:pt idx="110">
                  <c:v>50.970491434971436</c:v>
                </c:pt>
                <c:pt idx="111">
                  <c:v>50.880567224960174</c:v>
                </c:pt>
                <c:pt idx="112">
                  <c:v>50.678057636291705</c:v>
                </c:pt>
                <c:pt idx="113">
                  <c:v>50.441318832925873</c:v>
                </c:pt>
                <c:pt idx="114">
                  <c:v>50.256707189537408</c:v>
                </c:pt>
                <c:pt idx="115">
                  <c:v>50.128431786222748</c:v>
                </c:pt>
                <c:pt idx="116">
                  <c:v>50.100126583818586</c:v>
                </c:pt>
                <c:pt idx="117">
                  <c:v>50.075026960265632</c:v>
                </c:pt>
                <c:pt idx="118">
                  <c:v>50.076628265397936</c:v>
                </c:pt>
                <c:pt idx="119">
                  <c:v>50.145726889509376</c:v>
                </c:pt>
                <c:pt idx="120">
                  <c:v>50.235764364107318</c:v>
                </c:pt>
                <c:pt idx="121">
                  <c:v>50.338062593919439</c:v>
                </c:pt>
                <c:pt idx="122">
                  <c:v>50.510514271926425</c:v>
                </c:pt>
                <c:pt idx="123">
                  <c:v>50.709028189008464</c:v>
                </c:pt>
                <c:pt idx="124">
                  <c:v>50.900885319428419</c:v>
                </c:pt>
                <c:pt idx="125">
                  <c:v>51.160137634031607</c:v>
                </c:pt>
                <c:pt idx="126">
                  <c:v>51.431251991617572</c:v>
                </c:pt>
                <c:pt idx="127">
                  <c:v>51.752153023106473</c:v>
                </c:pt>
                <c:pt idx="128">
                  <c:v>52.114495591690201</c:v>
                </c:pt>
                <c:pt idx="129">
                  <c:v>52.474034548851279</c:v>
                </c:pt>
                <c:pt idx="130">
                  <c:v>52.780862783403094</c:v>
                </c:pt>
                <c:pt idx="131">
                  <c:v>53.093394420769549</c:v>
                </c:pt>
                <c:pt idx="132">
                  <c:v>53.427149848105714</c:v>
                </c:pt>
                <c:pt idx="133">
                  <c:v>53.85406915691523</c:v>
                </c:pt>
                <c:pt idx="134">
                  <c:v>54.213731486190113</c:v>
                </c:pt>
                <c:pt idx="135">
                  <c:v>54.538619817862092</c:v>
                </c:pt>
                <c:pt idx="136">
                  <c:v>54.743501923577526</c:v>
                </c:pt>
                <c:pt idx="137">
                  <c:v>54.895487631529285</c:v>
                </c:pt>
                <c:pt idx="138">
                  <c:v>55.036831446367607</c:v>
                </c:pt>
                <c:pt idx="139">
                  <c:v>55.110092283589104</c:v>
                </c:pt>
                <c:pt idx="140">
                  <c:v>55.129055693102302</c:v>
                </c:pt>
                <c:pt idx="141">
                  <c:v>55.163940411999761</c:v>
                </c:pt>
                <c:pt idx="142">
                  <c:v>55.201181889738493</c:v>
                </c:pt>
                <c:pt idx="143">
                  <c:v>55.210770091515421</c:v>
                </c:pt>
                <c:pt idx="144">
                  <c:v>55.212313991291033</c:v>
                </c:pt>
                <c:pt idx="145">
                  <c:v>55.204345242356482</c:v>
                </c:pt>
                <c:pt idx="146">
                  <c:v>55.223401930930123</c:v>
                </c:pt>
                <c:pt idx="147">
                  <c:v>55.216876097479897</c:v>
                </c:pt>
                <c:pt idx="148">
                  <c:v>55.168369620092321</c:v>
                </c:pt>
                <c:pt idx="149">
                  <c:v>55.084553797393006</c:v>
                </c:pt>
                <c:pt idx="150">
                  <c:v>55.062582134580225</c:v>
                </c:pt>
                <c:pt idx="151">
                  <c:v>55.101703842813784</c:v>
                </c:pt>
                <c:pt idx="152">
                  <c:v>55.210161657102852</c:v>
                </c:pt>
                <c:pt idx="153">
                  <c:v>55.211667613084586</c:v>
                </c:pt>
                <c:pt idx="154">
                  <c:v>55.188661812571659</c:v>
                </c:pt>
                <c:pt idx="155">
                  <c:v>55.17574576752417</c:v>
                </c:pt>
                <c:pt idx="156">
                  <c:v>55.184879419105698</c:v>
                </c:pt>
                <c:pt idx="157">
                  <c:v>55.219971297850407</c:v>
                </c:pt>
                <c:pt idx="158">
                  <c:v>55.291412571951241</c:v>
                </c:pt>
                <c:pt idx="159">
                  <c:v>55.377552901738433</c:v>
                </c:pt>
                <c:pt idx="160">
                  <c:v>55.496834726904297</c:v>
                </c:pt>
                <c:pt idx="161">
                  <c:v>55.551632287822216</c:v>
                </c:pt>
                <c:pt idx="162">
                  <c:v>55.62369962949704</c:v>
                </c:pt>
                <c:pt idx="163">
                  <c:v>55.704472225735302</c:v>
                </c:pt>
                <c:pt idx="164">
                  <c:v>55.815920325839791</c:v>
                </c:pt>
                <c:pt idx="165">
                  <c:v>55.87693820513006</c:v>
                </c:pt>
                <c:pt idx="166">
                  <c:v>55.965709105261027</c:v>
                </c:pt>
                <c:pt idx="167">
                  <c:v>56.122140254969224</c:v>
                </c:pt>
                <c:pt idx="168">
                  <c:v>56.290517853511709</c:v>
                </c:pt>
                <c:pt idx="169">
                  <c:v>56.524329078426788</c:v>
                </c:pt>
                <c:pt idx="170">
                  <c:v>56.747921168598936</c:v>
                </c:pt>
                <c:pt idx="171">
                  <c:v>56.946378591669188</c:v>
                </c:pt>
                <c:pt idx="172">
                  <c:v>57.131312516562765</c:v>
                </c:pt>
                <c:pt idx="173">
                  <c:v>57.261794547387119</c:v>
                </c:pt>
                <c:pt idx="174">
                  <c:v>57.403962542048554</c:v>
                </c:pt>
                <c:pt idx="175">
                  <c:v>57.520316961059621</c:v>
                </c:pt>
                <c:pt idx="176">
                  <c:v>57.857420726980159</c:v>
                </c:pt>
                <c:pt idx="177">
                  <c:v>58.233019168408703</c:v>
                </c:pt>
                <c:pt idx="178">
                  <c:v>58.529728174697219</c:v>
                </c:pt>
                <c:pt idx="179">
                  <c:v>58.775242426973492</c:v>
                </c:pt>
                <c:pt idx="180">
                  <c:v>59.010671985392236</c:v>
                </c:pt>
                <c:pt idx="181">
                  <c:v>59.270593928936734</c:v>
                </c:pt>
                <c:pt idx="182">
                  <c:v>59.677600400462268</c:v>
                </c:pt>
                <c:pt idx="183">
                  <c:v>60.067947666115472</c:v>
                </c:pt>
                <c:pt idx="184">
                  <c:v>60.414827188627612</c:v>
                </c:pt>
                <c:pt idx="185">
                  <c:v>60.818349786368898</c:v>
                </c:pt>
                <c:pt idx="186">
                  <c:v>61.221830095266043</c:v>
                </c:pt>
                <c:pt idx="187">
                  <c:v>61.58099047035148</c:v>
                </c:pt>
                <c:pt idx="188">
                  <c:v>61.922892002763916</c:v>
                </c:pt>
                <c:pt idx="189">
                  <c:v>62.253145145286396</c:v>
                </c:pt>
                <c:pt idx="190">
                  <c:v>62.551363575308187</c:v>
                </c:pt>
                <c:pt idx="191">
                  <c:v>62.827545672515015</c:v>
                </c:pt>
                <c:pt idx="192">
                  <c:v>63.170205154478005</c:v>
                </c:pt>
                <c:pt idx="193">
                  <c:v>63.519838074921651</c:v>
                </c:pt>
                <c:pt idx="194">
                  <c:v>63.898659637304725</c:v>
                </c:pt>
                <c:pt idx="195">
                  <c:v>64.285046109791068</c:v>
                </c:pt>
                <c:pt idx="196">
                  <c:v>64.472262375442156</c:v>
                </c:pt>
                <c:pt idx="197">
                  <c:v>64.645996134106383</c:v>
                </c:pt>
                <c:pt idx="198">
                  <c:v>64.76470211742388</c:v>
                </c:pt>
                <c:pt idx="199">
                  <c:v>64.959990582262549</c:v>
                </c:pt>
                <c:pt idx="200">
                  <c:v>65.122523715552305</c:v>
                </c:pt>
                <c:pt idx="201">
                  <c:v>65.26308672164464</c:v>
                </c:pt>
                <c:pt idx="202">
                  <c:v>65.22953531309598</c:v>
                </c:pt>
                <c:pt idx="203">
                  <c:v>65.202855722641175</c:v>
                </c:pt>
                <c:pt idx="204">
                  <c:v>65.229608455285558</c:v>
                </c:pt>
                <c:pt idx="205">
                  <c:v>65.230267419706422</c:v>
                </c:pt>
                <c:pt idx="206">
                  <c:v>65.218603256598044</c:v>
                </c:pt>
                <c:pt idx="207">
                  <c:v>65.19200658925223</c:v>
                </c:pt>
                <c:pt idx="208">
                  <c:v>65.190843389046222</c:v>
                </c:pt>
                <c:pt idx="209">
                  <c:v>65.173843472471177</c:v>
                </c:pt>
                <c:pt idx="210">
                  <c:v>65.137864221470409</c:v>
                </c:pt>
                <c:pt idx="211">
                  <c:v>65.078233287672447</c:v>
                </c:pt>
                <c:pt idx="212">
                  <c:v>64.908736045455782</c:v>
                </c:pt>
                <c:pt idx="213">
                  <c:v>64.778890020974984</c:v>
                </c:pt>
                <c:pt idx="214">
                  <c:v>64.671066160527928</c:v>
                </c:pt>
                <c:pt idx="215">
                  <c:v>64.503467351934162</c:v>
                </c:pt>
                <c:pt idx="216">
                  <c:v>64.333092681619519</c:v>
                </c:pt>
                <c:pt idx="217">
                  <c:v>64.132444352196089</c:v>
                </c:pt>
                <c:pt idx="218">
                  <c:v>64.047804573739185</c:v>
                </c:pt>
                <c:pt idx="219">
                  <c:v>63.980129113669015</c:v>
                </c:pt>
                <c:pt idx="220">
                  <c:v>63.979056210350706</c:v>
                </c:pt>
                <c:pt idx="221">
                  <c:v>64.017615770037381</c:v>
                </c:pt>
                <c:pt idx="222">
                  <c:v>64.017128214609926</c:v>
                </c:pt>
                <c:pt idx="223">
                  <c:v>64.019282264122609</c:v>
                </c:pt>
                <c:pt idx="224">
                  <c:v>63.96310097306862</c:v>
                </c:pt>
                <c:pt idx="225">
                  <c:v>63.853108345654881</c:v>
                </c:pt>
                <c:pt idx="226">
                  <c:v>63.769370572320895</c:v>
                </c:pt>
                <c:pt idx="227">
                  <c:v>63.672605062214146</c:v>
                </c:pt>
                <c:pt idx="228">
                  <c:v>63.392212975903114</c:v>
                </c:pt>
                <c:pt idx="229">
                  <c:v>63.02779582653281</c:v>
                </c:pt>
                <c:pt idx="230">
                  <c:v>62.742848100526984</c:v>
                </c:pt>
                <c:pt idx="231">
                  <c:v>62.456557061333413</c:v>
                </c:pt>
                <c:pt idx="232">
                  <c:v>62.170009178618024</c:v>
                </c:pt>
                <c:pt idx="233">
                  <c:v>61.818299333565797</c:v>
                </c:pt>
                <c:pt idx="234">
                  <c:v>61.418667714103492</c:v>
                </c:pt>
                <c:pt idx="235">
                  <c:v>61.073532170050001</c:v>
                </c:pt>
                <c:pt idx="236">
                  <c:v>60.6828339608156</c:v>
                </c:pt>
                <c:pt idx="237">
                  <c:v>60.304043964940263</c:v>
                </c:pt>
                <c:pt idx="238">
                  <c:v>59.848397288115152</c:v>
                </c:pt>
                <c:pt idx="239">
                  <c:v>59.344866151043959</c:v>
                </c:pt>
                <c:pt idx="240">
                  <c:v>58.802129101541567</c:v>
                </c:pt>
                <c:pt idx="241">
                  <c:v>58.298980583688319</c:v>
                </c:pt>
                <c:pt idx="242">
                  <c:v>57.754843340466643</c:v>
                </c:pt>
                <c:pt idx="243">
                  <c:v>57.211079292364715</c:v>
                </c:pt>
                <c:pt idx="244">
                  <c:v>56.700106582170818</c:v>
                </c:pt>
                <c:pt idx="245">
                  <c:v>56.210789238738776</c:v>
                </c:pt>
                <c:pt idx="246">
                  <c:v>55.675454522424417</c:v>
                </c:pt>
                <c:pt idx="247">
                  <c:v>55.08661784595391</c:v>
                </c:pt>
                <c:pt idx="248">
                  <c:v>54.708951656621238</c:v>
                </c:pt>
                <c:pt idx="249">
                  <c:v>54.371949889959694</c:v>
                </c:pt>
                <c:pt idx="250">
                  <c:v>53.947638066876024</c:v>
                </c:pt>
                <c:pt idx="251">
                  <c:v>53.529248910129311</c:v>
                </c:pt>
                <c:pt idx="252">
                  <c:v>53.176575383329507</c:v>
                </c:pt>
                <c:pt idx="253">
                  <c:v>52.866473234734272</c:v>
                </c:pt>
                <c:pt idx="254">
                  <c:v>52.661373057395018</c:v>
                </c:pt>
                <c:pt idx="255">
                  <c:v>52.454626712836514</c:v>
                </c:pt>
                <c:pt idx="256">
                  <c:v>52.283375465687428</c:v>
                </c:pt>
                <c:pt idx="257">
                  <c:v>52.150934701252751</c:v>
                </c:pt>
                <c:pt idx="258">
                  <c:v>52.110053281387472</c:v>
                </c:pt>
                <c:pt idx="259">
                  <c:v>52.112942795461777</c:v>
                </c:pt>
                <c:pt idx="260">
                  <c:v>52.14321342779899</c:v>
                </c:pt>
                <c:pt idx="261">
                  <c:v>52.065113738013011</c:v>
                </c:pt>
                <c:pt idx="262">
                  <c:v>52.03970530133472</c:v>
                </c:pt>
                <c:pt idx="263">
                  <c:v>52.020514561330231</c:v>
                </c:pt>
                <c:pt idx="264">
                  <c:v>52.088005959569706</c:v>
                </c:pt>
                <c:pt idx="265">
                  <c:v>52.135319765383798</c:v>
                </c:pt>
                <c:pt idx="266">
                  <c:v>52.199157443869936</c:v>
                </c:pt>
                <c:pt idx="267">
                  <c:v>52.35885143253352</c:v>
                </c:pt>
                <c:pt idx="268">
                  <c:v>52.477428532246975</c:v>
                </c:pt>
                <c:pt idx="269">
                  <c:v>52.61378917753126</c:v>
                </c:pt>
                <c:pt idx="270">
                  <c:v>52.8172490867981</c:v>
                </c:pt>
                <c:pt idx="271">
                  <c:v>53.031652234408334</c:v>
                </c:pt>
                <c:pt idx="272">
                  <c:v>53.224402183606188</c:v>
                </c:pt>
                <c:pt idx="273">
                  <c:v>53.483208099257965</c:v>
                </c:pt>
                <c:pt idx="274">
                  <c:v>53.598496576470339</c:v>
                </c:pt>
                <c:pt idx="275">
                  <c:v>53.61802923143658</c:v>
                </c:pt>
                <c:pt idx="276">
                  <c:v>53.689623890829033</c:v>
                </c:pt>
                <c:pt idx="277">
                  <c:v>53.734331383925586</c:v>
                </c:pt>
                <c:pt idx="278">
                  <c:v>53.732877630949716</c:v>
                </c:pt>
                <c:pt idx="279">
                  <c:v>53.663159783984014</c:v>
                </c:pt>
                <c:pt idx="280">
                  <c:v>53.607789377801524</c:v>
                </c:pt>
                <c:pt idx="281">
                  <c:v>53.557674288261971</c:v>
                </c:pt>
                <c:pt idx="282">
                  <c:v>53.473298199514993</c:v>
                </c:pt>
                <c:pt idx="283">
                  <c:v>53.377016924287886</c:v>
                </c:pt>
                <c:pt idx="284">
                  <c:v>53.197500468559326</c:v>
                </c:pt>
                <c:pt idx="285">
                  <c:v>53.044657202492274</c:v>
                </c:pt>
                <c:pt idx="286">
                  <c:v>52.841850582538257</c:v>
                </c:pt>
                <c:pt idx="287">
                  <c:v>52.641260509196499</c:v>
                </c:pt>
                <c:pt idx="288">
                  <c:v>52.444556788278391</c:v>
                </c:pt>
                <c:pt idx="289">
                  <c:v>52.24189992934042</c:v>
                </c:pt>
                <c:pt idx="290">
                  <c:v>52.023084070892892</c:v>
                </c:pt>
                <c:pt idx="291">
                  <c:v>51.798568597911483</c:v>
                </c:pt>
                <c:pt idx="292">
                  <c:v>51.600224295066248</c:v>
                </c:pt>
                <c:pt idx="293">
                  <c:v>51.347998646486367</c:v>
                </c:pt>
                <c:pt idx="294">
                  <c:v>51.112023853978428</c:v>
                </c:pt>
                <c:pt idx="295">
                  <c:v>51.006485911248284</c:v>
                </c:pt>
                <c:pt idx="296">
                  <c:v>50.820672324830895</c:v>
                </c:pt>
                <c:pt idx="297">
                  <c:v>50.554219414893936</c:v>
                </c:pt>
                <c:pt idx="298">
                  <c:v>50.298522808087782</c:v>
                </c:pt>
                <c:pt idx="299">
                  <c:v>50.117060164048226</c:v>
                </c:pt>
                <c:pt idx="300">
                  <c:v>49.949084920266642</c:v>
                </c:pt>
                <c:pt idx="301">
                  <c:v>49.805448465761955</c:v>
                </c:pt>
                <c:pt idx="302">
                  <c:v>49.748800025859673</c:v>
                </c:pt>
                <c:pt idx="303">
                  <c:v>49.735873382474558</c:v>
                </c:pt>
                <c:pt idx="304">
                  <c:v>49.73769787127906</c:v>
                </c:pt>
                <c:pt idx="305">
                  <c:v>49.682420333703234</c:v>
                </c:pt>
                <c:pt idx="306">
                  <c:v>49.67449017807661</c:v>
                </c:pt>
                <c:pt idx="307">
                  <c:v>49.661462020562794</c:v>
                </c:pt>
                <c:pt idx="308">
                  <c:v>49.678212789575689</c:v>
                </c:pt>
                <c:pt idx="309">
                  <c:v>49.800785311863393</c:v>
                </c:pt>
                <c:pt idx="310">
                  <c:v>50.104520284985917</c:v>
                </c:pt>
                <c:pt idx="311">
                  <c:v>50.423207773268963</c:v>
                </c:pt>
                <c:pt idx="312">
                  <c:v>50.713035712345352</c:v>
                </c:pt>
                <c:pt idx="313">
                  <c:v>51.03698501961064</c:v>
                </c:pt>
                <c:pt idx="314">
                  <c:v>51.466709945073518</c:v>
                </c:pt>
                <c:pt idx="315">
                  <c:v>51.894036201616323</c:v>
                </c:pt>
                <c:pt idx="316">
                  <c:v>52.388885505638811</c:v>
                </c:pt>
                <c:pt idx="317">
                  <c:v>52.940478199272945</c:v>
                </c:pt>
                <c:pt idx="318">
                  <c:v>53.472227500251769</c:v>
                </c:pt>
                <c:pt idx="319">
                  <c:v>54.001320349389268</c:v>
                </c:pt>
                <c:pt idx="320">
                  <c:v>54.498934741092413</c:v>
                </c:pt>
                <c:pt idx="321">
                  <c:v>55.007618256455302</c:v>
                </c:pt>
                <c:pt idx="322">
                  <c:v>55.418674800117962</c:v>
                </c:pt>
                <c:pt idx="323">
                  <c:v>55.827109425434415</c:v>
                </c:pt>
                <c:pt idx="324">
                  <c:v>56.278731083595559</c:v>
                </c:pt>
                <c:pt idx="325">
                  <c:v>56.827511750365716</c:v>
                </c:pt>
                <c:pt idx="326">
                  <c:v>57.394388257309821</c:v>
                </c:pt>
                <c:pt idx="327">
                  <c:v>57.978083325038902</c:v>
                </c:pt>
                <c:pt idx="328">
                  <c:v>58.533971390579914</c:v>
                </c:pt>
                <c:pt idx="329">
                  <c:v>58.998673270207277</c:v>
                </c:pt>
                <c:pt idx="330">
                  <c:v>59.247323434451189</c:v>
                </c:pt>
                <c:pt idx="331">
                  <c:v>59.495781495003115</c:v>
                </c:pt>
                <c:pt idx="332">
                  <c:v>59.778951894665617</c:v>
                </c:pt>
                <c:pt idx="333">
                  <c:v>60.090468202802981</c:v>
                </c:pt>
                <c:pt idx="334">
                  <c:v>60.330636393433807</c:v>
                </c:pt>
                <c:pt idx="335">
                  <c:v>60.570389159306181</c:v>
                </c:pt>
                <c:pt idx="336">
                  <c:v>60.704169475286818</c:v>
                </c:pt>
                <c:pt idx="337">
                  <c:v>60.825557433695622</c:v>
                </c:pt>
                <c:pt idx="338">
                  <c:v>61.003768412377383</c:v>
                </c:pt>
                <c:pt idx="339">
                  <c:v>61.099125725944369</c:v>
                </c:pt>
                <c:pt idx="340">
                  <c:v>61.230728796173935</c:v>
                </c:pt>
                <c:pt idx="341">
                  <c:v>61.376337165359359</c:v>
                </c:pt>
                <c:pt idx="342">
                  <c:v>61.544635701265975</c:v>
                </c:pt>
                <c:pt idx="343">
                  <c:v>61.671138605550503</c:v>
                </c:pt>
                <c:pt idx="344">
                  <c:v>61.741605666019659</c:v>
                </c:pt>
                <c:pt idx="345">
                  <c:v>61.833583918234424</c:v>
                </c:pt>
                <c:pt idx="346">
                  <c:v>61.958654226295423</c:v>
                </c:pt>
                <c:pt idx="347">
                  <c:v>62.028158439785152</c:v>
                </c:pt>
                <c:pt idx="348">
                  <c:v>62.051631120449976</c:v>
                </c:pt>
                <c:pt idx="349">
                  <c:v>62.159972997864159</c:v>
                </c:pt>
                <c:pt idx="350">
                  <c:v>62.297551890435102</c:v>
                </c:pt>
                <c:pt idx="351">
                  <c:v>62.439770454117216</c:v>
                </c:pt>
                <c:pt idx="352">
                  <c:v>62.51450232066788</c:v>
                </c:pt>
                <c:pt idx="353">
                  <c:v>62.519988653205395</c:v>
                </c:pt>
                <c:pt idx="354">
                  <c:v>62.52105760936702</c:v>
                </c:pt>
                <c:pt idx="355">
                  <c:v>62.511867293854976</c:v>
                </c:pt>
                <c:pt idx="356">
                  <c:v>62.585211571814718</c:v>
                </c:pt>
                <c:pt idx="357">
                  <c:v>62.665980482419705</c:v>
                </c:pt>
                <c:pt idx="358">
                  <c:v>62.682016516266025</c:v>
                </c:pt>
                <c:pt idx="359">
                  <c:v>62.761662693052656</c:v>
                </c:pt>
                <c:pt idx="360">
                  <c:v>62.859633945258736</c:v>
                </c:pt>
                <c:pt idx="361">
                  <c:v>62.946532694285366</c:v>
                </c:pt>
                <c:pt idx="362">
                  <c:v>63.102567825042705</c:v>
                </c:pt>
                <c:pt idx="363">
                  <c:v>63.29027057479027</c:v>
                </c:pt>
                <c:pt idx="364">
                  <c:v>63.562954727569888</c:v>
                </c:pt>
                <c:pt idx="365">
                  <c:v>63.742960317981108</c:v>
                </c:pt>
                <c:pt idx="366">
                  <c:v>63.926052768581023</c:v>
                </c:pt>
                <c:pt idx="367">
                  <c:v>64.183179134331255</c:v>
                </c:pt>
                <c:pt idx="368">
                  <c:v>64.473640706121799</c:v>
                </c:pt>
                <c:pt idx="369">
                  <c:v>64.659107517118727</c:v>
                </c:pt>
                <c:pt idx="370">
                  <c:v>64.838268880366812</c:v>
                </c:pt>
                <c:pt idx="371">
                  <c:v>64.992793728111494</c:v>
                </c:pt>
                <c:pt idx="372">
                  <c:v>65.251567981826284</c:v>
                </c:pt>
                <c:pt idx="373">
                  <c:v>65.575051440542637</c:v>
                </c:pt>
                <c:pt idx="374">
                  <c:v>65.854014703302937</c:v>
                </c:pt>
                <c:pt idx="375">
                  <c:v>65.965328771610274</c:v>
                </c:pt>
                <c:pt idx="376">
                  <c:v>66.126334346368921</c:v>
                </c:pt>
                <c:pt idx="377">
                  <c:v>66.307857878640633</c:v>
                </c:pt>
                <c:pt idx="378">
                  <c:v>66.504489216992269</c:v>
                </c:pt>
                <c:pt idx="379">
                  <c:v>66.693415747744723</c:v>
                </c:pt>
                <c:pt idx="380">
                  <c:v>66.860415116499183</c:v>
                </c:pt>
                <c:pt idx="381">
                  <c:v>67.063739788766441</c:v>
                </c:pt>
                <c:pt idx="382">
                  <c:v>67.234168477244253</c:v>
                </c:pt>
                <c:pt idx="383">
                  <c:v>67.386918140741059</c:v>
                </c:pt>
                <c:pt idx="384">
                  <c:v>67.497652592512068</c:v>
                </c:pt>
                <c:pt idx="385">
                  <c:v>67.640852254592915</c:v>
                </c:pt>
                <c:pt idx="386">
                  <c:v>67.734335581050402</c:v>
                </c:pt>
                <c:pt idx="387">
                  <c:v>67.748932348071165</c:v>
                </c:pt>
                <c:pt idx="388">
                  <c:v>67.760639171378529</c:v>
                </c:pt>
                <c:pt idx="389">
                  <c:v>67.762943800014995</c:v>
                </c:pt>
                <c:pt idx="390">
                  <c:v>67.878281595887742</c:v>
                </c:pt>
                <c:pt idx="391">
                  <c:v>67.960095523875538</c:v>
                </c:pt>
                <c:pt idx="392">
                  <c:v>68.000205145016324</c:v>
                </c:pt>
                <c:pt idx="393">
                  <c:v>67.997274036556718</c:v>
                </c:pt>
                <c:pt idx="394">
                  <c:v>68.001893738490992</c:v>
                </c:pt>
                <c:pt idx="395">
                  <c:v>68.122645535792003</c:v>
                </c:pt>
                <c:pt idx="396">
                  <c:v>68.146307866807973</c:v>
                </c:pt>
                <c:pt idx="397">
                  <c:v>68.168868939556489</c:v>
                </c:pt>
                <c:pt idx="398">
                  <c:v>68.204335630934438</c:v>
                </c:pt>
                <c:pt idx="399">
                  <c:v>68.238389636014062</c:v>
                </c:pt>
                <c:pt idx="400">
                  <c:v>68.34154431636864</c:v>
                </c:pt>
                <c:pt idx="401">
                  <c:v>68.467283961635104</c:v>
                </c:pt>
                <c:pt idx="402">
                  <c:v>68.61708680995423</c:v>
                </c:pt>
                <c:pt idx="403">
                  <c:v>68.802039776512657</c:v>
                </c:pt>
                <c:pt idx="404">
                  <c:v>68.926037504699792</c:v>
                </c:pt>
                <c:pt idx="405">
                  <c:v>69.070747162242441</c:v>
                </c:pt>
                <c:pt idx="406">
                  <c:v>69.181800184452626</c:v>
                </c:pt>
                <c:pt idx="407">
                  <c:v>69.280206481438626</c:v>
                </c:pt>
                <c:pt idx="408">
                  <c:v>69.329348290869632</c:v>
                </c:pt>
                <c:pt idx="409">
                  <c:v>69.426684135277938</c:v>
                </c:pt>
                <c:pt idx="410">
                  <c:v>69.392983868959575</c:v>
                </c:pt>
                <c:pt idx="411">
                  <c:v>69.378016733274976</c:v>
                </c:pt>
                <c:pt idx="412">
                  <c:v>69.320259772280323</c:v>
                </c:pt>
                <c:pt idx="413">
                  <c:v>69.269119596517925</c:v>
                </c:pt>
                <c:pt idx="414">
                  <c:v>69.167765651763858</c:v>
                </c:pt>
                <c:pt idx="415">
                  <c:v>69.046934546411379</c:v>
                </c:pt>
                <c:pt idx="416">
                  <c:v>69.030684732293864</c:v>
                </c:pt>
                <c:pt idx="417">
                  <c:v>69.005087570312966</c:v>
                </c:pt>
                <c:pt idx="418">
                  <c:v>68.990916855594605</c:v>
                </c:pt>
                <c:pt idx="419">
                  <c:v>68.901458497600132</c:v>
                </c:pt>
                <c:pt idx="420">
                  <c:v>68.708846550241205</c:v>
                </c:pt>
                <c:pt idx="421">
                  <c:v>68.52917236662573</c:v>
                </c:pt>
                <c:pt idx="422">
                  <c:v>68.328443313915201</c:v>
                </c:pt>
                <c:pt idx="423">
                  <c:v>68.084926370288926</c:v>
                </c:pt>
                <c:pt idx="424">
                  <c:v>67.849095065083361</c:v>
                </c:pt>
                <c:pt idx="425">
                  <c:v>67.494993381736478</c:v>
                </c:pt>
                <c:pt idx="426">
                  <c:v>67.135400998023727</c:v>
                </c:pt>
                <c:pt idx="427">
                  <c:v>66.840771233686411</c:v>
                </c:pt>
                <c:pt idx="428">
                  <c:v>66.586603494028665</c:v>
                </c:pt>
                <c:pt idx="429">
                  <c:v>66.306274464312438</c:v>
                </c:pt>
                <c:pt idx="430">
                  <c:v>66.045720377237501</c:v>
                </c:pt>
                <c:pt idx="431">
                  <c:v>65.781082792379493</c:v>
                </c:pt>
                <c:pt idx="432">
                  <c:v>65.492440938767459</c:v>
                </c:pt>
                <c:pt idx="433">
                  <c:v>65.194537615642787</c:v>
                </c:pt>
                <c:pt idx="434">
                  <c:v>64.90124030401752</c:v>
                </c:pt>
                <c:pt idx="435">
                  <c:v>64.909408010417067</c:v>
                </c:pt>
                <c:pt idx="436">
                  <c:v>64.811156466085762</c:v>
                </c:pt>
                <c:pt idx="437">
                  <c:v>64.766716721998762</c:v>
                </c:pt>
                <c:pt idx="438">
                  <c:v>64.682519335216185</c:v>
                </c:pt>
                <c:pt idx="439">
                  <c:v>64.65863629510612</c:v>
                </c:pt>
                <c:pt idx="440">
                  <c:v>64.636313281523243</c:v>
                </c:pt>
                <c:pt idx="441">
                  <c:v>64.55354060317147</c:v>
                </c:pt>
                <c:pt idx="442">
                  <c:v>64.430748830258153</c:v>
                </c:pt>
                <c:pt idx="443">
                  <c:v>64.2717468385259</c:v>
                </c:pt>
                <c:pt idx="444">
                  <c:v>64.268504602693795</c:v>
                </c:pt>
                <c:pt idx="445">
                  <c:v>64.349353197619081</c:v>
                </c:pt>
                <c:pt idx="446">
                  <c:v>64.431684326759992</c:v>
                </c:pt>
                <c:pt idx="447">
                  <c:v>64.540442222549572</c:v>
                </c:pt>
                <c:pt idx="448">
                  <c:v>64.623145664648618</c:v>
                </c:pt>
                <c:pt idx="449">
                  <c:v>64.686229866501321</c:v>
                </c:pt>
                <c:pt idx="450">
                  <c:v>64.730492452273452</c:v>
                </c:pt>
                <c:pt idx="451">
                  <c:v>64.74620003507404</c:v>
                </c:pt>
                <c:pt idx="452">
                  <c:v>64.815258098075006</c:v>
                </c:pt>
                <c:pt idx="453">
                  <c:v>64.983341489656866</c:v>
                </c:pt>
                <c:pt idx="454">
                  <c:v>65.228125630347293</c:v>
                </c:pt>
                <c:pt idx="455">
                  <c:v>65.228574078785115</c:v>
                </c:pt>
                <c:pt idx="456">
                  <c:v>65.2693128835039</c:v>
                </c:pt>
                <c:pt idx="457">
                  <c:v>65.230447083951844</c:v>
                </c:pt>
                <c:pt idx="458">
                  <c:v>65.293663528568899</c:v>
                </c:pt>
                <c:pt idx="459">
                  <c:v>65.335042340606577</c:v>
                </c:pt>
                <c:pt idx="460">
                  <c:v>65.298772607264581</c:v>
                </c:pt>
                <c:pt idx="461">
                  <c:v>65.308918604830296</c:v>
                </c:pt>
                <c:pt idx="462">
                  <c:v>65.374600079340667</c:v>
                </c:pt>
                <c:pt idx="463">
                  <c:v>65.453419360737144</c:v>
                </c:pt>
                <c:pt idx="464">
                  <c:v>65.344859429086725</c:v>
                </c:pt>
                <c:pt idx="465">
                  <c:v>65.263910630209935</c:v>
                </c:pt>
                <c:pt idx="466">
                  <c:v>65.283449183698565</c:v>
                </c:pt>
                <c:pt idx="467">
                  <c:v>65.233297515071484</c:v>
                </c:pt>
                <c:pt idx="468">
                  <c:v>65.346854987106951</c:v>
                </c:pt>
                <c:pt idx="469">
                  <c:v>65.424149393524289</c:v>
                </c:pt>
                <c:pt idx="470">
                  <c:v>65.640499401830198</c:v>
                </c:pt>
                <c:pt idx="471">
                  <c:v>65.945442783424895</c:v>
                </c:pt>
                <c:pt idx="472">
                  <c:v>66.237276822368841</c:v>
                </c:pt>
                <c:pt idx="473">
                  <c:v>66.441138648980811</c:v>
                </c:pt>
                <c:pt idx="474">
                  <c:v>66.670009281254593</c:v>
                </c:pt>
                <c:pt idx="475">
                  <c:v>66.874915406691542</c:v>
                </c:pt>
                <c:pt idx="476">
                  <c:v>66.979175819982061</c:v>
                </c:pt>
                <c:pt idx="477">
                  <c:v>67.099390256902922</c:v>
                </c:pt>
                <c:pt idx="478">
                  <c:v>67.113056560773742</c:v>
                </c:pt>
                <c:pt idx="479">
                  <c:v>67.145562632262553</c:v>
                </c:pt>
                <c:pt idx="480">
                  <c:v>67.239181669525266</c:v>
                </c:pt>
                <c:pt idx="481">
                  <c:v>67.392293351815681</c:v>
                </c:pt>
                <c:pt idx="482">
                  <c:v>67.523829519302737</c:v>
                </c:pt>
                <c:pt idx="483">
                  <c:v>67.72797936969323</c:v>
                </c:pt>
                <c:pt idx="484">
                  <c:v>68.025264424774591</c:v>
                </c:pt>
                <c:pt idx="485">
                  <c:v>68.32419692415688</c:v>
                </c:pt>
                <c:pt idx="486">
                  <c:v>68.487649072064784</c:v>
                </c:pt>
                <c:pt idx="487">
                  <c:v>68.666919154647303</c:v>
                </c:pt>
                <c:pt idx="488">
                  <c:v>68.688042615340791</c:v>
                </c:pt>
                <c:pt idx="489">
                  <c:v>68.774020346761901</c:v>
                </c:pt>
                <c:pt idx="490">
                  <c:v>68.781575823506898</c:v>
                </c:pt>
                <c:pt idx="491">
                  <c:v>68.812195847974962</c:v>
                </c:pt>
                <c:pt idx="492">
                  <c:v>68.77671445250526</c:v>
                </c:pt>
                <c:pt idx="493">
                  <c:v>68.743687306579275</c:v>
                </c:pt>
                <c:pt idx="494">
                  <c:v>68.690184870705053</c:v>
                </c:pt>
                <c:pt idx="495">
                  <c:v>68.657267278519925</c:v>
                </c:pt>
                <c:pt idx="496">
                  <c:v>68.739540234181234</c:v>
                </c:pt>
                <c:pt idx="497">
                  <c:v>68.727892750863205</c:v>
                </c:pt>
                <c:pt idx="498">
                  <c:v>68.688724273362737</c:v>
                </c:pt>
                <c:pt idx="499">
                  <c:v>68.638882889429951</c:v>
                </c:pt>
                <c:pt idx="500">
                  <c:v>68.685718686037973</c:v>
                </c:pt>
                <c:pt idx="501">
                  <c:v>68.618658284032747</c:v>
                </c:pt>
                <c:pt idx="502">
                  <c:v>68.528230960044155</c:v>
                </c:pt>
                <c:pt idx="503">
                  <c:v>68.415605167063646</c:v>
                </c:pt>
                <c:pt idx="504">
                  <c:v>68.260898704229263</c:v>
                </c:pt>
                <c:pt idx="505">
                  <c:v>68.029731155178979</c:v>
                </c:pt>
                <c:pt idx="506">
                  <c:v>67.856057486950164</c:v>
                </c:pt>
                <c:pt idx="507">
                  <c:v>67.760994119032915</c:v>
                </c:pt>
                <c:pt idx="508">
                  <c:v>67.700692259943253</c:v>
                </c:pt>
                <c:pt idx="509">
                  <c:v>67.63889970283266</c:v>
                </c:pt>
                <c:pt idx="510">
                  <c:v>67.547436487457546</c:v>
                </c:pt>
                <c:pt idx="511">
                  <c:v>67.478977793197444</c:v>
                </c:pt>
                <c:pt idx="512">
                  <c:v>67.450567372858217</c:v>
                </c:pt>
                <c:pt idx="513">
                  <c:v>67.40209544862833</c:v>
                </c:pt>
                <c:pt idx="514">
                  <c:v>67.337899201226804</c:v>
                </c:pt>
                <c:pt idx="515">
                  <c:v>67.230341182725226</c:v>
                </c:pt>
                <c:pt idx="516">
                  <c:v>67.043170003132701</c:v>
                </c:pt>
                <c:pt idx="517">
                  <c:v>66.939702791393245</c:v>
                </c:pt>
                <c:pt idx="518">
                  <c:v>66.902136297587447</c:v>
                </c:pt>
                <c:pt idx="519">
                  <c:v>66.886694525568046</c:v>
                </c:pt>
                <c:pt idx="520">
                  <c:v>66.751072778193716</c:v>
                </c:pt>
                <c:pt idx="521">
                  <c:v>66.608860733759215</c:v>
                </c:pt>
                <c:pt idx="522">
                  <c:v>66.504788600436058</c:v>
                </c:pt>
                <c:pt idx="523">
                  <c:v>66.355368672532919</c:v>
                </c:pt>
                <c:pt idx="524">
                  <c:v>66.278727458698526</c:v>
                </c:pt>
                <c:pt idx="525">
                  <c:v>66.58923083856493</c:v>
                </c:pt>
                <c:pt idx="526">
                  <c:v>67.060295140122108</c:v>
                </c:pt>
                <c:pt idx="527">
                  <c:v>67.039552938410353</c:v>
                </c:pt>
                <c:pt idx="528">
                  <c:v>67.015147186257622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3-4927-8344-F5E81AFA0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995248"/>
        <c:axId val="1446975856"/>
      </c:lineChart>
      <c:catAx>
        <c:axId val="173399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6975856"/>
        <c:crosses val="autoZero"/>
        <c:auto val="1"/>
        <c:lblAlgn val="ctr"/>
        <c:lblOffset val="100"/>
        <c:noMultiLvlLbl val="0"/>
      </c:catAx>
      <c:valAx>
        <c:axId val="144697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399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RSI</a:t>
            </a:r>
          </a:p>
        </c:rich>
      </c:tx>
      <c:layout>
        <c:manualLayout>
          <c:xMode val="edge"/>
          <c:yMode val="edge"/>
          <c:x val="0.27512230300285945"/>
          <c:y val="3.2323232323232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Bayer!$U$2:$U$16</c:f>
              <c:numCache>
                <c:formatCode>General</c:formatCode>
                <c:ptCount val="15"/>
                <c:pt idx="0">
                  <c:v>37.185354691075489</c:v>
                </c:pt>
                <c:pt idx="1">
                  <c:v>35.144713526284676</c:v>
                </c:pt>
                <c:pt idx="2">
                  <c:v>30.8770108977685</c:v>
                </c:pt>
                <c:pt idx="3">
                  <c:v>35.714285714285651</c:v>
                </c:pt>
                <c:pt idx="4">
                  <c:v>32.786885245901573</c:v>
                </c:pt>
                <c:pt idx="5">
                  <c:v>36.137071651090309</c:v>
                </c:pt>
                <c:pt idx="6">
                  <c:v>42.13346322454943</c:v>
                </c:pt>
                <c:pt idx="7">
                  <c:v>53.3751962323391</c:v>
                </c:pt>
                <c:pt idx="8">
                  <c:v>45.092838196286493</c:v>
                </c:pt>
                <c:pt idx="9">
                  <c:v>41.666666666666714</c:v>
                </c:pt>
                <c:pt idx="10">
                  <c:v>41.930618401206686</c:v>
                </c:pt>
                <c:pt idx="11">
                  <c:v>43.131462333825787</c:v>
                </c:pt>
                <c:pt idx="12">
                  <c:v>48.553719008264579</c:v>
                </c:pt>
                <c:pt idx="13">
                  <c:v>44.44031238378588</c:v>
                </c:pt>
                <c:pt idx="14">
                  <c:v>45.727482678983918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95-437D-8368-7A8CC8F2937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Bayer!$V$2:$V$16</c:f>
              <c:numCache>
                <c:formatCode>General</c:formatCode>
                <c:ptCount val="15"/>
                <c:pt idx="0">
                  <c:v>54</c:v>
                </c:pt>
                <c:pt idx="1">
                  <c:v>54</c:v>
                </c:pt>
                <c:pt idx="2">
                  <c:v>54</c:v>
                </c:pt>
                <c:pt idx="3">
                  <c:v>54</c:v>
                </c:pt>
                <c:pt idx="4">
                  <c:v>54</c:v>
                </c:pt>
                <c:pt idx="5">
                  <c:v>54</c:v>
                </c:pt>
                <c:pt idx="6">
                  <c:v>54</c:v>
                </c:pt>
                <c:pt idx="7">
                  <c:v>54</c:v>
                </c:pt>
                <c:pt idx="8">
                  <c:v>54</c:v>
                </c:pt>
                <c:pt idx="9">
                  <c:v>54</c:v>
                </c:pt>
                <c:pt idx="10">
                  <c:v>54</c:v>
                </c:pt>
                <c:pt idx="11">
                  <c:v>54</c:v>
                </c:pt>
                <c:pt idx="12">
                  <c:v>54</c:v>
                </c:pt>
                <c:pt idx="13">
                  <c:v>54</c:v>
                </c:pt>
                <c:pt idx="14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95-437D-8368-7A8CC8F2937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Bayer!$W$2:$W$16</c:f>
              <c:numCache>
                <c:formatCode>General</c:formatCode>
                <c:ptCount val="1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95-437D-8368-7A8CC8F29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195216"/>
        <c:axId val="248190896"/>
      </c:lineChart>
      <c:catAx>
        <c:axId val="24819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190896"/>
        <c:crosses val="autoZero"/>
        <c:auto val="1"/>
        <c:lblAlgn val="ctr"/>
        <c:lblOffset val="100"/>
        <c:noMultiLvlLbl val="0"/>
      </c:catAx>
      <c:valAx>
        <c:axId val="24819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1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Stochastique</a:t>
            </a:r>
          </a:p>
        </c:rich>
      </c:tx>
      <c:layout>
        <c:manualLayout>
          <c:xMode val="edge"/>
          <c:yMode val="edge"/>
          <c:x val="0.2800416666666666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Bayer!$AB$1</c:f>
              <c:strCache>
                <c:ptCount val="1"/>
                <c:pt idx="0">
                  <c:v>Stochastique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Bayer!$AB$2:$AB$15</c:f>
              <c:numCache>
                <c:formatCode>General</c:formatCode>
                <c:ptCount val="14"/>
                <c:pt idx="0">
                  <c:v>28.260869565217124</c:v>
                </c:pt>
                <c:pt idx="1">
                  <c:v>64.000000000000057</c:v>
                </c:pt>
                <c:pt idx="2">
                  <c:v>62.962962962962379</c:v>
                </c:pt>
                <c:pt idx="3">
                  <c:v>30.612244897959496</c:v>
                </c:pt>
                <c:pt idx="4">
                  <c:v>55.813953488371773</c:v>
                </c:pt>
                <c:pt idx="5">
                  <c:v>64.705882352940876</c:v>
                </c:pt>
                <c:pt idx="6">
                  <c:v>70.967741935483801</c:v>
                </c:pt>
                <c:pt idx="7">
                  <c:v>57.446808510638668</c:v>
                </c:pt>
                <c:pt idx="8">
                  <c:v>19.512195121951663</c:v>
                </c:pt>
                <c:pt idx="9">
                  <c:v>90.740740740740605</c:v>
                </c:pt>
                <c:pt idx="10">
                  <c:v>54.16666666666621</c:v>
                </c:pt>
                <c:pt idx="11">
                  <c:v>44.827586206896683</c:v>
                </c:pt>
                <c:pt idx="12">
                  <c:v>88.888888888888971</c:v>
                </c:pt>
                <c:pt idx="13">
                  <c:v>18.461538461538108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D3-4B00-854A-50517D77A4F0}"/>
            </c:ext>
          </c:extLst>
        </c:ser>
        <c:ser>
          <c:idx val="1"/>
          <c:order val="1"/>
          <c:tx>
            <c:strRef>
              <c:f>Bayer!$AC$1</c:f>
              <c:strCache>
                <c:ptCount val="1"/>
                <c:pt idx="0">
                  <c:v>Moyenne stochastique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Bayer!$AC$2:$AC$15</c:f>
              <c:numCache>
                <c:formatCode>General</c:formatCode>
                <c:ptCount val="14"/>
                <c:pt idx="0">
                  <c:v>53.669148557161165</c:v>
                </c:pt>
                <c:pt idx="1">
                  <c:v>55.623631556541483</c:v>
                </c:pt>
                <c:pt idx="2">
                  <c:v>54.925600852919935</c:v>
                </c:pt>
                <c:pt idx="3">
                  <c:v>54.194931570188807</c:v>
                </c:pt>
                <c:pt idx="4">
                  <c:v>56.553200237411737</c:v>
                </c:pt>
                <c:pt idx="5">
                  <c:v>56.635338765082842</c:v>
                </c:pt>
                <c:pt idx="6">
                  <c:v>55.626520816600589</c:v>
                </c:pt>
                <c:pt idx="7">
                  <c:v>53.434917799617267</c:v>
                </c:pt>
                <c:pt idx="8">
                  <c:v>52.766269347780373</c:v>
                </c:pt>
                <c:pt idx="9">
                  <c:v>59.41708419294612</c:v>
                </c:pt>
                <c:pt idx="10">
                  <c:v>51.586170055997492</c:v>
                </c:pt>
                <c:pt idx="11">
                  <c:v>50.726004519107924</c:v>
                </c:pt>
                <c:pt idx="12">
                  <c:v>53.675213675213541</c:v>
                </c:pt>
                <c:pt idx="13">
                  <c:v>18.461538461538108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D3-4B00-854A-50517D77A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722655"/>
        <c:axId val="1333721215"/>
      </c:lineChart>
      <c:catAx>
        <c:axId val="133372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3721215"/>
        <c:crosses val="autoZero"/>
        <c:auto val="1"/>
        <c:lblAlgn val="ctr"/>
        <c:lblOffset val="100"/>
        <c:noMultiLvlLbl val="0"/>
      </c:catAx>
      <c:valAx>
        <c:axId val="133372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372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Bayer!$I$2:$I$531</c:f>
              <c:numCache>
                <c:formatCode>General</c:formatCode>
                <c:ptCount val="530"/>
                <c:pt idx="0">
                  <c:v>21.185499999999998</c:v>
                </c:pt>
                <c:pt idx="1">
                  <c:v>21.173500000000001</c:v>
                </c:pt>
                <c:pt idx="2">
                  <c:v>21.117000000000001</c:v>
                </c:pt>
                <c:pt idx="3">
                  <c:v>21.067500000000003</c:v>
                </c:pt>
                <c:pt idx="4">
                  <c:v>21.019500000000001</c:v>
                </c:pt>
                <c:pt idx="5">
                  <c:v>20.946500000000004</c:v>
                </c:pt>
                <c:pt idx="6">
                  <c:v>20.878000000000007</c:v>
                </c:pt>
                <c:pt idx="7">
                  <c:v>20.806500000000007</c:v>
                </c:pt>
                <c:pt idx="8">
                  <c:v>20.742000000000008</c:v>
                </c:pt>
                <c:pt idx="9">
                  <c:v>20.609500000000004</c:v>
                </c:pt>
                <c:pt idx="10">
                  <c:v>20.486000000000001</c:v>
                </c:pt>
                <c:pt idx="11">
                  <c:v>20.374500000000005</c:v>
                </c:pt>
                <c:pt idx="12">
                  <c:v>20.263500000000004</c:v>
                </c:pt>
                <c:pt idx="13">
                  <c:v>20.136000000000003</c:v>
                </c:pt>
                <c:pt idx="14">
                  <c:v>20.038000000000004</c:v>
                </c:pt>
                <c:pt idx="15">
                  <c:v>19.927500000000002</c:v>
                </c:pt>
                <c:pt idx="16">
                  <c:v>19.838999999999999</c:v>
                </c:pt>
                <c:pt idx="17">
                  <c:v>19.733499999999996</c:v>
                </c:pt>
                <c:pt idx="18">
                  <c:v>19.644499999999997</c:v>
                </c:pt>
                <c:pt idx="19">
                  <c:v>19.574999999999996</c:v>
                </c:pt>
                <c:pt idx="20">
                  <c:v>19.546500000000002</c:v>
                </c:pt>
                <c:pt idx="21">
                  <c:v>19.510000000000002</c:v>
                </c:pt>
                <c:pt idx="22">
                  <c:v>19.544</c:v>
                </c:pt>
                <c:pt idx="23">
                  <c:v>19.554000000000002</c:v>
                </c:pt>
                <c:pt idx="24">
                  <c:v>19.555500000000002</c:v>
                </c:pt>
                <c:pt idx="25">
                  <c:v>19.5425</c:v>
                </c:pt>
                <c:pt idx="26">
                  <c:v>19.522000000000002</c:v>
                </c:pt>
                <c:pt idx="27">
                  <c:v>19.494</c:v>
                </c:pt>
                <c:pt idx="28">
                  <c:v>19.4725</c:v>
                </c:pt>
                <c:pt idx="29">
                  <c:v>19.4925</c:v>
                </c:pt>
                <c:pt idx="30">
                  <c:v>19.491499999999998</c:v>
                </c:pt>
                <c:pt idx="31">
                  <c:v>19.484000000000002</c:v>
                </c:pt>
                <c:pt idx="32">
                  <c:v>19.465</c:v>
                </c:pt>
                <c:pt idx="33">
                  <c:v>19.517000000000003</c:v>
                </c:pt>
                <c:pt idx="34">
                  <c:v>19.559999999999999</c:v>
                </c:pt>
                <c:pt idx="35">
                  <c:v>19.592499999999998</c:v>
                </c:pt>
                <c:pt idx="36">
                  <c:v>19.608499999999999</c:v>
                </c:pt>
                <c:pt idx="37">
                  <c:v>19.650000000000002</c:v>
                </c:pt>
                <c:pt idx="38">
                  <c:v>19.686</c:v>
                </c:pt>
                <c:pt idx="39">
                  <c:v>19.713500000000003</c:v>
                </c:pt>
                <c:pt idx="40">
                  <c:v>19.730000000000004</c:v>
                </c:pt>
                <c:pt idx="41">
                  <c:v>19.737500000000004</c:v>
                </c:pt>
                <c:pt idx="42">
                  <c:v>19.767500000000005</c:v>
                </c:pt>
                <c:pt idx="43">
                  <c:v>19.977000000000004</c:v>
                </c:pt>
                <c:pt idx="44">
                  <c:v>20.180500000000002</c:v>
                </c:pt>
                <c:pt idx="45">
                  <c:v>20.423499999999997</c:v>
                </c:pt>
                <c:pt idx="46">
                  <c:v>20.657500000000002</c:v>
                </c:pt>
                <c:pt idx="47">
                  <c:v>20.925000000000001</c:v>
                </c:pt>
                <c:pt idx="48">
                  <c:v>21.198</c:v>
                </c:pt>
                <c:pt idx="49">
                  <c:v>21.483499999999999</c:v>
                </c:pt>
                <c:pt idx="50">
                  <c:v>21.755000000000003</c:v>
                </c:pt>
                <c:pt idx="51">
                  <c:v>22.047000000000001</c:v>
                </c:pt>
                <c:pt idx="52">
                  <c:v>22.3795</c:v>
                </c:pt>
                <c:pt idx="53">
                  <c:v>22.688000000000002</c:v>
                </c:pt>
                <c:pt idx="54">
                  <c:v>22.985500000000002</c:v>
                </c:pt>
                <c:pt idx="55">
                  <c:v>23.296000000000003</c:v>
                </c:pt>
                <c:pt idx="56">
                  <c:v>23.6</c:v>
                </c:pt>
                <c:pt idx="57">
                  <c:v>23.886000000000003</c:v>
                </c:pt>
                <c:pt idx="58">
                  <c:v>24.18</c:v>
                </c:pt>
                <c:pt idx="59">
                  <c:v>24.483499999999999</c:v>
                </c:pt>
                <c:pt idx="60">
                  <c:v>24.783500000000007</c:v>
                </c:pt>
                <c:pt idx="61">
                  <c:v>25.097000000000001</c:v>
                </c:pt>
                <c:pt idx="62">
                  <c:v>25.3795</c:v>
                </c:pt>
                <c:pt idx="63">
                  <c:v>25.463500000000003</c:v>
                </c:pt>
                <c:pt idx="64">
                  <c:v>25.572500000000002</c:v>
                </c:pt>
                <c:pt idx="65">
                  <c:v>25.693000000000001</c:v>
                </c:pt>
                <c:pt idx="66">
                  <c:v>25.858500000000003</c:v>
                </c:pt>
                <c:pt idx="67">
                  <c:v>26.091500000000003</c:v>
                </c:pt>
                <c:pt idx="68">
                  <c:v>26.342500000000001</c:v>
                </c:pt>
                <c:pt idx="69">
                  <c:v>26.577999999999996</c:v>
                </c:pt>
                <c:pt idx="70">
                  <c:v>26.831</c:v>
                </c:pt>
                <c:pt idx="71">
                  <c:v>27.100999999999999</c:v>
                </c:pt>
                <c:pt idx="72">
                  <c:v>27.345500000000005</c:v>
                </c:pt>
                <c:pt idx="73">
                  <c:v>27.556999999999999</c:v>
                </c:pt>
                <c:pt idx="74">
                  <c:v>27.788999999999998</c:v>
                </c:pt>
                <c:pt idx="75">
                  <c:v>27.957999999999998</c:v>
                </c:pt>
                <c:pt idx="76">
                  <c:v>28.112500000000001</c:v>
                </c:pt>
                <c:pt idx="77">
                  <c:v>28.2685</c:v>
                </c:pt>
                <c:pt idx="78">
                  <c:v>28.392500000000002</c:v>
                </c:pt>
                <c:pt idx="79">
                  <c:v>28.506499999999999</c:v>
                </c:pt>
                <c:pt idx="80">
                  <c:v>28.630000000000003</c:v>
                </c:pt>
                <c:pt idx="81">
                  <c:v>28.704999999999995</c:v>
                </c:pt>
                <c:pt idx="82">
                  <c:v>28.751999999999999</c:v>
                </c:pt>
                <c:pt idx="83">
                  <c:v>28.782499999999999</c:v>
                </c:pt>
                <c:pt idx="84">
                  <c:v>28.8185</c:v>
                </c:pt>
                <c:pt idx="85">
                  <c:v>28.819499999999998</c:v>
                </c:pt>
                <c:pt idx="86">
                  <c:v>28.807499999999994</c:v>
                </c:pt>
                <c:pt idx="87">
                  <c:v>28.725999999999999</c:v>
                </c:pt>
                <c:pt idx="88">
                  <c:v>28.671499999999998</c:v>
                </c:pt>
                <c:pt idx="89">
                  <c:v>28.6265</c:v>
                </c:pt>
                <c:pt idx="90">
                  <c:v>28.5825</c:v>
                </c:pt>
                <c:pt idx="91">
                  <c:v>28.457000000000004</c:v>
                </c:pt>
                <c:pt idx="92">
                  <c:v>28.325499999999998</c:v>
                </c:pt>
                <c:pt idx="93">
                  <c:v>28.210500000000003</c:v>
                </c:pt>
                <c:pt idx="94">
                  <c:v>28.084000000000003</c:v>
                </c:pt>
                <c:pt idx="95">
                  <c:v>28.018999999999998</c:v>
                </c:pt>
                <c:pt idx="96">
                  <c:v>27.963999999999999</c:v>
                </c:pt>
                <c:pt idx="97">
                  <c:v>27.890999999999998</c:v>
                </c:pt>
                <c:pt idx="98">
                  <c:v>27.839999999999996</c:v>
                </c:pt>
                <c:pt idx="99">
                  <c:v>27.8</c:v>
                </c:pt>
                <c:pt idx="100">
                  <c:v>27.737000000000002</c:v>
                </c:pt>
                <c:pt idx="101">
                  <c:v>27.746500000000005</c:v>
                </c:pt>
                <c:pt idx="102">
                  <c:v>27.7865</c:v>
                </c:pt>
                <c:pt idx="103">
                  <c:v>27.905000000000001</c:v>
                </c:pt>
                <c:pt idx="104">
                  <c:v>28.006</c:v>
                </c:pt>
                <c:pt idx="105">
                  <c:v>27.979999999999997</c:v>
                </c:pt>
                <c:pt idx="106">
                  <c:v>27.921000000000003</c:v>
                </c:pt>
                <c:pt idx="107">
                  <c:v>27.840000000000003</c:v>
                </c:pt>
                <c:pt idx="108">
                  <c:v>27.703999999999997</c:v>
                </c:pt>
                <c:pt idx="109">
                  <c:v>27.556999999999999</c:v>
                </c:pt>
                <c:pt idx="110">
                  <c:v>27.425499999999992</c:v>
                </c:pt>
                <c:pt idx="111">
                  <c:v>27.336499999999994</c:v>
                </c:pt>
                <c:pt idx="112">
                  <c:v>27.212</c:v>
                </c:pt>
                <c:pt idx="113">
                  <c:v>27.157500000000006</c:v>
                </c:pt>
                <c:pt idx="114">
                  <c:v>27.131999999999998</c:v>
                </c:pt>
                <c:pt idx="115">
                  <c:v>27.105</c:v>
                </c:pt>
                <c:pt idx="116">
                  <c:v>27.099499999999999</c:v>
                </c:pt>
                <c:pt idx="117">
                  <c:v>27.102500000000003</c:v>
                </c:pt>
                <c:pt idx="118">
                  <c:v>27.095999999999997</c:v>
                </c:pt>
                <c:pt idx="119">
                  <c:v>27.076500000000003</c:v>
                </c:pt>
                <c:pt idx="120">
                  <c:v>27.067500000000003</c:v>
                </c:pt>
                <c:pt idx="121">
                  <c:v>27.011000000000003</c:v>
                </c:pt>
                <c:pt idx="122">
                  <c:v>26.946000000000005</c:v>
                </c:pt>
                <c:pt idx="123">
                  <c:v>26.857499999999998</c:v>
                </c:pt>
                <c:pt idx="124">
                  <c:v>26.720500000000005</c:v>
                </c:pt>
                <c:pt idx="125">
                  <c:v>26.755500000000001</c:v>
                </c:pt>
                <c:pt idx="126">
                  <c:v>26.797999999999995</c:v>
                </c:pt>
                <c:pt idx="127">
                  <c:v>26.801499999999997</c:v>
                </c:pt>
                <c:pt idx="128">
                  <c:v>26.822999999999997</c:v>
                </c:pt>
                <c:pt idx="129">
                  <c:v>26.870999999999999</c:v>
                </c:pt>
                <c:pt idx="130">
                  <c:v>26.8855</c:v>
                </c:pt>
                <c:pt idx="131">
                  <c:v>26.886500000000002</c:v>
                </c:pt>
                <c:pt idx="132">
                  <c:v>26.887999999999998</c:v>
                </c:pt>
                <c:pt idx="133">
                  <c:v>26.844000000000001</c:v>
                </c:pt>
                <c:pt idx="134">
                  <c:v>26.784999999999997</c:v>
                </c:pt>
                <c:pt idx="135">
                  <c:v>26.7315</c:v>
                </c:pt>
                <c:pt idx="136">
                  <c:v>26.667999999999999</c:v>
                </c:pt>
                <c:pt idx="137">
                  <c:v>26.580500000000001</c:v>
                </c:pt>
                <c:pt idx="138">
                  <c:v>26.517500000000002</c:v>
                </c:pt>
                <c:pt idx="139">
                  <c:v>26.463000000000005</c:v>
                </c:pt>
                <c:pt idx="140">
                  <c:v>26.392000000000003</c:v>
                </c:pt>
                <c:pt idx="141">
                  <c:v>26.342500000000001</c:v>
                </c:pt>
                <c:pt idx="142">
                  <c:v>26.301500000000004</c:v>
                </c:pt>
                <c:pt idx="143">
                  <c:v>26.268999999999998</c:v>
                </c:pt>
                <c:pt idx="144">
                  <c:v>26.256000000000007</c:v>
                </c:pt>
                <c:pt idx="145">
                  <c:v>26.207500000000003</c:v>
                </c:pt>
                <c:pt idx="146">
                  <c:v>26.154500000000002</c:v>
                </c:pt>
                <c:pt idx="147">
                  <c:v>26.158500000000004</c:v>
                </c:pt>
                <c:pt idx="148">
                  <c:v>26.145500000000006</c:v>
                </c:pt>
                <c:pt idx="149">
                  <c:v>26.152500000000003</c:v>
                </c:pt>
                <c:pt idx="150">
                  <c:v>26.1875</c:v>
                </c:pt>
                <c:pt idx="151">
                  <c:v>26.272499999999997</c:v>
                </c:pt>
                <c:pt idx="152">
                  <c:v>26.358999999999998</c:v>
                </c:pt>
                <c:pt idx="153">
                  <c:v>26.429999999999996</c:v>
                </c:pt>
                <c:pt idx="154">
                  <c:v>26.526</c:v>
                </c:pt>
                <c:pt idx="155">
                  <c:v>26.635499999999997</c:v>
                </c:pt>
                <c:pt idx="156">
                  <c:v>26.753499999999995</c:v>
                </c:pt>
                <c:pt idx="157">
                  <c:v>26.877499999999991</c:v>
                </c:pt>
                <c:pt idx="158">
                  <c:v>27.000499999999995</c:v>
                </c:pt>
                <c:pt idx="159">
                  <c:v>27.093499999999995</c:v>
                </c:pt>
                <c:pt idx="160">
                  <c:v>27.190999999999992</c:v>
                </c:pt>
                <c:pt idx="161">
                  <c:v>27.237499999999994</c:v>
                </c:pt>
                <c:pt idx="162">
                  <c:v>27.319999999999993</c:v>
                </c:pt>
                <c:pt idx="163">
                  <c:v>27.400499999999994</c:v>
                </c:pt>
                <c:pt idx="164">
                  <c:v>27.481999999999999</c:v>
                </c:pt>
                <c:pt idx="165">
                  <c:v>27.561</c:v>
                </c:pt>
                <c:pt idx="166">
                  <c:v>27.699999999999996</c:v>
                </c:pt>
                <c:pt idx="167">
                  <c:v>27.809000000000005</c:v>
                </c:pt>
                <c:pt idx="168">
                  <c:v>27.935999999999996</c:v>
                </c:pt>
                <c:pt idx="169">
                  <c:v>28.011500000000002</c:v>
                </c:pt>
                <c:pt idx="170">
                  <c:v>28.076999999999998</c:v>
                </c:pt>
                <c:pt idx="171">
                  <c:v>28.151999999999997</c:v>
                </c:pt>
                <c:pt idx="172">
                  <c:v>28.258999999999997</c:v>
                </c:pt>
                <c:pt idx="173">
                  <c:v>28.353999999999996</c:v>
                </c:pt>
                <c:pt idx="174">
                  <c:v>28.397000000000002</c:v>
                </c:pt>
                <c:pt idx="175">
                  <c:v>28.411999999999999</c:v>
                </c:pt>
                <c:pt idx="176">
                  <c:v>28.406500000000001</c:v>
                </c:pt>
                <c:pt idx="177">
                  <c:v>28.414499999999997</c:v>
                </c:pt>
                <c:pt idx="178">
                  <c:v>28.385999999999996</c:v>
                </c:pt>
                <c:pt idx="179">
                  <c:v>28.374999999999993</c:v>
                </c:pt>
                <c:pt idx="180">
                  <c:v>28.378499999999995</c:v>
                </c:pt>
                <c:pt idx="181">
                  <c:v>28.400000000000006</c:v>
                </c:pt>
                <c:pt idx="182">
                  <c:v>28.389500000000005</c:v>
                </c:pt>
                <c:pt idx="183">
                  <c:v>28.345999999999997</c:v>
                </c:pt>
                <c:pt idx="184">
                  <c:v>28.309500000000003</c:v>
                </c:pt>
                <c:pt idx="185">
                  <c:v>28.279000000000003</c:v>
                </c:pt>
                <c:pt idx="186">
                  <c:v>28.225999999999999</c:v>
                </c:pt>
                <c:pt idx="187">
                  <c:v>28.175999999999998</c:v>
                </c:pt>
                <c:pt idx="188">
                  <c:v>28.058999999999997</c:v>
                </c:pt>
                <c:pt idx="189">
                  <c:v>27.941999999999997</c:v>
                </c:pt>
                <c:pt idx="190">
                  <c:v>27.821999999999992</c:v>
                </c:pt>
                <c:pt idx="191">
                  <c:v>27.659499999999998</c:v>
                </c:pt>
                <c:pt idx="192">
                  <c:v>27.521499999999996</c:v>
                </c:pt>
                <c:pt idx="193">
                  <c:v>27.401</c:v>
                </c:pt>
                <c:pt idx="194">
                  <c:v>27.304499999999997</c:v>
                </c:pt>
                <c:pt idx="195">
                  <c:v>27.248999999999995</c:v>
                </c:pt>
                <c:pt idx="196">
                  <c:v>27.195</c:v>
                </c:pt>
                <c:pt idx="197">
                  <c:v>27.137</c:v>
                </c:pt>
                <c:pt idx="198">
                  <c:v>27.105499999999996</c:v>
                </c:pt>
                <c:pt idx="199">
                  <c:v>27.132499999999986</c:v>
                </c:pt>
                <c:pt idx="200">
                  <c:v>27.163999999999994</c:v>
                </c:pt>
                <c:pt idx="201">
                  <c:v>27.196499999999993</c:v>
                </c:pt>
                <c:pt idx="202">
                  <c:v>27.238499999999995</c:v>
                </c:pt>
                <c:pt idx="203">
                  <c:v>27.289499999999993</c:v>
                </c:pt>
                <c:pt idx="204">
                  <c:v>27.310499999999998</c:v>
                </c:pt>
                <c:pt idx="205">
                  <c:v>27.304000000000002</c:v>
                </c:pt>
                <c:pt idx="206">
                  <c:v>27.2745</c:v>
                </c:pt>
                <c:pt idx="207">
                  <c:v>27.232500000000005</c:v>
                </c:pt>
                <c:pt idx="208">
                  <c:v>27.227000000000004</c:v>
                </c:pt>
                <c:pt idx="209">
                  <c:v>27.208500000000004</c:v>
                </c:pt>
                <c:pt idx="210">
                  <c:v>27.207000000000001</c:v>
                </c:pt>
                <c:pt idx="211">
                  <c:v>27.215000000000003</c:v>
                </c:pt>
                <c:pt idx="212">
                  <c:v>27.193000000000001</c:v>
                </c:pt>
                <c:pt idx="213">
                  <c:v>27.162500000000001</c:v>
                </c:pt>
                <c:pt idx="214">
                  <c:v>27.136000000000003</c:v>
                </c:pt>
                <c:pt idx="215">
                  <c:v>27.098000000000003</c:v>
                </c:pt>
                <c:pt idx="216">
                  <c:v>27.041500000000006</c:v>
                </c:pt>
                <c:pt idx="217">
                  <c:v>26.995500000000003</c:v>
                </c:pt>
                <c:pt idx="218">
                  <c:v>26.956499999999998</c:v>
                </c:pt>
                <c:pt idx="219">
                  <c:v>26.826000000000001</c:v>
                </c:pt>
                <c:pt idx="220">
                  <c:v>26.791999999999994</c:v>
                </c:pt>
                <c:pt idx="221">
                  <c:v>26.808499999999999</c:v>
                </c:pt>
                <c:pt idx="222">
                  <c:v>26.791499999999996</c:v>
                </c:pt>
                <c:pt idx="223">
                  <c:v>26.798499999999997</c:v>
                </c:pt>
                <c:pt idx="224">
                  <c:v>26.889499999999998</c:v>
                </c:pt>
                <c:pt idx="225">
                  <c:v>26.976499999999998</c:v>
                </c:pt>
                <c:pt idx="226">
                  <c:v>27.080000000000002</c:v>
                </c:pt>
                <c:pt idx="227">
                  <c:v>27.201499999999992</c:v>
                </c:pt>
                <c:pt idx="228">
                  <c:v>27.336999999999989</c:v>
                </c:pt>
                <c:pt idx="229">
                  <c:v>27.481499999999993</c:v>
                </c:pt>
                <c:pt idx="230">
                  <c:v>27.615499999999997</c:v>
                </c:pt>
                <c:pt idx="231">
                  <c:v>27.733999999999998</c:v>
                </c:pt>
                <c:pt idx="232">
                  <c:v>27.835999999999991</c:v>
                </c:pt>
                <c:pt idx="233">
                  <c:v>27.921499999999998</c:v>
                </c:pt>
                <c:pt idx="234">
                  <c:v>27.9925</c:v>
                </c:pt>
                <c:pt idx="235">
                  <c:v>28.068000000000001</c:v>
                </c:pt>
                <c:pt idx="236">
                  <c:v>28.1435</c:v>
                </c:pt>
                <c:pt idx="237">
                  <c:v>28.210500000000003</c:v>
                </c:pt>
                <c:pt idx="238">
                  <c:v>28.312999999999999</c:v>
                </c:pt>
                <c:pt idx="239">
                  <c:v>28.4755</c:v>
                </c:pt>
                <c:pt idx="240">
                  <c:v>28.501000000000005</c:v>
                </c:pt>
                <c:pt idx="241">
                  <c:v>28.519000000000005</c:v>
                </c:pt>
                <c:pt idx="242">
                  <c:v>28.528000000000002</c:v>
                </c:pt>
                <c:pt idx="243">
                  <c:v>28.544999999999995</c:v>
                </c:pt>
                <c:pt idx="244">
                  <c:v>28.591999999999995</c:v>
                </c:pt>
                <c:pt idx="245">
                  <c:v>28.700499999999998</c:v>
                </c:pt>
                <c:pt idx="246">
                  <c:v>28.875</c:v>
                </c:pt>
                <c:pt idx="247">
                  <c:v>29.060999999999996</c:v>
                </c:pt>
                <c:pt idx="248">
                  <c:v>29.245999999999992</c:v>
                </c:pt>
                <c:pt idx="249">
                  <c:v>29.433999999999997</c:v>
                </c:pt>
                <c:pt idx="250">
                  <c:v>29.631499999999999</c:v>
                </c:pt>
                <c:pt idx="251">
                  <c:v>29.820499999999999</c:v>
                </c:pt>
                <c:pt idx="252">
                  <c:v>30.043499999999995</c:v>
                </c:pt>
                <c:pt idx="253">
                  <c:v>30.3005</c:v>
                </c:pt>
                <c:pt idx="254">
                  <c:v>30.581499999999998</c:v>
                </c:pt>
                <c:pt idx="255">
                  <c:v>30.842500000000001</c:v>
                </c:pt>
                <c:pt idx="256">
                  <c:v>31.165999999999997</c:v>
                </c:pt>
                <c:pt idx="257">
                  <c:v>31.467999999999996</c:v>
                </c:pt>
                <c:pt idx="258">
                  <c:v>31.770999999999994</c:v>
                </c:pt>
                <c:pt idx="259">
                  <c:v>32.090999999999994</c:v>
                </c:pt>
                <c:pt idx="260">
                  <c:v>32.423500000000004</c:v>
                </c:pt>
                <c:pt idx="261">
                  <c:v>32.75</c:v>
                </c:pt>
                <c:pt idx="262">
                  <c:v>33.098500000000001</c:v>
                </c:pt>
                <c:pt idx="263">
                  <c:v>33.3735</c:v>
                </c:pt>
                <c:pt idx="264">
                  <c:v>33.585999999999999</c:v>
                </c:pt>
                <c:pt idx="265">
                  <c:v>33.730000000000004</c:v>
                </c:pt>
                <c:pt idx="266">
                  <c:v>33.789000000000001</c:v>
                </c:pt>
                <c:pt idx="267">
                  <c:v>33.831000000000003</c:v>
                </c:pt>
                <c:pt idx="268">
                  <c:v>33.835000000000008</c:v>
                </c:pt>
                <c:pt idx="269">
                  <c:v>33.840000000000011</c:v>
                </c:pt>
                <c:pt idx="270">
                  <c:v>33.825499999999998</c:v>
                </c:pt>
                <c:pt idx="271">
                  <c:v>33.8155</c:v>
                </c:pt>
                <c:pt idx="272">
                  <c:v>33.795000000000002</c:v>
                </c:pt>
                <c:pt idx="273">
                  <c:v>33.739500000000007</c:v>
                </c:pt>
                <c:pt idx="274">
                  <c:v>33.658000000000001</c:v>
                </c:pt>
                <c:pt idx="275">
                  <c:v>33.533499999999997</c:v>
                </c:pt>
                <c:pt idx="276">
                  <c:v>33.387999999999998</c:v>
                </c:pt>
                <c:pt idx="277">
                  <c:v>33.272999999999996</c:v>
                </c:pt>
                <c:pt idx="278">
                  <c:v>33.130000000000003</c:v>
                </c:pt>
                <c:pt idx="279">
                  <c:v>32.941500000000005</c:v>
                </c:pt>
                <c:pt idx="280">
                  <c:v>32.798999999999999</c:v>
                </c:pt>
                <c:pt idx="281">
                  <c:v>32.623000000000005</c:v>
                </c:pt>
                <c:pt idx="282">
                  <c:v>32.402500000000011</c:v>
                </c:pt>
                <c:pt idx="283">
                  <c:v>32.238000000000007</c:v>
                </c:pt>
                <c:pt idx="284">
                  <c:v>32.089500000000001</c:v>
                </c:pt>
                <c:pt idx="285">
                  <c:v>31.941500000000001</c:v>
                </c:pt>
                <c:pt idx="286">
                  <c:v>31.794999999999995</c:v>
                </c:pt>
                <c:pt idx="287">
                  <c:v>31.704499999999989</c:v>
                </c:pt>
                <c:pt idx="288">
                  <c:v>31.701499999999992</c:v>
                </c:pt>
                <c:pt idx="289">
                  <c:v>31.718</c:v>
                </c:pt>
                <c:pt idx="290">
                  <c:v>31.730500000000006</c:v>
                </c:pt>
                <c:pt idx="291">
                  <c:v>31.820500000000003</c:v>
                </c:pt>
                <c:pt idx="292">
                  <c:v>31.915499999999998</c:v>
                </c:pt>
                <c:pt idx="293">
                  <c:v>32.383000000000003</c:v>
                </c:pt>
                <c:pt idx="294">
                  <c:v>32.817999999999998</c:v>
                </c:pt>
                <c:pt idx="295">
                  <c:v>33.319500000000005</c:v>
                </c:pt>
                <c:pt idx="296">
                  <c:v>33.784500000000001</c:v>
                </c:pt>
                <c:pt idx="297">
                  <c:v>34.222500000000004</c:v>
                </c:pt>
                <c:pt idx="298">
                  <c:v>34.635000000000005</c:v>
                </c:pt>
                <c:pt idx="299">
                  <c:v>35.134</c:v>
                </c:pt>
                <c:pt idx="300">
                  <c:v>35.585999999999999</c:v>
                </c:pt>
                <c:pt idx="301">
                  <c:v>36.088999999999992</c:v>
                </c:pt>
                <c:pt idx="302">
                  <c:v>36.650500000000001</c:v>
                </c:pt>
                <c:pt idx="303">
                  <c:v>37.198</c:v>
                </c:pt>
                <c:pt idx="304">
                  <c:v>37.693999999999996</c:v>
                </c:pt>
                <c:pt idx="305">
                  <c:v>38.173999999999992</c:v>
                </c:pt>
                <c:pt idx="306">
                  <c:v>38.678999999999988</c:v>
                </c:pt>
                <c:pt idx="307">
                  <c:v>39.129999999999995</c:v>
                </c:pt>
                <c:pt idx="308">
                  <c:v>39.522999999999989</c:v>
                </c:pt>
                <c:pt idx="309">
                  <c:v>39.913499999999985</c:v>
                </c:pt>
                <c:pt idx="310">
                  <c:v>40.324499999999986</c:v>
                </c:pt>
                <c:pt idx="311">
                  <c:v>40.688999999999993</c:v>
                </c:pt>
                <c:pt idx="312">
                  <c:v>41.037999999999997</c:v>
                </c:pt>
                <c:pt idx="313">
                  <c:v>41.038999999999994</c:v>
                </c:pt>
                <c:pt idx="314">
                  <c:v>41.116499999999988</c:v>
                </c:pt>
                <c:pt idx="315">
                  <c:v>41.188499999999998</c:v>
                </c:pt>
                <c:pt idx="316">
                  <c:v>41.316499999999998</c:v>
                </c:pt>
                <c:pt idx="317">
                  <c:v>41.484000000000002</c:v>
                </c:pt>
                <c:pt idx="318">
                  <c:v>41.654500000000006</c:v>
                </c:pt>
                <c:pt idx="319">
                  <c:v>41.777000000000001</c:v>
                </c:pt>
                <c:pt idx="320">
                  <c:v>41.947999999999993</c:v>
                </c:pt>
                <c:pt idx="321">
                  <c:v>42.098000000000006</c:v>
                </c:pt>
                <c:pt idx="322">
                  <c:v>42.166999999999994</c:v>
                </c:pt>
                <c:pt idx="323">
                  <c:v>42.268000000000001</c:v>
                </c:pt>
                <c:pt idx="324">
                  <c:v>42.397499999999994</c:v>
                </c:pt>
                <c:pt idx="325">
                  <c:v>42.597000000000001</c:v>
                </c:pt>
                <c:pt idx="326">
                  <c:v>42.757999999999996</c:v>
                </c:pt>
                <c:pt idx="327">
                  <c:v>42.967500000000008</c:v>
                </c:pt>
                <c:pt idx="328">
                  <c:v>43.214500000000008</c:v>
                </c:pt>
                <c:pt idx="329">
                  <c:v>43.44400000000001</c:v>
                </c:pt>
                <c:pt idx="330">
                  <c:v>43.678500000000007</c:v>
                </c:pt>
                <c:pt idx="331">
                  <c:v>43.898499999999999</c:v>
                </c:pt>
                <c:pt idx="332">
                  <c:v>44.165000000000006</c:v>
                </c:pt>
                <c:pt idx="333">
                  <c:v>44.473500000000008</c:v>
                </c:pt>
                <c:pt idx="334">
                  <c:v>44.7545</c:v>
                </c:pt>
                <c:pt idx="335">
                  <c:v>45.085500000000003</c:v>
                </c:pt>
                <c:pt idx="336">
                  <c:v>45.372</c:v>
                </c:pt>
                <c:pt idx="337">
                  <c:v>45.624499999999998</c:v>
                </c:pt>
                <c:pt idx="338">
                  <c:v>45.916499999999992</c:v>
                </c:pt>
                <c:pt idx="339">
                  <c:v>46.148499999999991</c:v>
                </c:pt>
                <c:pt idx="340">
                  <c:v>46.322499999999991</c:v>
                </c:pt>
                <c:pt idx="341">
                  <c:v>46.617999999999988</c:v>
                </c:pt>
                <c:pt idx="342">
                  <c:v>47.005999999999993</c:v>
                </c:pt>
                <c:pt idx="343">
                  <c:v>47.311499999999988</c:v>
                </c:pt>
                <c:pt idx="344">
                  <c:v>47.629999999999995</c:v>
                </c:pt>
                <c:pt idx="345">
                  <c:v>47.922999999999995</c:v>
                </c:pt>
                <c:pt idx="346">
                  <c:v>48.261499999999998</c:v>
                </c:pt>
                <c:pt idx="347">
                  <c:v>48.55</c:v>
                </c:pt>
                <c:pt idx="348">
                  <c:v>48.820999999999991</c:v>
                </c:pt>
                <c:pt idx="349">
                  <c:v>49.080499999999994</c:v>
                </c:pt>
                <c:pt idx="350">
                  <c:v>49.314999999999991</c:v>
                </c:pt>
                <c:pt idx="351">
                  <c:v>49.564499999999995</c:v>
                </c:pt>
                <c:pt idx="352">
                  <c:v>49.767499999999991</c:v>
                </c:pt>
                <c:pt idx="353">
                  <c:v>49.887999999999991</c:v>
                </c:pt>
                <c:pt idx="354">
                  <c:v>49.993999999999986</c:v>
                </c:pt>
                <c:pt idx="355">
                  <c:v>50.050499999999985</c:v>
                </c:pt>
                <c:pt idx="356">
                  <c:v>50.113499999999988</c:v>
                </c:pt>
                <c:pt idx="357">
                  <c:v>50.187499999999986</c:v>
                </c:pt>
                <c:pt idx="358">
                  <c:v>50.233499999999992</c:v>
                </c:pt>
                <c:pt idx="359">
                  <c:v>50.355000000000004</c:v>
                </c:pt>
                <c:pt idx="360">
                  <c:v>50.488499999999995</c:v>
                </c:pt>
                <c:pt idx="361">
                  <c:v>50.548500000000004</c:v>
                </c:pt>
                <c:pt idx="362">
                  <c:v>50.624000000000009</c:v>
                </c:pt>
                <c:pt idx="363">
                  <c:v>50.743000000000009</c:v>
                </c:pt>
                <c:pt idx="364">
                  <c:v>50.865500000000011</c:v>
                </c:pt>
                <c:pt idx="365">
                  <c:v>50.960500000000003</c:v>
                </c:pt>
                <c:pt idx="366">
                  <c:v>51.044000000000011</c:v>
                </c:pt>
                <c:pt idx="367">
                  <c:v>51.130500000000005</c:v>
                </c:pt>
                <c:pt idx="368">
                  <c:v>51.168000000000013</c:v>
                </c:pt>
                <c:pt idx="369">
                  <c:v>51.220500000000001</c:v>
                </c:pt>
                <c:pt idx="370">
                  <c:v>51.300000000000011</c:v>
                </c:pt>
                <c:pt idx="371">
                  <c:v>51.415000000000006</c:v>
                </c:pt>
                <c:pt idx="372">
                  <c:v>51.553000000000011</c:v>
                </c:pt>
                <c:pt idx="373">
                  <c:v>51.670500000000004</c:v>
                </c:pt>
                <c:pt idx="374">
                  <c:v>51.79</c:v>
                </c:pt>
                <c:pt idx="375">
                  <c:v>51.851999999999997</c:v>
                </c:pt>
                <c:pt idx="376">
                  <c:v>51.928999999999995</c:v>
                </c:pt>
                <c:pt idx="377">
                  <c:v>51.996999999999993</c:v>
                </c:pt>
                <c:pt idx="378">
                  <c:v>52.077999999999996</c:v>
                </c:pt>
                <c:pt idx="379">
                  <c:v>52.119500000000002</c:v>
                </c:pt>
                <c:pt idx="380">
                  <c:v>52.137500000000003</c:v>
                </c:pt>
                <c:pt idx="381">
                  <c:v>52.113999999999997</c:v>
                </c:pt>
                <c:pt idx="382">
                  <c:v>51.989499999999985</c:v>
                </c:pt>
                <c:pt idx="383">
                  <c:v>51.8765</c:v>
                </c:pt>
                <c:pt idx="384">
                  <c:v>51.773499999999999</c:v>
                </c:pt>
                <c:pt idx="385">
                  <c:v>51.669499999999992</c:v>
                </c:pt>
                <c:pt idx="386">
                  <c:v>51.543999999999997</c:v>
                </c:pt>
                <c:pt idx="387">
                  <c:v>51.402000000000001</c:v>
                </c:pt>
                <c:pt idx="388">
                  <c:v>51.258999999999993</c:v>
                </c:pt>
                <c:pt idx="389">
                  <c:v>51.110499999999995</c:v>
                </c:pt>
                <c:pt idx="390">
                  <c:v>51.031999999999996</c:v>
                </c:pt>
                <c:pt idx="391">
                  <c:v>50.911999999999992</c:v>
                </c:pt>
                <c:pt idx="392">
                  <c:v>50.783499999999989</c:v>
                </c:pt>
                <c:pt idx="393">
                  <c:v>50.696999999999996</c:v>
                </c:pt>
                <c:pt idx="394">
                  <c:v>50.608499999999999</c:v>
                </c:pt>
                <c:pt idx="395">
                  <c:v>50.547499999999999</c:v>
                </c:pt>
                <c:pt idx="396">
                  <c:v>50.473999999999997</c:v>
                </c:pt>
                <c:pt idx="397">
                  <c:v>50.403999999999996</c:v>
                </c:pt>
                <c:pt idx="398">
                  <c:v>50.332000000000001</c:v>
                </c:pt>
                <c:pt idx="399">
                  <c:v>50.249000000000002</c:v>
                </c:pt>
                <c:pt idx="400">
                  <c:v>50.224499999999999</c:v>
                </c:pt>
                <c:pt idx="401">
                  <c:v>50.198999999999998</c:v>
                </c:pt>
                <c:pt idx="402">
                  <c:v>50.268999999999998</c:v>
                </c:pt>
                <c:pt idx="403">
                  <c:v>50.37</c:v>
                </c:pt>
                <c:pt idx="404">
                  <c:v>50.428999999999995</c:v>
                </c:pt>
                <c:pt idx="405">
                  <c:v>50.522000000000006</c:v>
                </c:pt>
                <c:pt idx="406">
                  <c:v>50.595500000000001</c:v>
                </c:pt>
                <c:pt idx="407">
                  <c:v>50.674499999999995</c:v>
                </c:pt>
                <c:pt idx="408">
                  <c:v>50.793999999999997</c:v>
                </c:pt>
                <c:pt idx="409">
                  <c:v>50.960500000000003</c:v>
                </c:pt>
                <c:pt idx="410">
                  <c:v>51.045499999999997</c:v>
                </c:pt>
                <c:pt idx="411">
                  <c:v>51.131</c:v>
                </c:pt>
                <c:pt idx="412">
                  <c:v>51.208500000000001</c:v>
                </c:pt>
                <c:pt idx="413">
                  <c:v>51.305499999999995</c:v>
                </c:pt>
                <c:pt idx="414">
                  <c:v>51.375</c:v>
                </c:pt>
                <c:pt idx="415">
                  <c:v>51.467000000000006</c:v>
                </c:pt>
                <c:pt idx="416">
                  <c:v>51.625</c:v>
                </c:pt>
                <c:pt idx="417">
                  <c:v>51.838000000000001</c:v>
                </c:pt>
                <c:pt idx="418">
                  <c:v>52.033000000000001</c:v>
                </c:pt>
                <c:pt idx="419">
                  <c:v>52.177</c:v>
                </c:pt>
                <c:pt idx="420">
                  <c:v>52.331499999999991</c:v>
                </c:pt>
                <c:pt idx="421">
                  <c:v>52.4895</c:v>
                </c:pt>
                <c:pt idx="422">
                  <c:v>52.604499999999994</c:v>
                </c:pt>
                <c:pt idx="423">
                  <c:v>52.717499999999994</c:v>
                </c:pt>
                <c:pt idx="424">
                  <c:v>52.832499999999996</c:v>
                </c:pt>
                <c:pt idx="425">
                  <c:v>52.931999999999995</c:v>
                </c:pt>
                <c:pt idx="426">
                  <c:v>53.0505</c:v>
                </c:pt>
                <c:pt idx="427">
                  <c:v>53.159999999999989</c:v>
                </c:pt>
                <c:pt idx="428">
                  <c:v>53.289000000000001</c:v>
                </c:pt>
                <c:pt idx="429">
                  <c:v>53.388500000000001</c:v>
                </c:pt>
                <c:pt idx="430">
                  <c:v>53.696499999999993</c:v>
                </c:pt>
                <c:pt idx="431">
                  <c:v>53.998999999999988</c:v>
                </c:pt>
                <c:pt idx="432">
                  <c:v>54.308499999999995</c:v>
                </c:pt>
                <c:pt idx="433">
                  <c:v>54.613</c:v>
                </c:pt>
                <c:pt idx="434">
                  <c:v>54.923000000000002</c:v>
                </c:pt>
                <c:pt idx="435">
                  <c:v>55.176000000000002</c:v>
                </c:pt>
                <c:pt idx="436">
                  <c:v>55.365000000000009</c:v>
                </c:pt>
                <c:pt idx="437">
                  <c:v>55.635500000000015</c:v>
                </c:pt>
                <c:pt idx="438">
                  <c:v>55.90150000000002</c:v>
                </c:pt>
                <c:pt idx="439">
                  <c:v>56.238</c:v>
                </c:pt>
                <c:pt idx="440">
                  <c:v>56.561500000000009</c:v>
                </c:pt>
                <c:pt idx="441">
                  <c:v>56.880500000000019</c:v>
                </c:pt>
                <c:pt idx="442">
                  <c:v>57.219000000000008</c:v>
                </c:pt>
                <c:pt idx="443">
                  <c:v>57.539000000000009</c:v>
                </c:pt>
                <c:pt idx="444">
                  <c:v>57.898000000000003</c:v>
                </c:pt>
                <c:pt idx="445">
                  <c:v>58.278499999999994</c:v>
                </c:pt>
                <c:pt idx="446">
                  <c:v>58.672000000000004</c:v>
                </c:pt>
                <c:pt idx="447">
                  <c:v>59.074999999999989</c:v>
                </c:pt>
                <c:pt idx="448">
                  <c:v>59.440999999999995</c:v>
                </c:pt>
                <c:pt idx="449">
                  <c:v>59.748499999999993</c:v>
                </c:pt>
                <c:pt idx="450">
                  <c:v>59.84999999999998</c:v>
                </c:pt>
                <c:pt idx="451">
                  <c:v>59.96149999999998</c:v>
                </c:pt>
                <c:pt idx="452">
                  <c:v>60.021999999999991</c:v>
                </c:pt>
                <c:pt idx="453">
                  <c:v>60.027999999999999</c:v>
                </c:pt>
                <c:pt idx="454">
                  <c:v>60.076999999999984</c:v>
                </c:pt>
                <c:pt idx="455">
                  <c:v>60.152999999999999</c:v>
                </c:pt>
                <c:pt idx="456">
                  <c:v>60.181999999999995</c:v>
                </c:pt>
                <c:pt idx="457">
                  <c:v>60.057500000000005</c:v>
                </c:pt>
                <c:pt idx="458">
                  <c:v>59.914999999999999</c:v>
                </c:pt>
                <c:pt idx="459">
                  <c:v>59.709500000000006</c:v>
                </c:pt>
                <c:pt idx="460">
                  <c:v>59.465499999999999</c:v>
                </c:pt>
                <c:pt idx="461">
                  <c:v>59.241</c:v>
                </c:pt>
                <c:pt idx="462">
                  <c:v>59.038000000000011</c:v>
                </c:pt>
                <c:pt idx="463">
                  <c:v>58.847500000000011</c:v>
                </c:pt>
                <c:pt idx="464">
                  <c:v>58.584500000000006</c:v>
                </c:pt>
                <c:pt idx="465">
                  <c:v>58.304999999999993</c:v>
                </c:pt>
                <c:pt idx="466">
                  <c:v>58.017499999999984</c:v>
                </c:pt>
                <c:pt idx="467">
                  <c:v>57.736999999999988</c:v>
                </c:pt>
                <c:pt idx="468">
                  <c:v>57.54549999999999</c:v>
                </c:pt>
                <c:pt idx="469">
                  <c:v>57.34399999999998</c:v>
                </c:pt>
                <c:pt idx="470">
                  <c:v>57.212999999999987</c:v>
                </c:pt>
                <c:pt idx="471">
                  <c:v>57.085999999999991</c:v>
                </c:pt>
                <c:pt idx="472">
                  <c:v>57.033499999999989</c:v>
                </c:pt>
                <c:pt idx="473">
                  <c:v>56.954999999999998</c:v>
                </c:pt>
                <c:pt idx="474">
                  <c:v>56.882500000000007</c:v>
                </c:pt>
                <c:pt idx="475">
                  <c:v>56.826499999999996</c:v>
                </c:pt>
                <c:pt idx="476">
                  <c:v>56.778500000000008</c:v>
                </c:pt>
                <c:pt idx="477">
                  <c:v>56.731999999999992</c:v>
                </c:pt>
                <c:pt idx="478">
                  <c:v>56.70300000000001</c:v>
                </c:pt>
                <c:pt idx="479">
                  <c:v>56.832000000000008</c:v>
                </c:pt>
                <c:pt idx="480">
                  <c:v>56.985500000000002</c:v>
                </c:pt>
                <c:pt idx="481">
                  <c:v>57.184000000000005</c:v>
                </c:pt>
                <c:pt idx="482">
                  <c:v>57.305500000000009</c:v>
                </c:pt>
                <c:pt idx="483">
                  <c:v>57.409000000000006</c:v>
                </c:pt>
                <c:pt idx="484">
                  <c:v>57.554500000000004</c:v>
                </c:pt>
                <c:pt idx="485">
                  <c:v>57.720000000000006</c:v>
                </c:pt>
                <c:pt idx="486">
                  <c:v>57.904000000000011</c:v>
                </c:pt>
                <c:pt idx="487">
                  <c:v>58.123500000000014</c:v>
                </c:pt>
                <c:pt idx="488">
                  <c:v>58.285499999999999</c:v>
                </c:pt>
                <c:pt idx="489">
                  <c:v>58.46</c:v>
                </c:pt>
                <c:pt idx="490">
                  <c:v>58.515000000000001</c:v>
                </c:pt>
                <c:pt idx="491">
                  <c:v>58.6355</c:v>
                </c:pt>
                <c:pt idx="492">
                  <c:v>58.836500000000001</c:v>
                </c:pt>
                <c:pt idx="493">
                  <c:v>58.921500000000002</c:v>
                </c:pt>
                <c:pt idx="494">
                  <c:v>58.9495</c:v>
                </c:pt>
                <c:pt idx="495">
                  <c:v>58.903499999999994</c:v>
                </c:pt>
                <c:pt idx="496">
                  <c:v>58.902499999999996</c:v>
                </c:pt>
                <c:pt idx="497">
                  <c:v>58.910499999999999</c:v>
                </c:pt>
                <c:pt idx="498">
                  <c:v>58.945999999999991</c:v>
                </c:pt>
                <c:pt idx="499">
                  <c:v>58.861999999999988</c:v>
                </c:pt>
                <c:pt idx="500">
                  <c:v>58.74499999999999</c:v>
                </c:pt>
                <c:pt idx="501">
                  <c:v>58.55149999999999</c:v>
                </c:pt>
                <c:pt idx="502">
                  <c:v>58.372499999999988</c:v>
                </c:pt>
                <c:pt idx="503">
                  <c:v>58.185999999999993</c:v>
                </c:pt>
                <c:pt idx="504">
                  <c:v>58.036999999999992</c:v>
                </c:pt>
                <c:pt idx="505">
                  <c:v>57.900500000000001</c:v>
                </c:pt>
                <c:pt idx="506">
                  <c:v>57.713999999999999</c:v>
                </c:pt>
                <c:pt idx="507">
                  <c:v>57.521000000000001</c:v>
                </c:pt>
                <c:pt idx="508">
                  <c:v>57.348500000000001</c:v>
                </c:pt>
                <c:pt idx="509">
                  <c:v>57.243000000000009</c:v>
                </c:pt>
                <c:pt idx="510">
                  <c:v>57.173500000000011</c:v>
                </c:pt>
                <c:pt idx="511">
                  <c:v>57.002105263157894</c:v>
                </c:pt>
                <c:pt idx="512">
                  <c:v>56.697222222222216</c:v>
                </c:pt>
                <c:pt idx="513">
                  <c:v>56.564705882352939</c:v>
                </c:pt>
                <c:pt idx="514">
                  <c:v>56.463124999999998</c:v>
                </c:pt>
                <c:pt idx="515">
                  <c:v>56.448666666666661</c:v>
                </c:pt>
                <c:pt idx="516">
                  <c:v>56.423571428571428</c:v>
                </c:pt>
                <c:pt idx="517">
                  <c:v>56.417692307692306</c:v>
                </c:pt>
                <c:pt idx="518">
                  <c:v>56.369166666666665</c:v>
                </c:pt>
                <c:pt idx="519">
                  <c:v>56.320909090909076</c:v>
                </c:pt>
                <c:pt idx="520">
                  <c:v>56.325000000000003</c:v>
                </c:pt>
                <c:pt idx="521">
                  <c:v>56.356666666666669</c:v>
                </c:pt>
                <c:pt idx="522">
                  <c:v>56.466250000000002</c:v>
                </c:pt>
                <c:pt idx="523">
                  <c:v>56.601428571428578</c:v>
                </c:pt>
                <c:pt idx="524">
                  <c:v>56.708333333333336</c:v>
                </c:pt>
                <c:pt idx="525">
                  <c:v>56.772000000000006</c:v>
                </c:pt>
                <c:pt idx="526">
                  <c:v>57.034999999999997</c:v>
                </c:pt>
                <c:pt idx="527">
                  <c:v>57.286666666666662</c:v>
                </c:pt>
                <c:pt idx="528">
                  <c:v>57.424999999999997</c:v>
                </c:pt>
                <c:pt idx="529">
                  <c:v>57.41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91-44F0-A2B4-3F402245B4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Bayer!$J$2:$J$531</c:f>
              <c:numCache>
                <c:formatCode>General</c:formatCode>
                <c:ptCount val="530"/>
                <c:pt idx="0">
                  <c:v>20.365999999999996</c:v>
                </c:pt>
                <c:pt idx="1">
                  <c:v>20.341749999999998</c:v>
                </c:pt>
                <c:pt idx="2">
                  <c:v>20.330500000000001</c:v>
                </c:pt>
                <c:pt idx="3">
                  <c:v>20.310750000000002</c:v>
                </c:pt>
                <c:pt idx="4">
                  <c:v>20.287500000000001</c:v>
                </c:pt>
                <c:pt idx="5">
                  <c:v>20.244500000000002</c:v>
                </c:pt>
                <c:pt idx="6">
                  <c:v>20.200000000000003</c:v>
                </c:pt>
                <c:pt idx="7">
                  <c:v>20.150250000000007</c:v>
                </c:pt>
                <c:pt idx="8">
                  <c:v>20.107250000000004</c:v>
                </c:pt>
                <c:pt idx="9">
                  <c:v>20.050999999999998</c:v>
                </c:pt>
                <c:pt idx="10">
                  <c:v>19.98875</c:v>
                </c:pt>
                <c:pt idx="11">
                  <c:v>19.92925</c:v>
                </c:pt>
                <c:pt idx="12">
                  <c:v>19.864249999999995</c:v>
                </c:pt>
                <c:pt idx="13">
                  <c:v>19.826499999999996</c:v>
                </c:pt>
                <c:pt idx="14">
                  <c:v>19.798999999999996</c:v>
                </c:pt>
                <c:pt idx="15">
                  <c:v>19.759999999999994</c:v>
                </c:pt>
                <c:pt idx="16">
                  <c:v>19.723749999999992</c:v>
                </c:pt>
                <c:pt idx="17">
                  <c:v>19.691749999999992</c:v>
                </c:pt>
                <c:pt idx="18">
                  <c:v>19.665249999999993</c:v>
                </c:pt>
                <c:pt idx="19">
                  <c:v>19.644249999999992</c:v>
                </c:pt>
                <c:pt idx="20">
                  <c:v>19.638249999999992</c:v>
                </c:pt>
                <c:pt idx="21">
                  <c:v>19.623749999999994</c:v>
                </c:pt>
                <c:pt idx="22">
                  <c:v>19.655749999999994</c:v>
                </c:pt>
                <c:pt idx="23">
                  <c:v>19.765499999999992</c:v>
                </c:pt>
                <c:pt idx="24">
                  <c:v>19.867999999999995</c:v>
                </c:pt>
                <c:pt idx="25">
                  <c:v>19.982999999999997</c:v>
                </c:pt>
                <c:pt idx="26">
                  <c:v>20.089749999999999</c:v>
                </c:pt>
                <c:pt idx="27">
                  <c:v>20.209499999999998</c:v>
                </c:pt>
                <c:pt idx="28">
                  <c:v>20.335249999999998</c:v>
                </c:pt>
                <c:pt idx="29">
                  <c:v>20.488000000000003</c:v>
                </c:pt>
                <c:pt idx="30">
                  <c:v>20.623250000000002</c:v>
                </c:pt>
                <c:pt idx="31">
                  <c:v>20.765499999999999</c:v>
                </c:pt>
                <c:pt idx="32">
                  <c:v>20.922249999999998</c:v>
                </c:pt>
                <c:pt idx="33">
                  <c:v>21.102500000000003</c:v>
                </c:pt>
                <c:pt idx="34">
                  <c:v>21.272750000000002</c:v>
                </c:pt>
                <c:pt idx="35">
                  <c:v>21.444250000000004</c:v>
                </c:pt>
                <c:pt idx="36">
                  <c:v>21.604250000000004</c:v>
                </c:pt>
                <c:pt idx="37">
                  <c:v>21.768000000000004</c:v>
                </c:pt>
                <c:pt idx="38">
                  <c:v>21.933000000000003</c:v>
                </c:pt>
                <c:pt idx="39">
                  <c:v>22.098500000000001</c:v>
                </c:pt>
                <c:pt idx="40">
                  <c:v>22.256750000000004</c:v>
                </c:pt>
                <c:pt idx="41">
                  <c:v>22.417250000000003</c:v>
                </c:pt>
                <c:pt idx="42">
                  <c:v>22.573500000000003</c:v>
                </c:pt>
                <c:pt idx="43">
                  <c:v>22.72025</c:v>
                </c:pt>
                <c:pt idx="44">
                  <c:v>22.8765</c:v>
                </c:pt>
                <c:pt idx="45">
                  <c:v>23.058249999999997</c:v>
                </c:pt>
                <c:pt idx="46">
                  <c:v>23.257999999999999</c:v>
                </c:pt>
                <c:pt idx="47">
                  <c:v>23.50825</c:v>
                </c:pt>
                <c:pt idx="48">
                  <c:v>23.770249999999997</c:v>
                </c:pt>
                <c:pt idx="49">
                  <c:v>24.030749999999998</c:v>
                </c:pt>
                <c:pt idx="50">
                  <c:v>24.292999999999999</c:v>
                </c:pt>
                <c:pt idx="51">
                  <c:v>24.573999999999998</c:v>
                </c:pt>
                <c:pt idx="52">
                  <c:v>24.862500000000001</c:v>
                </c:pt>
                <c:pt idx="53">
                  <c:v>25.122499999999999</c:v>
                </c:pt>
                <c:pt idx="54">
                  <c:v>25.387250000000002</c:v>
                </c:pt>
                <c:pt idx="55">
                  <c:v>25.626999999999999</c:v>
                </c:pt>
                <c:pt idx="56">
                  <c:v>25.856249999999999</c:v>
                </c:pt>
                <c:pt idx="57">
                  <c:v>26.077250000000003</c:v>
                </c:pt>
                <c:pt idx="58">
                  <c:v>26.286250000000003</c:v>
                </c:pt>
                <c:pt idx="59">
                  <c:v>26.495000000000005</c:v>
                </c:pt>
                <c:pt idx="60">
                  <c:v>26.706750000000007</c:v>
                </c:pt>
                <c:pt idx="61">
                  <c:v>26.901000000000003</c:v>
                </c:pt>
                <c:pt idx="62">
                  <c:v>27.065750000000001</c:v>
                </c:pt>
                <c:pt idx="63">
                  <c:v>27.123000000000008</c:v>
                </c:pt>
                <c:pt idx="64">
                  <c:v>27.195500000000003</c:v>
                </c:pt>
                <c:pt idx="65">
                  <c:v>27.256250000000001</c:v>
                </c:pt>
                <c:pt idx="66">
                  <c:v>27.333000000000006</c:v>
                </c:pt>
                <c:pt idx="67">
                  <c:v>27.408750000000005</c:v>
                </c:pt>
                <c:pt idx="68">
                  <c:v>27.507000000000005</c:v>
                </c:pt>
                <c:pt idx="69">
                  <c:v>27.602250000000005</c:v>
                </c:pt>
                <c:pt idx="70">
                  <c:v>27.706750000000007</c:v>
                </c:pt>
                <c:pt idx="71">
                  <c:v>27.779000000000007</c:v>
                </c:pt>
                <c:pt idx="72">
                  <c:v>27.835500000000007</c:v>
                </c:pt>
                <c:pt idx="73">
                  <c:v>27.883749999999999</c:v>
                </c:pt>
                <c:pt idx="74">
                  <c:v>27.936499999999995</c:v>
                </c:pt>
                <c:pt idx="75">
                  <c:v>27.988499999999995</c:v>
                </c:pt>
                <c:pt idx="76">
                  <c:v>28.038249999999994</c:v>
                </c:pt>
                <c:pt idx="77">
                  <c:v>28.07974999999999</c:v>
                </c:pt>
                <c:pt idx="78">
                  <c:v>28.11624999999999</c:v>
                </c:pt>
                <c:pt idx="79">
                  <c:v>28.153249999999993</c:v>
                </c:pt>
                <c:pt idx="80">
                  <c:v>28.183499999999992</c:v>
                </c:pt>
                <c:pt idx="81">
                  <c:v>28.225749999999987</c:v>
                </c:pt>
                <c:pt idx="82">
                  <c:v>28.269249999999989</c:v>
                </c:pt>
                <c:pt idx="83">
                  <c:v>28.343749999999989</c:v>
                </c:pt>
                <c:pt idx="84">
                  <c:v>28.41224999999999</c:v>
                </c:pt>
                <c:pt idx="85">
                  <c:v>28.399749999999994</c:v>
                </c:pt>
                <c:pt idx="86">
                  <c:v>28.364249999999988</c:v>
                </c:pt>
                <c:pt idx="87">
                  <c:v>28.282999999999994</c:v>
                </c:pt>
                <c:pt idx="88">
                  <c:v>28.187749999999994</c:v>
                </c:pt>
                <c:pt idx="89">
                  <c:v>28.091749999999998</c:v>
                </c:pt>
                <c:pt idx="90">
                  <c:v>28.003999999999998</c:v>
                </c:pt>
                <c:pt idx="91">
                  <c:v>27.896749999999997</c:v>
                </c:pt>
                <c:pt idx="92">
                  <c:v>27.768749999999994</c:v>
                </c:pt>
                <c:pt idx="93">
                  <c:v>27.683999999999997</c:v>
                </c:pt>
                <c:pt idx="94">
                  <c:v>27.607999999999997</c:v>
                </c:pt>
                <c:pt idx="95">
                  <c:v>27.562000000000001</c:v>
                </c:pt>
                <c:pt idx="96">
                  <c:v>27.531750000000006</c:v>
                </c:pt>
                <c:pt idx="97">
                  <c:v>27.496750000000002</c:v>
                </c:pt>
                <c:pt idx="98">
                  <c:v>27.468000000000007</c:v>
                </c:pt>
                <c:pt idx="99">
                  <c:v>27.438250000000011</c:v>
                </c:pt>
                <c:pt idx="100">
                  <c:v>27.402250000000009</c:v>
                </c:pt>
                <c:pt idx="101">
                  <c:v>27.378750000000007</c:v>
                </c:pt>
                <c:pt idx="102">
                  <c:v>27.366250000000008</c:v>
                </c:pt>
                <c:pt idx="103">
                  <c:v>27.381250000000005</c:v>
                </c:pt>
                <c:pt idx="104">
                  <c:v>27.363250000000004</c:v>
                </c:pt>
                <c:pt idx="105">
                  <c:v>27.367750000000008</c:v>
                </c:pt>
                <c:pt idx="106">
                  <c:v>27.359500000000008</c:v>
                </c:pt>
                <c:pt idx="107">
                  <c:v>27.320750000000004</c:v>
                </c:pt>
                <c:pt idx="108">
                  <c:v>27.263500000000004</c:v>
                </c:pt>
                <c:pt idx="109">
                  <c:v>27.214000000000006</c:v>
                </c:pt>
                <c:pt idx="110">
                  <c:v>27.1555</c:v>
                </c:pt>
                <c:pt idx="111">
                  <c:v>27.111499999999999</c:v>
                </c:pt>
                <c:pt idx="112">
                  <c:v>27.05</c:v>
                </c:pt>
                <c:pt idx="113">
                  <c:v>27.000749999999993</c:v>
                </c:pt>
                <c:pt idx="114">
                  <c:v>26.958499999999994</c:v>
                </c:pt>
                <c:pt idx="115">
                  <c:v>26.91825</c:v>
                </c:pt>
                <c:pt idx="116">
                  <c:v>26.883749999999992</c:v>
                </c:pt>
                <c:pt idx="117">
                  <c:v>26.841499999999989</c:v>
                </c:pt>
                <c:pt idx="118">
                  <c:v>26.806749999999994</c:v>
                </c:pt>
                <c:pt idx="119">
                  <c:v>26.769749999999998</c:v>
                </c:pt>
                <c:pt idx="120">
                  <c:v>26.729749999999996</c:v>
                </c:pt>
                <c:pt idx="121">
                  <c:v>26.676749999999991</c:v>
                </c:pt>
                <c:pt idx="122">
                  <c:v>26.623749999999994</c:v>
                </c:pt>
                <c:pt idx="123">
                  <c:v>26.56325</c:v>
                </c:pt>
                <c:pt idx="124">
                  <c:v>26.488250000000001</c:v>
                </c:pt>
                <c:pt idx="125">
                  <c:v>26.481499999999993</c:v>
                </c:pt>
                <c:pt idx="126">
                  <c:v>26.476249999999993</c:v>
                </c:pt>
                <c:pt idx="127">
                  <c:v>26.479999999999997</c:v>
                </c:pt>
                <c:pt idx="128">
                  <c:v>26.484249999999996</c:v>
                </c:pt>
                <c:pt idx="129">
                  <c:v>26.511749999999996</c:v>
                </c:pt>
                <c:pt idx="130">
                  <c:v>26.536499999999997</c:v>
                </c:pt>
                <c:pt idx="131">
                  <c:v>26.579499999999996</c:v>
                </c:pt>
                <c:pt idx="132">
                  <c:v>26.623499999999996</c:v>
                </c:pt>
                <c:pt idx="133">
                  <c:v>26.637</c:v>
                </c:pt>
                <c:pt idx="134">
                  <c:v>26.6555</c:v>
                </c:pt>
                <c:pt idx="135">
                  <c:v>26.683500000000002</c:v>
                </c:pt>
                <c:pt idx="136">
                  <c:v>26.710750000000001</c:v>
                </c:pt>
                <c:pt idx="137">
                  <c:v>26.729000000000003</c:v>
                </c:pt>
                <c:pt idx="138">
                  <c:v>26.759000000000007</c:v>
                </c:pt>
                <c:pt idx="139">
                  <c:v>26.778250000000007</c:v>
                </c:pt>
                <c:pt idx="140">
                  <c:v>26.791500000000003</c:v>
                </c:pt>
                <c:pt idx="141">
                  <c:v>26.79000000000001</c:v>
                </c:pt>
                <c:pt idx="142">
                  <c:v>26.810750000000006</c:v>
                </c:pt>
                <c:pt idx="143">
                  <c:v>26.834750000000003</c:v>
                </c:pt>
                <c:pt idx="144">
                  <c:v>26.86900000000001</c:v>
                </c:pt>
                <c:pt idx="145">
                  <c:v>26.884250000000002</c:v>
                </c:pt>
                <c:pt idx="146">
                  <c:v>26.927250000000004</c:v>
                </c:pt>
                <c:pt idx="147">
                  <c:v>26.983750000000004</c:v>
                </c:pt>
                <c:pt idx="148">
                  <c:v>27.04075000000001</c:v>
                </c:pt>
                <c:pt idx="149">
                  <c:v>27.082000000000004</c:v>
                </c:pt>
                <c:pt idx="150">
                  <c:v>27.132250000000006</c:v>
                </c:pt>
                <c:pt idx="151">
                  <c:v>27.212250000000001</c:v>
                </c:pt>
                <c:pt idx="152">
                  <c:v>27.308999999999997</c:v>
                </c:pt>
                <c:pt idx="153">
                  <c:v>27.392000000000003</c:v>
                </c:pt>
                <c:pt idx="154">
                  <c:v>27.461500000000001</c:v>
                </c:pt>
                <c:pt idx="155">
                  <c:v>27.52375</c:v>
                </c:pt>
                <c:pt idx="156">
                  <c:v>27.580000000000002</c:v>
                </c:pt>
                <c:pt idx="157">
                  <c:v>27.645999999999997</c:v>
                </c:pt>
                <c:pt idx="158">
                  <c:v>27.693249999999995</c:v>
                </c:pt>
                <c:pt idx="159">
                  <c:v>27.734249999999996</c:v>
                </c:pt>
                <c:pt idx="160">
                  <c:v>27.784749999999995</c:v>
                </c:pt>
                <c:pt idx="161">
                  <c:v>27.818750000000001</c:v>
                </c:pt>
                <c:pt idx="162">
                  <c:v>27.854750000000003</c:v>
                </c:pt>
                <c:pt idx="163">
                  <c:v>27.873250000000002</c:v>
                </c:pt>
                <c:pt idx="164">
                  <c:v>27.895750000000003</c:v>
                </c:pt>
                <c:pt idx="165">
                  <c:v>27.920000000000009</c:v>
                </c:pt>
                <c:pt idx="166">
                  <c:v>27.963000000000005</c:v>
                </c:pt>
                <c:pt idx="167">
                  <c:v>27.9925</c:v>
                </c:pt>
                <c:pt idx="168">
                  <c:v>27.997499999999995</c:v>
                </c:pt>
                <c:pt idx="169">
                  <c:v>27.976749999999999</c:v>
                </c:pt>
                <c:pt idx="170">
                  <c:v>27.9495</c:v>
                </c:pt>
                <c:pt idx="171">
                  <c:v>27.905750000000001</c:v>
                </c:pt>
                <c:pt idx="172">
                  <c:v>27.890250000000002</c:v>
                </c:pt>
                <c:pt idx="173">
                  <c:v>27.877500000000005</c:v>
                </c:pt>
                <c:pt idx="174">
                  <c:v>27.850750000000005</c:v>
                </c:pt>
                <c:pt idx="175">
                  <c:v>27.830500000000001</c:v>
                </c:pt>
                <c:pt idx="176">
                  <c:v>27.800750000000004</c:v>
                </c:pt>
                <c:pt idx="177">
                  <c:v>27.775750000000006</c:v>
                </c:pt>
                <c:pt idx="178">
                  <c:v>27.745750000000005</c:v>
                </c:pt>
                <c:pt idx="179">
                  <c:v>27.753750000000004</c:v>
                </c:pt>
                <c:pt idx="180">
                  <c:v>27.771250000000002</c:v>
                </c:pt>
                <c:pt idx="181">
                  <c:v>27.798250000000007</c:v>
                </c:pt>
                <c:pt idx="182">
                  <c:v>27.814000000000011</c:v>
                </c:pt>
                <c:pt idx="183">
                  <c:v>27.817750000000007</c:v>
                </c:pt>
                <c:pt idx="184">
                  <c:v>27.810000000000009</c:v>
                </c:pt>
                <c:pt idx="185">
                  <c:v>27.791500000000003</c:v>
                </c:pt>
                <c:pt idx="186">
                  <c:v>27.750250000000001</c:v>
                </c:pt>
                <c:pt idx="187">
                  <c:v>27.704249999999995</c:v>
                </c:pt>
                <c:pt idx="188">
                  <c:v>27.643000000000001</c:v>
                </c:pt>
                <c:pt idx="189">
                  <c:v>27.57525</c:v>
                </c:pt>
                <c:pt idx="190">
                  <c:v>27.514499999999991</c:v>
                </c:pt>
                <c:pt idx="191">
                  <c:v>27.437249999999999</c:v>
                </c:pt>
                <c:pt idx="192">
                  <c:v>27.357250000000001</c:v>
                </c:pt>
                <c:pt idx="193">
                  <c:v>27.281749999999995</c:v>
                </c:pt>
                <c:pt idx="194">
                  <c:v>27.22025</c:v>
                </c:pt>
                <c:pt idx="195">
                  <c:v>27.173499999999997</c:v>
                </c:pt>
                <c:pt idx="196">
                  <c:v>27.118249999999996</c:v>
                </c:pt>
                <c:pt idx="197">
                  <c:v>27.066250000000004</c:v>
                </c:pt>
                <c:pt idx="198">
                  <c:v>27.031000000000006</c:v>
                </c:pt>
                <c:pt idx="199">
                  <c:v>26.97925</c:v>
                </c:pt>
                <c:pt idx="200">
                  <c:v>26.977999999999998</c:v>
                </c:pt>
                <c:pt idx="201">
                  <c:v>27.002499999999998</c:v>
                </c:pt>
                <c:pt idx="202">
                  <c:v>27.014999999999997</c:v>
                </c:pt>
                <c:pt idx="203">
                  <c:v>27.044</c:v>
                </c:pt>
                <c:pt idx="204">
                  <c:v>27.100000000000005</c:v>
                </c:pt>
                <c:pt idx="205">
                  <c:v>27.140250000000009</c:v>
                </c:pt>
                <c:pt idx="206">
                  <c:v>27.177250000000004</c:v>
                </c:pt>
                <c:pt idx="207">
                  <c:v>27.217000000000006</c:v>
                </c:pt>
                <c:pt idx="208">
                  <c:v>27.282000000000011</c:v>
                </c:pt>
                <c:pt idx="209">
                  <c:v>27.34500000000001</c:v>
                </c:pt>
                <c:pt idx="210">
                  <c:v>27.411250000000006</c:v>
                </c:pt>
                <c:pt idx="211">
                  <c:v>27.474500000000006</c:v>
                </c:pt>
                <c:pt idx="212">
                  <c:v>27.514499999999998</c:v>
                </c:pt>
                <c:pt idx="213">
                  <c:v>27.541999999999994</c:v>
                </c:pt>
                <c:pt idx="214">
                  <c:v>27.564250000000005</c:v>
                </c:pt>
                <c:pt idx="215">
                  <c:v>27.582999999999998</c:v>
                </c:pt>
                <c:pt idx="216">
                  <c:v>27.592500000000001</c:v>
                </c:pt>
                <c:pt idx="217">
                  <c:v>27.603000000000002</c:v>
                </c:pt>
                <c:pt idx="218">
                  <c:v>27.634750000000004</c:v>
                </c:pt>
                <c:pt idx="219">
                  <c:v>27.650750000000006</c:v>
                </c:pt>
                <c:pt idx="220">
                  <c:v>27.646499999999996</c:v>
                </c:pt>
                <c:pt idx="221">
                  <c:v>27.66375</c:v>
                </c:pt>
                <c:pt idx="222">
                  <c:v>27.659749999999995</c:v>
                </c:pt>
                <c:pt idx="223">
                  <c:v>27.671750000000003</c:v>
                </c:pt>
                <c:pt idx="224">
                  <c:v>27.740750000000002</c:v>
                </c:pt>
                <c:pt idx="225">
                  <c:v>27.8385</c:v>
                </c:pt>
                <c:pt idx="226">
                  <c:v>27.977499999999999</c:v>
                </c:pt>
                <c:pt idx="227">
                  <c:v>28.131250000000001</c:v>
                </c:pt>
                <c:pt idx="228">
                  <c:v>28.291500000000003</c:v>
                </c:pt>
                <c:pt idx="229">
                  <c:v>28.457750000000004</c:v>
                </c:pt>
                <c:pt idx="230">
                  <c:v>28.623500000000007</c:v>
                </c:pt>
                <c:pt idx="231">
                  <c:v>28.777250000000002</c:v>
                </c:pt>
                <c:pt idx="232">
                  <c:v>28.939749999999997</c:v>
                </c:pt>
                <c:pt idx="233">
                  <c:v>29.111000000000001</c:v>
                </c:pt>
                <c:pt idx="234">
                  <c:v>29.287000000000006</c:v>
                </c:pt>
                <c:pt idx="235">
                  <c:v>29.455249999999999</c:v>
                </c:pt>
                <c:pt idx="236">
                  <c:v>29.65475</c:v>
                </c:pt>
                <c:pt idx="237">
                  <c:v>29.839250000000003</c:v>
                </c:pt>
                <c:pt idx="238">
                  <c:v>30.042000000000002</c:v>
                </c:pt>
                <c:pt idx="239">
                  <c:v>30.283249999999999</c:v>
                </c:pt>
                <c:pt idx="240">
                  <c:v>30.462250000000001</c:v>
                </c:pt>
                <c:pt idx="241">
                  <c:v>30.634499999999996</c:v>
                </c:pt>
                <c:pt idx="242">
                  <c:v>30.81325</c:v>
                </c:pt>
                <c:pt idx="243">
                  <c:v>30.959249999999997</c:v>
                </c:pt>
                <c:pt idx="244">
                  <c:v>31.088999999999992</c:v>
                </c:pt>
                <c:pt idx="245">
                  <c:v>31.215249999999997</c:v>
                </c:pt>
                <c:pt idx="246">
                  <c:v>31.332000000000001</c:v>
                </c:pt>
                <c:pt idx="247">
                  <c:v>31.445999999999998</c:v>
                </c:pt>
                <c:pt idx="248">
                  <c:v>31.540499999999998</c:v>
                </c:pt>
                <c:pt idx="249">
                  <c:v>31.637</c:v>
                </c:pt>
                <c:pt idx="250">
                  <c:v>31.728499999999997</c:v>
                </c:pt>
                <c:pt idx="251">
                  <c:v>31.818000000000001</c:v>
                </c:pt>
                <c:pt idx="252">
                  <c:v>31.919249999999995</c:v>
                </c:pt>
                <c:pt idx="253">
                  <c:v>32.019999999999996</c:v>
                </c:pt>
                <c:pt idx="254">
                  <c:v>32.119749999999996</c:v>
                </c:pt>
                <c:pt idx="255">
                  <c:v>32.187999999999995</c:v>
                </c:pt>
                <c:pt idx="256">
                  <c:v>32.276999999999994</c:v>
                </c:pt>
                <c:pt idx="257">
                  <c:v>32.370499999999993</c:v>
                </c:pt>
                <c:pt idx="258">
                  <c:v>32.450499999999998</c:v>
                </c:pt>
                <c:pt idx="259">
                  <c:v>32.516249999999999</c:v>
                </c:pt>
                <c:pt idx="260">
                  <c:v>32.611249999999998</c:v>
                </c:pt>
                <c:pt idx="261">
                  <c:v>32.686500000000009</c:v>
                </c:pt>
                <c:pt idx="262">
                  <c:v>32.750500000000002</c:v>
                </c:pt>
                <c:pt idx="263">
                  <c:v>32.805750000000003</c:v>
                </c:pt>
                <c:pt idx="264">
                  <c:v>32.83775</c:v>
                </c:pt>
                <c:pt idx="265">
                  <c:v>32.835750000000004</c:v>
                </c:pt>
                <c:pt idx="266">
                  <c:v>32.792000000000002</c:v>
                </c:pt>
                <c:pt idx="267">
                  <c:v>32.767750000000007</c:v>
                </c:pt>
                <c:pt idx="268">
                  <c:v>32.768250000000009</c:v>
                </c:pt>
                <c:pt idx="269">
                  <c:v>32.779000000000011</c:v>
                </c:pt>
                <c:pt idx="270">
                  <c:v>32.777999999999999</c:v>
                </c:pt>
                <c:pt idx="271">
                  <c:v>32.817999999999998</c:v>
                </c:pt>
                <c:pt idx="272">
                  <c:v>32.855250000000005</c:v>
                </c:pt>
                <c:pt idx="273">
                  <c:v>33.061250000000015</c:v>
                </c:pt>
                <c:pt idx="274">
                  <c:v>33.238000000000007</c:v>
                </c:pt>
                <c:pt idx="275">
                  <c:v>33.426499999999997</c:v>
                </c:pt>
                <c:pt idx="276">
                  <c:v>33.58625</c:v>
                </c:pt>
                <c:pt idx="277">
                  <c:v>33.747749999999996</c:v>
                </c:pt>
                <c:pt idx="278">
                  <c:v>33.882500000000007</c:v>
                </c:pt>
                <c:pt idx="279">
                  <c:v>34.037750000000003</c:v>
                </c:pt>
                <c:pt idx="280">
                  <c:v>34.192500000000003</c:v>
                </c:pt>
                <c:pt idx="281">
                  <c:v>34.356000000000002</c:v>
                </c:pt>
                <c:pt idx="282">
                  <c:v>34.526500000000006</c:v>
                </c:pt>
                <c:pt idx="283">
                  <c:v>34.718000000000004</c:v>
                </c:pt>
                <c:pt idx="284">
                  <c:v>34.891750000000002</c:v>
                </c:pt>
                <c:pt idx="285">
                  <c:v>35.057750000000006</c:v>
                </c:pt>
                <c:pt idx="286">
                  <c:v>35.237000000000002</c:v>
                </c:pt>
                <c:pt idx="287">
                  <c:v>35.417249999999996</c:v>
                </c:pt>
                <c:pt idx="288">
                  <c:v>35.612250000000003</c:v>
                </c:pt>
                <c:pt idx="289">
                  <c:v>35.815750000000001</c:v>
                </c:pt>
                <c:pt idx="290">
                  <c:v>36.027500000000003</c:v>
                </c:pt>
                <c:pt idx="291">
                  <c:v>36.254750000000001</c:v>
                </c:pt>
                <c:pt idx="292">
                  <c:v>36.476749999999996</c:v>
                </c:pt>
                <c:pt idx="293">
                  <c:v>36.710999999999999</c:v>
                </c:pt>
                <c:pt idx="294">
                  <c:v>36.96725</c:v>
                </c:pt>
                <c:pt idx="295">
                  <c:v>37.254000000000005</c:v>
                </c:pt>
                <c:pt idx="296">
                  <c:v>37.550500000000007</c:v>
                </c:pt>
                <c:pt idx="297">
                  <c:v>37.853250000000003</c:v>
                </c:pt>
                <c:pt idx="298">
                  <c:v>38.144750000000002</c:v>
                </c:pt>
                <c:pt idx="299">
                  <c:v>38.455499999999994</c:v>
                </c:pt>
                <c:pt idx="300">
                  <c:v>38.766999999999989</c:v>
                </c:pt>
                <c:pt idx="301">
                  <c:v>39.093499999999992</c:v>
                </c:pt>
                <c:pt idx="302">
                  <c:v>39.408749999999991</c:v>
                </c:pt>
                <c:pt idx="303">
                  <c:v>39.73299999999999</c:v>
                </c:pt>
                <c:pt idx="304">
                  <c:v>40.045749999999984</c:v>
                </c:pt>
                <c:pt idx="305">
                  <c:v>40.385499999999986</c:v>
                </c:pt>
                <c:pt idx="306">
                  <c:v>40.718499999999992</c:v>
                </c:pt>
                <c:pt idx="307">
                  <c:v>41.048749999999991</c:v>
                </c:pt>
                <c:pt idx="308">
                  <c:v>41.368749999999991</c:v>
                </c:pt>
                <c:pt idx="309">
                  <c:v>41.678749999999987</c:v>
                </c:pt>
                <c:pt idx="310">
                  <c:v>42.001499999999979</c:v>
                </c:pt>
                <c:pt idx="311">
                  <c:v>42.293749999999989</c:v>
                </c:pt>
                <c:pt idx="312">
                  <c:v>42.601499999999987</c:v>
                </c:pt>
                <c:pt idx="313">
                  <c:v>42.756249999999994</c:v>
                </c:pt>
                <c:pt idx="314">
                  <c:v>42.93549999999999</c:v>
                </c:pt>
                <c:pt idx="315">
                  <c:v>43.137</c:v>
                </c:pt>
                <c:pt idx="316">
                  <c:v>43.344250000000002</c:v>
                </c:pt>
                <c:pt idx="317">
                  <c:v>43.554250000000003</c:v>
                </c:pt>
                <c:pt idx="318">
                  <c:v>43.785500000000006</c:v>
                </c:pt>
                <c:pt idx="319">
                  <c:v>43.962750000000014</c:v>
                </c:pt>
                <c:pt idx="320">
                  <c:v>44.135250000000006</c:v>
                </c:pt>
                <c:pt idx="321">
                  <c:v>44.358000000000018</c:v>
                </c:pt>
                <c:pt idx="322">
                  <c:v>44.586500000000015</c:v>
                </c:pt>
                <c:pt idx="323">
                  <c:v>44.789750000000012</c:v>
                </c:pt>
                <c:pt idx="324">
                  <c:v>45.013750000000009</c:v>
                </c:pt>
                <c:pt idx="325">
                  <c:v>45.260000000000012</c:v>
                </c:pt>
                <c:pt idx="326">
                  <c:v>45.509750000000011</c:v>
                </c:pt>
                <c:pt idx="327">
                  <c:v>45.75875000000002</c:v>
                </c:pt>
                <c:pt idx="328">
                  <c:v>46.017750000000021</c:v>
                </c:pt>
                <c:pt idx="329">
                  <c:v>46.262250000000016</c:v>
                </c:pt>
                <c:pt idx="330">
                  <c:v>46.49675000000002</c:v>
                </c:pt>
                <c:pt idx="331">
                  <c:v>46.731500000000018</c:v>
                </c:pt>
                <c:pt idx="332">
                  <c:v>46.966250000000016</c:v>
                </c:pt>
                <c:pt idx="333">
                  <c:v>47.180750000000018</c:v>
                </c:pt>
                <c:pt idx="334">
                  <c:v>47.374250000000011</c:v>
                </c:pt>
                <c:pt idx="335">
                  <c:v>47.568000000000012</c:v>
                </c:pt>
                <c:pt idx="336">
                  <c:v>47.742750000000008</c:v>
                </c:pt>
                <c:pt idx="337">
                  <c:v>47.906000000000013</c:v>
                </c:pt>
                <c:pt idx="338">
                  <c:v>48.075000000000003</c:v>
                </c:pt>
                <c:pt idx="339">
                  <c:v>48.251750000000001</c:v>
                </c:pt>
                <c:pt idx="340">
                  <c:v>48.405500000000004</c:v>
                </c:pt>
                <c:pt idx="341">
                  <c:v>48.58325</c:v>
                </c:pt>
                <c:pt idx="342">
                  <c:v>48.815000000000005</c:v>
                </c:pt>
                <c:pt idx="343">
                  <c:v>49.027249999999995</c:v>
                </c:pt>
                <c:pt idx="344">
                  <c:v>49.247750000000003</c:v>
                </c:pt>
                <c:pt idx="345">
                  <c:v>49.441749999999999</c:v>
                </c:pt>
                <c:pt idx="346">
                  <c:v>49.652750000000005</c:v>
                </c:pt>
                <c:pt idx="347">
                  <c:v>49.840249999999997</c:v>
                </c:pt>
                <c:pt idx="348">
                  <c:v>49.994499999999995</c:v>
                </c:pt>
                <c:pt idx="349">
                  <c:v>50.150499999999994</c:v>
                </c:pt>
                <c:pt idx="350">
                  <c:v>50.30749999999999</c:v>
                </c:pt>
                <c:pt idx="351">
                  <c:v>50.489749999999994</c:v>
                </c:pt>
                <c:pt idx="352">
                  <c:v>50.660249999999991</c:v>
                </c:pt>
                <c:pt idx="353">
                  <c:v>50.77924999999999</c:v>
                </c:pt>
                <c:pt idx="354">
                  <c:v>50.891999999999989</c:v>
                </c:pt>
                <c:pt idx="355">
                  <c:v>50.951249999999987</c:v>
                </c:pt>
                <c:pt idx="356">
                  <c:v>51.021249999999988</c:v>
                </c:pt>
                <c:pt idx="357">
                  <c:v>51.092249999999986</c:v>
                </c:pt>
                <c:pt idx="358">
                  <c:v>51.155749999999991</c:v>
                </c:pt>
                <c:pt idx="359">
                  <c:v>51.237249999999996</c:v>
                </c:pt>
                <c:pt idx="360">
                  <c:v>51.313000000000002</c:v>
                </c:pt>
                <c:pt idx="361">
                  <c:v>51.331249999999997</c:v>
                </c:pt>
                <c:pt idx="362">
                  <c:v>51.306750000000001</c:v>
                </c:pt>
                <c:pt idx="363">
                  <c:v>51.309750000000008</c:v>
                </c:pt>
                <c:pt idx="364">
                  <c:v>51.319500000000005</c:v>
                </c:pt>
                <c:pt idx="365">
                  <c:v>51.314999999999998</c:v>
                </c:pt>
                <c:pt idx="366">
                  <c:v>51.294000000000018</c:v>
                </c:pt>
                <c:pt idx="367">
                  <c:v>51.266250000000014</c:v>
                </c:pt>
                <c:pt idx="368">
                  <c:v>51.213500000000025</c:v>
                </c:pt>
                <c:pt idx="369">
                  <c:v>51.165500000000009</c:v>
                </c:pt>
                <c:pt idx="370">
                  <c:v>51.166000000000011</c:v>
                </c:pt>
                <c:pt idx="371">
                  <c:v>51.163500000000013</c:v>
                </c:pt>
                <c:pt idx="372">
                  <c:v>51.168250000000008</c:v>
                </c:pt>
                <c:pt idx="373">
                  <c:v>51.183750000000003</c:v>
                </c:pt>
                <c:pt idx="374">
                  <c:v>51.199249999999999</c:v>
                </c:pt>
                <c:pt idx="375">
                  <c:v>51.199750000000002</c:v>
                </c:pt>
                <c:pt idx="376">
                  <c:v>51.201499999999996</c:v>
                </c:pt>
                <c:pt idx="377">
                  <c:v>51.200499999999998</c:v>
                </c:pt>
                <c:pt idx="378">
                  <c:v>51.204999999999998</c:v>
                </c:pt>
                <c:pt idx="379">
                  <c:v>51.184249999999999</c:v>
                </c:pt>
                <c:pt idx="380">
                  <c:v>51.180999999999997</c:v>
                </c:pt>
                <c:pt idx="381">
                  <c:v>51.156499999999994</c:v>
                </c:pt>
                <c:pt idx="382">
                  <c:v>51.129249999999985</c:v>
                </c:pt>
                <c:pt idx="383">
                  <c:v>51.123249999999992</c:v>
                </c:pt>
                <c:pt idx="384">
                  <c:v>51.101249999999986</c:v>
                </c:pt>
                <c:pt idx="385">
                  <c:v>51.095749999999981</c:v>
                </c:pt>
                <c:pt idx="386">
                  <c:v>51.069749999999985</c:v>
                </c:pt>
                <c:pt idx="387">
                  <c:v>51.038249999999984</c:v>
                </c:pt>
                <c:pt idx="388">
                  <c:v>51.026499999999984</c:v>
                </c:pt>
                <c:pt idx="389">
                  <c:v>51.035499999999985</c:v>
                </c:pt>
                <c:pt idx="390">
                  <c:v>51.038749999999986</c:v>
                </c:pt>
                <c:pt idx="391">
                  <c:v>51.021499999999989</c:v>
                </c:pt>
                <c:pt idx="392">
                  <c:v>50.995999999999988</c:v>
                </c:pt>
                <c:pt idx="393">
                  <c:v>51.001249999999985</c:v>
                </c:pt>
                <c:pt idx="394">
                  <c:v>50.991749999999989</c:v>
                </c:pt>
                <c:pt idx="395">
                  <c:v>51.007249999999992</c:v>
                </c:pt>
                <c:pt idx="396">
                  <c:v>51.049499999999995</c:v>
                </c:pt>
                <c:pt idx="397">
                  <c:v>51.120999999999995</c:v>
                </c:pt>
                <c:pt idx="398">
                  <c:v>51.18249999999999</c:v>
                </c:pt>
                <c:pt idx="399">
                  <c:v>51.213000000000001</c:v>
                </c:pt>
                <c:pt idx="400">
                  <c:v>51.277999999999999</c:v>
                </c:pt>
                <c:pt idx="401">
                  <c:v>51.344250000000002</c:v>
                </c:pt>
                <c:pt idx="402">
                  <c:v>51.436750000000004</c:v>
                </c:pt>
                <c:pt idx="403">
                  <c:v>51.54375000000001</c:v>
                </c:pt>
                <c:pt idx="404">
                  <c:v>51.630749999999999</c:v>
                </c:pt>
                <c:pt idx="405">
                  <c:v>51.727000000000011</c:v>
                </c:pt>
                <c:pt idx="406">
                  <c:v>51.823</c:v>
                </c:pt>
                <c:pt idx="407">
                  <c:v>51.917250000000003</c:v>
                </c:pt>
                <c:pt idx="408">
                  <c:v>52.041499999999999</c:v>
                </c:pt>
                <c:pt idx="409">
                  <c:v>52.174500000000002</c:v>
                </c:pt>
                <c:pt idx="410">
                  <c:v>52.371000000000002</c:v>
                </c:pt>
                <c:pt idx="411">
                  <c:v>52.565000000000012</c:v>
                </c:pt>
                <c:pt idx="412">
                  <c:v>52.758500000000005</c:v>
                </c:pt>
                <c:pt idx="413">
                  <c:v>52.959249999999997</c:v>
                </c:pt>
                <c:pt idx="414">
                  <c:v>53.149000000000001</c:v>
                </c:pt>
                <c:pt idx="415">
                  <c:v>53.3215</c:v>
                </c:pt>
                <c:pt idx="416">
                  <c:v>53.49499999999999</c:v>
                </c:pt>
                <c:pt idx="417">
                  <c:v>53.736750000000008</c:v>
                </c:pt>
                <c:pt idx="418">
                  <c:v>53.96725</c:v>
                </c:pt>
                <c:pt idx="419">
                  <c:v>54.207499999999996</c:v>
                </c:pt>
                <c:pt idx="420">
                  <c:v>54.446499999999993</c:v>
                </c:pt>
                <c:pt idx="421">
                  <c:v>54.684999999999988</c:v>
                </c:pt>
                <c:pt idx="422">
                  <c:v>54.911749999999984</c:v>
                </c:pt>
                <c:pt idx="423">
                  <c:v>55.128249999999994</c:v>
                </c:pt>
                <c:pt idx="424">
                  <c:v>55.365249999999989</c:v>
                </c:pt>
                <c:pt idx="425">
                  <c:v>55.605249999999998</c:v>
                </c:pt>
                <c:pt idx="426">
                  <c:v>55.861249999999998</c:v>
                </c:pt>
                <c:pt idx="427">
                  <c:v>56.117500000000007</c:v>
                </c:pt>
                <c:pt idx="428">
                  <c:v>56.365000000000009</c:v>
                </c:pt>
                <c:pt idx="429">
                  <c:v>56.568500000000014</c:v>
                </c:pt>
                <c:pt idx="430">
                  <c:v>56.773250000000004</c:v>
                </c:pt>
                <c:pt idx="431">
                  <c:v>56.980249999999998</c:v>
                </c:pt>
                <c:pt idx="432">
                  <c:v>57.16525</c:v>
                </c:pt>
                <c:pt idx="433">
                  <c:v>57.320500000000003</c:v>
                </c:pt>
                <c:pt idx="434">
                  <c:v>57.5</c:v>
                </c:pt>
                <c:pt idx="435">
                  <c:v>57.664499999999997</c:v>
                </c:pt>
                <c:pt idx="436">
                  <c:v>57.773499999999999</c:v>
                </c:pt>
                <c:pt idx="437">
                  <c:v>57.846500000000006</c:v>
                </c:pt>
                <c:pt idx="438">
                  <c:v>57.908249999999995</c:v>
                </c:pt>
                <c:pt idx="439">
                  <c:v>57.973749999999995</c:v>
                </c:pt>
                <c:pt idx="440">
                  <c:v>58.013500000000001</c:v>
                </c:pt>
                <c:pt idx="441">
                  <c:v>58.060750000000006</c:v>
                </c:pt>
                <c:pt idx="442">
                  <c:v>58.128499999999995</c:v>
                </c:pt>
                <c:pt idx="443">
                  <c:v>58.193249999999992</c:v>
                </c:pt>
                <c:pt idx="444">
                  <c:v>58.241250000000001</c:v>
                </c:pt>
                <c:pt idx="445">
                  <c:v>58.291749999999993</c:v>
                </c:pt>
                <c:pt idx="446">
                  <c:v>58.344749999999991</c:v>
                </c:pt>
                <c:pt idx="447">
                  <c:v>58.405999999999985</c:v>
                </c:pt>
                <c:pt idx="448">
                  <c:v>58.493249999999989</c:v>
                </c:pt>
                <c:pt idx="449">
                  <c:v>58.546249999999986</c:v>
                </c:pt>
                <c:pt idx="450">
                  <c:v>58.531499999999973</c:v>
                </c:pt>
                <c:pt idx="451">
                  <c:v>58.523749999999971</c:v>
                </c:pt>
                <c:pt idx="452">
                  <c:v>58.527749999999969</c:v>
                </c:pt>
                <c:pt idx="453">
                  <c:v>58.491499999999988</c:v>
                </c:pt>
                <c:pt idx="454">
                  <c:v>58.479749999999989</c:v>
                </c:pt>
                <c:pt idx="455">
                  <c:v>58.489749999999994</c:v>
                </c:pt>
                <c:pt idx="456">
                  <c:v>58.480249999999998</c:v>
                </c:pt>
                <c:pt idx="457">
                  <c:v>58.394750000000009</c:v>
                </c:pt>
                <c:pt idx="458">
                  <c:v>58.309000000000005</c:v>
                </c:pt>
                <c:pt idx="459">
                  <c:v>58.270750000000007</c:v>
                </c:pt>
                <c:pt idx="460">
                  <c:v>58.225499999999997</c:v>
                </c:pt>
                <c:pt idx="461">
                  <c:v>58.212499999999991</c:v>
                </c:pt>
                <c:pt idx="462">
                  <c:v>58.171749999999996</c:v>
                </c:pt>
                <c:pt idx="463">
                  <c:v>58.128249999999994</c:v>
                </c:pt>
                <c:pt idx="464">
                  <c:v>58.069499999999991</c:v>
                </c:pt>
                <c:pt idx="465">
                  <c:v>58.012499999999989</c:v>
                </c:pt>
                <c:pt idx="466">
                  <c:v>57.960749999999983</c:v>
                </c:pt>
                <c:pt idx="467">
                  <c:v>57.93024999999998</c:v>
                </c:pt>
                <c:pt idx="468">
                  <c:v>57.915499999999973</c:v>
                </c:pt>
                <c:pt idx="469">
                  <c:v>57.901999999999987</c:v>
                </c:pt>
                <c:pt idx="470">
                  <c:v>57.86399999999999</c:v>
                </c:pt>
                <c:pt idx="471">
                  <c:v>57.860749999999996</c:v>
                </c:pt>
                <c:pt idx="472">
                  <c:v>57.934999999999988</c:v>
                </c:pt>
                <c:pt idx="473">
                  <c:v>57.938249999999982</c:v>
                </c:pt>
                <c:pt idx="474">
                  <c:v>57.915999999999983</c:v>
                </c:pt>
                <c:pt idx="475">
                  <c:v>57.864999999999974</c:v>
                </c:pt>
                <c:pt idx="476">
                  <c:v>57.840499999999999</c:v>
                </c:pt>
                <c:pt idx="477">
                  <c:v>57.821249999999999</c:v>
                </c:pt>
                <c:pt idx="478">
                  <c:v>57.8245</c:v>
                </c:pt>
                <c:pt idx="479">
                  <c:v>57.847000000000016</c:v>
                </c:pt>
                <c:pt idx="480">
                  <c:v>57.865250000000017</c:v>
                </c:pt>
                <c:pt idx="481">
                  <c:v>57.867750000000015</c:v>
                </c:pt>
                <c:pt idx="482">
                  <c:v>57.83900000000002</c:v>
                </c:pt>
                <c:pt idx="483">
                  <c:v>57.797500000000014</c:v>
                </c:pt>
                <c:pt idx="484">
                  <c:v>57.795750000000012</c:v>
                </c:pt>
                <c:pt idx="485">
                  <c:v>57.810250000000011</c:v>
                </c:pt>
                <c:pt idx="486">
                  <c:v>57.809000000000005</c:v>
                </c:pt>
                <c:pt idx="487">
                  <c:v>57.822250000000011</c:v>
                </c:pt>
                <c:pt idx="488">
                  <c:v>57.817000000000007</c:v>
                </c:pt>
                <c:pt idx="489">
                  <c:v>57.851500000000009</c:v>
                </c:pt>
                <c:pt idx="490">
                  <c:v>57.844250000000009</c:v>
                </c:pt>
                <c:pt idx="491">
                  <c:v>57.839743589743598</c:v>
                </c:pt>
                <c:pt idx="492">
                  <c:v>57.823157894736845</c:v>
                </c:pt>
                <c:pt idx="493">
                  <c:v>57.838648648648658</c:v>
                </c:pt>
                <c:pt idx="494">
                  <c:v>57.844444444444449</c:v>
                </c:pt>
                <c:pt idx="495">
                  <c:v>57.851428571428578</c:v>
                </c:pt>
                <c:pt idx="496">
                  <c:v>57.881764705882361</c:v>
                </c:pt>
                <c:pt idx="497">
                  <c:v>57.928484848484857</c:v>
                </c:pt>
                <c:pt idx="498">
                  <c:v>57.979687500000004</c:v>
                </c:pt>
                <c:pt idx="499">
                  <c:v>57.960322580645162</c:v>
                </c:pt>
                <c:pt idx="500">
                  <c:v>57.93833333333334</c:v>
                </c:pt>
                <c:pt idx="501">
                  <c:v>57.870344827586209</c:v>
                </c:pt>
                <c:pt idx="502">
                  <c:v>57.827857142857148</c:v>
                </c:pt>
                <c:pt idx="503">
                  <c:v>57.775185185185187</c:v>
                </c:pt>
                <c:pt idx="504">
                  <c:v>57.730384615384615</c:v>
                </c:pt>
                <c:pt idx="505">
                  <c:v>57.674800000000005</c:v>
                </c:pt>
                <c:pt idx="506">
                  <c:v>57.600833333333334</c:v>
                </c:pt>
                <c:pt idx="507">
                  <c:v>57.490434782608702</c:v>
                </c:pt>
                <c:pt idx="508">
                  <c:v>57.355454545454556</c:v>
                </c:pt>
                <c:pt idx="509">
                  <c:v>57.250952380952391</c:v>
                </c:pt>
                <c:pt idx="510">
                  <c:v>57.173500000000011</c:v>
                </c:pt>
                <c:pt idx="511">
                  <c:v>57.002105263157894</c:v>
                </c:pt>
                <c:pt idx="512">
                  <c:v>56.697222222222216</c:v>
                </c:pt>
                <c:pt idx="513">
                  <c:v>56.564705882352939</c:v>
                </c:pt>
                <c:pt idx="514">
                  <c:v>56.463124999999998</c:v>
                </c:pt>
                <c:pt idx="515">
                  <c:v>56.448666666666661</c:v>
                </c:pt>
                <c:pt idx="516">
                  <c:v>56.423571428571428</c:v>
                </c:pt>
                <c:pt idx="517">
                  <c:v>56.417692307692306</c:v>
                </c:pt>
                <c:pt idx="518">
                  <c:v>56.369166666666665</c:v>
                </c:pt>
                <c:pt idx="519">
                  <c:v>56.320909090909076</c:v>
                </c:pt>
                <c:pt idx="520">
                  <c:v>56.325000000000003</c:v>
                </c:pt>
                <c:pt idx="521">
                  <c:v>56.356666666666669</c:v>
                </c:pt>
                <c:pt idx="522">
                  <c:v>56.466250000000002</c:v>
                </c:pt>
                <c:pt idx="523">
                  <c:v>56.601428571428578</c:v>
                </c:pt>
                <c:pt idx="524">
                  <c:v>56.708333333333336</c:v>
                </c:pt>
                <c:pt idx="525">
                  <c:v>56.772000000000006</c:v>
                </c:pt>
                <c:pt idx="526">
                  <c:v>57.034999999999997</c:v>
                </c:pt>
                <c:pt idx="527">
                  <c:v>57.286666666666662</c:v>
                </c:pt>
                <c:pt idx="528">
                  <c:v>57.424999999999997</c:v>
                </c:pt>
                <c:pt idx="529">
                  <c:v>57.41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91-44F0-A2B4-3F402245B439}"/>
            </c:ext>
          </c:extLst>
        </c:ser>
        <c:ser>
          <c:idx val="2"/>
          <c:order val="2"/>
          <c:tx>
            <c:v>Derniers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Bayer!$B$2:$B$531</c:f>
              <c:numCache>
                <c:formatCode>General</c:formatCode>
                <c:ptCount val="530"/>
                <c:pt idx="0">
                  <c:v>20.97</c:v>
                </c:pt>
                <c:pt idx="1">
                  <c:v>20.73</c:v>
                </c:pt>
                <c:pt idx="2">
                  <c:v>21.02</c:v>
                </c:pt>
                <c:pt idx="3">
                  <c:v>20.94</c:v>
                </c:pt>
                <c:pt idx="4">
                  <c:v>21.22</c:v>
                </c:pt>
                <c:pt idx="5">
                  <c:v>21.04</c:v>
                </c:pt>
                <c:pt idx="6">
                  <c:v>21.22</c:v>
                </c:pt>
                <c:pt idx="7">
                  <c:v>21.01</c:v>
                </c:pt>
                <c:pt idx="8">
                  <c:v>21.64</c:v>
                </c:pt>
                <c:pt idx="9">
                  <c:v>21.86</c:v>
                </c:pt>
                <c:pt idx="10">
                  <c:v>21.54</c:v>
                </c:pt>
                <c:pt idx="11">
                  <c:v>21.5</c:v>
                </c:pt>
                <c:pt idx="12">
                  <c:v>21.44</c:v>
                </c:pt>
                <c:pt idx="13">
                  <c:v>20.9</c:v>
                </c:pt>
                <c:pt idx="14">
                  <c:v>21.08</c:v>
                </c:pt>
                <c:pt idx="15">
                  <c:v>20.99</c:v>
                </c:pt>
                <c:pt idx="16">
                  <c:v>21.44</c:v>
                </c:pt>
                <c:pt idx="17">
                  <c:v>21.28</c:v>
                </c:pt>
                <c:pt idx="18">
                  <c:v>21.15</c:v>
                </c:pt>
                <c:pt idx="19">
                  <c:v>20.74</c:v>
                </c:pt>
                <c:pt idx="20">
                  <c:v>20.73</c:v>
                </c:pt>
                <c:pt idx="21">
                  <c:v>19.600000000000001</c:v>
                </c:pt>
                <c:pt idx="22">
                  <c:v>20.03</c:v>
                </c:pt>
                <c:pt idx="23">
                  <c:v>19.98</c:v>
                </c:pt>
                <c:pt idx="24">
                  <c:v>19.760000000000002</c:v>
                </c:pt>
                <c:pt idx="25">
                  <c:v>19.670000000000002</c:v>
                </c:pt>
                <c:pt idx="26">
                  <c:v>19.79</c:v>
                </c:pt>
                <c:pt idx="27">
                  <c:v>19.72</c:v>
                </c:pt>
                <c:pt idx="28">
                  <c:v>18.989999999999998</c:v>
                </c:pt>
                <c:pt idx="29">
                  <c:v>19.39</c:v>
                </c:pt>
                <c:pt idx="30">
                  <c:v>19.309999999999999</c:v>
                </c:pt>
                <c:pt idx="31">
                  <c:v>19.28</c:v>
                </c:pt>
                <c:pt idx="32">
                  <c:v>18.89</c:v>
                </c:pt>
                <c:pt idx="33">
                  <c:v>18.940000000000001</c:v>
                </c:pt>
                <c:pt idx="34">
                  <c:v>18.87</c:v>
                </c:pt>
                <c:pt idx="35">
                  <c:v>19.22</c:v>
                </c:pt>
                <c:pt idx="36">
                  <c:v>19.329999999999998</c:v>
                </c:pt>
                <c:pt idx="37">
                  <c:v>19.5</c:v>
                </c:pt>
                <c:pt idx="38">
                  <c:v>19.760000000000002</c:v>
                </c:pt>
                <c:pt idx="39">
                  <c:v>20.170000000000002</c:v>
                </c:pt>
                <c:pt idx="40">
                  <c:v>20</c:v>
                </c:pt>
                <c:pt idx="41">
                  <c:v>20.28</c:v>
                </c:pt>
                <c:pt idx="42">
                  <c:v>20.23</c:v>
                </c:pt>
                <c:pt idx="43">
                  <c:v>20.010000000000002</c:v>
                </c:pt>
                <c:pt idx="44">
                  <c:v>19.5</c:v>
                </c:pt>
                <c:pt idx="45">
                  <c:v>19.260000000000002</c:v>
                </c:pt>
                <c:pt idx="46">
                  <c:v>19.23</c:v>
                </c:pt>
                <c:pt idx="47">
                  <c:v>19.29</c:v>
                </c:pt>
                <c:pt idx="48">
                  <c:v>19.39</c:v>
                </c:pt>
                <c:pt idx="49">
                  <c:v>19.37</c:v>
                </c:pt>
                <c:pt idx="50">
                  <c:v>19.16</c:v>
                </c:pt>
                <c:pt idx="51">
                  <c:v>18.899999999999999</c:v>
                </c:pt>
                <c:pt idx="52">
                  <c:v>19.93</c:v>
                </c:pt>
                <c:pt idx="53">
                  <c:v>19.8</c:v>
                </c:pt>
                <c:pt idx="54">
                  <c:v>19.52</c:v>
                </c:pt>
                <c:pt idx="55">
                  <c:v>19.54</c:v>
                </c:pt>
                <c:pt idx="56">
                  <c:v>20.16</c:v>
                </c:pt>
                <c:pt idx="57">
                  <c:v>20.22</c:v>
                </c:pt>
                <c:pt idx="58">
                  <c:v>20.309999999999999</c:v>
                </c:pt>
                <c:pt idx="59">
                  <c:v>20.5</c:v>
                </c:pt>
                <c:pt idx="60">
                  <c:v>20.149999999999999</c:v>
                </c:pt>
                <c:pt idx="61">
                  <c:v>20.88</c:v>
                </c:pt>
                <c:pt idx="62">
                  <c:v>24.42</c:v>
                </c:pt>
                <c:pt idx="63">
                  <c:v>24.08</c:v>
                </c:pt>
                <c:pt idx="64">
                  <c:v>24.36</c:v>
                </c:pt>
                <c:pt idx="65">
                  <c:v>23.94</c:v>
                </c:pt>
                <c:pt idx="66">
                  <c:v>24.58</c:v>
                </c:pt>
                <c:pt idx="67">
                  <c:v>24.75</c:v>
                </c:pt>
                <c:pt idx="68">
                  <c:v>25.1</c:v>
                </c:pt>
                <c:pt idx="69">
                  <c:v>24.8</c:v>
                </c:pt>
                <c:pt idx="70">
                  <c:v>25</c:v>
                </c:pt>
                <c:pt idx="71">
                  <c:v>25.55</c:v>
                </c:pt>
                <c:pt idx="72">
                  <c:v>26.1</c:v>
                </c:pt>
                <c:pt idx="73">
                  <c:v>25.75</c:v>
                </c:pt>
                <c:pt idx="74">
                  <c:v>25.73</c:v>
                </c:pt>
                <c:pt idx="75">
                  <c:v>25.62</c:v>
                </c:pt>
                <c:pt idx="76">
                  <c:v>25.88</c:v>
                </c:pt>
                <c:pt idx="77">
                  <c:v>26.1</c:v>
                </c:pt>
                <c:pt idx="78">
                  <c:v>26.38</c:v>
                </c:pt>
                <c:pt idx="79">
                  <c:v>26.5</c:v>
                </c:pt>
                <c:pt idx="80">
                  <c:v>26.42</c:v>
                </c:pt>
                <c:pt idx="81">
                  <c:v>26.53</c:v>
                </c:pt>
                <c:pt idx="82">
                  <c:v>26.1</c:v>
                </c:pt>
                <c:pt idx="83">
                  <c:v>26.26</c:v>
                </c:pt>
                <c:pt idx="84">
                  <c:v>26.77</c:v>
                </c:pt>
                <c:pt idx="85">
                  <c:v>27.25</c:v>
                </c:pt>
                <c:pt idx="86">
                  <c:v>29.24</c:v>
                </c:pt>
                <c:pt idx="87">
                  <c:v>29.77</c:v>
                </c:pt>
                <c:pt idx="88">
                  <c:v>29.81</c:v>
                </c:pt>
                <c:pt idx="89">
                  <c:v>29.86</c:v>
                </c:pt>
                <c:pt idx="90">
                  <c:v>30.4</c:v>
                </c:pt>
                <c:pt idx="91">
                  <c:v>30.44</c:v>
                </c:pt>
                <c:pt idx="92">
                  <c:v>30.33</c:v>
                </c:pt>
                <c:pt idx="93">
                  <c:v>30.39</c:v>
                </c:pt>
                <c:pt idx="94">
                  <c:v>29.11</c:v>
                </c:pt>
                <c:pt idx="95">
                  <c:v>28.71</c:v>
                </c:pt>
                <c:pt idx="96">
                  <c:v>29</c:v>
                </c:pt>
                <c:pt idx="97">
                  <c:v>28.58</c:v>
                </c:pt>
                <c:pt idx="98">
                  <c:v>28.66</c:v>
                </c:pt>
                <c:pt idx="99">
                  <c:v>28.97</c:v>
                </c:pt>
                <c:pt idx="100">
                  <c:v>27.92</c:v>
                </c:pt>
                <c:pt idx="101">
                  <c:v>27.47</c:v>
                </c:pt>
                <c:pt idx="102">
                  <c:v>26.71</c:v>
                </c:pt>
                <c:pt idx="103">
                  <c:v>26.98</c:v>
                </c:pt>
                <c:pt idx="104">
                  <c:v>26.79</c:v>
                </c:pt>
                <c:pt idx="105">
                  <c:v>27.01</c:v>
                </c:pt>
                <c:pt idx="106">
                  <c:v>27.61</c:v>
                </c:pt>
                <c:pt idx="107">
                  <c:v>28.68</c:v>
                </c:pt>
                <c:pt idx="108">
                  <c:v>28.91</c:v>
                </c:pt>
                <c:pt idx="109">
                  <c:v>28.98</c:v>
                </c:pt>
                <c:pt idx="110">
                  <c:v>27.89</c:v>
                </c:pt>
                <c:pt idx="111">
                  <c:v>27.81</c:v>
                </c:pt>
                <c:pt idx="112">
                  <c:v>28.03</c:v>
                </c:pt>
                <c:pt idx="113">
                  <c:v>27.86</c:v>
                </c:pt>
                <c:pt idx="114">
                  <c:v>27.81</c:v>
                </c:pt>
                <c:pt idx="115">
                  <c:v>27.61</c:v>
                </c:pt>
                <c:pt idx="116">
                  <c:v>27.54</c:v>
                </c:pt>
                <c:pt idx="117">
                  <c:v>27.56</c:v>
                </c:pt>
                <c:pt idx="118">
                  <c:v>27.86</c:v>
                </c:pt>
                <c:pt idx="119">
                  <c:v>27.71</c:v>
                </c:pt>
                <c:pt idx="120">
                  <c:v>28.11</c:v>
                </c:pt>
                <c:pt idx="121">
                  <c:v>28.27</c:v>
                </c:pt>
                <c:pt idx="122">
                  <c:v>29.08</c:v>
                </c:pt>
                <c:pt idx="123">
                  <c:v>29</c:v>
                </c:pt>
                <c:pt idx="124">
                  <c:v>26.27</c:v>
                </c:pt>
                <c:pt idx="125">
                  <c:v>25.83</c:v>
                </c:pt>
                <c:pt idx="126">
                  <c:v>25.99</c:v>
                </c:pt>
                <c:pt idx="127">
                  <c:v>25.96</c:v>
                </c:pt>
                <c:pt idx="128">
                  <c:v>25.97</c:v>
                </c:pt>
                <c:pt idx="129">
                  <c:v>26.35</c:v>
                </c:pt>
                <c:pt idx="130">
                  <c:v>26.11</c:v>
                </c:pt>
                <c:pt idx="131">
                  <c:v>25.32</c:v>
                </c:pt>
                <c:pt idx="132">
                  <c:v>26.94</c:v>
                </c:pt>
                <c:pt idx="133">
                  <c:v>27.35</c:v>
                </c:pt>
                <c:pt idx="134">
                  <c:v>27.27</c:v>
                </c:pt>
                <c:pt idx="135">
                  <c:v>27.5</c:v>
                </c:pt>
                <c:pt idx="136">
                  <c:v>27.6</c:v>
                </c:pt>
                <c:pt idx="137">
                  <c:v>27.43</c:v>
                </c:pt>
                <c:pt idx="138">
                  <c:v>27.47</c:v>
                </c:pt>
                <c:pt idx="139">
                  <c:v>27.53</c:v>
                </c:pt>
                <c:pt idx="140">
                  <c:v>26.98</c:v>
                </c:pt>
                <c:pt idx="141">
                  <c:v>26.97</c:v>
                </c:pt>
                <c:pt idx="142">
                  <c:v>27.31</c:v>
                </c:pt>
                <c:pt idx="143">
                  <c:v>26.26</c:v>
                </c:pt>
                <c:pt idx="144">
                  <c:v>26.97</c:v>
                </c:pt>
                <c:pt idx="145">
                  <c:v>26.68</c:v>
                </c:pt>
                <c:pt idx="146">
                  <c:v>26.06</c:v>
                </c:pt>
                <c:pt idx="147">
                  <c:v>26.39</c:v>
                </c:pt>
                <c:pt idx="148">
                  <c:v>26.93</c:v>
                </c:pt>
                <c:pt idx="149">
                  <c:v>26.64</c:v>
                </c:pt>
                <c:pt idx="150">
                  <c:v>26.13</c:v>
                </c:pt>
                <c:pt idx="151">
                  <c:v>25.35</c:v>
                </c:pt>
                <c:pt idx="152">
                  <c:v>26.06</c:v>
                </c:pt>
                <c:pt idx="153">
                  <c:v>26.17</c:v>
                </c:pt>
                <c:pt idx="154">
                  <c:v>26.2</c:v>
                </c:pt>
                <c:pt idx="155">
                  <c:v>26.23</c:v>
                </c:pt>
                <c:pt idx="156">
                  <c:v>25.85</c:v>
                </c:pt>
                <c:pt idx="157">
                  <c:v>26.17</c:v>
                </c:pt>
                <c:pt idx="158">
                  <c:v>26.38</c:v>
                </c:pt>
                <c:pt idx="159">
                  <c:v>26.11</c:v>
                </c:pt>
                <c:pt idx="160">
                  <c:v>25.99</c:v>
                </c:pt>
                <c:pt idx="161">
                  <c:v>26.15</c:v>
                </c:pt>
                <c:pt idx="162">
                  <c:v>26.66</c:v>
                </c:pt>
                <c:pt idx="163">
                  <c:v>26</c:v>
                </c:pt>
                <c:pt idx="164">
                  <c:v>26</c:v>
                </c:pt>
                <c:pt idx="165">
                  <c:v>25.62</c:v>
                </c:pt>
                <c:pt idx="166">
                  <c:v>26.14</c:v>
                </c:pt>
                <c:pt idx="167">
                  <c:v>26.13</c:v>
                </c:pt>
                <c:pt idx="168">
                  <c:v>27.07</c:v>
                </c:pt>
                <c:pt idx="169">
                  <c:v>27.34</c:v>
                </c:pt>
                <c:pt idx="170">
                  <c:v>27.83</c:v>
                </c:pt>
                <c:pt idx="171">
                  <c:v>27.08</c:v>
                </c:pt>
                <c:pt idx="172">
                  <c:v>27.48</c:v>
                </c:pt>
                <c:pt idx="173">
                  <c:v>28.09</c:v>
                </c:pt>
                <c:pt idx="174">
                  <c:v>28.39</c:v>
                </c:pt>
                <c:pt idx="175">
                  <c:v>28.59</c:v>
                </c:pt>
                <c:pt idx="176">
                  <c:v>28.33</c:v>
                </c:pt>
                <c:pt idx="177">
                  <c:v>28.63</c:v>
                </c:pt>
                <c:pt idx="178">
                  <c:v>28.24</c:v>
                </c:pt>
                <c:pt idx="179">
                  <c:v>28.06</c:v>
                </c:pt>
                <c:pt idx="180">
                  <c:v>26.92</c:v>
                </c:pt>
                <c:pt idx="181">
                  <c:v>27.8</c:v>
                </c:pt>
                <c:pt idx="182">
                  <c:v>28.27</c:v>
                </c:pt>
                <c:pt idx="183">
                  <c:v>27.63</c:v>
                </c:pt>
                <c:pt idx="184">
                  <c:v>27.58</c:v>
                </c:pt>
                <c:pt idx="185">
                  <c:v>28.4</c:v>
                </c:pt>
                <c:pt idx="186">
                  <c:v>28.32</c:v>
                </c:pt>
                <c:pt idx="187">
                  <c:v>28.67</c:v>
                </c:pt>
                <c:pt idx="188">
                  <c:v>28.58</c:v>
                </c:pt>
                <c:pt idx="189">
                  <c:v>28.65</c:v>
                </c:pt>
                <c:pt idx="190">
                  <c:v>29.33</c:v>
                </c:pt>
                <c:pt idx="191">
                  <c:v>29.22</c:v>
                </c:pt>
                <c:pt idx="192">
                  <c:v>29.38</c:v>
                </c:pt>
                <c:pt idx="193">
                  <c:v>28.95</c:v>
                </c:pt>
                <c:pt idx="194">
                  <c:v>28.69</c:v>
                </c:pt>
                <c:pt idx="195">
                  <c:v>28.48</c:v>
                </c:pt>
                <c:pt idx="196">
                  <c:v>28.49</c:v>
                </c:pt>
                <c:pt idx="197">
                  <c:v>28.06</c:v>
                </c:pt>
                <c:pt idx="198">
                  <c:v>28.02</c:v>
                </c:pt>
                <c:pt idx="199">
                  <c:v>28.13</c:v>
                </c:pt>
                <c:pt idx="200">
                  <c:v>27.35</c:v>
                </c:pt>
                <c:pt idx="201">
                  <c:v>27.59</c:v>
                </c:pt>
                <c:pt idx="202">
                  <c:v>27.4</c:v>
                </c:pt>
                <c:pt idx="203">
                  <c:v>26.9</c:v>
                </c:pt>
                <c:pt idx="204">
                  <c:v>26.97</c:v>
                </c:pt>
                <c:pt idx="205">
                  <c:v>27.34</c:v>
                </c:pt>
                <c:pt idx="206">
                  <c:v>27.32</c:v>
                </c:pt>
                <c:pt idx="207">
                  <c:v>26.33</c:v>
                </c:pt>
                <c:pt idx="208">
                  <c:v>26.24</c:v>
                </c:pt>
                <c:pt idx="209">
                  <c:v>26.25</c:v>
                </c:pt>
                <c:pt idx="210">
                  <c:v>26.08</c:v>
                </c:pt>
                <c:pt idx="211">
                  <c:v>26.46</c:v>
                </c:pt>
                <c:pt idx="212">
                  <c:v>26.97</c:v>
                </c:pt>
                <c:pt idx="213">
                  <c:v>27.02</c:v>
                </c:pt>
                <c:pt idx="214">
                  <c:v>27.58</c:v>
                </c:pt>
                <c:pt idx="215">
                  <c:v>27.4</c:v>
                </c:pt>
                <c:pt idx="216">
                  <c:v>27.33</c:v>
                </c:pt>
                <c:pt idx="217">
                  <c:v>27.43</c:v>
                </c:pt>
                <c:pt idx="218">
                  <c:v>28.56</c:v>
                </c:pt>
                <c:pt idx="219">
                  <c:v>28.76</c:v>
                </c:pt>
                <c:pt idx="220">
                  <c:v>28</c:v>
                </c:pt>
                <c:pt idx="221">
                  <c:v>28.43</c:v>
                </c:pt>
                <c:pt idx="222">
                  <c:v>28.42</c:v>
                </c:pt>
                <c:pt idx="223">
                  <c:v>27.32</c:v>
                </c:pt>
                <c:pt idx="224">
                  <c:v>26.84</c:v>
                </c:pt>
                <c:pt idx="225">
                  <c:v>26.75</c:v>
                </c:pt>
                <c:pt idx="226">
                  <c:v>26.48</c:v>
                </c:pt>
                <c:pt idx="227">
                  <c:v>26.22</c:v>
                </c:pt>
                <c:pt idx="228">
                  <c:v>25.87</c:v>
                </c:pt>
                <c:pt idx="229">
                  <c:v>26.22</c:v>
                </c:pt>
                <c:pt idx="230">
                  <c:v>26.24</c:v>
                </c:pt>
                <c:pt idx="231">
                  <c:v>26.02</c:v>
                </c:pt>
                <c:pt idx="232">
                  <c:v>26.36</c:v>
                </c:pt>
                <c:pt idx="233">
                  <c:v>26.49</c:v>
                </c:pt>
                <c:pt idx="234">
                  <c:v>26.82</c:v>
                </c:pt>
                <c:pt idx="235">
                  <c:v>26.27</c:v>
                </c:pt>
                <c:pt idx="236">
                  <c:v>26.41</c:v>
                </c:pt>
                <c:pt idx="237">
                  <c:v>26.65</c:v>
                </c:pt>
                <c:pt idx="238">
                  <c:v>25.95</c:v>
                </c:pt>
                <c:pt idx="239">
                  <c:v>28.08</c:v>
                </c:pt>
                <c:pt idx="240">
                  <c:v>28.33</c:v>
                </c:pt>
                <c:pt idx="241">
                  <c:v>28.09</c:v>
                </c:pt>
                <c:pt idx="242">
                  <c:v>28.56</c:v>
                </c:pt>
                <c:pt idx="243">
                  <c:v>29.14</c:v>
                </c:pt>
                <c:pt idx="244">
                  <c:v>28.58</c:v>
                </c:pt>
                <c:pt idx="245">
                  <c:v>28.82</c:v>
                </c:pt>
                <c:pt idx="246">
                  <c:v>28.91</c:v>
                </c:pt>
                <c:pt idx="247">
                  <c:v>28.93</c:v>
                </c:pt>
                <c:pt idx="248">
                  <c:v>28.76</c:v>
                </c:pt>
                <c:pt idx="249">
                  <c:v>28.9</c:v>
                </c:pt>
                <c:pt idx="250">
                  <c:v>28.61</c:v>
                </c:pt>
                <c:pt idx="251">
                  <c:v>28.06</c:v>
                </c:pt>
                <c:pt idx="252">
                  <c:v>28.07</c:v>
                </c:pt>
                <c:pt idx="253">
                  <c:v>27.91</c:v>
                </c:pt>
                <c:pt idx="254">
                  <c:v>28.33</c:v>
                </c:pt>
                <c:pt idx="255">
                  <c:v>27.78</c:v>
                </c:pt>
                <c:pt idx="256">
                  <c:v>27.75</c:v>
                </c:pt>
                <c:pt idx="257">
                  <c:v>28.7</c:v>
                </c:pt>
                <c:pt idx="258">
                  <c:v>29.2</c:v>
                </c:pt>
                <c:pt idx="259">
                  <c:v>28.59</c:v>
                </c:pt>
                <c:pt idx="260">
                  <c:v>28.69</c:v>
                </c:pt>
                <c:pt idx="261">
                  <c:v>28.27</c:v>
                </c:pt>
                <c:pt idx="262">
                  <c:v>28.9</c:v>
                </c:pt>
                <c:pt idx="263">
                  <c:v>30.08</c:v>
                </c:pt>
                <c:pt idx="264">
                  <c:v>30.75</c:v>
                </c:pt>
                <c:pt idx="265">
                  <c:v>32.31</c:v>
                </c:pt>
                <c:pt idx="266">
                  <c:v>32.630000000000003</c:v>
                </c:pt>
                <c:pt idx="267">
                  <c:v>32.630000000000003</c:v>
                </c:pt>
                <c:pt idx="268">
                  <c:v>32.520000000000003</c:v>
                </c:pt>
                <c:pt idx="269">
                  <c:v>32.85</c:v>
                </c:pt>
                <c:pt idx="270">
                  <c:v>32.39</c:v>
                </c:pt>
                <c:pt idx="271">
                  <c:v>32.520000000000003</c:v>
                </c:pt>
                <c:pt idx="272">
                  <c:v>33.21</c:v>
                </c:pt>
                <c:pt idx="273">
                  <c:v>33.53</c:v>
                </c:pt>
                <c:pt idx="274">
                  <c:v>33.549999999999997</c:v>
                </c:pt>
                <c:pt idx="275">
                  <c:v>34.25</c:v>
                </c:pt>
                <c:pt idx="276">
                  <c:v>33.79</c:v>
                </c:pt>
                <c:pt idx="277">
                  <c:v>34.76</c:v>
                </c:pt>
                <c:pt idx="278">
                  <c:v>35.6</c:v>
                </c:pt>
                <c:pt idx="279">
                  <c:v>35.24</c:v>
                </c:pt>
                <c:pt idx="280">
                  <c:v>35.22</c:v>
                </c:pt>
                <c:pt idx="281">
                  <c:v>35.24</c:v>
                </c:pt>
                <c:pt idx="282">
                  <c:v>34.4</c:v>
                </c:pt>
                <c:pt idx="283">
                  <c:v>34.33</c:v>
                </c:pt>
                <c:pt idx="284">
                  <c:v>33.630000000000003</c:v>
                </c:pt>
                <c:pt idx="285">
                  <c:v>33.49</c:v>
                </c:pt>
                <c:pt idx="286">
                  <c:v>33.47</c:v>
                </c:pt>
                <c:pt idx="287">
                  <c:v>32.71</c:v>
                </c:pt>
                <c:pt idx="288">
                  <c:v>32.619999999999997</c:v>
                </c:pt>
                <c:pt idx="289">
                  <c:v>32.56</c:v>
                </c:pt>
                <c:pt idx="290">
                  <c:v>32.19</c:v>
                </c:pt>
                <c:pt idx="291">
                  <c:v>32.11</c:v>
                </c:pt>
                <c:pt idx="292">
                  <c:v>32.1</c:v>
                </c:pt>
                <c:pt idx="293">
                  <c:v>31.9</c:v>
                </c:pt>
                <c:pt idx="294">
                  <c:v>31.06</c:v>
                </c:pt>
                <c:pt idx="295">
                  <c:v>31.34</c:v>
                </c:pt>
                <c:pt idx="296">
                  <c:v>31.49</c:v>
                </c:pt>
                <c:pt idx="297">
                  <c:v>31.9</c:v>
                </c:pt>
                <c:pt idx="298">
                  <c:v>31.83</c:v>
                </c:pt>
                <c:pt idx="299">
                  <c:v>32.39</c:v>
                </c:pt>
                <c:pt idx="300">
                  <c:v>31.7</c:v>
                </c:pt>
                <c:pt idx="301">
                  <c:v>30.83</c:v>
                </c:pt>
                <c:pt idx="302">
                  <c:v>31.11</c:v>
                </c:pt>
                <c:pt idx="303">
                  <c:v>31.36</c:v>
                </c:pt>
                <c:pt idx="304">
                  <c:v>30.67</c:v>
                </c:pt>
                <c:pt idx="305">
                  <c:v>30.56</c:v>
                </c:pt>
                <c:pt idx="306">
                  <c:v>31.66</c:v>
                </c:pt>
                <c:pt idx="307">
                  <c:v>32.65</c:v>
                </c:pt>
                <c:pt idx="308">
                  <c:v>32.950000000000003</c:v>
                </c:pt>
                <c:pt idx="309">
                  <c:v>32.81</c:v>
                </c:pt>
                <c:pt idx="310">
                  <c:v>33.99</c:v>
                </c:pt>
                <c:pt idx="311">
                  <c:v>34.01</c:v>
                </c:pt>
                <c:pt idx="312">
                  <c:v>41.45</c:v>
                </c:pt>
                <c:pt idx="313">
                  <c:v>40.6</c:v>
                </c:pt>
                <c:pt idx="314">
                  <c:v>41.09</c:v>
                </c:pt>
                <c:pt idx="315">
                  <c:v>40.64</c:v>
                </c:pt>
                <c:pt idx="316">
                  <c:v>40.25</c:v>
                </c:pt>
                <c:pt idx="317">
                  <c:v>40.15</c:v>
                </c:pt>
                <c:pt idx="318">
                  <c:v>41.81</c:v>
                </c:pt>
                <c:pt idx="319">
                  <c:v>41.43</c:v>
                </c:pt>
                <c:pt idx="320">
                  <c:v>41.76</c:v>
                </c:pt>
                <c:pt idx="321">
                  <c:v>42.06</c:v>
                </c:pt>
                <c:pt idx="322">
                  <c:v>42.06</c:v>
                </c:pt>
                <c:pt idx="323">
                  <c:v>41.28</c:v>
                </c:pt>
                <c:pt idx="324">
                  <c:v>40.270000000000003</c:v>
                </c:pt>
                <c:pt idx="325">
                  <c:v>40.659999999999997</c:v>
                </c:pt>
                <c:pt idx="326">
                  <c:v>40.68</c:v>
                </c:pt>
                <c:pt idx="327">
                  <c:v>40.51</c:v>
                </c:pt>
                <c:pt idx="328">
                  <c:v>40.76</c:v>
                </c:pt>
                <c:pt idx="329">
                  <c:v>41.03</c:v>
                </c:pt>
                <c:pt idx="330">
                  <c:v>41.28</c:v>
                </c:pt>
                <c:pt idx="331">
                  <c:v>40.99</c:v>
                </c:pt>
                <c:pt idx="332">
                  <c:v>41.47</c:v>
                </c:pt>
                <c:pt idx="333">
                  <c:v>42.15</c:v>
                </c:pt>
                <c:pt idx="334">
                  <c:v>42.53</c:v>
                </c:pt>
                <c:pt idx="335">
                  <c:v>43.2</c:v>
                </c:pt>
                <c:pt idx="336">
                  <c:v>43.6</c:v>
                </c:pt>
                <c:pt idx="337">
                  <c:v>43.56</c:v>
                </c:pt>
                <c:pt idx="338">
                  <c:v>44.26</c:v>
                </c:pt>
                <c:pt idx="339">
                  <c:v>44.85</c:v>
                </c:pt>
                <c:pt idx="340">
                  <c:v>44.76</c:v>
                </c:pt>
                <c:pt idx="341">
                  <c:v>43.44</c:v>
                </c:pt>
                <c:pt idx="342">
                  <c:v>44.08</c:v>
                </c:pt>
                <c:pt idx="343">
                  <c:v>43.87</c:v>
                </c:pt>
                <c:pt idx="344">
                  <c:v>44.26</c:v>
                </c:pt>
                <c:pt idx="345">
                  <c:v>43.88</c:v>
                </c:pt>
                <c:pt idx="346">
                  <c:v>44.87</c:v>
                </c:pt>
                <c:pt idx="347">
                  <c:v>45.45</c:v>
                </c:pt>
                <c:pt idx="348">
                  <c:v>45.35</c:v>
                </c:pt>
                <c:pt idx="349">
                  <c:v>45.72</c:v>
                </c:pt>
                <c:pt idx="350">
                  <c:v>45.68</c:v>
                </c:pt>
                <c:pt idx="351">
                  <c:v>46.32</c:v>
                </c:pt>
                <c:pt idx="352">
                  <c:v>47.64</c:v>
                </c:pt>
                <c:pt idx="353">
                  <c:v>47.77</c:v>
                </c:pt>
                <c:pt idx="354">
                  <c:v>49.15</c:v>
                </c:pt>
                <c:pt idx="355">
                  <c:v>48.93</c:v>
                </c:pt>
                <c:pt idx="356">
                  <c:v>48.65</c:v>
                </c:pt>
                <c:pt idx="357">
                  <c:v>49.4</c:v>
                </c:pt>
                <c:pt idx="358">
                  <c:v>48.9</c:v>
                </c:pt>
                <c:pt idx="359">
                  <c:v>48.33</c:v>
                </c:pt>
                <c:pt idx="360">
                  <c:v>50.67</c:v>
                </c:pt>
                <c:pt idx="361">
                  <c:v>51.2</c:v>
                </c:pt>
                <c:pt idx="362">
                  <c:v>50.19</c:v>
                </c:pt>
                <c:pt idx="363">
                  <c:v>50.24</c:v>
                </c:pt>
                <c:pt idx="364">
                  <c:v>50.12</c:v>
                </c:pt>
                <c:pt idx="365">
                  <c:v>50.65</c:v>
                </c:pt>
                <c:pt idx="366">
                  <c:v>50.64</c:v>
                </c:pt>
                <c:pt idx="367">
                  <c:v>50.87</c:v>
                </c:pt>
                <c:pt idx="368">
                  <c:v>50.54</c:v>
                </c:pt>
                <c:pt idx="369">
                  <c:v>50.41</c:v>
                </c:pt>
                <c:pt idx="370">
                  <c:v>50.67</c:v>
                </c:pt>
                <c:pt idx="371">
                  <c:v>50.38</c:v>
                </c:pt>
                <c:pt idx="372">
                  <c:v>50.05</c:v>
                </c:pt>
                <c:pt idx="373">
                  <c:v>49.89</c:v>
                </c:pt>
                <c:pt idx="374">
                  <c:v>50.28</c:v>
                </c:pt>
                <c:pt idx="375">
                  <c:v>50.19</c:v>
                </c:pt>
                <c:pt idx="376">
                  <c:v>50.13</c:v>
                </c:pt>
                <c:pt idx="377">
                  <c:v>50.32</c:v>
                </c:pt>
                <c:pt idx="378">
                  <c:v>51.33</c:v>
                </c:pt>
                <c:pt idx="379">
                  <c:v>51</c:v>
                </c:pt>
                <c:pt idx="380">
                  <c:v>51.87</c:v>
                </c:pt>
                <c:pt idx="381">
                  <c:v>52.71</c:v>
                </c:pt>
                <c:pt idx="382">
                  <c:v>52.57</c:v>
                </c:pt>
                <c:pt idx="383">
                  <c:v>52.69</c:v>
                </c:pt>
                <c:pt idx="384">
                  <c:v>52.02</c:v>
                </c:pt>
                <c:pt idx="385">
                  <c:v>52.32</c:v>
                </c:pt>
                <c:pt idx="386">
                  <c:v>52.37</c:v>
                </c:pt>
                <c:pt idx="387">
                  <c:v>51.62</c:v>
                </c:pt>
                <c:pt idx="388">
                  <c:v>51.59</c:v>
                </c:pt>
                <c:pt idx="389">
                  <c:v>52</c:v>
                </c:pt>
                <c:pt idx="390">
                  <c:v>52.97</c:v>
                </c:pt>
                <c:pt idx="391">
                  <c:v>53.14</c:v>
                </c:pt>
                <c:pt idx="392">
                  <c:v>52.4</c:v>
                </c:pt>
                <c:pt idx="393">
                  <c:v>52.28</c:v>
                </c:pt>
                <c:pt idx="394">
                  <c:v>51.52</c:v>
                </c:pt>
                <c:pt idx="395">
                  <c:v>51.73</c:v>
                </c:pt>
                <c:pt idx="396">
                  <c:v>51.49</c:v>
                </c:pt>
                <c:pt idx="397">
                  <c:v>51.94</c:v>
                </c:pt>
                <c:pt idx="398">
                  <c:v>52.16</c:v>
                </c:pt>
                <c:pt idx="399">
                  <c:v>51.36</c:v>
                </c:pt>
                <c:pt idx="400">
                  <c:v>51.4</c:v>
                </c:pt>
                <c:pt idx="401">
                  <c:v>50.22</c:v>
                </c:pt>
                <c:pt idx="402">
                  <c:v>50.31</c:v>
                </c:pt>
                <c:pt idx="403">
                  <c:v>50.63</c:v>
                </c:pt>
                <c:pt idx="404">
                  <c:v>49.94</c:v>
                </c:pt>
                <c:pt idx="405">
                  <c:v>49.81</c:v>
                </c:pt>
                <c:pt idx="406">
                  <c:v>49.53</c:v>
                </c:pt>
                <c:pt idx="407">
                  <c:v>48.76</c:v>
                </c:pt>
                <c:pt idx="408">
                  <c:v>48.62</c:v>
                </c:pt>
                <c:pt idx="409">
                  <c:v>50.43</c:v>
                </c:pt>
                <c:pt idx="410">
                  <c:v>50.57</c:v>
                </c:pt>
                <c:pt idx="411">
                  <c:v>50.57</c:v>
                </c:pt>
                <c:pt idx="412">
                  <c:v>50.67</c:v>
                </c:pt>
                <c:pt idx="413">
                  <c:v>50.51</c:v>
                </c:pt>
                <c:pt idx="414">
                  <c:v>50.3</c:v>
                </c:pt>
                <c:pt idx="415">
                  <c:v>50.26</c:v>
                </c:pt>
                <c:pt idx="416">
                  <c:v>50.09</c:v>
                </c:pt>
                <c:pt idx="417">
                  <c:v>50.5</c:v>
                </c:pt>
                <c:pt idx="418">
                  <c:v>50.5</c:v>
                </c:pt>
                <c:pt idx="419">
                  <c:v>50.87</c:v>
                </c:pt>
                <c:pt idx="420">
                  <c:v>50.89</c:v>
                </c:pt>
                <c:pt idx="421">
                  <c:v>51.62</c:v>
                </c:pt>
                <c:pt idx="422">
                  <c:v>52.33</c:v>
                </c:pt>
                <c:pt idx="423">
                  <c:v>51.81</c:v>
                </c:pt>
                <c:pt idx="424">
                  <c:v>51.8</c:v>
                </c:pt>
                <c:pt idx="425">
                  <c:v>51.28</c:v>
                </c:pt>
                <c:pt idx="426">
                  <c:v>51.11</c:v>
                </c:pt>
                <c:pt idx="427">
                  <c:v>51.15</c:v>
                </c:pt>
                <c:pt idx="428">
                  <c:v>51.95</c:v>
                </c:pt>
                <c:pt idx="429">
                  <c:v>52.13</c:v>
                </c:pt>
                <c:pt idx="430">
                  <c:v>52.28</c:v>
                </c:pt>
                <c:pt idx="431">
                  <c:v>52.12</c:v>
                </c:pt>
                <c:pt idx="432">
                  <c:v>52.61</c:v>
                </c:pt>
                <c:pt idx="433">
                  <c:v>51.9</c:v>
                </c:pt>
                <c:pt idx="434">
                  <c:v>52.14</c:v>
                </c:pt>
                <c:pt idx="435">
                  <c:v>53.42</c:v>
                </c:pt>
                <c:pt idx="436">
                  <c:v>54.35</c:v>
                </c:pt>
                <c:pt idx="437">
                  <c:v>54.4</c:v>
                </c:pt>
                <c:pt idx="438">
                  <c:v>53.38</c:v>
                </c:pt>
                <c:pt idx="439">
                  <c:v>53.96</c:v>
                </c:pt>
                <c:pt idx="440">
                  <c:v>54.05</c:v>
                </c:pt>
                <c:pt idx="441">
                  <c:v>53.92</c:v>
                </c:pt>
                <c:pt idx="442">
                  <c:v>54.59</c:v>
                </c:pt>
                <c:pt idx="443">
                  <c:v>54.11</c:v>
                </c:pt>
                <c:pt idx="444">
                  <c:v>53.79</c:v>
                </c:pt>
                <c:pt idx="445">
                  <c:v>53.65</c:v>
                </c:pt>
                <c:pt idx="446">
                  <c:v>53.3</c:v>
                </c:pt>
                <c:pt idx="447">
                  <c:v>53.73</c:v>
                </c:pt>
                <c:pt idx="448">
                  <c:v>53.94</c:v>
                </c:pt>
                <c:pt idx="449">
                  <c:v>58.29</c:v>
                </c:pt>
                <c:pt idx="450">
                  <c:v>58.33</c:v>
                </c:pt>
                <c:pt idx="451">
                  <c:v>58.31</c:v>
                </c:pt>
                <c:pt idx="452">
                  <c:v>58.7</c:v>
                </c:pt>
                <c:pt idx="453">
                  <c:v>58.1</c:v>
                </c:pt>
                <c:pt idx="454">
                  <c:v>57.2</c:v>
                </c:pt>
                <c:pt idx="455">
                  <c:v>57.2</c:v>
                </c:pt>
                <c:pt idx="456">
                  <c:v>59.76</c:v>
                </c:pt>
                <c:pt idx="457">
                  <c:v>59.72</c:v>
                </c:pt>
                <c:pt idx="458">
                  <c:v>60.11</c:v>
                </c:pt>
                <c:pt idx="459">
                  <c:v>60.43</c:v>
                </c:pt>
                <c:pt idx="460">
                  <c:v>60.43</c:v>
                </c:pt>
                <c:pt idx="461">
                  <c:v>60.69</c:v>
                </c:pt>
                <c:pt idx="462">
                  <c:v>60.99</c:v>
                </c:pt>
                <c:pt idx="463">
                  <c:v>61.29</c:v>
                </c:pt>
                <c:pt idx="464">
                  <c:v>61.4</c:v>
                </c:pt>
                <c:pt idx="465">
                  <c:v>61.52</c:v>
                </c:pt>
                <c:pt idx="466">
                  <c:v>61.36</c:v>
                </c:pt>
                <c:pt idx="467">
                  <c:v>61.05</c:v>
                </c:pt>
                <c:pt idx="468">
                  <c:v>60.09</c:v>
                </c:pt>
                <c:pt idx="469">
                  <c:v>60.32</c:v>
                </c:pt>
                <c:pt idx="470">
                  <c:v>60.56</c:v>
                </c:pt>
                <c:pt idx="471">
                  <c:v>59.52</c:v>
                </c:pt>
                <c:pt idx="472">
                  <c:v>58.82</c:v>
                </c:pt>
                <c:pt idx="473">
                  <c:v>59.08</c:v>
                </c:pt>
                <c:pt idx="474">
                  <c:v>58.72</c:v>
                </c:pt>
                <c:pt idx="475">
                  <c:v>57.78</c:v>
                </c:pt>
                <c:pt idx="476">
                  <c:v>57.27</c:v>
                </c:pt>
                <c:pt idx="477">
                  <c:v>56.87</c:v>
                </c:pt>
                <c:pt idx="478">
                  <c:v>56</c:v>
                </c:pt>
                <c:pt idx="479">
                  <c:v>55.55</c:v>
                </c:pt>
                <c:pt idx="480">
                  <c:v>55.94</c:v>
                </c:pt>
                <c:pt idx="481">
                  <c:v>56.63</c:v>
                </c:pt>
                <c:pt idx="482">
                  <c:v>57.18</c:v>
                </c:pt>
                <c:pt idx="483">
                  <c:v>56.03</c:v>
                </c:pt>
                <c:pt idx="484">
                  <c:v>55.81</c:v>
                </c:pt>
                <c:pt idx="485">
                  <c:v>55.77</c:v>
                </c:pt>
                <c:pt idx="486">
                  <c:v>55.75</c:v>
                </c:pt>
                <c:pt idx="487">
                  <c:v>57.22</c:v>
                </c:pt>
                <c:pt idx="488">
                  <c:v>56.06</c:v>
                </c:pt>
                <c:pt idx="489">
                  <c:v>57.7</c:v>
                </c:pt>
                <c:pt idx="490">
                  <c:v>58.02</c:v>
                </c:pt>
                <c:pt idx="491">
                  <c:v>58.47</c:v>
                </c:pt>
                <c:pt idx="492">
                  <c:v>57.25</c:v>
                </c:pt>
                <c:pt idx="493">
                  <c:v>57.63</c:v>
                </c:pt>
                <c:pt idx="494">
                  <c:v>57.6</c:v>
                </c:pt>
                <c:pt idx="495">
                  <c:v>56.82</c:v>
                </c:pt>
                <c:pt idx="496">
                  <c:v>56.34</c:v>
                </c:pt>
                <c:pt idx="497">
                  <c:v>56.29</c:v>
                </c:pt>
                <c:pt idx="498">
                  <c:v>58.58</c:v>
                </c:pt>
                <c:pt idx="499">
                  <c:v>58.62</c:v>
                </c:pt>
                <c:pt idx="500">
                  <c:v>59.91</c:v>
                </c:pt>
                <c:pt idx="501">
                  <c:v>59.06</c:v>
                </c:pt>
                <c:pt idx="502">
                  <c:v>59.25</c:v>
                </c:pt>
                <c:pt idx="503">
                  <c:v>58.94</c:v>
                </c:pt>
                <c:pt idx="504">
                  <c:v>59.12</c:v>
                </c:pt>
                <c:pt idx="505">
                  <c:v>59.45</c:v>
                </c:pt>
                <c:pt idx="506">
                  <c:v>60.14</c:v>
                </c:pt>
                <c:pt idx="507">
                  <c:v>60.46</c:v>
                </c:pt>
                <c:pt idx="508">
                  <c:v>59.55</c:v>
                </c:pt>
                <c:pt idx="509">
                  <c:v>58.8</c:v>
                </c:pt>
                <c:pt idx="510">
                  <c:v>60.43</c:v>
                </c:pt>
                <c:pt idx="511">
                  <c:v>62.49</c:v>
                </c:pt>
                <c:pt idx="512">
                  <c:v>58.95</c:v>
                </c:pt>
                <c:pt idx="513">
                  <c:v>58.19</c:v>
                </c:pt>
                <c:pt idx="514">
                  <c:v>56.68</c:v>
                </c:pt>
                <c:pt idx="515">
                  <c:v>56.8</c:v>
                </c:pt>
                <c:pt idx="516">
                  <c:v>56.5</c:v>
                </c:pt>
                <c:pt idx="517">
                  <c:v>57</c:v>
                </c:pt>
                <c:pt idx="518">
                  <c:v>56.9</c:v>
                </c:pt>
                <c:pt idx="519">
                  <c:v>56.28</c:v>
                </c:pt>
                <c:pt idx="520">
                  <c:v>56.04</c:v>
                </c:pt>
                <c:pt idx="521">
                  <c:v>55.48</c:v>
                </c:pt>
                <c:pt idx="522">
                  <c:v>55.52</c:v>
                </c:pt>
                <c:pt idx="523">
                  <c:v>55.96</c:v>
                </c:pt>
                <c:pt idx="524">
                  <c:v>56.39</c:v>
                </c:pt>
                <c:pt idx="525">
                  <c:v>55.72</c:v>
                </c:pt>
                <c:pt idx="526">
                  <c:v>56.28</c:v>
                </c:pt>
                <c:pt idx="527">
                  <c:v>57.01</c:v>
                </c:pt>
                <c:pt idx="528">
                  <c:v>57.44</c:v>
                </c:pt>
                <c:pt idx="529">
                  <c:v>57.41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91-44F0-A2B4-3F402245B439}"/>
            </c:ext>
          </c:extLst>
        </c:ser>
        <c:ser>
          <c:idx val="3"/>
          <c:order val="3"/>
          <c:tx>
            <c:v>Bande sup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Bayer!$AL$2:$AL$530</c:f>
              <c:numCache>
                <c:formatCode>General</c:formatCode>
                <c:ptCount val="529"/>
                <c:pt idx="0">
                  <c:v>48.086566728664963</c:v>
                </c:pt>
                <c:pt idx="1">
                  <c:v>48.060650033912509</c:v>
                </c:pt>
                <c:pt idx="2">
                  <c:v>47.989966774169147</c:v>
                </c:pt>
                <c:pt idx="3">
                  <c:v>47.925801517019337</c:v>
                </c:pt>
                <c:pt idx="4">
                  <c:v>47.862681139694516</c:v>
                </c:pt>
                <c:pt idx="5">
                  <c:v>47.774106642310663</c:v>
                </c:pt>
                <c:pt idx="6">
                  <c:v>47.689449642244888</c:v>
                </c:pt>
                <c:pt idx="7">
                  <c:v>47.601223496746371</c:v>
                </c:pt>
                <c:pt idx="8">
                  <c:v>47.51940478103586</c:v>
                </c:pt>
                <c:pt idx="9">
                  <c:v>47.369019630159769</c:v>
                </c:pt>
                <c:pt idx="10">
                  <c:v>47.226715183640835</c:v>
                </c:pt>
                <c:pt idx="11">
                  <c:v>47.095520520624035</c:v>
                </c:pt>
                <c:pt idx="12">
                  <c:v>46.963981789282194</c:v>
                </c:pt>
                <c:pt idx="13">
                  <c:v>46.815086831381393</c:v>
                </c:pt>
                <c:pt idx="14">
                  <c:v>46.694733079223667</c:v>
                </c:pt>
                <c:pt idx="15">
                  <c:v>46.561061196975793</c:v>
                </c:pt>
                <c:pt idx="16">
                  <c:v>46.448489625423619</c:v>
                </c:pt>
                <c:pt idx="17">
                  <c:v>46.318123041405542</c:v>
                </c:pt>
                <c:pt idx="18">
                  <c:v>46.20335435783349</c:v>
                </c:pt>
                <c:pt idx="19">
                  <c:v>46.107260077120131</c:v>
                </c:pt>
                <c:pt idx="20">
                  <c:v>46.051436432278294</c:v>
                </c:pt>
                <c:pt idx="21">
                  <c:v>45.987104789572513</c:v>
                </c:pt>
                <c:pt idx="22">
                  <c:v>45.992712584281463</c:v>
                </c:pt>
                <c:pt idx="23">
                  <c:v>45.974156581957402</c:v>
                </c:pt>
                <c:pt idx="24">
                  <c:v>45.946796959219967</c:v>
                </c:pt>
                <c:pt idx="25">
                  <c:v>45.90458096437392</c:v>
                </c:pt>
                <c:pt idx="26">
                  <c:v>45.854419902451966</c:v>
                </c:pt>
                <c:pt idx="27">
                  <c:v>45.79626408517359</c:v>
                </c:pt>
                <c:pt idx="28">
                  <c:v>45.744062678951458</c:v>
                </c:pt>
                <c:pt idx="29">
                  <c:v>45.732846659514408</c:v>
                </c:pt>
                <c:pt idx="30">
                  <c:v>45.700356372202577</c:v>
                </c:pt>
                <c:pt idx="31">
                  <c:v>45.660962976611927</c:v>
                </c:pt>
                <c:pt idx="32">
                  <c:v>45.609622230355548</c:v>
                </c:pt>
                <c:pt idx="33">
                  <c:v>45.628758651552374</c:v>
                </c:pt>
                <c:pt idx="34">
                  <c:v>45.638797048096535</c:v>
                </c:pt>
                <c:pt idx="35">
                  <c:v>45.638181511041445</c:v>
                </c:pt>
                <c:pt idx="36">
                  <c:v>45.620846138766794</c:v>
                </c:pt>
                <c:pt idx="37">
                  <c:v>45.628687104757823</c:v>
                </c:pt>
                <c:pt idx="38">
                  <c:v>45.630857697425526</c:v>
                </c:pt>
                <c:pt idx="39">
                  <c:v>45.62432198679906</c:v>
                </c:pt>
                <c:pt idx="40">
                  <c:v>45.606524842668378</c:v>
                </c:pt>
                <c:pt idx="41">
                  <c:v>45.579394583314325</c:v>
                </c:pt>
                <c:pt idx="42">
                  <c:v>45.574370692990883</c:v>
                </c:pt>
                <c:pt idx="43">
                  <c:v>45.748589831280512</c:v>
                </c:pt>
                <c:pt idx="44">
                  <c:v>45.917678000310062</c:v>
                </c:pt>
                <c:pt idx="45">
                  <c:v>46.127099455617042</c:v>
                </c:pt>
                <c:pt idx="46">
                  <c:v>46.328600437591163</c:v>
                </c:pt>
                <c:pt idx="47">
                  <c:v>46.564625483954501</c:v>
                </c:pt>
                <c:pt idx="48">
                  <c:v>46.807378808023032</c:v>
                </c:pt>
                <c:pt idx="49">
                  <c:v>47.063891233734672</c:v>
                </c:pt>
                <c:pt idx="50">
                  <c:v>47.307734283447502</c:v>
                </c:pt>
                <c:pt idx="51">
                  <c:v>47.57332064628946</c:v>
                </c:pt>
                <c:pt idx="52">
                  <c:v>47.880766536656765</c:v>
                </c:pt>
                <c:pt idx="53">
                  <c:v>48.165799734849017</c:v>
                </c:pt>
                <c:pt idx="54">
                  <c:v>48.441272457325482</c:v>
                </c:pt>
                <c:pt idx="55">
                  <c:v>48.731114078010023</c:v>
                </c:pt>
                <c:pt idx="56">
                  <c:v>49.015888742078566</c:v>
                </c:pt>
                <c:pt idx="57">
                  <c:v>49.284050865447369</c:v>
                </c:pt>
                <c:pt idx="58">
                  <c:v>49.561493532096186</c:v>
                </c:pt>
                <c:pt idx="59">
                  <c:v>49.849751379491416</c:v>
                </c:pt>
                <c:pt idx="60">
                  <c:v>50.135864965302737</c:v>
                </c:pt>
                <c:pt idx="61">
                  <c:v>50.436805152826615</c:v>
                </c:pt>
                <c:pt idx="62">
                  <c:v>50.708129745197951</c:v>
                </c:pt>
                <c:pt idx="63">
                  <c:v>50.782169818868979</c:v>
                </c:pt>
                <c:pt idx="64">
                  <c:v>50.881426080864657</c:v>
                </c:pt>
                <c:pt idx="65">
                  <c:v>50.992524737281371</c:v>
                </c:pt>
                <c:pt idx="66">
                  <c:v>51.149024238389899</c:v>
                </c:pt>
                <c:pt idx="67">
                  <c:v>51.373648822729429</c:v>
                </c:pt>
                <c:pt idx="68">
                  <c:v>51.617229436550971</c:v>
                </c:pt>
                <c:pt idx="69">
                  <c:v>51.846347972028873</c:v>
                </c:pt>
                <c:pt idx="70">
                  <c:v>52.093923273880833</c:v>
                </c:pt>
                <c:pt idx="71">
                  <c:v>52.359531893901902</c:v>
                </c:pt>
                <c:pt idx="72">
                  <c:v>52.600744698612758</c:v>
                </c:pt>
                <c:pt idx="73">
                  <c:v>52.809934942395785</c:v>
                </c:pt>
                <c:pt idx="74">
                  <c:v>53.04044612665178</c:v>
                </c:pt>
                <c:pt idx="75">
                  <c:v>53.208865079340327</c:v>
                </c:pt>
                <c:pt idx="76">
                  <c:v>53.363407504661076</c:v>
                </c:pt>
                <c:pt idx="77">
                  <c:v>53.520008152827742</c:v>
                </c:pt>
                <c:pt idx="78">
                  <c:v>53.645172516708769</c:v>
                </c:pt>
                <c:pt idx="79">
                  <c:v>53.760761322112103</c:v>
                </c:pt>
                <c:pt idx="80">
                  <c:v>53.886231703496144</c:v>
                </c:pt>
                <c:pt idx="81">
                  <c:v>53.96362465397744</c:v>
                </c:pt>
                <c:pt idx="82">
                  <c:v>54.013233716535922</c:v>
                </c:pt>
                <c:pt idx="83">
                  <c:v>54.046440268210283</c:v>
                </c:pt>
                <c:pt idx="84">
                  <c:v>54.085174209933754</c:v>
                </c:pt>
                <c:pt idx="85">
                  <c:v>54.088959052228958</c:v>
                </c:pt>
                <c:pt idx="86">
                  <c:v>54.079644600241792</c:v>
                </c:pt>
                <c:pt idx="87">
                  <c:v>54.000673267347494</c:v>
                </c:pt>
                <c:pt idx="88">
                  <c:v>53.948239773061403</c:v>
                </c:pt>
                <c:pt idx="89">
                  <c:v>53.904954722711111</c:v>
                </c:pt>
                <c:pt idx="90">
                  <c:v>53.862354523966701</c:v>
                </c:pt>
                <c:pt idx="91">
                  <c:v>53.737938611024475</c:v>
                </c:pt>
                <c:pt idx="92">
                  <c:v>53.606832283951505</c:v>
                </c:pt>
                <c:pt idx="93">
                  <c:v>53.491492595702091</c:v>
                </c:pt>
                <c:pt idx="94">
                  <c:v>53.363980390137854</c:v>
                </c:pt>
                <c:pt idx="95">
                  <c:v>53.2972268509222</c:v>
                </c:pt>
                <c:pt idx="96">
                  <c:v>53.240011420805558</c:v>
                </c:pt>
                <c:pt idx="97">
                  <c:v>53.164374484061391</c:v>
                </c:pt>
                <c:pt idx="98">
                  <c:v>53.110221042997125</c:v>
                </c:pt>
                <c:pt idx="99">
                  <c:v>53.066650411096035</c:v>
                </c:pt>
                <c:pt idx="100">
                  <c:v>52.999710419597193</c:v>
                </c:pt>
                <c:pt idx="101">
                  <c:v>53.004779929045554</c:v>
                </c:pt>
                <c:pt idx="102">
                  <c:v>53.040216752778832</c:v>
                </c:pt>
                <c:pt idx="103">
                  <c:v>53.154173229929107</c:v>
                </c:pt>
                <c:pt idx="104">
                  <c:v>53.251045138077757</c:v>
                </c:pt>
                <c:pt idx="105">
                  <c:v>53.22124574175173</c:v>
                </c:pt>
                <c:pt idx="106">
                  <c:v>53.158137867940518</c:v>
                </c:pt>
                <c:pt idx="107">
                  <c:v>53.072548866844556</c:v>
                </c:pt>
                <c:pt idx="108">
                  <c:v>52.931357180492213</c:v>
                </c:pt>
                <c:pt idx="109">
                  <c:v>52.778264427544769</c:v>
                </c:pt>
                <c:pt idx="110">
                  <c:v>52.639691800363678</c:v>
                </c:pt>
                <c:pt idx="111">
                  <c:v>52.542699983106431</c:v>
                </c:pt>
                <c:pt idx="112">
                  <c:v>52.409500554061374</c:v>
                </c:pt>
                <c:pt idx="113">
                  <c:v>52.345383880258311</c:v>
                </c:pt>
                <c:pt idx="114">
                  <c:v>52.30972135655999</c:v>
                </c:pt>
                <c:pt idx="115">
                  <c:v>52.272166677262291</c:v>
                </c:pt>
                <c:pt idx="116">
                  <c:v>52.25570533084236</c:v>
                </c:pt>
                <c:pt idx="117">
                  <c:v>52.247453400031475</c:v>
                </c:pt>
                <c:pt idx="118">
                  <c:v>52.229455308307479</c:v>
                </c:pt>
                <c:pt idx="119">
                  <c:v>52.198152973776459</c:v>
                </c:pt>
                <c:pt idx="120">
                  <c:v>52.17696675155134</c:v>
                </c:pt>
                <c:pt idx="121">
                  <c:v>52.107951962494624</c:v>
                </c:pt>
                <c:pt idx="122">
                  <c:v>52.029825022925309</c:v>
                </c:pt>
                <c:pt idx="123">
                  <c:v>51.927524771010084</c:v>
                </c:pt>
                <c:pt idx="124">
                  <c:v>51.775898057834425</c:v>
                </c:pt>
                <c:pt idx="125">
                  <c:v>51.795133718408749</c:v>
                </c:pt>
                <c:pt idx="126">
                  <c:v>51.821762879246791</c:v>
                </c:pt>
                <c:pt idx="127">
                  <c:v>51.809329966414069</c:v>
                </c:pt>
                <c:pt idx="128">
                  <c:v>51.814593948364511</c:v>
                </c:pt>
                <c:pt idx="129">
                  <c:v>51.846161877946258</c:v>
                </c:pt>
                <c:pt idx="130">
                  <c:v>51.844195543795934</c:v>
                </c:pt>
                <c:pt idx="131">
                  <c:v>51.828485627153611</c:v>
                </c:pt>
                <c:pt idx="132">
                  <c:v>51.812944071236799</c:v>
                </c:pt>
                <c:pt idx="133">
                  <c:v>51.751569127281726</c:v>
                </c:pt>
                <c:pt idx="134">
                  <c:v>51.674566974918157</c:v>
                </c:pt>
                <c:pt idx="135">
                  <c:v>51.602330507102195</c:v>
                </c:pt>
                <c:pt idx="136">
                  <c:v>51.519381952730171</c:v>
                </c:pt>
                <c:pt idx="137">
                  <c:v>51.411643078884168</c:v>
                </c:pt>
                <c:pt idx="138">
                  <c:v>51.3274404007527</c:v>
                </c:pt>
                <c:pt idx="139">
                  <c:v>51.250918387321413</c:v>
                </c:pt>
                <c:pt idx="140">
                  <c:v>51.157119045996197</c:v>
                </c:pt>
                <c:pt idx="141">
                  <c:v>51.083915671812406</c:v>
                </c:pt>
                <c:pt idx="142">
                  <c:v>51.018438819806029</c:v>
                </c:pt>
                <c:pt idx="143">
                  <c:v>50.960733453188681</c:v>
                </c:pt>
                <c:pt idx="144">
                  <c:v>50.921846140120493</c:v>
                </c:pt>
                <c:pt idx="145">
                  <c:v>50.846902575415498</c:v>
                </c:pt>
                <c:pt idx="146">
                  <c:v>50.766641377763023</c:v>
                </c:pt>
                <c:pt idx="147">
                  <c:v>50.742515183271195</c:v>
                </c:pt>
                <c:pt idx="148">
                  <c:v>50.700920387811166</c:v>
                </c:pt>
                <c:pt idx="149">
                  <c:v>50.67872593981761</c:v>
                </c:pt>
                <c:pt idx="150">
                  <c:v>50.684068387285521</c:v>
                </c:pt>
                <c:pt idx="151">
                  <c:v>50.739146570816892</c:v>
                </c:pt>
                <c:pt idx="152">
                  <c:v>50.795825477151411</c:v>
                </c:pt>
                <c:pt idx="153">
                  <c:v>50.837116844768161</c:v>
                </c:pt>
                <c:pt idx="154">
                  <c:v>50.903406898286093</c:v>
                </c:pt>
                <c:pt idx="155">
                  <c:v>50.983380395968489</c:v>
                </c:pt>
                <c:pt idx="156">
                  <c:v>51.072138695834518</c:v>
                </c:pt>
                <c:pt idx="157">
                  <c:v>51.167246846223293</c:v>
                </c:pt>
                <c:pt idx="158">
                  <c:v>51.261751743938582</c:v>
                </c:pt>
                <c:pt idx="159">
                  <c:v>51.326648783957758</c:v>
                </c:pt>
                <c:pt idx="160">
                  <c:v>51.396219196066589</c:v>
                </c:pt>
                <c:pt idx="161">
                  <c:v>51.414997568867761</c:v>
                </c:pt>
                <c:pt idx="162">
                  <c:v>51.469607490712534</c:v>
                </c:pt>
                <c:pt idx="163">
                  <c:v>51.522314347946875</c:v>
                </c:pt>
                <c:pt idx="164">
                  <c:v>51.576103855561328</c:v>
                </c:pt>
                <c:pt idx="165">
                  <c:v>51.627483939721422</c:v>
                </c:pt>
                <c:pt idx="166">
                  <c:v>51.738936462572028</c:v>
                </c:pt>
                <c:pt idx="167">
                  <c:v>51.820910144699205</c:v>
                </c:pt>
                <c:pt idx="168">
                  <c:v>51.921184721240664</c:v>
                </c:pt>
                <c:pt idx="169">
                  <c:v>51.970396596035059</c:v>
                </c:pt>
                <c:pt idx="170">
                  <c:v>52.009665005381464</c:v>
                </c:pt>
                <c:pt idx="171">
                  <c:v>52.05841532465287</c:v>
                </c:pt>
                <c:pt idx="172">
                  <c:v>52.139218131807809</c:v>
                </c:pt>
                <c:pt idx="173">
                  <c:v>52.208313698492681</c:v>
                </c:pt>
                <c:pt idx="174">
                  <c:v>52.225614237657027</c:v>
                </c:pt>
                <c:pt idx="175">
                  <c:v>52.214730271117396</c:v>
                </c:pt>
                <c:pt idx="176">
                  <c:v>52.18294693503821</c:v>
                </c:pt>
                <c:pt idx="177">
                  <c:v>52.164101389855247</c:v>
                </c:pt>
                <c:pt idx="178">
                  <c:v>52.108287578989575</c:v>
                </c:pt>
                <c:pt idx="179">
                  <c:v>52.069215253373414</c:v>
                </c:pt>
                <c:pt idx="180">
                  <c:v>52.044006811898115</c:v>
                </c:pt>
                <c:pt idx="181">
                  <c:v>52.03626485260623</c:v>
                </c:pt>
                <c:pt idx="182">
                  <c:v>51.996122509976729</c:v>
                </c:pt>
                <c:pt idx="183">
                  <c:v>51.922318607207735</c:v>
                </c:pt>
                <c:pt idx="184">
                  <c:v>51.854576047099144</c:v>
                </c:pt>
                <c:pt idx="185">
                  <c:v>51.791932808543208</c:v>
                </c:pt>
                <c:pt idx="186">
                  <c:v>51.705920231332669</c:v>
                </c:pt>
                <c:pt idx="187">
                  <c:v>51.621835194360081</c:v>
                </c:pt>
                <c:pt idx="188">
                  <c:v>51.469680319722627</c:v>
                </c:pt>
                <c:pt idx="189">
                  <c:v>51.315865840191492</c:v>
                </c:pt>
                <c:pt idx="190">
                  <c:v>51.157350300391158</c:v>
                </c:pt>
                <c:pt idx="191">
                  <c:v>50.954564789799939</c:v>
                </c:pt>
                <c:pt idx="192">
                  <c:v>50.774087073453785</c:v>
                </c:pt>
                <c:pt idx="193">
                  <c:v>50.609077033717739</c:v>
                </c:pt>
                <c:pt idx="194">
                  <c:v>50.466140720637519</c:v>
                </c:pt>
                <c:pt idx="195">
                  <c:v>50.362451272386494</c:v>
                </c:pt>
                <c:pt idx="196">
                  <c:v>50.258850891695161</c:v>
                </c:pt>
                <c:pt idx="197">
                  <c:v>50.149821980178004</c:v>
                </c:pt>
                <c:pt idx="198">
                  <c:v>50.065793755072491</c:v>
                </c:pt>
                <c:pt idx="199">
                  <c:v>50.038989058070356</c:v>
                </c:pt>
                <c:pt idx="200">
                  <c:v>50.015952793130147</c:v>
                </c:pt>
                <c:pt idx="201">
                  <c:v>49.99321552076816</c:v>
                </c:pt>
                <c:pt idx="202">
                  <c:v>49.979274078554759</c:v>
                </c:pt>
                <c:pt idx="203">
                  <c:v>49.973710031402682</c:v>
                </c:pt>
                <c:pt idx="204">
                  <c:v>49.93760224367265</c:v>
                </c:pt>
                <c:pt idx="205">
                  <c:v>49.873138033632401</c:v>
                </c:pt>
                <c:pt idx="206">
                  <c:v>49.784520349258287</c:v>
                </c:pt>
                <c:pt idx="207">
                  <c:v>49.681987787250627</c:v>
                </c:pt>
                <c:pt idx="208">
                  <c:v>49.614378010943931</c:v>
                </c:pt>
                <c:pt idx="209">
                  <c:v>49.532538184631129</c:v>
                </c:pt>
                <c:pt idx="210">
                  <c:v>49.466303424049002</c:v>
                </c:pt>
                <c:pt idx="211">
                  <c:v>49.40832454237129</c:v>
                </c:pt>
                <c:pt idx="212">
                  <c:v>49.319177090813753</c:v>
                </c:pt>
                <c:pt idx="213">
                  <c:v>49.220007979684269</c:v>
                </c:pt>
                <c:pt idx="214">
                  <c:v>49.123187594469968</c:v>
                </c:pt>
                <c:pt idx="215">
                  <c:v>49.013220881380192</c:v>
                </c:pt>
                <c:pt idx="216">
                  <c:v>48.882938087734303</c:v>
                </c:pt>
                <c:pt idx="217">
                  <c:v>48.761081983793744</c:v>
                </c:pt>
                <c:pt idx="218">
                  <c:v>48.644220063350872</c:v>
                </c:pt>
                <c:pt idx="219">
                  <c:v>48.433882540007829</c:v>
                </c:pt>
                <c:pt idx="220">
                  <c:v>48.316928129074157</c:v>
                </c:pt>
                <c:pt idx="221">
                  <c:v>48.248429664589651</c:v>
                </c:pt>
                <c:pt idx="222">
                  <c:v>48.144950781463336</c:v>
                </c:pt>
                <c:pt idx="223">
                  <c:v>48.063542921332981</c:v>
                </c:pt>
                <c:pt idx="224">
                  <c:v>48.0644558521034</c:v>
                </c:pt>
                <c:pt idx="225">
                  <c:v>48.060704871049154</c:v>
                </c:pt>
                <c:pt idx="226">
                  <c:v>48.072725961381849</c:v>
                </c:pt>
                <c:pt idx="227">
                  <c:v>48.102213935041277</c:v>
                </c:pt>
                <c:pt idx="228">
                  <c:v>48.145388394302429</c:v>
                </c:pt>
                <c:pt idx="229">
                  <c:v>48.197423378117655</c:v>
                </c:pt>
                <c:pt idx="230">
                  <c:v>48.238932737296338</c:v>
                </c:pt>
                <c:pt idx="231">
                  <c:v>48.264780740129822</c:v>
                </c:pt>
                <c:pt idx="232">
                  <c:v>48.273763284923561</c:v>
                </c:pt>
                <c:pt idx="233">
                  <c:v>48.26565763485614</c:v>
                </c:pt>
                <c:pt idx="234">
                  <c:v>48.24223438219957</c:v>
                </c:pt>
                <c:pt idx="235">
                  <c:v>48.222283175356011</c:v>
                </c:pt>
                <c:pt idx="236">
                  <c:v>48.201340750503121</c:v>
                </c:pt>
                <c:pt idx="237">
                  <c:v>48.17088449447693</c:v>
                </c:pt>
                <c:pt idx="238">
                  <c:v>48.174775420840568</c:v>
                </c:pt>
                <c:pt idx="239">
                  <c:v>48.237972852492888</c:v>
                </c:pt>
                <c:pt idx="240">
                  <c:v>48.164287965160227</c:v>
                </c:pt>
                <c:pt idx="241">
                  <c:v>48.081326834180828</c:v>
                </c:pt>
                <c:pt idx="242">
                  <c:v>47.987436485411173</c:v>
                </c:pt>
                <c:pt idx="243">
                  <c:v>47.899435769289568</c:v>
                </c:pt>
                <c:pt idx="244">
                  <c:v>47.839379812504745</c:v>
                </c:pt>
                <c:pt idx="245">
                  <c:v>47.839146819029679</c:v>
                </c:pt>
                <c:pt idx="246">
                  <c:v>47.904093627341517</c:v>
                </c:pt>
                <c:pt idx="247">
                  <c:v>47.980673233645987</c:v>
                </c:pt>
                <c:pt idx="248">
                  <c:v>48.056559386678487</c:v>
                </c:pt>
                <c:pt idx="249">
                  <c:v>48.135744873264414</c:v>
                </c:pt>
                <c:pt idx="250">
                  <c:v>48.224781719683364</c:v>
                </c:pt>
                <c:pt idx="251">
                  <c:v>48.305819937013226</c:v>
                </c:pt>
                <c:pt idx="252">
                  <c:v>48.42124398051196</c:v>
                </c:pt>
                <c:pt idx="253">
                  <c:v>48.571572013914889</c:v>
                </c:pt>
                <c:pt idx="254">
                  <c:v>48.747330874916656</c:v>
                </c:pt>
                <c:pt idx="255">
                  <c:v>48.904903942561745</c:v>
                </c:pt>
                <c:pt idx="256">
                  <c:v>49.126522318608863</c:v>
                </c:pt>
                <c:pt idx="257">
                  <c:v>49.329139788726934</c:v>
                </c:pt>
                <c:pt idx="258">
                  <c:v>49.534970749210075</c:v>
                </c:pt>
                <c:pt idx="259">
                  <c:v>49.760059649169506</c:v>
                </c:pt>
                <c:pt idx="260">
                  <c:v>50.000184145502054</c:v>
                </c:pt>
                <c:pt idx="261">
                  <c:v>50.237054521828526</c:v>
                </c:pt>
                <c:pt idx="262">
                  <c:v>50.498611944955151</c:v>
                </c:pt>
                <c:pt idx="263">
                  <c:v>50.689697215627703</c:v>
                </c:pt>
                <c:pt idx="264">
                  <c:v>50.820291474893935</c:v>
                </c:pt>
                <c:pt idx="265">
                  <c:v>50.88353294192801</c:v>
                </c:pt>
                <c:pt idx="266">
                  <c:v>50.861965953126287</c:v>
                </c:pt>
                <c:pt idx="267">
                  <c:v>50.822376391881235</c:v>
                </c:pt>
                <c:pt idx="268">
                  <c:v>50.743491998946453</c:v>
                </c:pt>
                <c:pt idx="269">
                  <c:v>50.663720574114663</c:v>
                </c:pt>
                <c:pt idx="270">
                  <c:v>50.562521357167753</c:v>
                </c:pt>
                <c:pt idx="271">
                  <c:v>50.463542759945483</c:v>
                </c:pt>
                <c:pt idx="272">
                  <c:v>50.351781746776879</c:v>
                </c:pt>
                <c:pt idx="273">
                  <c:v>50.202502949443385</c:v>
                </c:pt>
                <c:pt idx="274">
                  <c:v>50.024071237572365</c:v>
                </c:pt>
                <c:pt idx="275">
                  <c:v>49.798955620468362</c:v>
                </c:pt>
                <c:pt idx="276">
                  <c:v>49.548309142838619</c:v>
                </c:pt>
                <c:pt idx="277">
                  <c:v>49.323089846214131</c:v>
                </c:pt>
                <c:pt idx="278">
                  <c:v>49.065101317482771</c:v>
                </c:pt>
                <c:pt idx="279">
                  <c:v>48.756146611737051</c:v>
                </c:pt>
                <c:pt idx="280">
                  <c:v>48.486654609512662</c:v>
                </c:pt>
                <c:pt idx="281">
                  <c:v>48.177658030041187</c:v>
                </c:pt>
                <c:pt idx="282">
                  <c:v>47.817232770460485</c:v>
                </c:pt>
                <c:pt idx="283">
                  <c:v>47.504653081968549</c:v>
                </c:pt>
                <c:pt idx="284">
                  <c:v>47.200602780004964</c:v>
                </c:pt>
                <c:pt idx="285">
                  <c:v>46.889516309738546</c:v>
                </c:pt>
                <c:pt idx="286">
                  <c:v>46.571998429618162</c:v>
                </c:pt>
                <c:pt idx="287">
                  <c:v>46.302141506485881</c:v>
                </c:pt>
                <c:pt idx="288">
                  <c:v>46.112229252489861</c:v>
                </c:pt>
                <c:pt idx="289">
                  <c:v>45.935855000715712</c:v>
                </c:pt>
                <c:pt idx="290">
                  <c:v>45.749662040316146</c:v>
                </c:pt>
                <c:pt idx="291">
                  <c:v>45.634742930664643</c:v>
                </c:pt>
                <c:pt idx="292">
                  <c:v>45.520153573082396</c:v>
                </c:pt>
                <c:pt idx="293">
                  <c:v>45.773271165936961</c:v>
                </c:pt>
                <c:pt idx="294">
                  <c:v>45.998234169544233</c:v>
                </c:pt>
                <c:pt idx="295">
                  <c:v>46.293379643308668</c:v>
                </c:pt>
                <c:pt idx="296">
                  <c:v>46.557502189548991</c:v>
                </c:pt>
                <c:pt idx="297">
                  <c:v>46.799363621809583</c:v>
                </c:pt>
                <c:pt idx="298">
                  <c:v>47.019945595197136</c:v>
                </c:pt>
                <c:pt idx="299">
                  <c:v>47.330753877128672</c:v>
                </c:pt>
                <c:pt idx="300">
                  <c:v>47.600567561776195</c:v>
                </c:pt>
                <c:pt idx="301">
                  <c:v>47.926393927617795</c:v>
                </c:pt>
                <c:pt idx="302">
                  <c:v>48.317135782508046</c:v>
                </c:pt>
                <c:pt idx="303">
                  <c:v>48.701874279060171</c:v>
                </c:pt>
                <c:pt idx="304">
                  <c:v>49.042926958816331</c:v>
                </c:pt>
                <c:pt idx="305">
                  <c:v>49.374715865560042</c:v>
                </c:pt>
                <c:pt idx="306">
                  <c:v>49.737997079093326</c:v>
                </c:pt>
                <c:pt idx="307">
                  <c:v>50.054468357395628</c:v>
                </c:pt>
                <c:pt idx="308">
                  <c:v>50.319005615041071</c:v>
                </c:pt>
                <c:pt idx="309">
                  <c:v>50.585902214274086</c:v>
                </c:pt>
                <c:pt idx="310">
                  <c:v>50.878197735218627</c:v>
                </c:pt>
                <c:pt idx="311">
                  <c:v>51.12943542751178</c:v>
                </c:pt>
                <c:pt idx="312">
                  <c:v>51.369680247370525</c:v>
                </c:pt>
                <c:pt idx="313">
                  <c:v>51.266174091746052</c:v>
                </c:pt>
                <c:pt idx="314">
                  <c:v>51.235909122723456</c:v>
                </c:pt>
                <c:pt idx="315">
                  <c:v>51.198452938966696</c:v>
                </c:pt>
                <c:pt idx="316">
                  <c:v>51.215112334876999</c:v>
                </c:pt>
                <c:pt idx="317">
                  <c:v>51.270598355538489</c:v>
                </c:pt>
                <c:pt idx="318">
                  <c:v>51.329303007331049</c:v>
                </c:pt>
                <c:pt idx="319">
                  <c:v>51.340306955376121</c:v>
                </c:pt>
                <c:pt idx="320">
                  <c:v>51.398996562299828</c:v>
                </c:pt>
                <c:pt idx="321">
                  <c:v>51.436993451969073</c:v>
                </c:pt>
                <c:pt idx="322">
                  <c:v>51.393810519594126</c:v>
                </c:pt>
                <c:pt idx="323">
                  <c:v>51.380484025883455</c:v>
                </c:pt>
                <c:pt idx="324">
                  <c:v>51.394204583888943</c:v>
                </c:pt>
                <c:pt idx="325">
                  <c:v>51.477120113743446</c:v>
                </c:pt>
                <c:pt idx="326">
                  <c:v>51.52245633018029</c:v>
                </c:pt>
                <c:pt idx="327">
                  <c:v>51.616280429817991</c:v>
                </c:pt>
                <c:pt idx="328">
                  <c:v>51.748827032523813</c:v>
                </c:pt>
                <c:pt idx="329">
                  <c:v>51.86609587974327</c:v>
                </c:pt>
                <c:pt idx="330">
                  <c:v>51.990217750849858</c:v>
                </c:pt>
                <c:pt idx="331">
                  <c:v>52.101884860733385</c:v>
                </c:pt>
                <c:pt idx="332">
                  <c:v>52.261798238174762</c:v>
                </c:pt>
                <c:pt idx="333">
                  <c:v>52.466701257584127</c:v>
                </c:pt>
                <c:pt idx="334">
                  <c:v>52.648237973776538</c:v>
                </c:pt>
                <c:pt idx="335">
                  <c:v>52.88331680677355</c:v>
                </c:pt>
                <c:pt idx="336">
                  <c:v>53.078757795877777</c:v>
                </c:pt>
                <c:pt idx="337">
                  <c:v>53.244059298839275</c:v>
                </c:pt>
                <c:pt idx="338">
                  <c:v>53.451977147447245</c:v>
                </c:pt>
                <c:pt idx="339">
                  <c:v>53.604027219764134</c:v>
                </c:pt>
                <c:pt idx="340">
                  <c:v>53.700857247008003</c:v>
                </c:pt>
                <c:pt idx="341">
                  <c:v>53.920658930119103</c:v>
                </c:pt>
                <c:pt idx="342">
                  <c:v>54.237331128769988</c:v>
                </c:pt>
                <c:pt idx="343">
                  <c:v>54.478026085605286</c:v>
                </c:pt>
                <c:pt idx="344">
                  <c:v>54.736396143775302</c:v>
                </c:pt>
                <c:pt idx="345">
                  <c:v>54.974235788642844</c:v>
                </c:pt>
                <c:pt idx="346">
                  <c:v>55.262000304639585</c:v>
                </c:pt>
                <c:pt idx="347">
                  <c:v>55.505111652850104</c:v>
                </c:pt>
                <c:pt idx="348">
                  <c:v>55.735023624526754</c:v>
                </c:pt>
                <c:pt idx="349">
                  <c:v>55.957369656347247</c:v>
                </c:pt>
                <c:pt idx="350">
                  <c:v>56.158406492692052</c:v>
                </c:pt>
                <c:pt idx="351">
                  <c:v>56.377650821904538</c:v>
                </c:pt>
                <c:pt idx="352">
                  <c:v>56.553846228899737</c:v>
                </c:pt>
                <c:pt idx="353">
                  <c:v>56.650156881433411</c:v>
                </c:pt>
                <c:pt idx="354">
                  <c:v>56.733177428430572</c:v>
                </c:pt>
                <c:pt idx="355">
                  <c:v>56.767675215544195</c:v>
                </c:pt>
                <c:pt idx="356">
                  <c:v>56.808827367105756</c:v>
                </c:pt>
                <c:pt idx="357">
                  <c:v>56.861247041416291</c:v>
                </c:pt>
                <c:pt idx="358">
                  <c:v>56.886126115027224</c:v>
                </c:pt>
                <c:pt idx="359">
                  <c:v>56.986496245689892</c:v>
                </c:pt>
                <c:pt idx="360">
                  <c:v>57.100141046514025</c:v>
                </c:pt>
                <c:pt idx="361">
                  <c:v>57.141770800617614</c:v>
                </c:pt>
                <c:pt idx="362">
                  <c:v>57.199177191922381</c:v>
                </c:pt>
                <c:pt idx="363">
                  <c:v>57.300623361836685</c:v>
                </c:pt>
                <c:pt idx="364">
                  <c:v>57.406836362767166</c:v>
                </c:pt>
                <c:pt idx="365">
                  <c:v>57.486881140968613</c:v>
                </c:pt>
                <c:pt idx="366">
                  <c:v>57.55632312711014</c:v>
                </c:pt>
                <c:pt idx="367">
                  <c:v>57.629487768515595</c:v>
                </c:pt>
                <c:pt idx="368">
                  <c:v>57.654431648452473</c:v>
                </c:pt>
                <c:pt idx="369">
                  <c:v>57.694385152848767</c:v>
                </c:pt>
                <c:pt idx="370">
                  <c:v>57.761587640657424</c:v>
                </c:pt>
                <c:pt idx="371">
                  <c:v>57.864974483263424</c:v>
                </c:pt>
                <c:pt idx="372">
                  <c:v>57.992613998472919</c:v>
                </c:pt>
                <c:pt idx="373">
                  <c:v>58.101365402997232</c:v>
                </c:pt>
                <c:pt idx="374">
                  <c:v>58.213414878649452</c:v>
                </c:pt>
                <c:pt idx="375">
                  <c:v>58.269293483266594</c:v>
                </c:pt>
                <c:pt idx="376">
                  <c:v>58.340657389908905</c:v>
                </c:pt>
                <c:pt idx="377">
                  <c:v>58.403733464701325</c:v>
                </c:pt>
                <c:pt idx="378">
                  <c:v>58.480397399731096</c:v>
                </c:pt>
                <c:pt idx="379">
                  <c:v>58.518344197331103</c:v>
                </c:pt>
                <c:pt idx="380">
                  <c:v>58.533011442784222</c:v>
                </c:pt>
                <c:pt idx="381">
                  <c:v>58.506059982465899</c:v>
                </c:pt>
                <c:pt idx="382">
                  <c:v>58.377368977902385</c:v>
                </c:pt>
                <c:pt idx="383">
                  <c:v>58.257844115824817</c:v>
                </c:pt>
                <c:pt idx="384">
                  <c:v>58.146003990281557</c:v>
                </c:pt>
                <c:pt idx="385">
                  <c:v>58.030859510936573</c:v>
                </c:pt>
                <c:pt idx="386">
                  <c:v>57.89173964631739</c:v>
                </c:pt>
                <c:pt idx="387">
                  <c:v>57.733077694585432</c:v>
                </c:pt>
                <c:pt idx="388">
                  <c:v>57.569829296483547</c:v>
                </c:pt>
                <c:pt idx="389">
                  <c:v>57.397199154636795</c:v>
                </c:pt>
                <c:pt idx="390">
                  <c:v>57.290268392959625</c:v>
                </c:pt>
                <c:pt idx="391">
                  <c:v>57.138789885089068</c:v>
                </c:pt>
                <c:pt idx="392">
                  <c:v>56.974592886618616</c:v>
                </c:pt>
                <c:pt idx="393">
                  <c:v>56.847654326112327</c:v>
                </c:pt>
                <c:pt idx="394">
                  <c:v>56.71469160411089</c:v>
                </c:pt>
                <c:pt idx="395">
                  <c:v>56.604869425609074</c:v>
                </c:pt>
                <c:pt idx="396">
                  <c:v>56.478636660840188</c:v>
                </c:pt>
                <c:pt idx="397">
                  <c:v>56.351366925210947</c:v>
                </c:pt>
                <c:pt idx="398">
                  <c:v>56.217334302651658</c:v>
                </c:pt>
                <c:pt idx="399">
                  <c:v>56.067122438075991</c:v>
                </c:pt>
                <c:pt idx="400">
                  <c:v>55.969475267408782</c:v>
                </c:pt>
                <c:pt idx="401">
                  <c:v>55.866373447662433</c:v>
                </c:pt>
                <c:pt idx="402">
                  <c:v>55.853952785488723</c:v>
                </c:pt>
                <c:pt idx="403">
                  <c:v>55.870744407122352</c:v>
                </c:pt>
                <c:pt idx="404">
                  <c:v>55.844756114246294</c:v>
                </c:pt>
                <c:pt idx="405">
                  <c:v>55.850412965191474</c:v>
                </c:pt>
                <c:pt idx="406">
                  <c:v>55.83533344554936</c:v>
                </c:pt>
                <c:pt idx="407">
                  <c:v>55.82370306121414</c:v>
                </c:pt>
                <c:pt idx="408">
                  <c:v>55.850601128480989</c:v>
                </c:pt>
                <c:pt idx="409">
                  <c:v>55.924003426637292</c:v>
                </c:pt>
                <c:pt idx="410">
                  <c:v>55.917264507619429</c:v>
                </c:pt>
                <c:pt idx="411">
                  <c:v>55.909178854493518</c:v>
                </c:pt>
                <c:pt idx="412">
                  <c:v>55.891140492439156</c:v>
                </c:pt>
                <c:pt idx="413">
                  <c:v>55.890170277213372</c:v>
                </c:pt>
                <c:pt idx="414">
                  <c:v>55.85993415944241</c:v>
                </c:pt>
                <c:pt idx="415">
                  <c:v>55.849074297180721</c:v>
                </c:pt>
                <c:pt idx="416">
                  <c:v>55.901863323226138</c:v>
                </c:pt>
                <c:pt idx="417">
                  <c:v>56.010201651907494</c:v>
                </c:pt>
                <c:pt idx="418">
                  <c:v>56.10372112193312</c:v>
                </c:pt>
                <c:pt idx="419">
                  <c:v>56.148784553351007</c:v>
                </c:pt>
                <c:pt idx="420">
                  <c:v>56.204650296217253</c:v>
                </c:pt>
                <c:pt idx="421">
                  <c:v>56.264857748426827</c:v>
                </c:pt>
                <c:pt idx="422">
                  <c:v>56.283150294075263</c:v>
                </c:pt>
                <c:pt idx="423">
                  <c:v>56.29848541590345</c:v>
                </c:pt>
                <c:pt idx="424">
                  <c:v>56.314686865893776</c:v>
                </c:pt>
                <c:pt idx="425">
                  <c:v>56.314265365177313</c:v>
                </c:pt>
                <c:pt idx="426">
                  <c:v>56.330794643177867</c:v>
                </c:pt>
                <c:pt idx="427">
                  <c:v>56.337123164284549</c:v>
                </c:pt>
                <c:pt idx="428">
                  <c:v>56.361129122260671</c:v>
                </c:pt>
                <c:pt idx="429">
                  <c:v>56.354758100140295</c:v>
                </c:pt>
                <c:pt idx="430">
                  <c:v>56.55415765316755</c:v>
                </c:pt>
                <c:pt idx="431">
                  <c:v>56.7576287526377</c:v>
                </c:pt>
                <c:pt idx="432">
                  <c:v>56.977892357930962</c:v>
                </c:pt>
                <c:pt idx="433">
                  <c:v>57.20378877167775</c:v>
                </c:pt>
                <c:pt idx="434">
                  <c:v>57.445874824679613</c:v>
                </c:pt>
                <c:pt idx="435">
                  <c:v>57.64209557397669</c:v>
                </c:pt>
                <c:pt idx="436">
                  <c:v>57.782733469432813</c:v>
                </c:pt>
                <c:pt idx="437">
                  <c:v>58.010411110235488</c:v>
                </c:pt>
                <c:pt idx="438">
                  <c:v>58.242736753883094</c:v>
                </c:pt>
                <c:pt idx="439">
                  <c:v>58.554209480012332</c:v>
                </c:pt>
                <c:pt idx="440">
                  <c:v>58.863229375545878</c:v>
                </c:pt>
                <c:pt idx="441">
                  <c:v>59.176620251837463</c:v>
                </c:pt>
                <c:pt idx="442">
                  <c:v>59.516849080263775</c:v>
                </c:pt>
                <c:pt idx="443">
                  <c:v>59.844623760049636</c:v>
                </c:pt>
                <c:pt idx="444">
                  <c:v>60.215281219996108</c:v>
                </c:pt>
                <c:pt idx="445">
                  <c:v>60.609479900435183</c:v>
                </c:pt>
                <c:pt idx="446">
                  <c:v>61.015996724120491</c:v>
                </c:pt>
                <c:pt idx="447">
                  <c:v>61.428043438973148</c:v>
                </c:pt>
                <c:pt idx="448">
                  <c:v>61.795336921735171</c:v>
                </c:pt>
                <c:pt idx="449">
                  <c:v>62.093483560439033</c:v>
                </c:pt>
                <c:pt idx="450">
                  <c:v>62.173451350550614</c:v>
                </c:pt>
                <c:pt idx="451">
                  <c:v>62.257362651731768</c:v>
                </c:pt>
                <c:pt idx="452">
                  <c:v>62.282829825787921</c:v>
                </c:pt>
                <c:pt idx="453">
                  <c:v>62.247845775479306</c:v>
                </c:pt>
                <c:pt idx="454">
                  <c:v>62.2521011053081</c:v>
                </c:pt>
                <c:pt idx="455">
                  <c:v>62.276651029959432</c:v>
                </c:pt>
                <c:pt idx="456">
                  <c:v>62.244769009294657</c:v>
                </c:pt>
                <c:pt idx="457">
                  <c:v>62.051568676369385</c:v>
                </c:pt>
                <c:pt idx="458">
                  <c:v>61.842346172986801</c:v>
                </c:pt>
                <c:pt idx="459">
                  <c:v>61.573574906392381</c:v>
                </c:pt>
                <c:pt idx="460">
                  <c:v>61.274384095862111</c:v>
                </c:pt>
                <c:pt idx="461">
                  <c:v>61.005559296772347</c:v>
                </c:pt>
                <c:pt idx="462">
                  <c:v>60.767931776695214</c:v>
                </c:pt>
                <c:pt idx="463">
                  <c:v>60.551177107448652</c:v>
                </c:pt>
                <c:pt idx="464">
                  <c:v>60.269436180902176</c:v>
                </c:pt>
                <c:pt idx="465">
                  <c:v>59.981406399894979</c:v>
                </c:pt>
                <c:pt idx="466">
                  <c:v>59.694600072826731</c:v>
                </c:pt>
                <c:pt idx="467">
                  <c:v>59.422015595075656</c:v>
                </c:pt>
                <c:pt idx="468">
                  <c:v>59.242915058850372</c:v>
                </c:pt>
                <c:pt idx="469">
                  <c:v>59.0553884805053</c:v>
                </c:pt>
                <c:pt idx="470">
                  <c:v>58.938520667177862</c:v>
                </c:pt>
                <c:pt idx="471">
                  <c:v>58.824993629762751</c:v>
                </c:pt>
                <c:pt idx="472">
                  <c:v>58.784598892465652</c:v>
                </c:pt>
                <c:pt idx="473">
                  <c:v>58.717526040474148</c:v>
                </c:pt>
                <c:pt idx="474">
                  <c:v>58.655018040928191</c:v>
                </c:pt>
                <c:pt idx="475">
                  <c:v>58.607319817953353</c:v>
                </c:pt>
                <c:pt idx="476">
                  <c:v>58.566012841489254</c:v>
                </c:pt>
                <c:pt idx="477">
                  <c:v>58.524539917443796</c:v>
                </c:pt>
                <c:pt idx="478">
                  <c:v>58.498657474635564</c:v>
                </c:pt>
                <c:pt idx="479">
                  <c:v>58.629218993019819</c:v>
                </c:pt>
                <c:pt idx="480">
                  <c:v>58.788457556329831</c:v>
                </c:pt>
                <c:pt idx="481">
                  <c:v>58.997261854780547</c:v>
                </c:pt>
                <c:pt idx="482">
                  <c:v>59.13391779875797</c:v>
                </c:pt>
                <c:pt idx="483">
                  <c:v>59.255031560194553</c:v>
                </c:pt>
                <c:pt idx="484">
                  <c:v>59.419935607737024</c:v>
                </c:pt>
                <c:pt idx="485">
                  <c:v>59.606422798490755</c:v>
                </c:pt>
                <c:pt idx="486">
                  <c:v>59.811966999395139</c:v>
                </c:pt>
                <c:pt idx="487">
                  <c:v>60.051931936110499</c:v>
                </c:pt>
                <c:pt idx="488">
                  <c:v>60.230492205045429</c:v>
                </c:pt>
                <c:pt idx="489">
                  <c:v>60.41673412987673</c:v>
                </c:pt>
                <c:pt idx="490">
                  <c:v>60.475953649822948</c:v>
                </c:pt>
                <c:pt idx="491">
                  <c:v>60.596976253231254</c:v>
                </c:pt>
                <c:pt idx="492">
                  <c:v>60.790034815457453</c:v>
                </c:pt>
                <c:pt idx="493">
                  <c:v>60.850079377898162</c:v>
                </c:pt>
                <c:pt idx="494">
                  <c:v>60.84085272708618</c:v>
                </c:pt>
                <c:pt idx="495">
                  <c:v>60.747898648860726</c:v>
                </c:pt>
                <c:pt idx="496">
                  <c:v>60.695953721273135</c:v>
                </c:pt>
                <c:pt idx="497">
                  <c:v>60.643110757304022</c:v>
                </c:pt>
                <c:pt idx="498">
                  <c:v>60.604251351518293</c:v>
                </c:pt>
                <c:pt idx="499">
                  <c:v>60.424397803392083</c:v>
                </c:pt>
                <c:pt idx="500">
                  <c:v>60.202609414132503</c:v>
                </c:pt>
                <c:pt idx="501">
                  <c:v>59.898656290093108</c:v>
                </c:pt>
                <c:pt idx="502">
                  <c:v>59.616288302345112</c:v>
                </c:pt>
                <c:pt idx="503">
                  <c:v>59.332785598641031</c:v>
                </c:pt>
                <c:pt idx="504">
                  <c:v>59.096453435563014</c:v>
                </c:pt>
                <c:pt idx="505">
                  <c:v>58.877533281784594</c:v>
                </c:pt>
                <c:pt idx="506">
                  <c:v>58.612524584126909</c:v>
                </c:pt>
                <c:pt idx="507">
                  <c:v>58.356582833702909</c:v>
                </c:pt>
                <c:pt idx="508">
                  <c:v>58.140757616603636</c:v>
                </c:pt>
                <c:pt idx="509">
                  <c:v>58.009834537946062</c:v>
                </c:pt>
                <c:pt idx="510">
                  <c:v>57.92365871200969</c:v>
                </c:pt>
                <c:pt idx="511">
                  <c:v>57.73998876598079</c:v>
                </c:pt>
                <c:pt idx="512">
                  <c:v>57.440304878123428</c:v>
                </c:pt>
                <c:pt idx="513">
                  <c:v>57.330545781639159</c:v>
                </c:pt>
                <c:pt idx="514">
                  <c:v>57.252083489053916</c:v>
                </c:pt>
                <c:pt idx="515">
                  <c:v>57.256748705807304</c:v>
                </c:pt>
                <c:pt idx="516">
                  <c:v>57.25052526879734</c:v>
                </c:pt>
                <c:pt idx="517">
                  <c:v>57.261325232267687</c:v>
                </c:pt>
                <c:pt idx="518">
                  <c:v>57.228187508947073</c:v>
                </c:pt>
                <c:pt idx="519">
                  <c:v>57.184787893160824</c:v>
                </c:pt>
                <c:pt idx="520">
                  <c:v>57.174063294882245</c:v>
                </c:pt>
                <c:pt idx="521">
                  <c:v>57.171807842357339</c:v>
                </c:pt>
                <c:pt idx="522">
                  <c:v>57.222944928195353</c:v>
                </c:pt>
                <c:pt idx="523">
                  <c:v>57.29421003615343</c:v>
                </c:pt>
                <c:pt idx="524">
                  <c:v>57.341770342391406</c:v>
                </c:pt>
                <c:pt idx="525">
                  <c:v>57.330235991514542</c:v>
                </c:pt>
                <c:pt idx="526">
                  <c:v>57.39584776722478</c:v>
                </c:pt>
                <c:pt idx="527">
                  <c:v>57.43848283230178</c:v>
                </c:pt>
                <c:pt idx="528">
                  <c:v>57.446213203435597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91-44F0-A2B4-3F402245B439}"/>
            </c:ext>
          </c:extLst>
        </c:ser>
        <c:ser>
          <c:idx val="4"/>
          <c:order val="4"/>
          <c:tx>
            <c:v>Bande inf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Bayer!$AM$2:$AM$530</c:f>
              <c:numCache>
                <c:formatCode>General</c:formatCode>
                <c:ptCount val="529"/>
                <c:pt idx="0">
                  <c:v>-5.7155667286649674</c:v>
                </c:pt>
                <c:pt idx="1">
                  <c:v>-5.7136500339125043</c:v>
                </c:pt>
                <c:pt idx="2">
                  <c:v>-5.755966774169142</c:v>
                </c:pt>
                <c:pt idx="3">
                  <c:v>-5.7908015170193288</c:v>
                </c:pt>
                <c:pt idx="4">
                  <c:v>-5.8236811396945178</c:v>
                </c:pt>
                <c:pt idx="5">
                  <c:v>-5.8811066423106553</c:v>
                </c:pt>
                <c:pt idx="6">
                  <c:v>-5.9334496422448737</c:v>
                </c:pt>
                <c:pt idx="7">
                  <c:v>-5.9882234967463539</c:v>
                </c:pt>
                <c:pt idx="8">
                  <c:v>-6.0354047810358438</c:v>
                </c:pt>
                <c:pt idx="9">
                  <c:v>-6.1500196301597576</c:v>
                </c:pt>
                <c:pt idx="10">
                  <c:v>-6.2547151836408332</c:v>
                </c:pt>
                <c:pt idx="11">
                  <c:v>-6.3465205206240221</c:v>
                </c:pt>
                <c:pt idx="12">
                  <c:v>-6.4369817892821857</c:v>
                </c:pt>
                <c:pt idx="13">
                  <c:v>-6.5430868313813839</c:v>
                </c:pt>
                <c:pt idx="14">
                  <c:v>-6.6187330792236629</c:v>
                </c:pt>
                <c:pt idx="15">
                  <c:v>-6.7060611969757886</c:v>
                </c:pt>
                <c:pt idx="16">
                  <c:v>-6.7704896254236218</c:v>
                </c:pt>
                <c:pt idx="17">
                  <c:v>-6.8511230414055504</c:v>
                </c:pt>
                <c:pt idx="18">
                  <c:v>-6.9143543578334992</c:v>
                </c:pt>
                <c:pt idx="19">
                  <c:v>-6.9572600771201429</c:v>
                </c:pt>
                <c:pt idx="20">
                  <c:v>-6.9584364322782903</c:v>
                </c:pt>
                <c:pt idx="21">
                  <c:v>-6.9671047895725131</c:v>
                </c:pt>
                <c:pt idx="22">
                  <c:v>-6.9047125842814623</c:v>
                </c:pt>
                <c:pt idx="23">
                  <c:v>-6.8661565819573944</c:v>
                </c:pt>
                <c:pt idx="24">
                  <c:v>-6.8357969592199659</c:v>
                </c:pt>
                <c:pt idx="25">
                  <c:v>-6.819580964373916</c:v>
                </c:pt>
                <c:pt idx="26">
                  <c:v>-6.8104199024519616</c:v>
                </c:pt>
                <c:pt idx="27">
                  <c:v>-6.8082640851735938</c:v>
                </c:pt>
                <c:pt idx="28">
                  <c:v>-6.7990626789514579</c:v>
                </c:pt>
                <c:pt idx="29">
                  <c:v>-6.7478466595144049</c:v>
                </c:pt>
                <c:pt idx="30">
                  <c:v>-6.717356372202584</c:v>
                </c:pt>
                <c:pt idx="31">
                  <c:v>-6.692962976611927</c:v>
                </c:pt>
                <c:pt idx="32">
                  <c:v>-6.6796222303555481</c:v>
                </c:pt>
                <c:pt idx="33">
                  <c:v>-6.5947586515523646</c:v>
                </c:pt>
                <c:pt idx="34">
                  <c:v>-6.5187970480965411</c:v>
                </c:pt>
                <c:pt idx="35">
                  <c:v>-6.4531815110414499</c:v>
                </c:pt>
                <c:pt idx="36">
                  <c:v>-6.4038461387667951</c:v>
                </c:pt>
                <c:pt idx="37">
                  <c:v>-6.3286871047578188</c:v>
                </c:pt>
                <c:pt idx="38">
                  <c:v>-6.2588576974255297</c:v>
                </c:pt>
                <c:pt idx="39">
                  <c:v>-6.1973219867990501</c:v>
                </c:pt>
                <c:pt idx="40">
                  <c:v>-6.1465248426683665</c:v>
                </c:pt>
                <c:pt idx="41">
                  <c:v>-6.1043945833143134</c:v>
                </c:pt>
                <c:pt idx="42">
                  <c:v>-6.0393706929908682</c:v>
                </c:pt>
                <c:pt idx="43">
                  <c:v>-5.7945898312805042</c:v>
                </c:pt>
                <c:pt idx="44">
                  <c:v>-5.5566780003100611</c:v>
                </c:pt>
                <c:pt idx="45">
                  <c:v>-5.280099455617048</c:v>
                </c:pt>
                <c:pt idx="46">
                  <c:v>-5.0136004375911618</c:v>
                </c:pt>
                <c:pt idx="47">
                  <c:v>-4.714625483954503</c:v>
                </c:pt>
                <c:pt idx="48">
                  <c:v>-4.4113788080230343</c:v>
                </c:pt>
                <c:pt idx="49">
                  <c:v>-4.0968912337346737</c:v>
                </c:pt>
                <c:pt idx="50">
                  <c:v>-3.7977342834474968</c:v>
                </c:pt>
                <c:pt idx="51">
                  <c:v>-3.4793206462894553</c:v>
                </c:pt>
                <c:pt idx="52">
                  <c:v>-3.1217665366567608</c:v>
                </c:pt>
                <c:pt idx="53">
                  <c:v>-2.7897997348490122</c:v>
                </c:pt>
                <c:pt idx="54">
                  <c:v>-2.4702724573254784</c:v>
                </c:pt>
                <c:pt idx="55">
                  <c:v>-2.1391140780100173</c:v>
                </c:pt>
                <c:pt idx="56">
                  <c:v>-1.8158887420785632</c:v>
                </c:pt>
                <c:pt idx="57">
                  <c:v>-1.5120508654473639</c:v>
                </c:pt>
                <c:pt idx="58">
                  <c:v>-1.2014935320961868</c:v>
                </c:pt>
                <c:pt idx="59">
                  <c:v>-0.8827513794914168</c:v>
                </c:pt>
                <c:pt idx="60">
                  <c:v>-0.56886496530272268</c:v>
                </c:pt>
                <c:pt idx="61">
                  <c:v>-0.24280515282661241</c:v>
                </c:pt>
                <c:pt idx="62">
                  <c:v>5.0870254802052983E-2</c:v>
                </c:pt>
                <c:pt idx="63">
                  <c:v>0.1448301811310273</c:v>
                </c:pt>
                <c:pt idx="64">
                  <c:v>0.26357391913534656</c:v>
                </c:pt>
                <c:pt idx="65">
                  <c:v>0.39347526271863131</c:v>
                </c:pt>
                <c:pt idx="66">
                  <c:v>0.56797576161011065</c:v>
                </c:pt>
                <c:pt idx="67">
                  <c:v>0.80935117727057815</c:v>
                </c:pt>
                <c:pt idx="68">
                  <c:v>1.0677705634490273</c:v>
                </c:pt>
                <c:pt idx="69">
                  <c:v>1.3096520279711186</c:v>
                </c:pt>
                <c:pt idx="70">
                  <c:v>1.5680767261191662</c:v>
                </c:pt>
                <c:pt idx="71">
                  <c:v>1.8424681060980994</c:v>
                </c:pt>
                <c:pt idx="72">
                  <c:v>2.0902553013872485</c:v>
                </c:pt>
                <c:pt idx="73">
                  <c:v>2.304065057604209</c:v>
                </c:pt>
                <c:pt idx="74">
                  <c:v>2.5375538733482159</c:v>
                </c:pt>
                <c:pt idx="75">
                  <c:v>2.7071349206596693</c:v>
                </c:pt>
                <c:pt idx="76">
                  <c:v>2.8615924953389253</c:v>
                </c:pt>
                <c:pt idx="77">
                  <c:v>3.0169918471722603</c:v>
                </c:pt>
                <c:pt idx="78">
                  <c:v>3.139827483291235</c:v>
                </c:pt>
                <c:pt idx="79">
                  <c:v>3.2522386778878953</c:v>
                </c:pt>
                <c:pt idx="80">
                  <c:v>3.3737682965038616</c:v>
                </c:pt>
                <c:pt idx="81">
                  <c:v>3.446375346022549</c:v>
                </c:pt>
                <c:pt idx="82">
                  <c:v>3.4907662834640725</c:v>
                </c:pt>
                <c:pt idx="83">
                  <c:v>3.5185597317897148</c:v>
                </c:pt>
                <c:pt idx="84">
                  <c:v>3.5518257900662462</c:v>
                </c:pt>
                <c:pt idx="85">
                  <c:v>3.5500409477710377</c:v>
                </c:pt>
                <c:pt idx="86">
                  <c:v>3.535355399758199</c:v>
                </c:pt>
                <c:pt idx="87">
                  <c:v>3.4513267326525074</c:v>
                </c:pt>
                <c:pt idx="88">
                  <c:v>3.3947602269385904</c:v>
                </c:pt>
                <c:pt idx="89">
                  <c:v>3.348045277288886</c:v>
                </c:pt>
                <c:pt idx="90">
                  <c:v>3.3026454760333017</c:v>
                </c:pt>
                <c:pt idx="91">
                  <c:v>3.1760613889755369</c:v>
                </c:pt>
                <c:pt idx="92">
                  <c:v>3.0441677160484915</c:v>
                </c:pt>
                <c:pt idx="93">
                  <c:v>2.9295074042979152</c:v>
                </c:pt>
                <c:pt idx="94">
                  <c:v>2.8040196098621486</c:v>
                </c:pt>
                <c:pt idx="95">
                  <c:v>2.7407731490777927</c:v>
                </c:pt>
                <c:pt idx="96">
                  <c:v>2.6879885791944389</c:v>
                </c:pt>
                <c:pt idx="97">
                  <c:v>2.6176255159386059</c:v>
                </c:pt>
                <c:pt idx="98">
                  <c:v>2.569778957002864</c:v>
                </c:pt>
                <c:pt idx="99">
                  <c:v>2.5333495889039632</c:v>
                </c:pt>
                <c:pt idx="100">
                  <c:v>2.4742895804028144</c:v>
                </c:pt>
                <c:pt idx="101">
                  <c:v>2.4882200709544584</c:v>
                </c:pt>
                <c:pt idx="102">
                  <c:v>2.5327832472211647</c:v>
                </c:pt>
                <c:pt idx="103">
                  <c:v>2.6558267700708953</c:v>
                </c:pt>
                <c:pt idx="104">
                  <c:v>2.7609548619222473</c:v>
                </c:pt>
                <c:pt idx="105">
                  <c:v>2.7387542582482673</c:v>
                </c:pt>
                <c:pt idx="106">
                  <c:v>2.6838621320594882</c:v>
                </c:pt>
                <c:pt idx="107">
                  <c:v>2.6074511331554469</c:v>
                </c:pt>
                <c:pt idx="108">
                  <c:v>2.4766428195077808</c:v>
                </c:pt>
                <c:pt idx="109">
                  <c:v>2.3357355724552313</c:v>
                </c:pt>
                <c:pt idx="110">
                  <c:v>2.2113081996363064</c:v>
                </c:pt>
                <c:pt idx="111">
                  <c:v>2.1303000168935569</c:v>
                </c:pt>
                <c:pt idx="112">
                  <c:v>2.0144994459386254</c:v>
                </c:pt>
                <c:pt idx="113">
                  <c:v>1.9696161197417048</c:v>
                </c:pt>
                <c:pt idx="114">
                  <c:v>1.9542786434400057</c:v>
                </c:pt>
                <c:pt idx="115">
                  <c:v>1.9378333227377063</c:v>
                </c:pt>
                <c:pt idx="116">
                  <c:v>1.943294669157634</c:v>
                </c:pt>
                <c:pt idx="117">
                  <c:v>1.9575465999685342</c:v>
                </c:pt>
                <c:pt idx="118">
                  <c:v>1.9625446916925142</c:v>
                </c:pt>
                <c:pt idx="119">
                  <c:v>1.9548470262235433</c:v>
                </c:pt>
                <c:pt idx="120">
                  <c:v>1.9580332484486647</c:v>
                </c:pt>
                <c:pt idx="121">
                  <c:v>1.9140480375053848</c:v>
                </c:pt>
                <c:pt idx="122">
                  <c:v>1.8621749770747016</c:v>
                </c:pt>
                <c:pt idx="123">
                  <c:v>1.7874752289899156</c:v>
                </c:pt>
                <c:pt idx="124">
                  <c:v>1.6651019421655846</c:v>
                </c:pt>
                <c:pt idx="125">
                  <c:v>1.71586628159125</c:v>
                </c:pt>
                <c:pt idx="126">
                  <c:v>1.7742371207531988</c:v>
                </c:pt>
                <c:pt idx="127">
                  <c:v>1.7936700335859221</c:v>
                </c:pt>
                <c:pt idx="128">
                  <c:v>1.8314060516354829</c:v>
                </c:pt>
                <c:pt idx="129">
                  <c:v>1.895838122053739</c:v>
                </c:pt>
                <c:pt idx="130">
                  <c:v>1.9268044562040707</c:v>
                </c:pt>
                <c:pt idx="131">
                  <c:v>1.9445143728463954</c:v>
                </c:pt>
                <c:pt idx="132">
                  <c:v>1.9630559287631968</c:v>
                </c:pt>
                <c:pt idx="133">
                  <c:v>1.9364308727182724</c:v>
                </c:pt>
                <c:pt idx="134">
                  <c:v>1.8954330250818359</c:v>
                </c:pt>
                <c:pt idx="135">
                  <c:v>1.8606694928978023</c:v>
                </c:pt>
                <c:pt idx="136">
                  <c:v>1.8166180472698308</c:v>
                </c:pt>
                <c:pt idx="137">
                  <c:v>1.7493569211158366</c:v>
                </c:pt>
                <c:pt idx="138">
                  <c:v>1.707559599247304</c:v>
                </c:pt>
                <c:pt idx="139">
                  <c:v>1.6750816126785963</c:v>
                </c:pt>
                <c:pt idx="140">
                  <c:v>1.6268809540038127</c:v>
                </c:pt>
                <c:pt idx="141">
                  <c:v>1.6010843281875964</c:v>
                </c:pt>
                <c:pt idx="142">
                  <c:v>1.5845611801939796</c:v>
                </c:pt>
                <c:pt idx="143">
                  <c:v>1.5772665468113125</c:v>
                </c:pt>
                <c:pt idx="144">
                  <c:v>1.5901538598795177</c:v>
                </c:pt>
                <c:pt idx="145">
                  <c:v>1.5680974245845043</c:v>
                </c:pt>
                <c:pt idx="146">
                  <c:v>1.5423586222369785</c:v>
                </c:pt>
                <c:pt idx="147">
                  <c:v>1.5744848167288161</c:v>
                </c:pt>
                <c:pt idx="148">
                  <c:v>1.5900796121888483</c:v>
                </c:pt>
                <c:pt idx="149">
                  <c:v>1.6262740601823964</c:v>
                </c:pt>
                <c:pt idx="150">
                  <c:v>1.6909316127144827</c:v>
                </c:pt>
                <c:pt idx="151">
                  <c:v>1.8058534291831023</c:v>
                </c:pt>
                <c:pt idx="152">
                  <c:v>1.9221745228485823</c:v>
                </c:pt>
                <c:pt idx="153">
                  <c:v>2.0228831552318276</c:v>
                </c:pt>
                <c:pt idx="154">
                  <c:v>2.1485931017139066</c:v>
                </c:pt>
                <c:pt idx="155">
                  <c:v>2.2876196040315051</c:v>
                </c:pt>
                <c:pt idx="156">
                  <c:v>2.434861304165473</c:v>
                </c:pt>
                <c:pt idx="157">
                  <c:v>2.587753153776692</c:v>
                </c:pt>
                <c:pt idx="158">
                  <c:v>2.7392482560614084</c:v>
                </c:pt>
                <c:pt idx="159">
                  <c:v>2.8603512160422326</c:v>
                </c:pt>
                <c:pt idx="160">
                  <c:v>2.9857808039333946</c:v>
                </c:pt>
                <c:pt idx="161">
                  <c:v>3.0600024311322258</c:v>
                </c:pt>
                <c:pt idx="162">
                  <c:v>3.1703925092874528</c:v>
                </c:pt>
                <c:pt idx="163">
                  <c:v>3.2786856520531096</c:v>
                </c:pt>
                <c:pt idx="164">
                  <c:v>3.3878961444386704</c:v>
                </c:pt>
                <c:pt idx="165">
                  <c:v>3.4945160602785776</c:v>
                </c:pt>
                <c:pt idx="166">
                  <c:v>3.6610635374279603</c:v>
                </c:pt>
                <c:pt idx="167">
                  <c:v>3.7970898553008041</c:v>
                </c:pt>
                <c:pt idx="168">
                  <c:v>3.9508152787593289</c:v>
                </c:pt>
                <c:pt idx="169">
                  <c:v>4.0526034039649481</c:v>
                </c:pt>
                <c:pt idx="170">
                  <c:v>4.1443349946185322</c:v>
                </c:pt>
                <c:pt idx="171">
                  <c:v>4.2455846753471214</c:v>
                </c:pt>
                <c:pt idx="172">
                  <c:v>4.3787818681921813</c:v>
                </c:pt>
                <c:pt idx="173">
                  <c:v>4.4996863015073103</c:v>
                </c:pt>
                <c:pt idx="174">
                  <c:v>4.5683857623429738</c:v>
                </c:pt>
                <c:pt idx="175">
                  <c:v>4.6092697288826017</c:v>
                </c:pt>
                <c:pt idx="176">
                  <c:v>4.6300530649617926</c:v>
                </c:pt>
                <c:pt idx="177">
                  <c:v>4.6648986101447463</c:v>
                </c:pt>
                <c:pt idx="178">
                  <c:v>4.6637124210104162</c:v>
                </c:pt>
                <c:pt idx="179">
                  <c:v>4.6807847466265677</c:v>
                </c:pt>
                <c:pt idx="180">
                  <c:v>4.7129931881018798</c:v>
                </c:pt>
                <c:pt idx="181">
                  <c:v>4.7637351473937812</c:v>
                </c:pt>
                <c:pt idx="182">
                  <c:v>4.7828774900232816</c:v>
                </c:pt>
                <c:pt idx="183">
                  <c:v>4.7696813927922577</c:v>
                </c:pt>
                <c:pt idx="184">
                  <c:v>4.7644239529008665</c:v>
                </c:pt>
                <c:pt idx="185">
                  <c:v>4.7660671914567949</c:v>
                </c:pt>
                <c:pt idx="186">
                  <c:v>4.7460797686673324</c:v>
                </c:pt>
                <c:pt idx="187">
                  <c:v>4.7301648056399159</c:v>
                </c:pt>
                <c:pt idx="188">
                  <c:v>4.6483196802773641</c:v>
                </c:pt>
                <c:pt idx="189">
                  <c:v>4.5681341598085012</c:v>
                </c:pt>
                <c:pt idx="190">
                  <c:v>4.4866496996088294</c:v>
                </c:pt>
                <c:pt idx="191">
                  <c:v>4.3644352102000568</c:v>
                </c:pt>
                <c:pt idx="192">
                  <c:v>4.2689129265462036</c:v>
                </c:pt>
                <c:pt idx="193">
                  <c:v>4.1929229662822571</c:v>
                </c:pt>
                <c:pt idx="194">
                  <c:v>4.1428592793624759</c:v>
                </c:pt>
                <c:pt idx="195">
                  <c:v>4.135548727613493</c:v>
                </c:pt>
                <c:pt idx="196">
                  <c:v>4.1311491083048431</c:v>
                </c:pt>
                <c:pt idx="197">
                  <c:v>4.1241780198219935</c:v>
                </c:pt>
                <c:pt idx="198">
                  <c:v>4.1452062449274969</c:v>
                </c:pt>
                <c:pt idx="199">
                  <c:v>4.2260109419296157</c:v>
                </c:pt>
                <c:pt idx="200">
                  <c:v>4.3120472068698419</c:v>
                </c:pt>
                <c:pt idx="201">
                  <c:v>4.3997844792318297</c:v>
                </c:pt>
                <c:pt idx="202">
                  <c:v>4.4977259214452303</c:v>
                </c:pt>
                <c:pt idx="203">
                  <c:v>4.6052899685973046</c:v>
                </c:pt>
                <c:pt idx="204">
                  <c:v>4.683397756327345</c:v>
                </c:pt>
                <c:pt idx="205">
                  <c:v>4.7348619663676068</c:v>
                </c:pt>
                <c:pt idx="206">
                  <c:v>4.7644796507417126</c:v>
                </c:pt>
                <c:pt idx="207">
                  <c:v>4.7830122127493837</c:v>
                </c:pt>
                <c:pt idx="208">
                  <c:v>4.8396219890560772</c:v>
                </c:pt>
                <c:pt idx="209">
                  <c:v>4.8844618153688799</c:v>
                </c:pt>
                <c:pt idx="210">
                  <c:v>4.9476965759509994</c:v>
                </c:pt>
                <c:pt idx="211">
                  <c:v>5.0216754576287208</c:v>
                </c:pt>
                <c:pt idx="212">
                  <c:v>5.0668229091862536</c:v>
                </c:pt>
                <c:pt idx="213">
                  <c:v>5.1049920203157377</c:v>
                </c:pt>
                <c:pt idx="214">
                  <c:v>5.1488124055300339</c:v>
                </c:pt>
                <c:pt idx="215">
                  <c:v>5.1827791186198091</c:v>
                </c:pt>
                <c:pt idx="216">
                  <c:v>5.2000619122657099</c:v>
                </c:pt>
                <c:pt idx="217">
                  <c:v>5.2299180162062626</c:v>
                </c:pt>
                <c:pt idx="218">
                  <c:v>5.2687799366491284</c:v>
                </c:pt>
                <c:pt idx="219">
                  <c:v>5.2181174599921754</c:v>
                </c:pt>
                <c:pt idx="220">
                  <c:v>5.267071870925836</c:v>
                </c:pt>
                <c:pt idx="221">
                  <c:v>5.3685703354103467</c:v>
                </c:pt>
                <c:pt idx="222">
                  <c:v>5.4380492185366585</c:v>
                </c:pt>
                <c:pt idx="223">
                  <c:v>5.5334570786670163</c:v>
                </c:pt>
                <c:pt idx="224">
                  <c:v>5.7145441478965964</c:v>
                </c:pt>
                <c:pt idx="225">
                  <c:v>5.8922951289508418</c:v>
                </c:pt>
                <c:pt idx="226">
                  <c:v>6.0872740386181547</c:v>
                </c:pt>
                <c:pt idx="227">
                  <c:v>6.3007860649587037</c:v>
                </c:pt>
                <c:pt idx="228">
                  <c:v>6.5286116056975452</c:v>
                </c:pt>
                <c:pt idx="229">
                  <c:v>6.7655766218823317</c:v>
                </c:pt>
                <c:pt idx="230">
                  <c:v>6.9920672627036531</c:v>
                </c:pt>
                <c:pt idx="231">
                  <c:v>7.2032192598701705</c:v>
                </c:pt>
                <c:pt idx="232">
                  <c:v>7.3982367150764183</c:v>
                </c:pt>
                <c:pt idx="233">
                  <c:v>7.5773423651438598</c:v>
                </c:pt>
                <c:pt idx="234">
                  <c:v>7.7427656178004334</c:v>
                </c:pt>
                <c:pt idx="235">
                  <c:v>7.9137168246439913</c:v>
                </c:pt>
                <c:pt idx="236">
                  <c:v>8.0856592494968744</c:v>
                </c:pt>
                <c:pt idx="237">
                  <c:v>8.2501155055230768</c:v>
                </c:pt>
                <c:pt idx="238">
                  <c:v>8.4512245791594296</c:v>
                </c:pt>
                <c:pt idx="239">
                  <c:v>8.7130271475071126</c:v>
                </c:pt>
                <c:pt idx="240">
                  <c:v>8.8377120348397824</c:v>
                </c:pt>
                <c:pt idx="241">
                  <c:v>8.9566731658191827</c:v>
                </c:pt>
                <c:pt idx="242">
                  <c:v>9.0685635145888313</c:v>
                </c:pt>
                <c:pt idx="243">
                  <c:v>9.1905642307104252</c:v>
                </c:pt>
                <c:pt idx="244">
                  <c:v>9.3446201874952415</c:v>
                </c:pt>
                <c:pt idx="245">
                  <c:v>9.5618531809703136</c:v>
                </c:pt>
                <c:pt idx="246">
                  <c:v>9.845906372658483</c:v>
                </c:pt>
                <c:pt idx="247">
                  <c:v>10.141326766354005</c:v>
                </c:pt>
                <c:pt idx="248">
                  <c:v>10.4354406133215</c:v>
                </c:pt>
                <c:pt idx="249">
                  <c:v>10.732255126735581</c:v>
                </c:pt>
                <c:pt idx="250">
                  <c:v>11.038218280316631</c:v>
                </c:pt>
                <c:pt idx="251">
                  <c:v>11.335180062986769</c:v>
                </c:pt>
                <c:pt idx="252">
                  <c:v>11.665756019488033</c:v>
                </c:pt>
                <c:pt idx="253">
                  <c:v>12.029427986085107</c:v>
                </c:pt>
                <c:pt idx="254">
                  <c:v>12.41566912508334</c:v>
                </c:pt>
                <c:pt idx="255">
                  <c:v>12.780096057438254</c:v>
                </c:pt>
                <c:pt idx="256">
                  <c:v>13.205477681391127</c:v>
                </c:pt>
                <c:pt idx="257">
                  <c:v>13.606860211273059</c:v>
                </c:pt>
                <c:pt idx="258">
                  <c:v>14.007029250789913</c:v>
                </c:pt>
                <c:pt idx="259">
                  <c:v>14.421940350830479</c:v>
                </c:pt>
                <c:pt idx="260">
                  <c:v>14.846815854497954</c:v>
                </c:pt>
                <c:pt idx="261">
                  <c:v>15.262945478171474</c:v>
                </c:pt>
                <c:pt idx="262">
                  <c:v>15.698388055044852</c:v>
                </c:pt>
                <c:pt idx="263">
                  <c:v>16.0573027843723</c:v>
                </c:pt>
                <c:pt idx="264">
                  <c:v>16.351708525106059</c:v>
                </c:pt>
                <c:pt idx="265">
                  <c:v>16.576467058071998</c:v>
                </c:pt>
                <c:pt idx="266">
                  <c:v>16.716034046873716</c:v>
                </c:pt>
                <c:pt idx="267">
                  <c:v>16.839623608118774</c:v>
                </c:pt>
                <c:pt idx="268">
                  <c:v>16.926508001053566</c:v>
                </c:pt>
                <c:pt idx="269">
                  <c:v>17.016279425885358</c:v>
                </c:pt>
                <c:pt idx="270">
                  <c:v>17.088478642832243</c:v>
                </c:pt>
                <c:pt idx="271">
                  <c:v>17.167457240054514</c:v>
                </c:pt>
                <c:pt idx="272">
                  <c:v>17.238218253223121</c:v>
                </c:pt>
                <c:pt idx="273">
                  <c:v>17.276497050556628</c:v>
                </c:pt>
                <c:pt idx="274">
                  <c:v>17.291928762427638</c:v>
                </c:pt>
                <c:pt idx="275">
                  <c:v>17.268044379531634</c:v>
                </c:pt>
                <c:pt idx="276">
                  <c:v>17.227690857161377</c:v>
                </c:pt>
                <c:pt idx="277">
                  <c:v>17.222910153785861</c:v>
                </c:pt>
                <c:pt idx="278">
                  <c:v>17.194898682517234</c:v>
                </c:pt>
                <c:pt idx="279">
                  <c:v>17.126853388262955</c:v>
                </c:pt>
                <c:pt idx="280">
                  <c:v>17.111345390487337</c:v>
                </c:pt>
                <c:pt idx="281">
                  <c:v>17.068341969958823</c:v>
                </c:pt>
                <c:pt idx="282">
                  <c:v>16.987767229539536</c:v>
                </c:pt>
                <c:pt idx="283">
                  <c:v>16.971346918031465</c:v>
                </c:pt>
                <c:pt idx="284">
                  <c:v>16.978397219995038</c:v>
                </c:pt>
                <c:pt idx="285">
                  <c:v>16.993483690261456</c:v>
                </c:pt>
                <c:pt idx="286">
                  <c:v>17.018001570381831</c:v>
                </c:pt>
                <c:pt idx="287">
                  <c:v>17.1068584935141</c:v>
                </c:pt>
                <c:pt idx="288">
                  <c:v>17.290770747510123</c:v>
                </c:pt>
                <c:pt idx="289">
                  <c:v>17.500144999284288</c:v>
                </c:pt>
                <c:pt idx="290">
                  <c:v>17.711337959683867</c:v>
                </c:pt>
                <c:pt idx="291">
                  <c:v>18.006257069335362</c:v>
                </c:pt>
                <c:pt idx="292">
                  <c:v>18.3108464269176</c:v>
                </c:pt>
                <c:pt idx="293">
                  <c:v>18.992728834063044</c:v>
                </c:pt>
                <c:pt idx="294">
                  <c:v>19.637765830455763</c:v>
                </c:pt>
                <c:pt idx="295">
                  <c:v>20.345620356691342</c:v>
                </c:pt>
                <c:pt idx="296">
                  <c:v>21.011497810451012</c:v>
                </c:pt>
                <c:pt idx="297">
                  <c:v>21.645636378190424</c:v>
                </c:pt>
                <c:pt idx="298">
                  <c:v>22.250054404802874</c:v>
                </c:pt>
                <c:pt idx="299">
                  <c:v>22.937246122871329</c:v>
                </c:pt>
                <c:pt idx="300">
                  <c:v>23.571432438223802</c:v>
                </c:pt>
                <c:pt idx="301">
                  <c:v>24.251606072382188</c:v>
                </c:pt>
                <c:pt idx="302">
                  <c:v>24.983864217491959</c:v>
                </c:pt>
                <c:pt idx="303">
                  <c:v>25.69412572093983</c:v>
                </c:pt>
                <c:pt idx="304">
                  <c:v>26.34507304118366</c:v>
                </c:pt>
                <c:pt idx="305">
                  <c:v>26.973284134439943</c:v>
                </c:pt>
                <c:pt idx="306">
                  <c:v>27.62000292090665</c:v>
                </c:pt>
                <c:pt idx="307">
                  <c:v>28.205531642604363</c:v>
                </c:pt>
                <c:pt idx="308">
                  <c:v>28.726994384958907</c:v>
                </c:pt>
                <c:pt idx="309">
                  <c:v>29.241097785725884</c:v>
                </c:pt>
                <c:pt idx="310">
                  <c:v>29.770802264781345</c:v>
                </c:pt>
                <c:pt idx="311">
                  <c:v>30.248564572488203</c:v>
                </c:pt>
                <c:pt idx="312">
                  <c:v>30.706319752629465</c:v>
                </c:pt>
                <c:pt idx="313">
                  <c:v>30.811825908253937</c:v>
                </c:pt>
                <c:pt idx="314">
                  <c:v>30.99709087727652</c:v>
                </c:pt>
                <c:pt idx="315">
                  <c:v>31.178547061033299</c:v>
                </c:pt>
                <c:pt idx="316">
                  <c:v>31.417887665122997</c:v>
                </c:pt>
                <c:pt idx="317">
                  <c:v>31.697401644461515</c:v>
                </c:pt>
                <c:pt idx="318">
                  <c:v>31.979696992668963</c:v>
                </c:pt>
                <c:pt idx="319">
                  <c:v>32.213693044623881</c:v>
                </c:pt>
                <c:pt idx="320">
                  <c:v>32.497003437700158</c:v>
                </c:pt>
                <c:pt idx="321">
                  <c:v>32.759006548030939</c:v>
                </c:pt>
                <c:pt idx="322">
                  <c:v>32.940189480405863</c:v>
                </c:pt>
                <c:pt idx="323">
                  <c:v>33.155515974116547</c:v>
                </c:pt>
                <c:pt idx="324">
                  <c:v>33.400795416111045</c:v>
                </c:pt>
                <c:pt idx="325">
                  <c:v>33.716879886256557</c:v>
                </c:pt>
                <c:pt idx="326">
                  <c:v>33.993543669819701</c:v>
                </c:pt>
                <c:pt idx="327">
                  <c:v>34.318719570182026</c:v>
                </c:pt>
                <c:pt idx="328">
                  <c:v>34.680172967476203</c:v>
                </c:pt>
                <c:pt idx="329">
                  <c:v>35.02190412025675</c:v>
                </c:pt>
                <c:pt idx="330">
                  <c:v>35.366782249150155</c:v>
                </c:pt>
                <c:pt idx="331">
                  <c:v>35.695115139266612</c:v>
                </c:pt>
                <c:pt idx="332">
                  <c:v>36.06820176182525</c:v>
                </c:pt>
                <c:pt idx="333">
                  <c:v>36.48029874241589</c:v>
                </c:pt>
                <c:pt idx="334">
                  <c:v>36.860762026223462</c:v>
                </c:pt>
                <c:pt idx="335">
                  <c:v>37.287683193226457</c:v>
                </c:pt>
                <c:pt idx="336">
                  <c:v>37.665242204122222</c:v>
                </c:pt>
                <c:pt idx="337">
                  <c:v>38.00494070116072</c:v>
                </c:pt>
                <c:pt idx="338">
                  <c:v>38.381022852552739</c:v>
                </c:pt>
                <c:pt idx="339">
                  <c:v>38.692972780235849</c:v>
                </c:pt>
                <c:pt idx="340">
                  <c:v>38.944142752991979</c:v>
                </c:pt>
                <c:pt idx="341">
                  <c:v>39.315341069880873</c:v>
                </c:pt>
                <c:pt idx="342">
                  <c:v>39.774668871229999</c:v>
                </c:pt>
                <c:pt idx="343">
                  <c:v>40.14497391439469</c:v>
                </c:pt>
                <c:pt idx="344">
                  <c:v>40.523603856224689</c:v>
                </c:pt>
                <c:pt idx="345">
                  <c:v>40.871764211357146</c:v>
                </c:pt>
                <c:pt idx="346">
                  <c:v>41.260999695360411</c:v>
                </c:pt>
                <c:pt idx="347">
                  <c:v>41.59488834714989</c:v>
                </c:pt>
                <c:pt idx="348">
                  <c:v>41.906976375473228</c:v>
                </c:pt>
                <c:pt idx="349">
                  <c:v>42.20363034365274</c:v>
                </c:pt>
                <c:pt idx="350">
                  <c:v>42.471593507307929</c:v>
                </c:pt>
                <c:pt idx="351">
                  <c:v>42.751349178095452</c:v>
                </c:pt>
                <c:pt idx="352">
                  <c:v>42.981153771100246</c:v>
                </c:pt>
                <c:pt idx="353">
                  <c:v>43.125843118566571</c:v>
                </c:pt>
                <c:pt idx="354">
                  <c:v>43.254822571569399</c:v>
                </c:pt>
                <c:pt idx="355">
                  <c:v>43.333324784455776</c:v>
                </c:pt>
                <c:pt idx="356">
                  <c:v>43.418172632894219</c:v>
                </c:pt>
                <c:pt idx="357">
                  <c:v>43.51375295858368</c:v>
                </c:pt>
                <c:pt idx="358">
                  <c:v>43.58087388497276</c:v>
                </c:pt>
                <c:pt idx="359">
                  <c:v>43.723503754310116</c:v>
                </c:pt>
                <c:pt idx="360">
                  <c:v>43.876858953485964</c:v>
                </c:pt>
                <c:pt idx="361">
                  <c:v>43.955229199382394</c:v>
                </c:pt>
                <c:pt idx="362">
                  <c:v>44.048822808077638</c:v>
                </c:pt>
                <c:pt idx="363">
                  <c:v>44.185376638163333</c:v>
                </c:pt>
                <c:pt idx="364">
                  <c:v>44.324163637232857</c:v>
                </c:pt>
                <c:pt idx="365">
                  <c:v>44.434118859031393</c:v>
                </c:pt>
                <c:pt idx="366">
                  <c:v>44.531676872889882</c:v>
                </c:pt>
                <c:pt idx="367">
                  <c:v>44.631512231484415</c:v>
                </c:pt>
                <c:pt idx="368">
                  <c:v>44.681568351547554</c:v>
                </c:pt>
                <c:pt idx="369">
                  <c:v>44.746614847151235</c:v>
                </c:pt>
                <c:pt idx="370">
                  <c:v>44.838412359342598</c:v>
                </c:pt>
                <c:pt idx="371">
                  <c:v>44.965025516736588</c:v>
                </c:pt>
                <c:pt idx="372">
                  <c:v>45.113386001527104</c:v>
                </c:pt>
                <c:pt idx="373">
                  <c:v>45.239634597002777</c:v>
                </c:pt>
                <c:pt idx="374">
                  <c:v>45.366585121350546</c:v>
                </c:pt>
                <c:pt idx="375">
                  <c:v>45.434706516733399</c:v>
                </c:pt>
                <c:pt idx="376">
                  <c:v>45.517342610091085</c:v>
                </c:pt>
                <c:pt idx="377">
                  <c:v>45.59026653529866</c:v>
                </c:pt>
                <c:pt idx="378">
                  <c:v>45.675602600268896</c:v>
                </c:pt>
                <c:pt idx="379">
                  <c:v>45.720655802668901</c:v>
                </c:pt>
                <c:pt idx="380">
                  <c:v>45.741988557215784</c:v>
                </c:pt>
                <c:pt idx="381">
                  <c:v>45.721940017534095</c:v>
                </c:pt>
                <c:pt idx="382">
                  <c:v>45.601631022097585</c:v>
                </c:pt>
                <c:pt idx="383">
                  <c:v>45.495155884175183</c:v>
                </c:pt>
                <c:pt idx="384">
                  <c:v>45.40099600971844</c:v>
                </c:pt>
                <c:pt idx="385">
                  <c:v>45.308140489063412</c:v>
                </c:pt>
                <c:pt idx="386">
                  <c:v>45.196260353682604</c:v>
                </c:pt>
                <c:pt idx="387">
                  <c:v>45.07092230541457</c:v>
                </c:pt>
                <c:pt idx="388">
                  <c:v>44.948170703516439</c:v>
                </c:pt>
                <c:pt idx="389">
                  <c:v>44.823800845363195</c:v>
                </c:pt>
                <c:pt idx="390">
                  <c:v>44.773731607040368</c:v>
                </c:pt>
                <c:pt idx="391">
                  <c:v>44.685210114910916</c:v>
                </c:pt>
                <c:pt idx="392">
                  <c:v>44.592407113381363</c:v>
                </c:pt>
                <c:pt idx="393">
                  <c:v>44.546345673887664</c:v>
                </c:pt>
                <c:pt idx="394">
                  <c:v>44.502308395889109</c:v>
                </c:pt>
                <c:pt idx="395">
                  <c:v>44.490130574390925</c:v>
                </c:pt>
                <c:pt idx="396">
                  <c:v>44.469363339159806</c:v>
                </c:pt>
                <c:pt idx="397">
                  <c:v>44.456633074789046</c:v>
                </c:pt>
                <c:pt idx="398">
                  <c:v>44.446665697348344</c:v>
                </c:pt>
                <c:pt idx="399">
                  <c:v>44.430877561924014</c:v>
                </c:pt>
                <c:pt idx="400">
                  <c:v>44.479524732591216</c:v>
                </c:pt>
                <c:pt idx="401">
                  <c:v>44.531626552337563</c:v>
                </c:pt>
                <c:pt idx="402">
                  <c:v>44.684047214511274</c:v>
                </c:pt>
                <c:pt idx="403">
                  <c:v>44.869255592877643</c:v>
                </c:pt>
                <c:pt idx="404">
                  <c:v>45.013243885753695</c:v>
                </c:pt>
                <c:pt idx="405">
                  <c:v>45.193587034808537</c:v>
                </c:pt>
                <c:pt idx="406">
                  <c:v>45.355666554450643</c:v>
                </c:pt>
                <c:pt idx="407">
                  <c:v>45.52529693878585</c:v>
                </c:pt>
                <c:pt idx="408">
                  <c:v>45.737398871519005</c:v>
                </c:pt>
                <c:pt idx="409">
                  <c:v>45.996996573362715</c:v>
                </c:pt>
                <c:pt idx="410">
                  <c:v>46.173735492380565</c:v>
                </c:pt>
                <c:pt idx="411">
                  <c:v>46.352821145506482</c:v>
                </c:pt>
                <c:pt idx="412">
                  <c:v>46.525859507560845</c:v>
                </c:pt>
                <c:pt idx="413">
                  <c:v>46.720829722786618</c:v>
                </c:pt>
                <c:pt idx="414">
                  <c:v>46.89006584055759</c:v>
                </c:pt>
                <c:pt idx="415">
                  <c:v>47.084925702819291</c:v>
                </c:pt>
                <c:pt idx="416">
                  <c:v>47.348136676773862</c:v>
                </c:pt>
                <c:pt idx="417">
                  <c:v>47.665798348092508</c:v>
                </c:pt>
                <c:pt idx="418">
                  <c:v>47.962278878066883</c:v>
                </c:pt>
                <c:pt idx="419">
                  <c:v>48.205215446648992</c:v>
                </c:pt>
                <c:pt idx="420">
                  <c:v>48.45834970378273</c:v>
                </c:pt>
                <c:pt idx="421">
                  <c:v>48.714142251573172</c:v>
                </c:pt>
                <c:pt idx="422">
                  <c:v>48.925849705924726</c:v>
                </c:pt>
                <c:pt idx="423">
                  <c:v>49.136514584096538</c:v>
                </c:pt>
                <c:pt idx="424">
                  <c:v>49.350313134106216</c:v>
                </c:pt>
                <c:pt idx="425">
                  <c:v>49.549734634822677</c:v>
                </c:pt>
                <c:pt idx="426">
                  <c:v>49.770205356822132</c:v>
                </c:pt>
                <c:pt idx="427">
                  <c:v>49.98287683571543</c:v>
                </c:pt>
                <c:pt idx="428">
                  <c:v>50.216870877739332</c:v>
                </c:pt>
                <c:pt idx="429">
                  <c:v>50.422241899859706</c:v>
                </c:pt>
                <c:pt idx="430">
                  <c:v>50.838842346832436</c:v>
                </c:pt>
                <c:pt idx="431">
                  <c:v>51.240371247362276</c:v>
                </c:pt>
                <c:pt idx="432">
                  <c:v>51.639107642069028</c:v>
                </c:pt>
                <c:pt idx="433">
                  <c:v>52.022211228322249</c:v>
                </c:pt>
                <c:pt idx="434">
                  <c:v>52.40012517532039</c:v>
                </c:pt>
                <c:pt idx="435">
                  <c:v>52.709904426023314</c:v>
                </c:pt>
                <c:pt idx="436">
                  <c:v>52.947266530567205</c:v>
                </c:pt>
                <c:pt idx="437">
                  <c:v>53.260588889764541</c:v>
                </c:pt>
                <c:pt idx="438">
                  <c:v>53.560263246116946</c:v>
                </c:pt>
                <c:pt idx="439">
                  <c:v>53.921790519987667</c:v>
                </c:pt>
                <c:pt idx="440">
                  <c:v>54.259770624454141</c:v>
                </c:pt>
                <c:pt idx="441">
                  <c:v>54.584379748162576</c:v>
                </c:pt>
                <c:pt idx="442">
                  <c:v>54.921150919736242</c:v>
                </c:pt>
                <c:pt idx="443">
                  <c:v>55.233376239950381</c:v>
                </c:pt>
                <c:pt idx="444">
                  <c:v>55.580718780003899</c:v>
                </c:pt>
                <c:pt idx="445">
                  <c:v>55.947520099564805</c:v>
                </c:pt>
                <c:pt idx="446">
                  <c:v>56.328003275879517</c:v>
                </c:pt>
                <c:pt idx="447">
                  <c:v>56.721956561026829</c:v>
                </c:pt>
                <c:pt idx="448">
                  <c:v>57.08666307826482</c:v>
                </c:pt>
                <c:pt idx="449">
                  <c:v>57.403516439560953</c:v>
                </c:pt>
                <c:pt idx="450">
                  <c:v>57.526548649449346</c:v>
                </c:pt>
                <c:pt idx="451">
                  <c:v>57.665637348268191</c:v>
                </c:pt>
                <c:pt idx="452">
                  <c:v>57.761170174212062</c:v>
                </c:pt>
                <c:pt idx="453">
                  <c:v>57.808154224520692</c:v>
                </c:pt>
                <c:pt idx="454">
                  <c:v>57.901898894691868</c:v>
                </c:pt>
                <c:pt idx="455">
                  <c:v>58.029348970040566</c:v>
                </c:pt>
                <c:pt idx="456">
                  <c:v>58.119230990705333</c:v>
                </c:pt>
                <c:pt idx="457">
                  <c:v>58.063431323630624</c:v>
                </c:pt>
                <c:pt idx="458">
                  <c:v>57.987653827013197</c:v>
                </c:pt>
                <c:pt idx="459">
                  <c:v>57.845425093607631</c:v>
                </c:pt>
                <c:pt idx="460">
                  <c:v>57.656615904137887</c:v>
                </c:pt>
                <c:pt idx="461">
                  <c:v>57.476440703227652</c:v>
                </c:pt>
                <c:pt idx="462">
                  <c:v>57.308068223304808</c:v>
                </c:pt>
                <c:pt idx="463">
                  <c:v>57.14382289255137</c:v>
                </c:pt>
                <c:pt idx="464">
                  <c:v>56.899563819097835</c:v>
                </c:pt>
                <c:pt idx="465">
                  <c:v>56.628593600105006</c:v>
                </c:pt>
                <c:pt idx="466">
                  <c:v>56.340399927173237</c:v>
                </c:pt>
                <c:pt idx="467">
                  <c:v>56.051984404924319</c:v>
                </c:pt>
                <c:pt idx="468">
                  <c:v>55.848084941149608</c:v>
                </c:pt>
                <c:pt idx="469">
                  <c:v>55.63261151949466</c:v>
                </c:pt>
                <c:pt idx="470">
                  <c:v>55.487479332822112</c:v>
                </c:pt>
                <c:pt idx="471">
                  <c:v>55.347006370237231</c:v>
                </c:pt>
                <c:pt idx="472">
                  <c:v>55.282401107534326</c:v>
                </c:pt>
                <c:pt idx="473">
                  <c:v>55.192473959525849</c:v>
                </c:pt>
                <c:pt idx="474">
                  <c:v>55.109981959071824</c:v>
                </c:pt>
                <c:pt idx="475">
                  <c:v>55.045680182046638</c:v>
                </c:pt>
                <c:pt idx="476">
                  <c:v>54.990987158510762</c:v>
                </c:pt>
                <c:pt idx="477">
                  <c:v>54.939460082556188</c:v>
                </c:pt>
                <c:pt idx="478">
                  <c:v>54.907342525364456</c:v>
                </c:pt>
                <c:pt idx="479">
                  <c:v>55.034781006980197</c:v>
                </c:pt>
                <c:pt idx="480">
                  <c:v>55.182542443670172</c:v>
                </c:pt>
                <c:pt idx="481">
                  <c:v>55.370738145219462</c:v>
                </c:pt>
                <c:pt idx="482">
                  <c:v>55.477082201242048</c:v>
                </c:pt>
                <c:pt idx="483">
                  <c:v>55.562968439805459</c:v>
                </c:pt>
                <c:pt idx="484">
                  <c:v>55.689064392262985</c:v>
                </c:pt>
                <c:pt idx="485">
                  <c:v>55.833577201509257</c:v>
                </c:pt>
                <c:pt idx="486">
                  <c:v>55.996033000604882</c:v>
                </c:pt>
                <c:pt idx="487">
                  <c:v>56.195068063889529</c:v>
                </c:pt>
                <c:pt idx="488">
                  <c:v>56.340507794954569</c:v>
                </c:pt>
                <c:pt idx="489">
                  <c:v>56.503265870123272</c:v>
                </c:pt>
                <c:pt idx="490">
                  <c:v>56.554046350177053</c:v>
                </c:pt>
                <c:pt idx="491">
                  <c:v>56.674023746768746</c:v>
                </c:pt>
                <c:pt idx="492">
                  <c:v>56.882965184542549</c:v>
                </c:pt>
                <c:pt idx="493">
                  <c:v>56.992920622101842</c:v>
                </c:pt>
                <c:pt idx="494">
                  <c:v>57.058147272913821</c:v>
                </c:pt>
                <c:pt idx="495">
                  <c:v>57.059101351139262</c:v>
                </c:pt>
                <c:pt idx="496">
                  <c:v>57.109046278726858</c:v>
                </c:pt>
                <c:pt idx="497">
                  <c:v>57.177889242695976</c:v>
                </c:pt>
                <c:pt idx="498">
                  <c:v>57.287748648481688</c:v>
                </c:pt>
                <c:pt idx="499">
                  <c:v>57.299602196607893</c:v>
                </c:pt>
                <c:pt idx="500">
                  <c:v>57.287390585867477</c:v>
                </c:pt>
                <c:pt idx="501">
                  <c:v>57.204343709906873</c:v>
                </c:pt>
                <c:pt idx="502">
                  <c:v>57.128711697654865</c:v>
                </c:pt>
                <c:pt idx="503">
                  <c:v>57.039214401358954</c:v>
                </c:pt>
                <c:pt idx="504">
                  <c:v>56.97754656443697</c:v>
                </c:pt>
                <c:pt idx="505">
                  <c:v>56.923466718215408</c:v>
                </c:pt>
                <c:pt idx="506">
                  <c:v>56.815475415873088</c:v>
                </c:pt>
                <c:pt idx="507">
                  <c:v>56.685417166297093</c:v>
                </c:pt>
                <c:pt idx="508">
                  <c:v>56.556242383396366</c:v>
                </c:pt>
                <c:pt idx="509">
                  <c:v>56.476165462053956</c:v>
                </c:pt>
                <c:pt idx="510">
                  <c:v>56.423341287990333</c:v>
                </c:pt>
                <c:pt idx="511">
                  <c:v>56.264221760334998</c:v>
                </c:pt>
                <c:pt idx="512">
                  <c:v>55.954139566321004</c:v>
                </c:pt>
                <c:pt idx="513">
                  <c:v>55.798865983066719</c:v>
                </c:pt>
                <c:pt idx="514">
                  <c:v>55.67416651094608</c:v>
                </c:pt>
                <c:pt idx="515">
                  <c:v>55.640584627526017</c:v>
                </c:pt>
                <c:pt idx="516">
                  <c:v>55.596617588345516</c:v>
                </c:pt>
                <c:pt idx="517">
                  <c:v>55.574059383116925</c:v>
                </c:pt>
                <c:pt idx="518">
                  <c:v>55.510145824386257</c:v>
                </c:pt>
                <c:pt idx="519">
                  <c:v>55.457030288657329</c:v>
                </c:pt>
                <c:pt idx="520">
                  <c:v>55.475936705117761</c:v>
                </c:pt>
                <c:pt idx="521">
                  <c:v>55.541525490975999</c:v>
                </c:pt>
                <c:pt idx="522">
                  <c:v>55.709555071804651</c:v>
                </c:pt>
                <c:pt idx="523">
                  <c:v>55.908647106703725</c:v>
                </c:pt>
                <c:pt idx="524">
                  <c:v>56.074896324275265</c:v>
                </c:pt>
                <c:pt idx="525">
                  <c:v>56.21376400848547</c:v>
                </c:pt>
                <c:pt idx="526">
                  <c:v>56.674152232775214</c:v>
                </c:pt>
                <c:pt idx="527">
                  <c:v>57.134850501031544</c:v>
                </c:pt>
                <c:pt idx="528">
                  <c:v>57.403786796564397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91-44F0-A2B4-3F402245B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8915312"/>
        <c:axId val="1598915792"/>
      </c:lineChart>
      <c:catAx>
        <c:axId val="159891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8915792"/>
        <c:crosses val="autoZero"/>
        <c:auto val="1"/>
        <c:lblAlgn val="ctr"/>
        <c:lblOffset val="100"/>
        <c:noMultiLvlLbl val="0"/>
      </c:catAx>
      <c:valAx>
        <c:axId val="159891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891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Rsi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'Simens Energy'!$U$1</c:f>
              <c:strCache>
                <c:ptCount val="1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'Simens Energy'!$U$2:$U$14</c:f>
              <c:numCache>
                <c:formatCode>General</c:formatCode>
                <c:ptCount val="13"/>
                <c:pt idx="0">
                  <c:v>44.571428571428562</c:v>
                </c:pt>
                <c:pt idx="1">
                  <c:v>48.391777509068916</c:v>
                </c:pt>
                <c:pt idx="2">
                  <c:v>50.647548566142461</c:v>
                </c:pt>
                <c:pt idx="3">
                  <c:v>42.595419847328216</c:v>
                </c:pt>
                <c:pt idx="4">
                  <c:v>50.638122684232165</c:v>
                </c:pt>
                <c:pt idx="5">
                  <c:v>50.880786562884026</c:v>
                </c:pt>
                <c:pt idx="6">
                  <c:v>55.769930833636664</c:v>
                </c:pt>
                <c:pt idx="7">
                  <c:v>56.867749419953569</c:v>
                </c:pt>
                <c:pt idx="8">
                  <c:v>56.88275542154701</c:v>
                </c:pt>
                <c:pt idx="9">
                  <c:v>63.385111962880764</c:v>
                </c:pt>
                <c:pt idx="10">
                  <c:v>55.270227560050579</c:v>
                </c:pt>
                <c:pt idx="11">
                  <c:v>55.931807566557687</c:v>
                </c:pt>
                <c:pt idx="12">
                  <c:v>56.057316543638734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7-4514-AF0A-3C7A3AC3EE89}"/>
            </c:ext>
          </c:extLst>
        </c:ser>
        <c:ser>
          <c:idx val="1"/>
          <c:order val="1"/>
          <c:tx>
            <c:strRef>
              <c:f>'Simens Energy'!$V$1</c:f>
              <c:strCache>
                <c:ptCount val="1"/>
                <c:pt idx="0">
                  <c:v>RSI+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'Simens Energy'!$V$2:$V$14</c:f>
              <c:numCache>
                <c:formatCode>General</c:formatCode>
                <c:ptCount val="13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7-4514-AF0A-3C7A3AC3EE89}"/>
            </c:ext>
          </c:extLst>
        </c:ser>
        <c:ser>
          <c:idx val="2"/>
          <c:order val="2"/>
          <c:tx>
            <c:strRef>
              <c:f>'Simens Energy'!$W$1</c:f>
              <c:strCache>
                <c:ptCount val="1"/>
                <c:pt idx="0">
                  <c:v>RSI-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'Simens Energy'!$W$2:$W$14</c:f>
              <c:numCache>
                <c:formatCode>General</c:formatCode>
                <c:ptCount val="13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  <c:pt idx="12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57-4514-AF0A-3C7A3AC3E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0392512"/>
        <c:axId val="640390592"/>
      </c:lineChart>
      <c:catAx>
        <c:axId val="64039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0390592"/>
        <c:crosses val="autoZero"/>
        <c:auto val="1"/>
        <c:lblAlgn val="ctr"/>
        <c:lblOffset val="100"/>
        <c:noMultiLvlLbl val="0"/>
      </c:catAx>
      <c:valAx>
        <c:axId val="6403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039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Stochastique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'Simens Energy'!$AB$1</c:f>
              <c:strCache>
                <c:ptCount val="1"/>
                <c:pt idx="0">
                  <c:v>Stochastique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'Simens Energy'!$AB$2:$AB$14</c:f>
              <c:numCache>
                <c:formatCode>General</c:formatCode>
                <c:ptCount val="13"/>
                <c:pt idx="0">
                  <c:v>63.665594855305372</c:v>
                </c:pt>
                <c:pt idx="1">
                  <c:v>47.297297297297106</c:v>
                </c:pt>
                <c:pt idx="2">
                  <c:v>78.048780487804919</c:v>
                </c:pt>
                <c:pt idx="3">
                  <c:v>29.523809523809717</c:v>
                </c:pt>
                <c:pt idx="4">
                  <c:v>42.537313432835852</c:v>
                </c:pt>
                <c:pt idx="5">
                  <c:v>65.8333333333333</c:v>
                </c:pt>
                <c:pt idx="6">
                  <c:v>0</c:v>
                </c:pt>
                <c:pt idx="7">
                  <c:v>71.844660194174523</c:v>
                </c:pt>
                <c:pt idx="8">
                  <c:v>38.461538461538545</c:v>
                </c:pt>
                <c:pt idx="9">
                  <c:v>84.545454545454419</c:v>
                </c:pt>
                <c:pt idx="10">
                  <c:v>81.250000000000128</c:v>
                </c:pt>
                <c:pt idx="11">
                  <c:v>61.592505854800947</c:v>
                </c:pt>
                <c:pt idx="12">
                  <c:v>26.37362637362633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9-45FC-9C33-96506648630A}"/>
            </c:ext>
          </c:extLst>
        </c:ser>
        <c:ser>
          <c:idx val="1"/>
          <c:order val="1"/>
          <c:tx>
            <c:strRef>
              <c:f>'Simens Energy'!$AC$1</c:f>
              <c:strCache>
                <c:ptCount val="1"/>
                <c:pt idx="0">
                  <c:v>moyenne stochastique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'Simens Energy'!$AC$2:$AC$14</c:f>
              <c:numCache>
                <c:formatCode>General</c:formatCode>
                <c:ptCount val="13"/>
                <c:pt idx="0">
                  <c:v>53.15183956615239</c:v>
                </c:pt>
                <c:pt idx="1">
                  <c:v>52.27569329205631</c:v>
                </c:pt>
                <c:pt idx="2">
                  <c:v>52.728274746125336</c:v>
                </c:pt>
                <c:pt idx="3">
                  <c:v>50.196224171957375</c:v>
                </c:pt>
                <c:pt idx="4">
                  <c:v>52.493159132862672</c:v>
                </c:pt>
                <c:pt idx="5">
                  <c:v>53.737639845366026</c:v>
                </c:pt>
                <c:pt idx="6">
                  <c:v>52.009683632799273</c:v>
                </c:pt>
                <c:pt idx="7">
                  <c:v>60.677964238265815</c:v>
                </c:pt>
                <c:pt idx="8">
                  <c:v>58.444625047084074</c:v>
                </c:pt>
                <c:pt idx="9">
                  <c:v>63.440396693470461</c:v>
                </c:pt>
                <c:pt idx="10">
                  <c:v>56.405377409475797</c:v>
                </c:pt>
                <c:pt idx="11">
                  <c:v>43.983066114213642</c:v>
                </c:pt>
                <c:pt idx="12">
                  <c:v>26.37362637362633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9-45FC-9C33-965066486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457216"/>
        <c:axId val="1731458176"/>
      </c:lineChart>
      <c:catAx>
        <c:axId val="173145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1458176"/>
        <c:crosses val="autoZero"/>
        <c:auto val="1"/>
        <c:lblAlgn val="ctr"/>
        <c:lblOffset val="100"/>
        <c:noMultiLvlLbl val="0"/>
      </c:catAx>
      <c:valAx>
        <c:axId val="173145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145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Moyenne 20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'Simens Energy'!$I$2:$I$531</c:f>
              <c:numCache>
                <c:formatCode>General</c:formatCode>
                <c:ptCount val="530"/>
                <c:pt idx="0">
                  <c:v>55.212105263157902</c:v>
                </c:pt>
                <c:pt idx="1">
                  <c:v>54.815789473684212</c:v>
                </c:pt>
                <c:pt idx="2">
                  <c:v>54.548421052631582</c:v>
                </c:pt>
                <c:pt idx="3">
                  <c:v>54.204210526315798</c:v>
                </c:pt>
                <c:pt idx="4">
                  <c:v>53.79</c:v>
                </c:pt>
                <c:pt idx="5">
                  <c:v>53.401578947368421</c:v>
                </c:pt>
                <c:pt idx="6">
                  <c:v>53.212105263157902</c:v>
                </c:pt>
                <c:pt idx="7">
                  <c:v>53.021578947368425</c:v>
                </c:pt>
                <c:pt idx="8">
                  <c:v>52.927894736842113</c:v>
                </c:pt>
                <c:pt idx="9">
                  <c:v>52.753157894736852</c:v>
                </c:pt>
                <c:pt idx="10">
                  <c:v>52.503684210526323</c:v>
                </c:pt>
                <c:pt idx="11">
                  <c:v>52.31</c:v>
                </c:pt>
                <c:pt idx="12">
                  <c:v>52.226842105263167</c:v>
                </c:pt>
                <c:pt idx="13">
                  <c:v>52.319473684210536</c:v>
                </c:pt>
                <c:pt idx="14">
                  <c:v>51.83315789473685</c:v>
                </c:pt>
                <c:pt idx="15">
                  <c:v>51.406842105263173</c:v>
                </c:pt>
                <c:pt idx="16">
                  <c:v>51.136315789473691</c:v>
                </c:pt>
                <c:pt idx="17">
                  <c:v>51.107894736842113</c:v>
                </c:pt>
                <c:pt idx="18">
                  <c:v>51.160526315789483</c:v>
                </c:pt>
                <c:pt idx="19">
                  <c:v>51.119473684210533</c:v>
                </c:pt>
                <c:pt idx="20">
                  <c:v>51.042631578947379</c:v>
                </c:pt>
                <c:pt idx="21">
                  <c:v>50.876315789473686</c:v>
                </c:pt>
                <c:pt idx="22">
                  <c:v>50.887894736842114</c:v>
                </c:pt>
                <c:pt idx="23">
                  <c:v>50.89631578947369</c:v>
                </c:pt>
                <c:pt idx="24">
                  <c:v>51.008947368421055</c:v>
                </c:pt>
                <c:pt idx="25">
                  <c:v>51.006842105263161</c:v>
                </c:pt>
                <c:pt idx="26">
                  <c:v>51.139473684210522</c:v>
                </c:pt>
                <c:pt idx="27">
                  <c:v>51.023684210526312</c:v>
                </c:pt>
                <c:pt idx="28">
                  <c:v>50.851052631578945</c:v>
                </c:pt>
                <c:pt idx="29">
                  <c:v>50.82578947368421</c:v>
                </c:pt>
                <c:pt idx="30">
                  <c:v>50.835263157894737</c:v>
                </c:pt>
                <c:pt idx="31">
                  <c:v>50.833157894736843</c:v>
                </c:pt>
                <c:pt idx="32">
                  <c:v>50.753684210526316</c:v>
                </c:pt>
                <c:pt idx="33">
                  <c:v>50.608421052631584</c:v>
                </c:pt>
                <c:pt idx="34">
                  <c:v>50.532105263157902</c:v>
                </c:pt>
                <c:pt idx="35">
                  <c:v>50.445263157894736</c:v>
                </c:pt>
                <c:pt idx="36">
                  <c:v>50.237368421052636</c:v>
                </c:pt>
                <c:pt idx="37">
                  <c:v>49.948947368421059</c:v>
                </c:pt>
                <c:pt idx="38">
                  <c:v>49.66473684210527</c:v>
                </c:pt>
                <c:pt idx="39">
                  <c:v>49.494210526315797</c:v>
                </c:pt>
                <c:pt idx="40">
                  <c:v>49.385263157894741</c:v>
                </c:pt>
                <c:pt idx="41">
                  <c:v>49.13</c:v>
                </c:pt>
                <c:pt idx="42">
                  <c:v>48.968947368421055</c:v>
                </c:pt>
                <c:pt idx="43">
                  <c:v>48.301052631578955</c:v>
                </c:pt>
                <c:pt idx="44">
                  <c:v>47.712631578947381</c:v>
                </c:pt>
                <c:pt idx="45">
                  <c:v>47.002105263157901</c:v>
                </c:pt>
                <c:pt idx="46">
                  <c:v>46.318421052631585</c:v>
                </c:pt>
                <c:pt idx="47">
                  <c:v>45.635263157894741</c:v>
                </c:pt>
                <c:pt idx="48">
                  <c:v>44.974736842105266</c:v>
                </c:pt>
                <c:pt idx="49">
                  <c:v>44.323684210526316</c:v>
                </c:pt>
                <c:pt idx="50">
                  <c:v>43.690526315789469</c:v>
                </c:pt>
                <c:pt idx="51">
                  <c:v>43.109473684210521</c:v>
                </c:pt>
                <c:pt idx="52">
                  <c:v>42.557368421052637</c:v>
                </c:pt>
                <c:pt idx="53">
                  <c:v>41.969473684210527</c:v>
                </c:pt>
                <c:pt idx="54">
                  <c:v>41.422105263157896</c:v>
                </c:pt>
                <c:pt idx="55">
                  <c:v>40.952631578947368</c:v>
                </c:pt>
                <c:pt idx="56">
                  <c:v>40.498947368421057</c:v>
                </c:pt>
                <c:pt idx="57">
                  <c:v>40.001052631578951</c:v>
                </c:pt>
                <c:pt idx="58">
                  <c:v>39.51894736842106</c:v>
                </c:pt>
                <c:pt idx="59">
                  <c:v>38.97315789473685</c:v>
                </c:pt>
                <c:pt idx="60">
                  <c:v>38.463157894736838</c:v>
                </c:pt>
                <c:pt idx="61">
                  <c:v>37.944736842105264</c:v>
                </c:pt>
                <c:pt idx="62">
                  <c:v>37.737368421052629</c:v>
                </c:pt>
                <c:pt idx="63">
                  <c:v>37.421052631578945</c:v>
                </c:pt>
                <c:pt idx="64">
                  <c:v>37.242105263157889</c:v>
                </c:pt>
                <c:pt idx="65">
                  <c:v>37.101052631578952</c:v>
                </c:pt>
                <c:pt idx="66">
                  <c:v>36.913157894736834</c:v>
                </c:pt>
                <c:pt idx="67">
                  <c:v>36.737894736842108</c:v>
                </c:pt>
                <c:pt idx="68">
                  <c:v>36.57</c:v>
                </c:pt>
                <c:pt idx="69">
                  <c:v>36.40894736842106</c:v>
                </c:pt>
                <c:pt idx="70">
                  <c:v>36.294210526315794</c:v>
                </c:pt>
                <c:pt idx="71">
                  <c:v>36.10052631578948</c:v>
                </c:pt>
                <c:pt idx="72">
                  <c:v>35.885263157894748</c:v>
                </c:pt>
                <c:pt idx="73">
                  <c:v>35.674736842105261</c:v>
                </c:pt>
                <c:pt idx="74">
                  <c:v>35.396842105263161</c:v>
                </c:pt>
                <c:pt idx="75">
                  <c:v>35.18105263157895</c:v>
                </c:pt>
                <c:pt idx="76">
                  <c:v>35.028947368421058</c:v>
                </c:pt>
                <c:pt idx="77">
                  <c:v>34.881052631578946</c:v>
                </c:pt>
                <c:pt idx="78">
                  <c:v>34.694736842105264</c:v>
                </c:pt>
                <c:pt idx="79">
                  <c:v>34.521578947368425</c:v>
                </c:pt>
                <c:pt idx="80">
                  <c:v>34.301578947368419</c:v>
                </c:pt>
                <c:pt idx="81">
                  <c:v>34.145789473684211</c:v>
                </c:pt>
                <c:pt idx="82">
                  <c:v>33.962631578947367</c:v>
                </c:pt>
                <c:pt idx="83">
                  <c:v>33.658947368421053</c:v>
                </c:pt>
                <c:pt idx="84">
                  <c:v>33.305263157894743</c:v>
                </c:pt>
                <c:pt idx="85">
                  <c:v>33.016842105263166</c:v>
                </c:pt>
                <c:pt idx="86">
                  <c:v>32.54684210526316</c:v>
                </c:pt>
                <c:pt idx="87">
                  <c:v>32.016842105263166</c:v>
                </c:pt>
                <c:pt idx="88">
                  <c:v>31.473157894736847</c:v>
                </c:pt>
                <c:pt idx="89">
                  <c:v>30.907368421052631</c:v>
                </c:pt>
                <c:pt idx="90">
                  <c:v>30.362631578947372</c:v>
                </c:pt>
                <c:pt idx="91">
                  <c:v>29.918421052631576</c:v>
                </c:pt>
                <c:pt idx="92">
                  <c:v>29.485263157894739</c:v>
                </c:pt>
                <c:pt idx="93">
                  <c:v>29.092631578947369</c:v>
                </c:pt>
                <c:pt idx="94">
                  <c:v>28.743157894736843</c:v>
                </c:pt>
                <c:pt idx="95">
                  <c:v>28.358947368421049</c:v>
                </c:pt>
                <c:pt idx="96">
                  <c:v>27.934210526315791</c:v>
                </c:pt>
                <c:pt idx="97">
                  <c:v>27.529473684210537</c:v>
                </c:pt>
                <c:pt idx="98">
                  <c:v>27.111578947368429</c:v>
                </c:pt>
                <c:pt idx="99">
                  <c:v>26.756315789473689</c:v>
                </c:pt>
                <c:pt idx="100">
                  <c:v>26.424736842105268</c:v>
                </c:pt>
                <c:pt idx="101">
                  <c:v>26.102631578947371</c:v>
                </c:pt>
                <c:pt idx="102">
                  <c:v>25.803157894736845</c:v>
                </c:pt>
                <c:pt idx="103">
                  <c:v>25.561578947368425</c:v>
                </c:pt>
                <c:pt idx="104">
                  <c:v>25.361578947368425</c:v>
                </c:pt>
                <c:pt idx="105">
                  <c:v>25.281578947368427</c:v>
                </c:pt>
                <c:pt idx="106">
                  <c:v>25.271578947368425</c:v>
                </c:pt>
                <c:pt idx="107">
                  <c:v>25.267894736842106</c:v>
                </c:pt>
                <c:pt idx="108">
                  <c:v>25.274210526315791</c:v>
                </c:pt>
                <c:pt idx="109">
                  <c:v>25.295789473684209</c:v>
                </c:pt>
                <c:pt idx="110">
                  <c:v>25.22421052631579</c:v>
                </c:pt>
                <c:pt idx="111">
                  <c:v>25.15421052631579</c:v>
                </c:pt>
                <c:pt idx="112">
                  <c:v>25.09</c:v>
                </c:pt>
                <c:pt idx="113">
                  <c:v>24.995263157894737</c:v>
                </c:pt>
                <c:pt idx="114">
                  <c:v>24.87</c:v>
                </c:pt>
                <c:pt idx="115">
                  <c:v>24.795263157894738</c:v>
                </c:pt>
                <c:pt idx="116">
                  <c:v>24.834210526315786</c:v>
                </c:pt>
                <c:pt idx="117">
                  <c:v>24.919473684210526</c:v>
                </c:pt>
                <c:pt idx="118">
                  <c:v>24.912105263157894</c:v>
                </c:pt>
                <c:pt idx="119">
                  <c:v>24.89</c:v>
                </c:pt>
                <c:pt idx="120">
                  <c:v>24.907368421052631</c:v>
                </c:pt>
                <c:pt idx="121">
                  <c:v>24.918421052631579</c:v>
                </c:pt>
                <c:pt idx="122">
                  <c:v>24.981578947368419</c:v>
                </c:pt>
                <c:pt idx="123">
                  <c:v>25.027368421052632</c:v>
                </c:pt>
                <c:pt idx="124">
                  <c:v>25.062631578947368</c:v>
                </c:pt>
                <c:pt idx="125">
                  <c:v>25.07473684210526</c:v>
                </c:pt>
                <c:pt idx="126">
                  <c:v>25.07473684210526</c:v>
                </c:pt>
                <c:pt idx="127">
                  <c:v>25.112631578947365</c:v>
                </c:pt>
                <c:pt idx="128">
                  <c:v>25.236315789473682</c:v>
                </c:pt>
                <c:pt idx="129">
                  <c:v>25.35157894736842</c:v>
                </c:pt>
                <c:pt idx="130">
                  <c:v>25.528421052631579</c:v>
                </c:pt>
                <c:pt idx="131">
                  <c:v>25.707894736842107</c:v>
                </c:pt>
                <c:pt idx="132">
                  <c:v>25.852105263157899</c:v>
                </c:pt>
                <c:pt idx="133">
                  <c:v>26.007368421052632</c:v>
                </c:pt>
                <c:pt idx="134">
                  <c:v>26.148947368421055</c:v>
                </c:pt>
                <c:pt idx="135">
                  <c:v>26.161578947368422</c:v>
                </c:pt>
                <c:pt idx="136">
                  <c:v>26.126315789473686</c:v>
                </c:pt>
                <c:pt idx="137">
                  <c:v>26.154736842105262</c:v>
                </c:pt>
                <c:pt idx="138">
                  <c:v>26.141052631578948</c:v>
                </c:pt>
                <c:pt idx="139">
                  <c:v>26.07578947368421</c:v>
                </c:pt>
                <c:pt idx="140">
                  <c:v>26.046315789473685</c:v>
                </c:pt>
                <c:pt idx="141">
                  <c:v>25.989473684210527</c:v>
                </c:pt>
                <c:pt idx="142">
                  <c:v>25.894736842105264</c:v>
                </c:pt>
                <c:pt idx="143">
                  <c:v>25.820526315789476</c:v>
                </c:pt>
                <c:pt idx="144">
                  <c:v>25.77578947368421</c:v>
                </c:pt>
                <c:pt idx="145">
                  <c:v>25.71157894736842</c:v>
                </c:pt>
                <c:pt idx="146">
                  <c:v>25.684210526315791</c:v>
                </c:pt>
                <c:pt idx="147">
                  <c:v>25.552105263157895</c:v>
                </c:pt>
                <c:pt idx="148">
                  <c:v>25.41</c:v>
                </c:pt>
                <c:pt idx="149">
                  <c:v>25.174736842105261</c:v>
                </c:pt>
                <c:pt idx="150">
                  <c:v>24.934736842105263</c:v>
                </c:pt>
                <c:pt idx="151">
                  <c:v>24.734210526315785</c:v>
                </c:pt>
                <c:pt idx="152">
                  <c:v>24.597368421052632</c:v>
                </c:pt>
                <c:pt idx="153">
                  <c:v>24.41</c:v>
                </c:pt>
                <c:pt idx="154">
                  <c:v>24.258947368421055</c:v>
                </c:pt>
                <c:pt idx="155">
                  <c:v>24.089473684210525</c:v>
                </c:pt>
                <c:pt idx="156">
                  <c:v>23.945789473684204</c:v>
                </c:pt>
                <c:pt idx="157">
                  <c:v>23.887368421052628</c:v>
                </c:pt>
                <c:pt idx="158">
                  <c:v>23.874210526315789</c:v>
                </c:pt>
                <c:pt idx="159">
                  <c:v>23.929473684210524</c:v>
                </c:pt>
                <c:pt idx="160">
                  <c:v>23.938947368421051</c:v>
                </c:pt>
                <c:pt idx="161">
                  <c:v>24.020526315789471</c:v>
                </c:pt>
                <c:pt idx="162">
                  <c:v>24.092631578947373</c:v>
                </c:pt>
                <c:pt idx="163">
                  <c:v>24.211052631578951</c:v>
                </c:pt>
                <c:pt idx="164">
                  <c:v>24.326315789473682</c:v>
                </c:pt>
                <c:pt idx="165">
                  <c:v>24.361578947368422</c:v>
                </c:pt>
                <c:pt idx="166">
                  <c:v>24.386842105263156</c:v>
                </c:pt>
                <c:pt idx="167">
                  <c:v>24.400526315789474</c:v>
                </c:pt>
                <c:pt idx="168">
                  <c:v>24.438421052631575</c:v>
                </c:pt>
                <c:pt idx="169">
                  <c:v>24.496842105263156</c:v>
                </c:pt>
                <c:pt idx="170">
                  <c:v>24.581578947368417</c:v>
                </c:pt>
                <c:pt idx="171">
                  <c:v>24.655263157894737</c:v>
                </c:pt>
                <c:pt idx="172">
                  <c:v>24.78157894736842</c:v>
                </c:pt>
                <c:pt idx="173">
                  <c:v>24.815263157894734</c:v>
                </c:pt>
                <c:pt idx="174">
                  <c:v>24.876842105263158</c:v>
                </c:pt>
                <c:pt idx="175">
                  <c:v>24.932631578947369</c:v>
                </c:pt>
                <c:pt idx="176">
                  <c:v>24.897894736842105</c:v>
                </c:pt>
                <c:pt idx="177">
                  <c:v>24.826842105263161</c:v>
                </c:pt>
                <c:pt idx="178">
                  <c:v>24.544736842105266</c:v>
                </c:pt>
                <c:pt idx="179">
                  <c:v>24.29315789473684</c:v>
                </c:pt>
                <c:pt idx="180">
                  <c:v>23.964210526315792</c:v>
                </c:pt>
                <c:pt idx="181">
                  <c:v>23.619473684210533</c:v>
                </c:pt>
                <c:pt idx="182">
                  <c:v>23.223157894736847</c:v>
                </c:pt>
                <c:pt idx="183">
                  <c:v>22.87052631578948</c:v>
                </c:pt>
                <c:pt idx="184">
                  <c:v>22.515789473684219</c:v>
                </c:pt>
                <c:pt idx="185">
                  <c:v>22.159473684210532</c:v>
                </c:pt>
                <c:pt idx="186">
                  <c:v>21.835263157894744</c:v>
                </c:pt>
                <c:pt idx="187">
                  <c:v>21.506842105263164</c:v>
                </c:pt>
                <c:pt idx="188">
                  <c:v>21.160526315789479</c:v>
                </c:pt>
                <c:pt idx="189">
                  <c:v>20.772105263157897</c:v>
                </c:pt>
                <c:pt idx="190">
                  <c:v>20.373157894736842</c:v>
                </c:pt>
                <c:pt idx="191">
                  <c:v>19.954736842105259</c:v>
                </c:pt>
                <c:pt idx="192">
                  <c:v>19.600526315789473</c:v>
                </c:pt>
                <c:pt idx="193">
                  <c:v>19.25578947368421</c:v>
                </c:pt>
                <c:pt idx="194">
                  <c:v>18.905263157894737</c:v>
                </c:pt>
                <c:pt idx="195">
                  <c:v>18.59578947368421</c:v>
                </c:pt>
                <c:pt idx="196">
                  <c:v>18.346315789473685</c:v>
                </c:pt>
                <c:pt idx="197">
                  <c:v>18.231578947368423</c:v>
                </c:pt>
                <c:pt idx="198">
                  <c:v>18.141052631578948</c:v>
                </c:pt>
                <c:pt idx="199">
                  <c:v>18.033157894736846</c:v>
                </c:pt>
                <c:pt idx="200">
                  <c:v>17.979473684210529</c:v>
                </c:pt>
                <c:pt idx="201">
                  <c:v>17.887368421052631</c:v>
                </c:pt>
                <c:pt idx="202">
                  <c:v>18.134210526315794</c:v>
                </c:pt>
                <c:pt idx="203">
                  <c:v>18.036842105263162</c:v>
                </c:pt>
                <c:pt idx="204">
                  <c:v>17.966315789473683</c:v>
                </c:pt>
                <c:pt idx="205">
                  <c:v>17.892105263157895</c:v>
                </c:pt>
                <c:pt idx="206">
                  <c:v>17.828947368421051</c:v>
                </c:pt>
                <c:pt idx="207">
                  <c:v>17.763157894736839</c:v>
                </c:pt>
                <c:pt idx="208">
                  <c:v>17.670526315789473</c:v>
                </c:pt>
                <c:pt idx="209">
                  <c:v>17.513684210526314</c:v>
                </c:pt>
                <c:pt idx="210">
                  <c:v>17.361578947368422</c:v>
                </c:pt>
                <c:pt idx="211">
                  <c:v>17.225789473684213</c:v>
                </c:pt>
                <c:pt idx="212">
                  <c:v>17.056315789473686</c:v>
                </c:pt>
                <c:pt idx="213">
                  <c:v>16.887368421052635</c:v>
                </c:pt>
                <c:pt idx="214">
                  <c:v>16.703684210526319</c:v>
                </c:pt>
                <c:pt idx="215">
                  <c:v>16.512631578947371</c:v>
                </c:pt>
                <c:pt idx="216">
                  <c:v>16.324736842105267</c:v>
                </c:pt>
                <c:pt idx="217">
                  <c:v>16.106315789473687</c:v>
                </c:pt>
                <c:pt idx="218">
                  <c:v>15.924210526315793</c:v>
                </c:pt>
                <c:pt idx="219">
                  <c:v>15.698421052631579</c:v>
                </c:pt>
                <c:pt idx="220">
                  <c:v>15.499999999999996</c:v>
                </c:pt>
                <c:pt idx="221">
                  <c:v>14.986315789473684</c:v>
                </c:pt>
                <c:pt idx="222">
                  <c:v>14.846842105263159</c:v>
                </c:pt>
                <c:pt idx="223">
                  <c:v>14.72842105263158</c:v>
                </c:pt>
                <c:pt idx="224">
                  <c:v>14.6</c:v>
                </c:pt>
                <c:pt idx="225">
                  <c:v>14.467894736842105</c:v>
                </c:pt>
                <c:pt idx="226">
                  <c:v>14.329473684210527</c:v>
                </c:pt>
                <c:pt idx="227">
                  <c:v>14.217368421052635</c:v>
                </c:pt>
                <c:pt idx="228">
                  <c:v>14.166842105263159</c:v>
                </c:pt>
                <c:pt idx="229">
                  <c:v>14.114736842105264</c:v>
                </c:pt>
                <c:pt idx="230">
                  <c:v>14.04105263157895</c:v>
                </c:pt>
                <c:pt idx="231">
                  <c:v>14.018947368421053</c:v>
                </c:pt>
                <c:pt idx="232">
                  <c:v>13.991578947368419</c:v>
                </c:pt>
                <c:pt idx="233">
                  <c:v>13.986842105263156</c:v>
                </c:pt>
                <c:pt idx="234">
                  <c:v>13.981052631578947</c:v>
                </c:pt>
                <c:pt idx="235">
                  <c:v>13.978421052631578</c:v>
                </c:pt>
                <c:pt idx="236">
                  <c:v>13.996315789473684</c:v>
                </c:pt>
                <c:pt idx="237">
                  <c:v>13.967368421052631</c:v>
                </c:pt>
                <c:pt idx="238">
                  <c:v>13.965789473684211</c:v>
                </c:pt>
                <c:pt idx="239">
                  <c:v>13.996842105263157</c:v>
                </c:pt>
                <c:pt idx="240">
                  <c:v>14.006842105263157</c:v>
                </c:pt>
                <c:pt idx="241">
                  <c:v>13.977368421052635</c:v>
                </c:pt>
                <c:pt idx="242">
                  <c:v>13.96</c:v>
                </c:pt>
                <c:pt idx="243">
                  <c:v>13.957894736842105</c:v>
                </c:pt>
                <c:pt idx="244">
                  <c:v>13.95315789473684</c:v>
                </c:pt>
                <c:pt idx="245">
                  <c:v>13.955263157894736</c:v>
                </c:pt>
                <c:pt idx="246">
                  <c:v>13.956842105263162</c:v>
                </c:pt>
                <c:pt idx="247">
                  <c:v>13.947368421052632</c:v>
                </c:pt>
                <c:pt idx="248">
                  <c:v>13.926315789473685</c:v>
                </c:pt>
                <c:pt idx="249">
                  <c:v>13.933157894736841</c:v>
                </c:pt>
                <c:pt idx="250">
                  <c:v>13.849473684210526</c:v>
                </c:pt>
                <c:pt idx="251">
                  <c:v>13.747894736842104</c:v>
                </c:pt>
                <c:pt idx="252">
                  <c:v>13.642105263157895</c:v>
                </c:pt>
                <c:pt idx="253">
                  <c:v>13.517894736842107</c:v>
                </c:pt>
                <c:pt idx="254">
                  <c:v>13.366842105263158</c:v>
                </c:pt>
                <c:pt idx="255">
                  <c:v>13.220526315789474</c:v>
                </c:pt>
                <c:pt idx="256">
                  <c:v>13.136315789473686</c:v>
                </c:pt>
                <c:pt idx="257">
                  <c:v>13.059473684210527</c:v>
                </c:pt>
                <c:pt idx="258">
                  <c:v>12.935263157894738</c:v>
                </c:pt>
                <c:pt idx="259">
                  <c:v>12.831052631578949</c:v>
                </c:pt>
                <c:pt idx="260">
                  <c:v>12.737894736842106</c:v>
                </c:pt>
                <c:pt idx="261">
                  <c:v>12.645789473684211</c:v>
                </c:pt>
                <c:pt idx="262">
                  <c:v>12.52157894736842</c:v>
                </c:pt>
                <c:pt idx="263">
                  <c:v>12.386842105263156</c:v>
                </c:pt>
                <c:pt idx="264">
                  <c:v>12.238947368421051</c:v>
                </c:pt>
                <c:pt idx="265">
                  <c:v>12.14</c:v>
                </c:pt>
                <c:pt idx="266">
                  <c:v>12.049473684210527</c:v>
                </c:pt>
                <c:pt idx="267">
                  <c:v>11.96105263157895</c:v>
                </c:pt>
                <c:pt idx="268">
                  <c:v>11.874210526315792</c:v>
                </c:pt>
                <c:pt idx="269">
                  <c:v>11.815789473684212</c:v>
                </c:pt>
                <c:pt idx="270">
                  <c:v>11.786842105263158</c:v>
                </c:pt>
                <c:pt idx="271">
                  <c:v>11.764736842105263</c:v>
                </c:pt>
                <c:pt idx="272">
                  <c:v>11.731578947368421</c:v>
                </c:pt>
                <c:pt idx="273">
                  <c:v>11.714736842105264</c:v>
                </c:pt>
                <c:pt idx="274">
                  <c:v>11.696315789473685</c:v>
                </c:pt>
                <c:pt idx="275">
                  <c:v>11.65</c:v>
                </c:pt>
                <c:pt idx="276">
                  <c:v>11.535789473684211</c:v>
                </c:pt>
                <c:pt idx="277">
                  <c:v>11.462631578947368</c:v>
                </c:pt>
                <c:pt idx="278">
                  <c:v>11.401052631578947</c:v>
                </c:pt>
                <c:pt idx="279">
                  <c:v>11.366842105263158</c:v>
                </c:pt>
                <c:pt idx="280">
                  <c:v>11.34</c:v>
                </c:pt>
                <c:pt idx="281">
                  <c:v>11.35684210526316</c:v>
                </c:pt>
                <c:pt idx="282">
                  <c:v>11.368947368421052</c:v>
                </c:pt>
                <c:pt idx="283">
                  <c:v>11.378421052631579</c:v>
                </c:pt>
                <c:pt idx="284">
                  <c:v>11.35</c:v>
                </c:pt>
                <c:pt idx="285">
                  <c:v>11.291052631578948</c:v>
                </c:pt>
                <c:pt idx="286">
                  <c:v>11.236842105263159</c:v>
                </c:pt>
                <c:pt idx="287">
                  <c:v>11.164210526315792</c:v>
                </c:pt>
                <c:pt idx="288">
                  <c:v>11.137894736842107</c:v>
                </c:pt>
                <c:pt idx="289">
                  <c:v>11.107894736842107</c:v>
                </c:pt>
                <c:pt idx="290">
                  <c:v>11.077894736842108</c:v>
                </c:pt>
                <c:pt idx="291">
                  <c:v>11.066842105263158</c:v>
                </c:pt>
                <c:pt idx="292">
                  <c:v>11.064736842105264</c:v>
                </c:pt>
                <c:pt idx="293">
                  <c:v>11.093157894736841</c:v>
                </c:pt>
                <c:pt idx="294">
                  <c:v>11.116315789473683</c:v>
                </c:pt>
                <c:pt idx="295">
                  <c:v>11.146842105263156</c:v>
                </c:pt>
                <c:pt idx="296">
                  <c:v>11.174736842105261</c:v>
                </c:pt>
                <c:pt idx="297">
                  <c:v>11.130526315789472</c:v>
                </c:pt>
                <c:pt idx="298">
                  <c:v>11.056315789473684</c:v>
                </c:pt>
                <c:pt idx="299">
                  <c:v>10.938947368421054</c:v>
                </c:pt>
                <c:pt idx="300">
                  <c:v>10.824736842105263</c:v>
                </c:pt>
                <c:pt idx="301">
                  <c:v>10.692105263157897</c:v>
                </c:pt>
                <c:pt idx="302">
                  <c:v>10.587894736842106</c:v>
                </c:pt>
                <c:pt idx="303">
                  <c:v>10.485263157894739</c:v>
                </c:pt>
                <c:pt idx="304">
                  <c:v>10.415263157894739</c:v>
                </c:pt>
                <c:pt idx="305">
                  <c:v>10.310526315789474</c:v>
                </c:pt>
                <c:pt idx="306">
                  <c:v>10.190526315789475</c:v>
                </c:pt>
                <c:pt idx="307">
                  <c:v>10.062631578947366</c:v>
                </c:pt>
                <c:pt idx="308">
                  <c:v>9.9363157894736869</c:v>
                </c:pt>
                <c:pt idx="309">
                  <c:v>9.7600000000000016</c:v>
                </c:pt>
                <c:pt idx="310">
                  <c:v>9.5489473684210537</c:v>
                </c:pt>
                <c:pt idx="311">
                  <c:v>9.5321052631578951</c:v>
                </c:pt>
                <c:pt idx="312">
                  <c:v>9.4752631578947391</c:v>
                </c:pt>
                <c:pt idx="313">
                  <c:v>9.4231578947368426</c:v>
                </c:pt>
                <c:pt idx="314">
                  <c:v>9.4236842105263161</c:v>
                </c:pt>
                <c:pt idx="315">
                  <c:v>9.4284210526315793</c:v>
                </c:pt>
                <c:pt idx="316">
                  <c:v>9.4905263157894755</c:v>
                </c:pt>
                <c:pt idx="317">
                  <c:v>9.5773684210526326</c:v>
                </c:pt>
                <c:pt idx="318">
                  <c:v>9.6968421052631601</c:v>
                </c:pt>
                <c:pt idx="319">
                  <c:v>9.7973684210526333</c:v>
                </c:pt>
                <c:pt idx="320">
                  <c:v>9.9494736842105276</c:v>
                </c:pt>
                <c:pt idx="321">
                  <c:v>10.101052631578948</c:v>
                </c:pt>
                <c:pt idx="322">
                  <c:v>10.237368421052629</c:v>
                </c:pt>
                <c:pt idx="323">
                  <c:v>10.344736842105263</c:v>
                </c:pt>
                <c:pt idx="324">
                  <c:v>10.485789473684211</c:v>
                </c:pt>
                <c:pt idx="325">
                  <c:v>10.660526315789472</c:v>
                </c:pt>
                <c:pt idx="326">
                  <c:v>10.831052631578945</c:v>
                </c:pt>
                <c:pt idx="327">
                  <c:v>11.004210526315788</c:v>
                </c:pt>
                <c:pt idx="328">
                  <c:v>11.24842105263158</c:v>
                </c:pt>
                <c:pt idx="329">
                  <c:v>11.538421052631579</c:v>
                </c:pt>
                <c:pt idx="330">
                  <c:v>11.615263157894736</c:v>
                </c:pt>
                <c:pt idx="331">
                  <c:v>11.686315789473682</c:v>
                </c:pt>
                <c:pt idx="332">
                  <c:v>11.751052631578945</c:v>
                </c:pt>
                <c:pt idx="333">
                  <c:v>11.833684210526313</c:v>
                </c:pt>
                <c:pt idx="334">
                  <c:v>11.892105263157891</c:v>
                </c:pt>
                <c:pt idx="335">
                  <c:v>11.934210526315788</c:v>
                </c:pt>
                <c:pt idx="336">
                  <c:v>11.987368421052629</c:v>
                </c:pt>
                <c:pt idx="337">
                  <c:v>12.034210526315787</c:v>
                </c:pt>
                <c:pt idx="338">
                  <c:v>12.086842105263157</c:v>
                </c:pt>
                <c:pt idx="339">
                  <c:v>12.134210526315789</c:v>
                </c:pt>
                <c:pt idx="340">
                  <c:v>12.17157894736842</c:v>
                </c:pt>
                <c:pt idx="341">
                  <c:v>12.193157894736842</c:v>
                </c:pt>
                <c:pt idx="342">
                  <c:v>12.227368421052635</c:v>
                </c:pt>
                <c:pt idx="343">
                  <c:v>12.276315789473685</c:v>
                </c:pt>
                <c:pt idx="344">
                  <c:v>12.310526315789474</c:v>
                </c:pt>
                <c:pt idx="345">
                  <c:v>12.352105263157895</c:v>
                </c:pt>
                <c:pt idx="346">
                  <c:v>12.399999999999999</c:v>
                </c:pt>
                <c:pt idx="347">
                  <c:v>12.422631578947367</c:v>
                </c:pt>
                <c:pt idx="348">
                  <c:v>12.456842105263156</c:v>
                </c:pt>
                <c:pt idx="349">
                  <c:v>12.505789473684212</c:v>
                </c:pt>
                <c:pt idx="350">
                  <c:v>12.556842105263158</c:v>
                </c:pt>
                <c:pt idx="351">
                  <c:v>12.615263157894736</c:v>
                </c:pt>
                <c:pt idx="352">
                  <c:v>12.669473684210526</c:v>
                </c:pt>
                <c:pt idx="353">
                  <c:v>12.709999999999999</c:v>
                </c:pt>
                <c:pt idx="354">
                  <c:v>12.746315789473684</c:v>
                </c:pt>
                <c:pt idx="355">
                  <c:v>12.763684210526314</c:v>
                </c:pt>
                <c:pt idx="356">
                  <c:v>12.788421052631579</c:v>
                </c:pt>
                <c:pt idx="357">
                  <c:v>12.820526315789474</c:v>
                </c:pt>
                <c:pt idx="358">
                  <c:v>12.819999999999999</c:v>
                </c:pt>
                <c:pt idx="359">
                  <c:v>12.831052631578945</c:v>
                </c:pt>
                <c:pt idx="360">
                  <c:v>12.886842105263156</c:v>
                </c:pt>
                <c:pt idx="361">
                  <c:v>12.955263157894734</c:v>
                </c:pt>
                <c:pt idx="362">
                  <c:v>13.009473684210525</c:v>
                </c:pt>
                <c:pt idx="363">
                  <c:v>13.087368421052631</c:v>
                </c:pt>
                <c:pt idx="364">
                  <c:v>13.16</c:v>
                </c:pt>
                <c:pt idx="365">
                  <c:v>13.208421052631577</c:v>
                </c:pt>
                <c:pt idx="366">
                  <c:v>13.283684210526314</c:v>
                </c:pt>
                <c:pt idx="367">
                  <c:v>13.354736842105263</c:v>
                </c:pt>
                <c:pt idx="368">
                  <c:v>13.436842105263155</c:v>
                </c:pt>
                <c:pt idx="369">
                  <c:v>13.562631578947366</c:v>
                </c:pt>
                <c:pt idx="370">
                  <c:v>13.70263157894737</c:v>
                </c:pt>
                <c:pt idx="371">
                  <c:v>13.821052631578949</c:v>
                </c:pt>
                <c:pt idx="372">
                  <c:v>13.944210526315789</c:v>
                </c:pt>
                <c:pt idx="373">
                  <c:v>14.07421052631579</c:v>
                </c:pt>
                <c:pt idx="374">
                  <c:v>14.223684210526319</c:v>
                </c:pt>
                <c:pt idx="375">
                  <c:v>14.373157894736844</c:v>
                </c:pt>
                <c:pt idx="376">
                  <c:v>14.516842105263157</c:v>
                </c:pt>
                <c:pt idx="377">
                  <c:v>14.67157894736842</c:v>
                </c:pt>
                <c:pt idx="378">
                  <c:v>14.798947368421054</c:v>
                </c:pt>
                <c:pt idx="379">
                  <c:v>14.902105263157894</c:v>
                </c:pt>
                <c:pt idx="380">
                  <c:v>15.004736842105265</c:v>
                </c:pt>
                <c:pt idx="381">
                  <c:v>15.118421052631579</c:v>
                </c:pt>
                <c:pt idx="382">
                  <c:v>15.216315789473683</c:v>
                </c:pt>
                <c:pt idx="383">
                  <c:v>15.304210526315789</c:v>
                </c:pt>
                <c:pt idx="384">
                  <c:v>15.403684210526317</c:v>
                </c:pt>
                <c:pt idx="385">
                  <c:v>15.493157894736843</c:v>
                </c:pt>
                <c:pt idx="386">
                  <c:v>15.555789473684211</c:v>
                </c:pt>
                <c:pt idx="387">
                  <c:v>15.591578947368419</c:v>
                </c:pt>
                <c:pt idx="388">
                  <c:v>15.568947368421053</c:v>
                </c:pt>
                <c:pt idx="389">
                  <c:v>15.527894736842107</c:v>
                </c:pt>
                <c:pt idx="390">
                  <c:v>15.486315789473684</c:v>
                </c:pt>
                <c:pt idx="391">
                  <c:v>15.469999999999997</c:v>
                </c:pt>
                <c:pt idx="392">
                  <c:v>15.505263157894731</c:v>
                </c:pt>
                <c:pt idx="393">
                  <c:v>15.534210526315785</c:v>
                </c:pt>
                <c:pt idx="394">
                  <c:v>15.551052631578946</c:v>
                </c:pt>
                <c:pt idx="395">
                  <c:v>15.538947368421054</c:v>
                </c:pt>
                <c:pt idx="396">
                  <c:v>15.530526315789476</c:v>
                </c:pt>
                <c:pt idx="397">
                  <c:v>15.485263157894739</c:v>
                </c:pt>
                <c:pt idx="398">
                  <c:v>15.429473684210528</c:v>
                </c:pt>
                <c:pt idx="399">
                  <c:v>15.385263157894736</c:v>
                </c:pt>
                <c:pt idx="400">
                  <c:v>15.795789473684211</c:v>
                </c:pt>
                <c:pt idx="401">
                  <c:v>16.186315789473685</c:v>
                </c:pt>
                <c:pt idx="402">
                  <c:v>16.56421052631579</c:v>
                </c:pt>
                <c:pt idx="403">
                  <c:v>16.953684210526315</c:v>
                </c:pt>
                <c:pt idx="404">
                  <c:v>17.338947368421053</c:v>
                </c:pt>
                <c:pt idx="405">
                  <c:v>17.733684210526317</c:v>
                </c:pt>
                <c:pt idx="406">
                  <c:v>18.176842105263155</c:v>
                </c:pt>
                <c:pt idx="407">
                  <c:v>18.628421052631577</c:v>
                </c:pt>
                <c:pt idx="408">
                  <c:v>19.101052631578945</c:v>
                </c:pt>
                <c:pt idx="409">
                  <c:v>19.563684210526311</c:v>
                </c:pt>
                <c:pt idx="410">
                  <c:v>20.018947368421049</c:v>
                </c:pt>
                <c:pt idx="411">
                  <c:v>20.453157894736837</c:v>
                </c:pt>
                <c:pt idx="412">
                  <c:v>20.875789473684211</c:v>
                </c:pt>
                <c:pt idx="413">
                  <c:v>21.2978947368421</c:v>
                </c:pt>
                <c:pt idx="414">
                  <c:v>21.755789473684207</c:v>
                </c:pt>
                <c:pt idx="415">
                  <c:v>22.197894736842105</c:v>
                </c:pt>
                <c:pt idx="416">
                  <c:v>22.674736842105261</c:v>
                </c:pt>
                <c:pt idx="417">
                  <c:v>23.206315789473678</c:v>
                </c:pt>
                <c:pt idx="418">
                  <c:v>23.706315789473678</c:v>
                </c:pt>
                <c:pt idx="419">
                  <c:v>23.747368421052627</c:v>
                </c:pt>
                <c:pt idx="420">
                  <c:v>23.789473684210527</c:v>
                </c:pt>
                <c:pt idx="421">
                  <c:v>23.831052631578949</c:v>
                </c:pt>
                <c:pt idx="422">
                  <c:v>23.890526315789476</c:v>
                </c:pt>
                <c:pt idx="423">
                  <c:v>23.950526315789475</c:v>
                </c:pt>
                <c:pt idx="424">
                  <c:v>24.012105263157892</c:v>
                </c:pt>
                <c:pt idx="425">
                  <c:v>24.029473684210529</c:v>
                </c:pt>
                <c:pt idx="426">
                  <c:v>24.04</c:v>
                </c:pt>
                <c:pt idx="427">
                  <c:v>24.025263157894738</c:v>
                </c:pt>
                <c:pt idx="428">
                  <c:v>23.983684210526317</c:v>
                </c:pt>
                <c:pt idx="429">
                  <c:v>23.908947368421053</c:v>
                </c:pt>
                <c:pt idx="430">
                  <c:v>23.769473684210528</c:v>
                </c:pt>
                <c:pt idx="431">
                  <c:v>23.655789473684209</c:v>
                </c:pt>
                <c:pt idx="432">
                  <c:v>23.55263157894737</c:v>
                </c:pt>
                <c:pt idx="433">
                  <c:v>23.464736842105264</c:v>
                </c:pt>
                <c:pt idx="434">
                  <c:v>23.383157894736843</c:v>
                </c:pt>
                <c:pt idx="435">
                  <c:v>23.289473684210527</c:v>
                </c:pt>
                <c:pt idx="436">
                  <c:v>23.168421052631579</c:v>
                </c:pt>
                <c:pt idx="437">
                  <c:v>23.083157894736843</c:v>
                </c:pt>
                <c:pt idx="438">
                  <c:v>22.97894736842105</c:v>
                </c:pt>
                <c:pt idx="439">
                  <c:v>22.873157894736842</c:v>
                </c:pt>
                <c:pt idx="440">
                  <c:v>22.753157894736837</c:v>
                </c:pt>
                <c:pt idx="441">
                  <c:v>22.603157894736835</c:v>
                </c:pt>
                <c:pt idx="442">
                  <c:v>22.437368421052625</c:v>
                </c:pt>
                <c:pt idx="443">
                  <c:v>22.281578947368423</c:v>
                </c:pt>
                <c:pt idx="444">
                  <c:v>22.133157894736843</c:v>
                </c:pt>
                <c:pt idx="445">
                  <c:v>21.999473684210525</c:v>
                </c:pt>
                <c:pt idx="446">
                  <c:v>21.877894736842109</c:v>
                </c:pt>
                <c:pt idx="447">
                  <c:v>21.804736842105264</c:v>
                </c:pt>
                <c:pt idx="448">
                  <c:v>21.768947368421053</c:v>
                </c:pt>
                <c:pt idx="449">
                  <c:v>21.750526315789475</c:v>
                </c:pt>
                <c:pt idx="450">
                  <c:v>21.707368421052632</c:v>
                </c:pt>
                <c:pt idx="451">
                  <c:v>21.653157894736843</c:v>
                </c:pt>
                <c:pt idx="452">
                  <c:v>21.551578947368423</c:v>
                </c:pt>
                <c:pt idx="453">
                  <c:v>21.464736842105264</c:v>
                </c:pt>
                <c:pt idx="454">
                  <c:v>21.415263157894735</c:v>
                </c:pt>
                <c:pt idx="455">
                  <c:v>21.361052631578946</c:v>
                </c:pt>
                <c:pt idx="456">
                  <c:v>21.24052631578947</c:v>
                </c:pt>
                <c:pt idx="457">
                  <c:v>21.128947368421052</c:v>
                </c:pt>
                <c:pt idx="458">
                  <c:v>21.015789473684208</c:v>
                </c:pt>
                <c:pt idx="459">
                  <c:v>20.922105263157892</c:v>
                </c:pt>
                <c:pt idx="460">
                  <c:v>20.810000000000002</c:v>
                </c:pt>
                <c:pt idx="461">
                  <c:v>20.680526315789479</c:v>
                </c:pt>
                <c:pt idx="462">
                  <c:v>20.582105263157899</c:v>
                </c:pt>
                <c:pt idx="463">
                  <c:v>20.465263157894743</c:v>
                </c:pt>
                <c:pt idx="464">
                  <c:v>20.353157894736849</c:v>
                </c:pt>
                <c:pt idx="465">
                  <c:v>20.231578947368426</c:v>
                </c:pt>
                <c:pt idx="466">
                  <c:v>20.0621052631579</c:v>
                </c:pt>
                <c:pt idx="467">
                  <c:v>19.928421052631585</c:v>
                </c:pt>
                <c:pt idx="468">
                  <c:v>19.766315789473687</c:v>
                </c:pt>
                <c:pt idx="469">
                  <c:v>19.671052631578949</c:v>
                </c:pt>
                <c:pt idx="470">
                  <c:v>19.562105263157896</c:v>
                </c:pt>
                <c:pt idx="471">
                  <c:v>19.512631578947367</c:v>
                </c:pt>
                <c:pt idx="472">
                  <c:v>19.486842105263158</c:v>
                </c:pt>
                <c:pt idx="473">
                  <c:v>19.433157894736841</c:v>
                </c:pt>
                <c:pt idx="474">
                  <c:v>19.369473684210526</c:v>
                </c:pt>
                <c:pt idx="475">
                  <c:v>19.36894736842105</c:v>
                </c:pt>
                <c:pt idx="476">
                  <c:v>19.36105263157895</c:v>
                </c:pt>
                <c:pt idx="477">
                  <c:v>19.353684210526321</c:v>
                </c:pt>
                <c:pt idx="478">
                  <c:v>19.364210526315794</c:v>
                </c:pt>
                <c:pt idx="479">
                  <c:v>19.362631578947372</c:v>
                </c:pt>
                <c:pt idx="480">
                  <c:v>19.38105263157895</c:v>
                </c:pt>
                <c:pt idx="481">
                  <c:v>19.346315789473685</c:v>
                </c:pt>
                <c:pt idx="482">
                  <c:v>19.336842105263155</c:v>
                </c:pt>
                <c:pt idx="483">
                  <c:v>19.286315789473679</c:v>
                </c:pt>
                <c:pt idx="484">
                  <c:v>19.25578947368421</c:v>
                </c:pt>
                <c:pt idx="485">
                  <c:v>19.286842105263158</c:v>
                </c:pt>
                <c:pt idx="486">
                  <c:v>19.288947368421052</c:v>
                </c:pt>
                <c:pt idx="487">
                  <c:v>19.353684210526314</c:v>
                </c:pt>
                <c:pt idx="488">
                  <c:v>19.332105263157896</c:v>
                </c:pt>
                <c:pt idx="489">
                  <c:v>19.324736842105263</c:v>
                </c:pt>
                <c:pt idx="490">
                  <c:v>19.285263157894736</c:v>
                </c:pt>
                <c:pt idx="491">
                  <c:v>19.207894736842107</c:v>
                </c:pt>
                <c:pt idx="492">
                  <c:v>19.152631578947371</c:v>
                </c:pt>
                <c:pt idx="493">
                  <c:v>19.076315789473686</c:v>
                </c:pt>
                <c:pt idx="494">
                  <c:v>18.969473684210527</c:v>
                </c:pt>
                <c:pt idx="495">
                  <c:v>18.901578947368421</c:v>
                </c:pt>
                <c:pt idx="496">
                  <c:v>18.881052631578946</c:v>
                </c:pt>
                <c:pt idx="497">
                  <c:v>18.88</c:v>
                </c:pt>
                <c:pt idx="498">
                  <c:v>18.87157894736842</c:v>
                </c:pt>
                <c:pt idx="499">
                  <c:v>18.883684210526315</c:v>
                </c:pt>
                <c:pt idx="500">
                  <c:v>18.896842105263158</c:v>
                </c:pt>
                <c:pt idx="501">
                  <c:v>18.901052631578949</c:v>
                </c:pt>
                <c:pt idx="502">
                  <c:v>18.931052631578943</c:v>
                </c:pt>
                <c:pt idx="503">
                  <c:v>18.950526315789471</c:v>
                </c:pt>
                <c:pt idx="504">
                  <c:v>18.952105263157893</c:v>
                </c:pt>
                <c:pt idx="505">
                  <c:v>18.948947368421049</c:v>
                </c:pt>
                <c:pt idx="506">
                  <c:v>18.918421052631579</c:v>
                </c:pt>
                <c:pt idx="507">
                  <c:v>18.895789473684207</c:v>
                </c:pt>
                <c:pt idx="508">
                  <c:v>18.904736842105262</c:v>
                </c:pt>
                <c:pt idx="509">
                  <c:v>18.921578947368424</c:v>
                </c:pt>
                <c:pt idx="510">
                  <c:v>18.944210526315789</c:v>
                </c:pt>
                <c:pt idx="511">
                  <c:v>18.935789473684213</c:v>
                </c:pt>
                <c:pt idx="512">
                  <c:v>18.962222222222223</c:v>
                </c:pt>
                <c:pt idx="513">
                  <c:v>19.007058823529412</c:v>
                </c:pt>
                <c:pt idx="514">
                  <c:v>19.03125</c:v>
                </c:pt>
                <c:pt idx="515">
                  <c:v>19.027333333333335</c:v>
                </c:pt>
                <c:pt idx="516">
                  <c:v>18.990714285714287</c:v>
                </c:pt>
                <c:pt idx="517">
                  <c:v>19.004615384615384</c:v>
                </c:pt>
                <c:pt idx="518">
                  <c:v>18.995000000000001</c:v>
                </c:pt>
                <c:pt idx="519">
                  <c:v>18.994545454545456</c:v>
                </c:pt>
                <c:pt idx="520">
                  <c:v>19.005000000000003</c:v>
                </c:pt>
                <c:pt idx="521">
                  <c:v>19.02333333333333</c:v>
                </c:pt>
                <c:pt idx="522">
                  <c:v>19.053749999999997</c:v>
                </c:pt>
                <c:pt idx="523">
                  <c:v>19.069999999999997</c:v>
                </c:pt>
                <c:pt idx="524">
                  <c:v>19.058333333333334</c:v>
                </c:pt>
                <c:pt idx="525">
                  <c:v>19.094000000000001</c:v>
                </c:pt>
                <c:pt idx="526">
                  <c:v>19.182499999999997</c:v>
                </c:pt>
                <c:pt idx="527">
                  <c:v>19.186666666666664</c:v>
                </c:pt>
                <c:pt idx="528">
                  <c:v>19.064999999999998</c:v>
                </c:pt>
                <c:pt idx="529">
                  <c:v>18.79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5-448F-B357-6C6BD351666A}"/>
            </c:ext>
          </c:extLst>
        </c:ser>
        <c:ser>
          <c:idx val="1"/>
          <c:order val="1"/>
          <c:tx>
            <c:v>Moyenne 40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'Simens Energy'!$J$2:$J$531</c:f>
              <c:numCache>
                <c:formatCode>General</c:formatCode>
                <c:ptCount val="530"/>
                <c:pt idx="0">
                  <c:v>52.955999999999996</c:v>
                </c:pt>
                <c:pt idx="1">
                  <c:v>52.785749999999993</c:v>
                </c:pt>
                <c:pt idx="2">
                  <c:v>52.588000000000001</c:v>
                </c:pt>
                <c:pt idx="3">
                  <c:v>52.444500000000005</c:v>
                </c:pt>
                <c:pt idx="4">
                  <c:v>52.313499999999998</c:v>
                </c:pt>
                <c:pt idx="5">
                  <c:v>52.216999999999999</c:v>
                </c:pt>
                <c:pt idx="6">
                  <c:v>52.117000000000004</c:v>
                </c:pt>
                <c:pt idx="7">
                  <c:v>52.044999999999995</c:v>
                </c:pt>
                <c:pt idx="8">
                  <c:v>51.945499999999996</c:v>
                </c:pt>
                <c:pt idx="9">
                  <c:v>51.774999999999999</c:v>
                </c:pt>
                <c:pt idx="10">
                  <c:v>51.615499999999997</c:v>
                </c:pt>
                <c:pt idx="11">
                  <c:v>51.466750000000005</c:v>
                </c:pt>
                <c:pt idx="12">
                  <c:v>51.376749999999994</c:v>
                </c:pt>
                <c:pt idx="13">
                  <c:v>51.4</c:v>
                </c:pt>
                <c:pt idx="14">
                  <c:v>51.099749999999993</c:v>
                </c:pt>
                <c:pt idx="15">
                  <c:v>50.811499999999995</c:v>
                </c:pt>
                <c:pt idx="16">
                  <c:v>50.573499999999989</c:v>
                </c:pt>
                <c:pt idx="17">
                  <c:v>50.421999999999997</c:v>
                </c:pt>
                <c:pt idx="18">
                  <c:v>50.310499999999998</c:v>
                </c:pt>
                <c:pt idx="19">
                  <c:v>50.188249999999996</c:v>
                </c:pt>
                <c:pt idx="20">
                  <c:v>50.084999999999994</c:v>
                </c:pt>
                <c:pt idx="21">
                  <c:v>49.937749999999994</c:v>
                </c:pt>
                <c:pt idx="22">
                  <c:v>49.640499999999989</c:v>
                </c:pt>
                <c:pt idx="23">
                  <c:v>49.426749999999991</c:v>
                </c:pt>
                <c:pt idx="24">
                  <c:v>49.177250000000001</c:v>
                </c:pt>
                <c:pt idx="25">
                  <c:v>48.842499999999994</c:v>
                </c:pt>
                <c:pt idx="26">
                  <c:v>48.53649999999999</c:v>
                </c:pt>
                <c:pt idx="27">
                  <c:v>48.167749999999998</c:v>
                </c:pt>
                <c:pt idx="28">
                  <c:v>47.771000000000001</c:v>
                </c:pt>
                <c:pt idx="29">
                  <c:v>47.429249999999996</c:v>
                </c:pt>
                <c:pt idx="30">
                  <c:v>47.096499999999999</c:v>
                </c:pt>
                <c:pt idx="31">
                  <c:v>46.783749999999998</c:v>
                </c:pt>
                <c:pt idx="32">
                  <c:v>46.483750000000001</c:v>
                </c:pt>
                <c:pt idx="33">
                  <c:v>46.154499999999999</c:v>
                </c:pt>
                <c:pt idx="34">
                  <c:v>45.845750000000002</c:v>
                </c:pt>
                <c:pt idx="35">
                  <c:v>45.52075</c:v>
                </c:pt>
                <c:pt idx="36">
                  <c:v>45.146250000000002</c:v>
                </c:pt>
                <c:pt idx="37">
                  <c:v>44.780749999999998</c:v>
                </c:pt>
                <c:pt idx="38">
                  <c:v>44.418749999999996</c:v>
                </c:pt>
                <c:pt idx="39">
                  <c:v>44.109749999999998</c:v>
                </c:pt>
                <c:pt idx="40">
                  <c:v>43.795249999999996</c:v>
                </c:pt>
                <c:pt idx="41">
                  <c:v>43.393999999999991</c:v>
                </c:pt>
                <c:pt idx="42">
                  <c:v>43.025999999999996</c:v>
                </c:pt>
                <c:pt idx="43">
                  <c:v>42.637999999999991</c:v>
                </c:pt>
                <c:pt idx="44">
                  <c:v>42.237249999999996</c:v>
                </c:pt>
                <c:pt idx="45">
                  <c:v>41.778999999999989</c:v>
                </c:pt>
                <c:pt idx="46">
                  <c:v>41.381999999999991</c:v>
                </c:pt>
                <c:pt idx="47">
                  <c:v>40.98749999999999</c:v>
                </c:pt>
                <c:pt idx="48">
                  <c:v>40.581249999999997</c:v>
                </c:pt>
                <c:pt idx="49">
                  <c:v>40.189499999999995</c:v>
                </c:pt>
                <c:pt idx="50">
                  <c:v>39.785749999999993</c:v>
                </c:pt>
                <c:pt idx="51">
                  <c:v>39.421249999999993</c:v>
                </c:pt>
                <c:pt idx="52">
                  <c:v>39.060999999999993</c:v>
                </c:pt>
                <c:pt idx="53">
                  <c:v>38.656500000000001</c:v>
                </c:pt>
                <c:pt idx="54">
                  <c:v>38.270249999999997</c:v>
                </c:pt>
                <c:pt idx="55">
                  <c:v>37.922249999999998</c:v>
                </c:pt>
                <c:pt idx="56">
                  <c:v>37.623499999999993</c:v>
                </c:pt>
                <c:pt idx="57">
                  <c:v>37.308</c:v>
                </c:pt>
                <c:pt idx="58">
                  <c:v>36.997750000000003</c:v>
                </c:pt>
                <c:pt idx="59">
                  <c:v>36.630499999999998</c:v>
                </c:pt>
                <c:pt idx="60">
                  <c:v>36.276499999999992</c:v>
                </c:pt>
                <c:pt idx="61">
                  <c:v>35.898000000000003</c:v>
                </c:pt>
                <c:pt idx="62">
                  <c:v>35.683</c:v>
                </c:pt>
                <c:pt idx="63">
                  <c:v>35.393749999999997</c:v>
                </c:pt>
                <c:pt idx="64">
                  <c:v>35.135999999999996</c:v>
                </c:pt>
                <c:pt idx="65">
                  <c:v>34.840500000000006</c:v>
                </c:pt>
                <c:pt idx="66">
                  <c:v>34.518749999999997</c:v>
                </c:pt>
                <c:pt idx="67">
                  <c:v>34.168000000000006</c:v>
                </c:pt>
                <c:pt idx="68">
                  <c:v>33.816749999999999</c:v>
                </c:pt>
                <c:pt idx="69">
                  <c:v>33.454999999999998</c:v>
                </c:pt>
                <c:pt idx="70">
                  <c:v>33.155500000000004</c:v>
                </c:pt>
                <c:pt idx="71">
                  <c:v>32.851749999999996</c:v>
                </c:pt>
                <c:pt idx="72">
                  <c:v>32.540000000000006</c:v>
                </c:pt>
                <c:pt idx="73">
                  <c:v>32.247749999999996</c:v>
                </c:pt>
                <c:pt idx="74">
                  <c:v>31.940249999999999</c:v>
                </c:pt>
                <c:pt idx="75">
                  <c:v>31.655249999999995</c:v>
                </c:pt>
                <c:pt idx="76">
                  <c:v>31.383999999999997</c:v>
                </c:pt>
                <c:pt idx="77">
                  <c:v>31.104249999999997</c:v>
                </c:pt>
                <c:pt idx="78">
                  <c:v>30.827499999999997</c:v>
                </c:pt>
                <c:pt idx="79">
                  <c:v>30.558249999999997</c:v>
                </c:pt>
                <c:pt idx="80">
                  <c:v>30.272999999999996</c:v>
                </c:pt>
                <c:pt idx="81">
                  <c:v>30.014250000000004</c:v>
                </c:pt>
                <c:pt idx="82">
                  <c:v>29.7605</c:v>
                </c:pt>
                <c:pt idx="83">
                  <c:v>29.492750000000001</c:v>
                </c:pt>
                <c:pt idx="84">
                  <c:v>29.226250000000004</c:v>
                </c:pt>
                <c:pt idx="85">
                  <c:v>28.989000000000011</c:v>
                </c:pt>
                <c:pt idx="86">
                  <c:v>28.719750000000005</c:v>
                </c:pt>
                <c:pt idx="87">
                  <c:v>28.451250000000005</c:v>
                </c:pt>
                <c:pt idx="88">
                  <c:v>28.17625</c:v>
                </c:pt>
                <c:pt idx="89">
                  <c:v>27.897249999999996</c:v>
                </c:pt>
                <c:pt idx="90">
                  <c:v>27.652250000000002</c:v>
                </c:pt>
                <c:pt idx="91">
                  <c:v>27.41225</c:v>
                </c:pt>
                <c:pt idx="92">
                  <c:v>27.175000000000004</c:v>
                </c:pt>
                <c:pt idx="93">
                  <c:v>26.940000000000005</c:v>
                </c:pt>
                <c:pt idx="94">
                  <c:v>26.722000000000001</c:v>
                </c:pt>
                <c:pt idx="95">
                  <c:v>26.541500000000003</c:v>
                </c:pt>
                <c:pt idx="96">
                  <c:v>26.372500000000002</c:v>
                </c:pt>
                <c:pt idx="97">
                  <c:v>26.18075</c:v>
                </c:pt>
                <c:pt idx="98">
                  <c:v>25.983249999999998</c:v>
                </c:pt>
                <c:pt idx="99">
                  <c:v>25.810750000000002</c:v>
                </c:pt>
                <c:pt idx="100">
                  <c:v>25.631250000000001</c:v>
                </c:pt>
                <c:pt idx="101">
                  <c:v>25.494499999999999</c:v>
                </c:pt>
                <c:pt idx="102">
                  <c:v>25.392749999999999</c:v>
                </c:pt>
                <c:pt idx="103">
                  <c:v>25.311000000000003</c:v>
                </c:pt>
                <c:pt idx="104">
                  <c:v>25.216500000000003</c:v>
                </c:pt>
                <c:pt idx="105">
                  <c:v>25.170500000000001</c:v>
                </c:pt>
                <c:pt idx="106">
                  <c:v>25.171750000000003</c:v>
                </c:pt>
                <c:pt idx="107">
                  <c:v>25.213750000000001</c:v>
                </c:pt>
                <c:pt idx="108">
                  <c:v>25.25825</c:v>
                </c:pt>
                <c:pt idx="109">
                  <c:v>25.356000000000002</c:v>
                </c:pt>
                <c:pt idx="110">
                  <c:v>25.41225</c:v>
                </c:pt>
                <c:pt idx="111">
                  <c:v>25.449249999999999</c:v>
                </c:pt>
                <c:pt idx="112">
                  <c:v>25.474499999999999</c:v>
                </c:pt>
                <c:pt idx="113">
                  <c:v>25.489750000000001</c:v>
                </c:pt>
                <c:pt idx="114">
                  <c:v>25.497750000000003</c:v>
                </c:pt>
                <c:pt idx="115">
                  <c:v>25.513750000000002</c:v>
                </c:pt>
                <c:pt idx="116">
                  <c:v>25.527750000000005</c:v>
                </c:pt>
                <c:pt idx="117">
                  <c:v>25.522250000000007</c:v>
                </c:pt>
                <c:pt idx="118">
                  <c:v>25.487500000000004</c:v>
                </c:pt>
                <c:pt idx="119">
                  <c:v>25.451500000000003</c:v>
                </c:pt>
                <c:pt idx="120">
                  <c:v>25.440750000000001</c:v>
                </c:pt>
                <c:pt idx="121">
                  <c:v>25.436250000000001</c:v>
                </c:pt>
                <c:pt idx="122">
                  <c:v>25.434000000000001</c:v>
                </c:pt>
                <c:pt idx="123">
                  <c:v>25.413250000000001</c:v>
                </c:pt>
                <c:pt idx="124">
                  <c:v>25.374750000000002</c:v>
                </c:pt>
                <c:pt idx="125">
                  <c:v>25.367750000000001</c:v>
                </c:pt>
                <c:pt idx="126">
                  <c:v>25.348749999999999</c:v>
                </c:pt>
                <c:pt idx="127">
                  <c:v>25.322749999999999</c:v>
                </c:pt>
                <c:pt idx="128">
                  <c:v>25.298499999999997</c:v>
                </c:pt>
                <c:pt idx="129">
                  <c:v>25.274750000000001</c:v>
                </c:pt>
                <c:pt idx="130">
                  <c:v>25.249749999999999</c:v>
                </c:pt>
                <c:pt idx="131">
                  <c:v>25.240500000000001</c:v>
                </c:pt>
                <c:pt idx="132">
                  <c:v>25.211749999999999</c:v>
                </c:pt>
                <c:pt idx="133">
                  <c:v>25.207499999999996</c:v>
                </c:pt>
                <c:pt idx="134">
                  <c:v>25.178499999999996</c:v>
                </c:pt>
                <c:pt idx="135">
                  <c:v>25.105749999999997</c:v>
                </c:pt>
                <c:pt idx="136">
                  <c:v>25.031999999999996</c:v>
                </c:pt>
                <c:pt idx="137">
                  <c:v>24.994499999999995</c:v>
                </c:pt>
                <c:pt idx="138">
                  <c:v>24.995249999999995</c:v>
                </c:pt>
                <c:pt idx="139">
                  <c:v>24.980749999999997</c:v>
                </c:pt>
                <c:pt idx="140">
                  <c:v>25.009749999999997</c:v>
                </c:pt>
                <c:pt idx="141">
                  <c:v>25.011749999999996</c:v>
                </c:pt>
                <c:pt idx="142">
                  <c:v>25.025499999999997</c:v>
                </c:pt>
                <c:pt idx="143">
                  <c:v>25.024999999999999</c:v>
                </c:pt>
                <c:pt idx="144">
                  <c:v>25.029</c:v>
                </c:pt>
                <c:pt idx="145">
                  <c:v>25.021999999999998</c:v>
                </c:pt>
                <c:pt idx="146">
                  <c:v>24.984500000000004</c:v>
                </c:pt>
                <c:pt idx="147">
                  <c:v>24.919500000000006</c:v>
                </c:pt>
                <c:pt idx="148">
                  <c:v>24.868750000000006</c:v>
                </c:pt>
                <c:pt idx="149">
                  <c:v>24.800000000000004</c:v>
                </c:pt>
                <c:pt idx="150">
                  <c:v>24.740500000000004</c:v>
                </c:pt>
                <c:pt idx="151">
                  <c:v>24.703250000000004</c:v>
                </c:pt>
                <c:pt idx="152">
                  <c:v>24.641250000000007</c:v>
                </c:pt>
                <c:pt idx="153">
                  <c:v>24.574250000000006</c:v>
                </c:pt>
                <c:pt idx="154">
                  <c:v>24.522000000000006</c:v>
                </c:pt>
                <c:pt idx="155">
                  <c:v>24.448500000000003</c:v>
                </c:pt>
                <c:pt idx="156">
                  <c:v>24.363750000000003</c:v>
                </c:pt>
                <c:pt idx="157">
                  <c:v>24.237000000000002</c:v>
                </c:pt>
                <c:pt idx="158">
                  <c:v>24.134000000000004</c:v>
                </c:pt>
                <c:pt idx="159">
                  <c:v>24.02075</c:v>
                </c:pt>
                <c:pt idx="160">
                  <c:v>23.886000000000003</c:v>
                </c:pt>
                <c:pt idx="161">
                  <c:v>23.756499999999999</c:v>
                </c:pt>
                <c:pt idx="162">
                  <c:v>23.623749999999998</c:v>
                </c:pt>
                <c:pt idx="163">
                  <c:v>23.480499999999999</c:v>
                </c:pt>
                <c:pt idx="164">
                  <c:v>23.334749999999996</c:v>
                </c:pt>
                <c:pt idx="165">
                  <c:v>23.156249999999993</c:v>
                </c:pt>
                <c:pt idx="166">
                  <c:v>22.997999999999994</c:v>
                </c:pt>
                <c:pt idx="167">
                  <c:v>22.850249999999996</c:v>
                </c:pt>
                <c:pt idx="168">
                  <c:v>22.708749999999991</c:v>
                </c:pt>
                <c:pt idx="169">
                  <c:v>22.573749999999993</c:v>
                </c:pt>
                <c:pt idx="170">
                  <c:v>22.432999999999993</c:v>
                </c:pt>
                <c:pt idx="171">
                  <c:v>22.267749999999992</c:v>
                </c:pt>
                <c:pt idx="172">
                  <c:v>22.125999999999991</c:v>
                </c:pt>
                <c:pt idx="173">
                  <c:v>21.978999999999992</c:v>
                </c:pt>
                <c:pt idx="174">
                  <c:v>21.838999999999992</c:v>
                </c:pt>
                <c:pt idx="175">
                  <c:v>21.703999999999997</c:v>
                </c:pt>
                <c:pt idx="176">
                  <c:v>21.550499999999996</c:v>
                </c:pt>
                <c:pt idx="177">
                  <c:v>21.41075</c:v>
                </c:pt>
                <c:pt idx="178">
                  <c:v>21.220000000000002</c:v>
                </c:pt>
                <c:pt idx="179">
                  <c:v>21.055250000000001</c:v>
                </c:pt>
                <c:pt idx="180">
                  <c:v>20.843250000000001</c:v>
                </c:pt>
                <c:pt idx="181">
                  <c:v>20.793500000000002</c:v>
                </c:pt>
                <c:pt idx="182">
                  <c:v>20.547750000000001</c:v>
                </c:pt>
                <c:pt idx="183">
                  <c:v>20.313750000000006</c:v>
                </c:pt>
                <c:pt idx="184">
                  <c:v>20.083250000000003</c:v>
                </c:pt>
                <c:pt idx="185">
                  <c:v>19.883000000000003</c:v>
                </c:pt>
                <c:pt idx="186">
                  <c:v>19.697500000000002</c:v>
                </c:pt>
                <c:pt idx="187">
                  <c:v>19.494000000000003</c:v>
                </c:pt>
                <c:pt idx="188">
                  <c:v>19.256750000000004</c:v>
                </c:pt>
                <c:pt idx="189">
                  <c:v>19.003500000000003</c:v>
                </c:pt>
                <c:pt idx="190">
                  <c:v>18.73875</c:v>
                </c:pt>
                <c:pt idx="191">
                  <c:v>18.456499999999998</c:v>
                </c:pt>
                <c:pt idx="192">
                  <c:v>18.213249999999995</c:v>
                </c:pt>
                <c:pt idx="193">
                  <c:v>17.95675</c:v>
                </c:pt>
                <c:pt idx="194">
                  <c:v>17.704500000000003</c:v>
                </c:pt>
                <c:pt idx="195">
                  <c:v>17.478249999999999</c:v>
                </c:pt>
                <c:pt idx="196">
                  <c:v>17.2685</c:v>
                </c:pt>
                <c:pt idx="197">
                  <c:v>17.125250000000001</c:v>
                </c:pt>
                <c:pt idx="198">
                  <c:v>16.972749999999998</c:v>
                </c:pt>
                <c:pt idx="199">
                  <c:v>16.822749999999999</c:v>
                </c:pt>
                <c:pt idx="200">
                  <c:v>16.692749999999997</c:v>
                </c:pt>
                <c:pt idx="201">
                  <c:v>16.568999999999996</c:v>
                </c:pt>
                <c:pt idx="202">
                  <c:v>16.446249999999999</c:v>
                </c:pt>
                <c:pt idx="203">
                  <c:v>16.323250000000002</c:v>
                </c:pt>
                <c:pt idx="204">
                  <c:v>16.229499999999998</c:v>
                </c:pt>
                <c:pt idx="205">
                  <c:v>16.132249999999999</c:v>
                </c:pt>
                <c:pt idx="206">
                  <c:v>16.031500000000001</c:v>
                </c:pt>
                <c:pt idx="207">
                  <c:v>15.934749999999998</c:v>
                </c:pt>
                <c:pt idx="208">
                  <c:v>15.841249999999999</c:v>
                </c:pt>
                <c:pt idx="209">
                  <c:v>15.730999999999998</c:v>
                </c:pt>
                <c:pt idx="210">
                  <c:v>15.636999999999997</c:v>
                </c:pt>
                <c:pt idx="211">
                  <c:v>15.548999999999998</c:v>
                </c:pt>
                <c:pt idx="212">
                  <c:v>15.454000000000002</c:v>
                </c:pt>
                <c:pt idx="213">
                  <c:v>15.365500000000001</c:v>
                </c:pt>
                <c:pt idx="214">
                  <c:v>15.285000000000002</c:v>
                </c:pt>
                <c:pt idx="215">
                  <c:v>15.202250000000003</c:v>
                </c:pt>
                <c:pt idx="216">
                  <c:v>15.099750000000004</c:v>
                </c:pt>
                <c:pt idx="217">
                  <c:v>14.989500000000003</c:v>
                </c:pt>
                <c:pt idx="218">
                  <c:v>14.9055</c:v>
                </c:pt>
                <c:pt idx="219">
                  <c:v>14.805749999999998</c:v>
                </c:pt>
                <c:pt idx="220">
                  <c:v>14.711749999999999</c:v>
                </c:pt>
                <c:pt idx="221">
                  <c:v>14.4635</c:v>
                </c:pt>
                <c:pt idx="222">
                  <c:v>14.385749999999998</c:v>
                </c:pt>
                <c:pt idx="223">
                  <c:v>14.323249999999998</c:v>
                </c:pt>
                <c:pt idx="224">
                  <c:v>14.262249999999998</c:v>
                </c:pt>
                <c:pt idx="225">
                  <c:v>14.192249999999998</c:v>
                </c:pt>
                <c:pt idx="226">
                  <c:v>14.122249999999999</c:v>
                </c:pt>
                <c:pt idx="227">
                  <c:v>14.062749999999999</c:v>
                </c:pt>
                <c:pt idx="228">
                  <c:v>14.030250000000001</c:v>
                </c:pt>
                <c:pt idx="229">
                  <c:v>13.968749999999996</c:v>
                </c:pt>
                <c:pt idx="230">
                  <c:v>13.897</c:v>
                </c:pt>
                <c:pt idx="231">
                  <c:v>13.832250000000002</c:v>
                </c:pt>
                <c:pt idx="232">
                  <c:v>13.765000000000004</c:v>
                </c:pt>
                <c:pt idx="233">
                  <c:v>13.700000000000003</c:v>
                </c:pt>
                <c:pt idx="234">
                  <c:v>13.638500000000002</c:v>
                </c:pt>
                <c:pt idx="235">
                  <c:v>13.585250000000002</c:v>
                </c:pt>
                <c:pt idx="236">
                  <c:v>13.542250000000005</c:v>
                </c:pt>
                <c:pt idx="237">
                  <c:v>13.485750000000001</c:v>
                </c:pt>
                <c:pt idx="238">
                  <c:v>13.443750000000003</c:v>
                </c:pt>
                <c:pt idx="239">
                  <c:v>13.399750000000001</c:v>
                </c:pt>
                <c:pt idx="240">
                  <c:v>13.351750000000001</c:v>
                </c:pt>
                <c:pt idx="241">
                  <c:v>13.28125</c:v>
                </c:pt>
                <c:pt idx="242">
                  <c:v>13.210999999999999</c:v>
                </c:pt>
                <c:pt idx="243">
                  <c:v>13.140750000000001</c:v>
                </c:pt>
                <c:pt idx="244">
                  <c:v>13.086499999999997</c:v>
                </c:pt>
                <c:pt idx="245">
                  <c:v>13.039249999999999</c:v>
                </c:pt>
                <c:pt idx="246">
                  <c:v>12.991</c:v>
                </c:pt>
                <c:pt idx="247">
                  <c:v>12.94125</c:v>
                </c:pt>
                <c:pt idx="248">
                  <c:v>12.876749999999998</c:v>
                </c:pt>
                <c:pt idx="249">
                  <c:v>12.826249999999998</c:v>
                </c:pt>
                <c:pt idx="250">
                  <c:v>12.7615</c:v>
                </c:pt>
                <c:pt idx="251">
                  <c:v>12.6915</c:v>
                </c:pt>
                <c:pt idx="252">
                  <c:v>12.620749999999999</c:v>
                </c:pt>
                <c:pt idx="253">
                  <c:v>12.55325</c:v>
                </c:pt>
                <c:pt idx="254">
                  <c:v>12.479249999999999</c:v>
                </c:pt>
                <c:pt idx="255">
                  <c:v>12.373499999999998</c:v>
                </c:pt>
                <c:pt idx="256">
                  <c:v>12.295999999999999</c:v>
                </c:pt>
                <c:pt idx="257">
                  <c:v>12.2255</c:v>
                </c:pt>
                <c:pt idx="258">
                  <c:v>12.150499999999999</c:v>
                </c:pt>
                <c:pt idx="259">
                  <c:v>12.085000000000001</c:v>
                </c:pt>
                <c:pt idx="260">
                  <c:v>12.0365</c:v>
                </c:pt>
                <c:pt idx="261">
                  <c:v>11.980250000000002</c:v>
                </c:pt>
                <c:pt idx="262">
                  <c:v>11.915500000000002</c:v>
                </c:pt>
                <c:pt idx="263">
                  <c:v>11.85</c:v>
                </c:pt>
                <c:pt idx="264">
                  <c:v>11.77375</c:v>
                </c:pt>
                <c:pt idx="265">
                  <c:v>11.699</c:v>
                </c:pt>
                <c:pt idx="266">
                  <c:v>11.619249999999999</c:v>
                </c:pt>
                <c:pt idx="267">
                  <c:v>11.552249999999999</c:v>
                </c:pt>
                <c:pt idx="268">
                  <c:v>11.484249999999999</c:v>
                </c:pt>
                <c:pt idx="269">
                  <c:v>11.444999999999997</c:v>
                </c:pt>
                <c:pt idx="270">
                  <c:v>11.417999999999997</c:v>
                </c:pt>
                <c:pt idx="271">
                  <c:v>11.396499999999998</c:v>
                </c:pt>
                <c:pt idx="272">
                  <c:v>11.401499999999997</c:v>
                </c:pt>
                <c:pt idx="273">
                  <c:v>11.41025</c:v>
                </c:pt>
                <c:pt idx="274">
                  <c:v>11.388500000000001</c:v>
                </c:pt>
                <c:pt idx="275">
                  <c:v>11.364249999999998</c:v>
                </c:pt>
                <c:pt idx="276">
                  <c:v>11.309249999999999</c:v>
                </c:pt>
                <c:pt idx="277">
                  <c:v>11.257999999999999</c:v>
                </c:pt>
                <c:pt idx="278">
                  <c:v>11.186249999999998</c:v>
                </c:pt>
                <c:pt idx="279">
                  <c:v>11.127749999999997</c:v>
                </c:pt>
                <c:pt idx="280">
                  <c:v>11.052249999999997</c:v>
                </c:pt>
                <c:pt idx="281">
                  <c:v>10.997</c:v>
                </c:pt>
                <c:pt idx="282">
                  <c:v>10.946749999999998</c:v>
                </c:pt>
                <c:pt idx="283">
                  <c:v>10.907499999999999</c:v>
                </c:pt>
                <c:pt idx="284">
                  <c:v>10.829999999999998</c:v>
                </c:pt>
                <c:pt idx="285">
                  <c:v>10.73625</c:v>
                </c:pt>
                <c:pt idx="286">
                  <c:v>10.650500000000001</c:v>
                </c:pt>
                <c:pt idx="287">
                  <c:v>10.563750000000001</c:v>
                </c:pt>
                <c:pt idx="288">
                  <c:v>10.468500000000001</c:v>
                </c:pt>
                <c:pt idx="289">
                  <c:v>10.355</c:v>
                </c:pt>
                <c:pt idx="290">
                  <c:v>10.335999999999999</c:v>
                </c:pt>
                <c:pt idx="291">
                  <c:v>10.329749999999997</c:v>
                </c:pt>
                <c:pt idx="292">
                  <c:v>10.321749999999998</c:v>
                </c:pt>
                <c:pt idx="293">
                  <c:v>10.308999999999999</c:v>
                </c:pt>
                <c:pt idx="294">
                  <c:v>10.308999999999999</c:v>
                </c:pt>
                <c:pt idx="295">
                  <c:v>10.337749999999998</c:v>
                </c:pt>
                <c:pt idx="296">
                  <c:v>10.362499999999999</c:v>
                </c:pt>
                <c:pt idx="297">
                  <c:v>10.376749999999999</c:v>
                </c:pt>
                <c:pt idx="298">
                  <c:v>10.382249999999999</c:v>
                </c:pt>
                <c:pt idx="299">
                  <c:v>10.39175</c:v>
                </c:pt>
                <c:pt idx="300">
                  <c:v>10.400500000000001</c:v>
                </c:pt>
                <c:pt idx="301">
                  <c:v>10.40925</c:v>
                </c:pt>
                <c:pt idx="302">
                  <c:v>10.416499999999999</c:v>
                </c:pt>
                <c:pt idx="303">
                  <c:v>10.419499999999999</c:v>
                </c:pt>
                <c:pt idx="304">
                  <c:v>10.43675</c:v>
                </c:pt>
                <c:pt idx="305">
                  <c:v>10.457750000000001</c:v>
                </c:pt>
                <c:pt idx="306">
                  <c:v>10.487750000000002</c:v>
                </c:pt>
                <c:pt idx="307">
                  <c:v>10.520999999999999</c:v>
                </c:pt>
                <c:pt idx="308">
                  <c:v>10.559500000000002</c:v>
                </c:pt>
                <c:pt idx="309">
                  <c:v>10.59125</c:v>
                </c:pt>
                <c:pt idx="310">
                  <c:v>10.624000000000001</c:v>
                </c:pt>
                <c:pt idx="311">
                  <c:v>10.64775</c:v>
                </c:pt>
                <c:pt idx="312">
                  <c:v>10.660750000000002</c:v>
                </c:pt>
                <c:pt idx="313">
                  <c:v>10.677500000000002</c:v>
                </c:pt>
                <c:pt idx="314">
                  <c:v>10.711750000000002</c:v>
                </c:pt>
                <c:pt idx="315">
                  <c:v>10.748500000000002</c:v>
                </c:pt>
                <c:pt idx="316">
                  <c:v>10.806000000000001</c:v>
                </c:pt>
                <c:pt idx="317">
                  <c:v>10.871750000000002</c:v>
                </c:pt>
                <c:pt idx="318">
                  <c:v>10.959500000000002</c:v>
                </c:pt>
                <c:pt idx="319">
                  <c:v>11.040250000000004</c:v>
                </c:pt>
                <c:pt idx="320">
                  <c:v>11.122250000000001</c:v>
                </c:pt>
                <c:pt idx="321">
                  <c:v>11.195250000000001</c:v>
                </c:pt>
                <c:pt idx="322">
                  <c:v>11.270250000000001</c:v>
                </c:pt>
                <c:pt idx="323">
                  <c:v>11.337000000000002</c:v>
                </c:pt>
                <c:pt idx="324">
                  <c:v>11.4275</c:v>
                </c:pt>
                <c:pt idx="325">
                  <c:v>11.537249999999998</c:v>
                </c:pt>
                <c:pt idx="326">
                  <c:v>11.641999999999999</c:v>
                </c:pt>
                <c:pt idx="327">
                  <c:v>11.756749999999998</c:v>
                </c:pt>
                <c:pt idx="328">
                  <c:v>11.8955</c:v>
                </c:pt>
                <c:pt idx="329">
                  <c:v>12.05275</c:v>
                </c:pt>
                <c:pt idx="330">
                  <c:v>12.11225</c:v>
                </c:pt>
                <c:pt idx="331">
                  <c:v>12.177999999999999</c:v>
                </c:pt>
                <c:pt idx="332">
                  <c:v>12.23875</c:v>
                </c:pt>
                <c:pt idx="333">
                  <c:v>12.289999999999997</c:v>
                </c:pt>
                <c:pt idx="334">
                  <c:v>12.332749999999997</c:v>
                </c:pt>
                <c:pt idx="335">
                  <c:v>12.372499999999999</c:v>
                </c:pt>
                <c:pt idx="336">
                  <c:v>12.412249999999998</c:v>
                </c:pt>
                <c:pt idx="337">
                  <c:v>12.442999999999998</c:v>
                </c:pt>
                <c:pt idx="338">
                  <c:v>12.481249999999999</c:v>
                </c:pt>
                <c:pt idx="339">
                  <c:v>12.517499999999998</c:v>
                </c:pt>
                <c:pt idx="340">
                  <c:v>12.550999999999998</c:v>
                </c:pt>
                <c:pt idx="341">
                  <c:v>12.587</c:v>
                </c:pt>
                <c:pt idx="342">
                  <c:v>12.639750000000001</c:v>
                </c:pt>
                <c:pt idx="343">
                  <c:v>12.697749999999999</c:v>
                </c:pt>
                <c:pt idx="344">
                  <c:v>12.747499999999999</c:v>
                </c:pt>
                <c:pt idx="345">
                  <c:v>12.806999999999999</c:v>
                </c:pt>
                <c:pt idx="346">
                  <c:v>12.873249999999999</c:v>
                </c:pt>
                <c:pt idx="347">
                  <c:v>12.934999999999999</c:v>
                </c:pt>
                <c:pt idx="348">
                  <c:v>13.014249999999999</c:v>
                </c:pt>
                <c:pt idx="349">
                  <c:v>13.103750000000002</c:v>
                </c:pt>
                <c:pt idx="350">
                  <c:v>13.192000000000002</c:v>
                </c:pt>
                <c:pt idx="351">
                  <c:v>13.2805</c:v>
                </c:pt>
                <c:pt idx="352">
                  <c:v>13.354249999999999</c:v>
                </c:pt>
                <c:pt idx="353">
                  <c:v>13.440249999999997</c:v>
                </c:pt>
                <c:pt idx="354">
                  <c:v>13.531000000000001</c:v>
                </c:pt>
                <c:pt idx="355">
                  <c:v>13.61375</c:v>
                </c:pt>
                <c:pt idx="356">
                  <c:v>13.69575</c:v>
                </c:pt>
                <c:pt idx="357">
                  <c:v>13.769500000000003</c:v>
                </c:pt>
                <c:pt idx="358">
                  <c:v>13.832249999999998</c:v>
                </c:pt>
                <c:pt idx="359">
                  <c:v>13.896750000000001</c:v>
                </c:pt>
                <c:pt idx="360">
                  <c:v>13.976500000000001</c:v>
                </c:pt>
                <c:pt idx="361">
                  <c:v>14.0595</c:v>
                </c:pt>
                <c:pt idx="362">
                  <c:v>14.136000000000001</c:v>
                </c:pt>
                <c:pt idx="363">
                  <c:v>14.216750000000001</c:v>
                </c:pt>
                <c:pt idx="364">
                  <c:v>14.299000000000003</c:v>
                </c:pt>
                <c:pt idx="365">
                  <c:v>14.372250000000005</c:v>
                </c:pt>
                <c:pt idx="366">
                  <c:v>14.440250000000006</c:v>
                </c:pt>
                <c:pt idx="367">
                  <c:v>14.492500000000003</c:v>
                </c:pt>
                <c:pt idx="368">
                  <c:v>14.539250000000001</c:v>
                </c:pt>
                <c:pt idx="369">
                  <c:v>14.583499999999997</c:v>
                </c:pt>
                <c:pt idx="370">
                  <c:v>14.636499999999998</c:v>
                </c:pt>
                <c:pt idx="371">
                  <c:v>14.701249999999996</c:v>
                </c:pt>
                <c:pt idx="372">
                  <c:v>14.781749999999997</c:v>
                </c:pt>
                <c:pt idx="373">
                  <c:v>14.863249999999997</c:v>
                </c:pt>
                <c:pt idx="374">
                  <c:v>14.931999999999999</c:v>
                </c:pt>
                <c:pt idx="375">
                  <c:v>14.998249999999999</c:v>
                </c:pt>
                <c:pt idx="376">
                  <c:v>15.035249999999996</c:v>
                </c:pt>
                <c:pt idx="377">
                  <c:v>15.071749999999998</c:v>
                </c:pt>
                <c:pt idx="378">
                  <c:v>15.109999999999996</c:v>
                </c:pt>
                <c:pt idx="379">
                  <c:v>15.358249999999995</c:v>
                </c:pt>
                <c:pt idx="380">
                  <c:v>15.594249999999997</c:v>
                </c:pt>
                <c:pt idx="381">
                  <c:v>15.824499999999997</c:v>
                </c:pt>
                <c:pt idx="382">
                  <c:v>16.053249999999998</c:v>
                </c:pt>
                <c:pt idx="383">
                  <c:v>16.283999999999999</c:v>
                </c:pt>
                <c:pt idx="384">
                  <c:v>16.521750000000004</c:v>
                </c:pt>
                <c:pt idx="385">
                  <c:v>16.764500000000005</c:v>
                </c:pt>
                <c:pt idx="386">
                  <c:v>16.997500000000006</c:v>
                </c:pt>
                <c:pt idx="387">
                  <c:v>17.229750000000003</c:v>
                </c:pt>
                <c:pt idx="388">
                  <c:v>17.434000000000005</c:v>
                </c:pt>
                <c:pt idx="389">
                  <c:v>17.636750000000003</c:v>
                </c:pt>
                <c:pt idx="390">
                  <c:v>17.851500000000001</c:v>
                </c:pt>
                <c:pt idx="391">
                  <c:v>18.074249999999999</c:v>
                </c:pt>
                <c:pt idx="392">
                  <c:v>18.294500000000003</c:v>
                </c:pt>
                <c:pt idx="393">
                  <c:v>18.50975</c:v>
                </c:pt>
                <c:pt idx="394">
                  <c:v>18.715</c:v>
                </c:pt>
                <c:pt idx="395">
                  <c:v>18.910250000000001</c:v>
                </c:pt>
                <c:pt idx="396">
                  <c:v>19.125750000000004</c:v>
                </c:pt>
                <c:pt idx="397">
                  <c:v>19.341000000000001</c:v>
                </c:pt>
                <c:pt idx="398">
                  <c:v>19.559750000000001</c:v>
                </c:pt>
                <c:pt idx="399">
                  <c:v>19.766999999999999</c:v>
                </c:pt>
                <c:pt idx="400">
                  <c:v>19.962999999999997</c:v>
                </c:pt>
                <c:pt idx="401">
                  <c:v>20.173499999999997</c:v>
                </c:pt>
                <c:pt idx="402">
                  <c:v>20.390999999999998</c:v>
                </c:pt>
                <c:pt idx="403">
                  <c:v>20.610749999999999</c:v>
                </c:pt>
                <c:pt idx="404">
                  <c:v>20.81925</c:v>
                </c:pt>
                <c:pt idx="405">
                  <c:v>21.027499999999996</c:v>
                </c:pt>
                <c:pt idx="406">
                  <c:v>21.235749999999999</c:v>
                </c:pt>
                <c:pt idx="407">
                  <c:v>21.430999999999997</c:v>
                </c:pt>
                <c:pt idx="408">
                  <c:v>21.617749999999994</c:v>
                </c:pt>
                <c:pt idx="409">
                  <c:v>21.785999999999994</c:v>
                </c:pt>
                <c:pt idx="410">
                  <c:v>21.962499999999995</c:v>
                </c:pt>
                <c:pt idx="411">
                  <c:v>22.116999999999994</c:v>
                </c:pt>
                <c:pt idx="412">
                  <c:v>22.276749999999996</c:v>
                </c:pt>
                <c:pt idx="413">
                  <c:v>22.435249999999993</c:v>
                </c:pt>
                <c:pt idx="414">
                  <c:v>22.591749999999998</c:v>
                </c:pt>
                <c:pt idx="415">
                  <c:v>22.753749999999997</c:v>
                </c:pt>
                <c:pt idx="416">
                  <c:v>22.949999999999996</c:v>
                </c:pt>
                <c:pt idx="417">
                  <c:v>23.145749999999992</c:v>
                </c:pt>
                <c:pt idx="418">
                  <c:v>23.323749999999993</c:v>
                </c:pt>
                <c:pt idx="419">
                  <c:v>23.267749999999992</c:v>
                </c:pt>
                <c:pt idx="420">
                  <c:v>23.221499999999999</c:v>
                </c:pt>
                <c:pt idx="421">
                  <c:v>23.180749999999996</c:v>
                </c:pt>
                <c:pt idx="422">
                  <c:v>23.141499999999997</c:v>
                </c:pt>
                <c:pt idx="423">
                  <c:v>23.096499999999999</c:v>
                </c:pt>
                <c:pt idx="424">
                  <c:v>23.053749999999997</c:v>
                </c:pt>
                <c:pt idx="425">
                  <c:v>22.993749999999999</c:v>
                </c:pt>
                <c:pt idx="426">
                  <c:v>22.939749999999997</c:v>
                </c:pt>
                <c:pt idx="427">
                  <c:v>22.884999999999998</c:v>
                </c:pt>
                <c:pt idx="428">
                  <c:v>22.824749999999998</c:v>
                </c:pt>
                <c:pt idx="429">
                  <c:v>22.764499999999995</c:v>
                </c:pt>
                <c:pt idx="430">
                  <c:v>22.686999999999994</c:v>
                </c:pt>
                <c:pt idx="431">
                  <c:v>22.597749999999998</c:v>
                </c:pt>
                <c:pt idx="432">
                  <c:v>22.514499999999995</c:v>
                </c:pt>
                <c:pt idx="433">
                  <c:v>22.429999999999993</c:v>
                </c:pt>
                <c:pt idx="434">
                  <c:v>22.356249999999996</c:v>
                </c:pt>
                <c:pt idx="435">
                  <c:v>22.268749999999997</c:v>
                </c:pt>
                <c:pt idx="436">
                  <c:v>22.158999999999999</c:v>
                </c:pt>
                <c:pt idx="437">
                  <c:v>22.045749999999998</c:v>
                </c:pt>
                <c:pt idx="438">
                  <c:v>21.925749999999994</c:v>
                </c:pt>
                <c:pt idx="439">
                  <c:v>21.806249999999999</c:v>
                </c:pt>
                <c:pt idx="440">
                  <c:v>21.684249999999995</c:v>
                </c:pt>
                <c:pt idx="441">
                  <c:v>21.56999999999999</c:v>
                </c:pt>
                <c:pt idx="442">
                  <c:v>21.440999999999995</c:v>
                </c:pt>
                <c:pt idx="443">
                  <c:v>21.315749999999998</c:v>
                </c:pt>
                <c:pt idx="444">
                  <c:v>21.189749999999997</c:v>
                </c:pt>
                <c:pt idx="445">
                  <c:v>21.050249999999998</c:v>
                </c:pt>
                <c:pt idx="446">
                  <c:v>20.939</c:v>
                </c:pt>
                <c:pt idx="447">
                  <c:v>20.821499999999997</c:v>
                </c:pt>
                <c:pt idx="448">
                  <c:v>20.7515</c:v>
                </c:pt>
                <c:pt idx="449">
                  <c:v>20.688500000000001</c:v>
                </c:pt>
                <c:pt idx="450">
                  <c:v>20.629749999999998</c:v>
                </c:pt>
                <c:pt idx="451">
                  <c:v>20.58325</c:v>
                </c:pt>
                <c:pt idx="452">
                  <c:v>20.515000000000001</c:v>
                </c:pt>
                <c:pt idx="453">
                  <c:v>20.449750000000002</c:v>
                </c:pt>
                <c:pt idx="454">
                  <c:v>20.406500000000001</c:v>
                </c:pt>
                <c:pt idx="455">
                  <c:v>20.350500000000004</c:v>
                </c:pt>
                <c:pt idx="456">
                  <c:v>20.274250000000002</c:v>
                </c:pt>
                <c:pt idx="457">
                  <c:v>20.208750000000002</c:v>
                </c:pt>
                <c:pt idx="458">
                  <c:v>20.138750000000002</c:v>
                </c:pt>
                <c:pt idx="459">
                  <c:v>20.082500000000003</c:v>
                </c:pt>
                <c:pt idx="460">
                  <c:v>20.023000000000003</c:v>
                </c:pt>
                <c:pt idx="461">
                  <c:v>19.968250000000001</c:v>
                </c:pt>
                <c:pt idx="462">
                  <c:v>19.893000000000001</c:v>
                </c:pt>
                <c:pt idx="463">
                  <c:v>19.823</c:v>
                </c:pt>
                <c:pt idx="464">
                  <c:v>19.761749999999999</c:v>
                </c:pt>
                <c:pt idx="465">
                  <c:v>19.709250000000001</c:v>
                </c:pt>
                <c:pt idx="466">
                  <c:v>19.657250000000001</c:v>
                </c:pt>
                <c:pt idx="467">
                  <c:v>19.594000000000001</c:v>
                </c:pt>
                <c:pt idx="468">
                  <c:v>19.536249999999999</c:v>
                </c:pt>
                <c:pt idx="469">
                  <c:v>19.47925</c:v>
                </c:pt>
                <c:pt idx="470">
                  <c:v>19.421749999999999</c:v>
                </c:pt>
                <c:pt idx="471">
                  <c:v>19.375499999999999</c:v>
                </c:pt>
                <c:pt idx="472">
                  <c:v>19.315249999999999</c:v>
                </c:pt>
                <c:pt idx="473">
                  <c:v>19.244750000000003</c:v>
                </c:pt>
                <c:pt idx="474">
                  <c:v>19.182250000000003</c:v>
                </c:pt>
                <c:pt idx="475">
                  <c:v>19.153500000000005</c:v>
                </c:pt>
                <c:pt idx="476">
                  <c:v>19.140500000000007</c:v>
                </c:pt>
                <c:pt idx="477">
                  <c:v>19.120250000000006</c:v>
                </c:pt>
                <c:pt idx="478">
                  <c:v>19.114250000000006</c:v>
                </c:pt>
                <c:pt idx="479">
                  <c:v>19.114250000000006</c:v>
                </c:pt>
                <c:pt idx="480">
                  <c:v>19.123000000000001</c:v>
                </c:pt>
                <c:pt idx="481">
                  <c:v>19.108750000000004</c:v>
                </c:pt>
                <c:pt idx="482">
                  <c:v>19.1035</c:v>
                </c:pt>
                <c:pt idx="483">
                  <c:v>19.096250000000001</c:v>
                </c:pt>
                <c:pt idx="484">
                  <c:v>19.100000000000001</c:v>
                </c:pt>
                <c:pt idx="485">
                  <c:v>19.114000000000001</c:v>
                </c:pt>
                <c:pt idx="486">
                  <c:v>19.1035</c:v>
                </c:pt>
                <c:pt idx="487">
                  <c:v>19.126999999999999</c:v>
                </c:pt>
                <c:pt idx="488">
                  <c:v>19.123249999999995</c:v>
                </c:pt>
                <c:pt idx="489">
                  <c:v>19.128249999999998</c:v>
                </c:pt>
                <c:pt idx="490">
                  <c:v>19.101499999999998</c:v>
                </c:pt>
                <c:pt idx="491">
                  <c:v>19.068717948717946</c:v>
                </c:pt>
                <c:pt idx="492">
                  <c:v>19.044210526315787</c:v>
                </c:pt>
                <c:pt idx="493">
                  <c:v>19.020810810810811</c:v>
                </c:pt>
                <c:pt idx="494">
                  <c:v>18.987222222222222</c:v>
                </c:pt>
                <c:pt idx="495">
                  <c:v>18.96085714285714</c:v>
                </c:pt>
                <c:pt idx="496">
                  <c:v>18.945588235294114</c:v>
                </c:pt>
                <c:pt idx="497">
                  <c:v>18.926969696969696</c:v>
                </c:pt>
                <c:pt idx="498">
                  <c:v>18.925624999999993</c:v>
                </c:pt>
                <c:pt idx="499">
                  <c:v>18.926774193548383</c:v>
                </c:pt>
                <c:pt idx="500">
                  <c:v>18.932666666666663</c:v>
                </c:pt>
                <c:pt idx="501">
                  <c:v>18.936896551724136</c:v>
                </c:pt>
                <c:pt idx="502">
                  <c:v>18.960714285714282</c:v>
                </c:pt>
                <c:pt idx="503">
                  <c:v>18.981111111111108</c:v>
                </c:pt>
                <c:pt idx="504">
                  <c:v>18.983846153846152</c:v>
                </c:pt>
                <c:pt idx="505">
                  <c:v>18.975199999999997</c:v>
                </c:pt>
                <c:pt idx="506">
                  <c:v>18.955000000000002</c:v>
                </c:pt>
                <c:pt idx="507">
                  <c:v>18.945652173913039</c:v>
                </c:pt>
                <c:pt idx="508">
                  <c:v>18.943181818181817</c:v>
                </c:pt>
                <c:pt idx="509">
                  <c:v>18.935238095238098</c:v>
                </c:pt>
                <c:pt idx="510">
                  <c:v>18.936500000000002</c:v>
                </c:pt>
                <c:pt idx="511">
                  <c:v>18.935789473684213</c:v>
                </c:pt>
                <c:pt idx="512">
                  <c:v>18.962222222222223</c:v>
                </c:pt>
                <c:pt idx="513">
                  <c:v>19.007058823529412</c:v>
                </c:pt>
                <c:pt idx="514">
                  <c:v>19.03125</c:v>
                </c:pt>
                <c:pt idx="515">
                  <c:v>19.027333333333335</c:v>
                </c:pt>
                <c:pt idx="516">
                  <c:v>18.990714285714287</c:v>
                </c:pt>
                <c:pt idx="517">
                  <c:v>19.004615384615384</c:v>
                </c:pt>
                <c:pt idx="518">
                  <c:v>18.995000000000001</c:v>
                </c:pt>
                <c:pt idx="519">
                  <c:v>18.994545454545456</c:v>
                </c:pt>
                <c:pt idx="520">
                  <c:v>19.005000000000003</c:v>
                </c:pt>
                <c:pt idx="521">
                  <c:v>19.02333333333333</c:v>
                </c:pt>
                <c:pt idx="522">
                  <c:v>19.053749999999997</c:v>
                </c:pt>
                <c:pt idx="523">
                  <c:v>19.069999999999997</c:v>
                </c:pt>
                <c:pt idx="524">
                  <c:v>19.058333333333334</c:v>
                </c:pt>
                <c:pt idx="525">
                  <c:v>19.094000000000001</c:v>
                </c:pt>
                <c:pt idx="526">
                  <c:v>19.182499999999997</c:v>
                </c:pt>
                <c:pt idx="527">
                  <c:v>19.186666666666664</c:v>
                </c:pt>
                <c:pt idx="528">
                  <c:v>19.064999999999998</c:v>
                </c:pt>
                <c:pt idx="529">
                  <c:v>18.79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55-448F-B357-6C6BD351666A}"/>
            </c:ext>
          </c:extLst>
        </c:ser>
        <c:ser>
          <c:idx val="2"/>
          <c:order val="2"/>
          <c:tx>
            <c:v>Derniers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'Simens Energy'!$B$2:$B$531</c:f>
              <c:numCache>
                <c:formatCode>General</c:formatCode>
                <c:ptCount val="530"/>
                <c:pt idx="0">
                  <c:v>57.87</c:v>
                </c:pt>
                <c:pt idx="1">
                  <c:v>57.3</c:v>
                </c:pt>
                <c:pt idx="2">
                  <c:v>57.38</c:v>
                </c:pt>
                <c:pt idx="3">
                  <c:v>57.1</c:v>
                </c:pt>
                <c:pt idx="4">
                  <c:v>56.88</c:v>
                </c:pt>
                <c:pt idx="5">
                  <c:v>55.5</c:v>
                </c:pt>
                <c:pt idx="6">
                  <c:v>54.12</c:v>
                </c:pt>
                <c:pt idx="7">
                  <c:v>55.48</c:v>
                </c:pt>
                <c:pt idx="8">
                  <c:v>57.84</c:v>
                </c:pt>
                <c:pt idx="9">
                  <c:v>56.72</c:v>
                </c:pt>
                <c:pt idx="10">
                  <c:v>54.52</c:v>
                </c:pt>
                <c:pt idx="11">
                  <c:v>51.96</c:v>
                </c:pt>
                <c:pt idx="12">
                  <c:v>48.32</c:v>
                </c:pt>
                <c:pt idx="13">
                  <c:v>60.36</c:v>
                </c:pt>
                <c:pt idx="14">
                  <c:v>58.8</c:v>
                </c:pt>
                <c:pt idx="15">
                  <c:v>55.14</c:v>
                </c:pt>
                <c:pt idx="16">
                  <c:v>51.76</c:v>
                </c:pt>
                <c:pt idx="17">
                  <c:v>50.1</c:v>
                </c:pt>
                <c:pt idx="18">
                  <c:v>51.88</c:v>
                </c:pt>
                <c:pt idx="19">
                  <c:v>50.34</c:v>
                </c:pt>
                <c:pt idx="20">
                  <c:v>52.22</c:v>
                </c:pt>
                <c:pt idx="21">
                  <c:v>50.84</c:v>
                </c:pt>
                <c:pt idx="22">
                  <c:v>49.23</c:v>
                </c:pt>
                <c:pt idx="23">
                  <c:v>49.5</c:v>
                </c:pt>
                <c:pt idx="24">
                  <c:v>51.9</c:v>
                </c:pt>
                <c:pt idx="25">
                  <c:v>50.5</c:v>
                </c:pt>
                <c:pt idx="26">
                  <c:v>53.7</c:v>
                </c:pt>
                <c:pt idx="27">
                  <c:v>54.52</c:v>
                </c:pt>
                <c:pt idx="28">
                  <c:v>51.98</c:v>
                </c:pt>
                <c:pt idx="29">
                  <c:v>50.84</c:v>
                </c:pt>
                <c:pt idx="30">
                  <c:v>50.38</c:v>
                </c:pt>
                <c:pt idx="31">
                  <c:v>50.08</c:v>
                </c:pt>
                <c:pt idx="32">
                  <c:v>51.12</c:v>
                </c:pt>
                <c:pt idx="33">
                  <c:v>50.7</c:v>
                </c:pt>
                <c:pt idx="34">
                  <c:v>50</c:v>
                </c:pt>
                <c:pt idx="35">
                  <c:v>51.22</c:v>
                </c:pt>
                <c:pt idx="36">
                  <c:v>51.1</c:v>
                </c:pt>
                <c:pt idx="37">
                  <c:v>51.1</c:v>
                </c:pt>
                <c:pt idx="38">
                  <c:v>48.88</c:v>
                </c:pt>
                <c:pt idx="39">
                  <c:v>49.06</c:v>
                </c:pt>
                <c:pt idx="40">
                  <c:v>51.06</c:v>
                </c:pt>
                <c:pt idx="41">
                  <c:v>49.39</c:v>
                </c:pt>
                <c:pt idx="42">
                  <c:v>51.64</c:v>
                </c:pt>
                <c:pt idx="43">
                  <c:v>51.86</c:v>
                </c:pt>
                <c:pt idx="44">
                  <c:v>53.02</c:v>
                </c:pt>
                <c:pt idx="45">
                  <c:v>51.5</c:v>
                </c:pt>
                <c:pt idx="46">
                  <c:v>51.24</c:v>
                </c:pt>
                <c:pt idx="47">
                  <c:v>51.5</c:v>
                </c:pt>
                <c:pt idx="48">
                  <c:v>51.02</c:v>
                </c:pt>
                <c:pt idx="49">
                  <c:v>50.34</c:v>
                </c:pt>
                <c:pt idx="50">
                  <c:v>48.57</c:v>
                </c:pt>
                <c:pt idx="51">
                  <c:v>48.36</c:v>
                </c:pt>
                <c:pt idx="52">
                  <c:v>49.25</c:v>
                </c:pt>
                <c:pt idx="53">
                  <c:v>48.35</c:v>
                </c:pt>
                <c:pt idx="54">
                  <c:v>47.27</c:v>
                </c:pt>
                <c:pt idx="55">
                  <c:v>45.62</c:v>
                </c:pt>
                <c:pt idx="56">
                  <c:v>45.7</c:v>
                </c:pt>
                <c:pt idx="57">
                  <c:v>45.64</c:v>
                </c:pt>
                <c:pt idx="58">
                  <c:v>46.99</c:v>
                </c:pt>
                <c:pt idx="59">
                  <c:v>46.21</c:v>
                </c:pt>
                <c:pt idx="60">
                  <c:v>46.33</c:v>
                </c:pt>
                <c:pt idx="61">
                  <c:v>38.950000000000003</c:v>
                </c:pt>
                <c:pt idx="62">
                  <c:v>40.68</c:v>
                </c:pt>
                <c:pt idx="63">
                  <c:v>39.520000000000003</c:v>
                </c:pt>
                <c:pt idx="64">
                  <c:v>38.51</c:v>
                </c:pt>
                <c:pt idx="65">
                  <c:v>38.26</c:v>
                </c:pt>
                <c:pt idx="66">
                  <c:v>38.950000000000003</c:v>
                </c:pt>
                <c:pt idx="67">
                  <c:v>38.65</c:v>
                </c:pt>
                <c:pt idx="68">
                  <c:v>38.31</c:v>
                </c:pt>
                <c:pt idx="69">
                  <c:v>37.53</c:v>
                </c:pt>
                <c:pt idx="70">
                  <c:v>37.869999999999997</c:v>
                </c:pt>
                <c:pt idx="71">
                  <c:v>38.08</c:v>
                </c:pt>
                <c:pt idx="72">
                  <c:v>37.950000000000003</c:v>
                </c:pt>
                <c:pt idx="73">
                  <c:v>38.35</c:v>
                </c:pt>
                <c:pt idx="74">
                  <c:v>37</c:v>
                </c:pt>
                <c:pt idx="75">
                  <c:v>36.24</c:v>
                </c:pt>
                <c:pt idx="76">
                  <c:v>36.479999999999997</c:v>
                </c:pt>
                <c:pt idx="77">
                  <c:v>36.619999999999997</c:v>
                </c:pt>
                <c:pt idx="78">
                  <c:v>36.520000000000003</c:v>
                </c:pt>
                <c:pt idx="79">
                  <c:v>36.479999999999997</c:v>
                </c:pt>
                <c:pt idx="80">
                  <c:v>35.01</c:v>
                </c:pt>
                <c:pt idx="81">
                  <c:v>34.67</c:v>
                </c:pt>
                <c:pt idx="82">
                  <c:v>36.119999999999997</c:v>
                </c:pt>
                <c:pt idx="83">
                  <c:v>35.83</c:v>
                </c:pt>
                <c:pt idx="84">
                  <c:v>34.69</c:v>
                </c:pt>
                <c:pt idx="85">
                  <c:v>35.619999999999997</c:v>
                </c:pt>
                <c:pt idx="86">
                  <c:v>35.46</c:v>
                </c:pt>
                <c:pt idx="87">
                  <c:v>35.25</c:v>
                </c:pt>
                <c:pt idx="88">
                  <c:v>35.35</c:v>
                </c:pt>
                <c:pt idx="89">
                  <c:v>34.19</c:v>
                </c:pt>
                <c:pt idx="90">
                  <c:v>33.99</c:v>
                </c:pt>
                <c:pt idx="91">
                  <c:v>33.950000000000003</c:v>
                </c:pt>
                <c:pt idx="92">
                  <c:v>33.07</c:v>
                </c:pt>
                <c:pt idx="93">
                  <c:v>32.9</c:v>
                </c:pt>
                <c:pt idx="94">
                  <c:v>33.35</c:v>
                </c:pt>
                <c:pt idx="95">
                  <c:v>33.67</c:v>
                </c:pt>
                <c:pt idx="96">
                  <c:v>33.08</c:v>
                </c:pt>
                <c:pt idx="97">
                  <c:v>33.229999999999997</c:v>
                </c:pt>
                <c:pt idx="98">
                  <c:v>32.299999999999997</c:v>
                </c:pt>
                <c:pt idx="99">
                  <c:v>32.049999999999997</c:v>
                </c:pt>
                <c:pt idx="100">
                  <c:v>31.19</c:v>
                </c:pt>
                <c:pt idx="101">
                  <c:v>30.35</c:v>
                </c:pt>
                <c:pt idx="102">
                  <c:v>29.11</c:v>
                </c:pt>
                <c:pt idx="103">
                  <c:v>29.21</c:v>
                </c:pt>
                <c:pt idx="104">
                  <c:v>26.69</c:v>
                </c:pt>
                <c:pt idx="105">
                  <c:v>25.39</c:v>
                </c:pt>
                <c:pt idx="106">
                  <c:v>24.92</c:v>
                </c:pt>
                <c:pt idx="107">
                  <c:v>24.6</c:v>
                </c:pt>
                <c:pt idx="108">
                  <c:v>23.84</c:v>
                </c:pt>
                <c:pt idx="109">
                  <c:v>25.55</c:v>
                </c:pt>
                <c:pt idx="110">
                  <c:v>25.72</c:v>
                </c:pt>
                <c:pt idx="111">
                  <c:v>25.61</c:v>
                </c:pt>
                <c:pt idx="112">
                  <c:v>26.26</c:v>
                </c:pt>
                <c:pt idx="113">
                  <c:v>26.05</c:v>
                </c:pt>
                <c:pt idx="114">
                  <c:v>25.6</c:v>
                </c:pt>
                <c:pt idx="115">
                  <c:v>25.39</c:v>
                </c:pt>
                <c:pt idx="116">
                  <c:v>25.29</c:v>
                </c:pt>
                <c:pt idx="117">
                  <c:v>25.55</c:v>
                </c:pt>
                <c:pt idx="118">
                  <c:v>25.75</c:v>
                </c:pt>
                <c:pt idx="119">
                  <c:v>25.07</c:v>
                </c:pt>
                <c:pt idx="120">
                  <c:v>24.66</c:v>
                </c:pt>
                <c:pt idx="121">
                  <c:v>24.52</c:v>
                </c:pt>
                <c:pt idx="122">
                  <c:v>25.41</c:v>
                </c:pt>
                <c:pt idx="123">
                  <c:v>25.17</c:v>
                </c:pt>
                <c:pt idx="124">
                  <c:v>25.2</c:v>
                </c:pt>
                <c:pt idx="125">
                  <c:v>24.85</c:v>
                </c:pt>
                <c:pt idx="126">
                  <c:v>24.72</c:v>
                </c:pt>
                <c:pt idx="127">
                  <c:v>24.25</c:v>
                </c:pt>
                <c:pt idx="128">
                  <c:v>24.19</c:v>
                </c:pt>
                <c:pt idx="129">
                  <c:v>24.39</c:v>
                </c:pt>
                <c:pt idx="130">
                  <c:v>24.39</c:v>
                </c:pt>
                <c:pt idx="131">
                  <c:v>24.46</c:v>
                </c:pt>
                <c:pt idx="132">
                  <c:v>23.67</c:v>
                </c:pt>
                <c:pt idx="133">
                  <c:v>24.18</c:v>
                </c:pt>
                <c:pt idx="134">
                  <c:v>26.13</c:v>
                </c:pt>
                <c:pt idx="135">
                  <c:v>26.91</c:v>
                </c:pt>
                <c:pt idx="136">
                  <c:v>25.41</c:v>
                </c:pt>
                <c:pt idx="137">
                  <c:v>25.33</c:v>
                </c:pt>
                <c:pt idx="138">
                  <c:v>25.4</c:v>
                </c:pt>
                <c:pt idx="139">
                  <c:v>24.87</c:v>
                </c:pt>
                <c:pt idx="140">
                  <c:v>25.72</c:v>
                </c:pt>
                <c:pt idx="141">
                  <c:v>26.28</c:v>
                </c:pt>
                <c:pt idx="142">
                  <c:v>25.84</c:v>
                </c:pt>
                <c:pt idx="143">
                  <c:v>25.43</c:v>
                </c:pt>
                <c:pt idx="144">
                  <c:v>24.85</c:v>
                </c:pt>
                <c:pt idx="145">
                  <c:v>25.44</c:v>
                </c:pt>
                <c:pt idx="146">
                  <c:v>26.6</c:v>
                </c:pt>
                <c:pt idx="147">
                  <c:v>26.38</c:v>
                </c:pt>
                <c:pt idx="148">
                  <c:v>27.75</c:v>
                </c:pt>
                <c:pt idx="149">
                  <c:v>27.8</c:v>
                </c:pt>
                <c:pt idx="150">
                  <c:v>27.2</c:v>
                </c:pt>
                <c:pt idx="151">
                  <c:v>26.62</c:v>
                </c:pt>
                <c:pt idx="152">
                  <c:v>26.87</c:v>
                </c:pt>
                <c:pt idx="153">
                  <c:v>26.37</c:v>
                </c:pt>
                <c:pt idx="154">
                  <c:v>26.24</c:v>
                </c:pt>
                <c:pt idx="155">
                  <c:v>25.95</c:v>
                </c:pt>
                <c:pt idx="156">
                  <c:v>25.07</c:v>
                </c:pt>
                <c:pt idx="157">
                  <c:v>24.16</c:v>
                </c:pt>
                <c:pt idx="158">
                  <c:v>24.31</c:v>
                </c:pt>
                <c:pt idx="159">
                  <c:v>24.64</c:v>
                </c:pt>
                <c:pt idx="160">
                  <c:v>24.48</c:v>
                </c:pt>
                <c:pt idx="161">
                  <c:v>24.43</c:v>
                </c:pt>
                <c:pt idx="162">
                  <c:v>24.58</c:v>
                </c:pt>
                <c:pt idx="163">
                  <c:v>23.63</c:v>
                </c:pt>
                <c:pt idx="164">
                  <c:v>24.92</c:v>
                </c:pt>
                <c:pt idx="165">
                  <c:v>24.09</c:v>
                </c:pt>
                <c:pt idx="166">
                  <c:v>23.68</c:v>
                </c:pt>
                <c:pt idx="167">
                  <c:v>23.28</c:v>
                </c:pt>
                <c:pt idx="168">
                  <c:v>23.24</c:v>
                </c:pt>
                <c:pt idx="169">
                  <c:v>23.39</c:v>
                </c:pt>
                <c:pt idx="170">
                  <c:v>24.02</c:v>
                </c:pt>
                <c:pt idx="171">
                  <c:v>23.31</c:v>
                </c:pt>
                <c:pt idx="172">
                  <c:v>23.5</c:v>
                </c:pt>
                <c:pt idx="173">
                  <c:v>23.02</c:v>
                </c:pt>
                <c:pt idx="174">
                  <c:v>23.22</c:v>
                </c:pt>
                <c:pt idx="175">
                  <c:v>23.96</c:v>
                </c:pt>
                <c:pt idx="176">
                  <c:v>23.91</c:v>
                </c:pt>
                <c:pt idx="177">
                  <c:v>25.36</c:v>
                </c:pt>
                <c:pt idx="178">
                  <c:v>24.82</c:v>
                </c:pt>
                <c:pt idx="179">
                  <c:v>26.03</c:v>
                </c:pt>
                <c:pt idx="180">
                  <c:v>25.8</c:v>
                </c:pt>
                <c:pt idx="181">
                  <c:v>26.83</c:v>
                </c:pt>
                <c:pt idx="182">
                  <c:v>25.82</c:v>
                </c:pt>
                <c:pt idx="183">
                  <c:v>25.59</c:v>
                </c:pt>
                <c:pt idx="184">
                  <c:v>24.57</c:v>
                </c:pt>
                <c:pt idx="185">
                  <c:v>23.94</c:v>
                </c:pt>
                <c:pt idx="186">
                  <c:v>24</c:v>
                </c:pt>
                <c:pt idx="187">
                  <c:v>24.35</c:v>
                </c:pt>
                <c:pt idx="188">
                  <c:v>25</c:v>
                </c:pt>
                <c:pt idx="189">
                  <c:v>25.42</c:v>
                </c:pt>
                <c:pt idx="190">
                  <c:v>25.71</c:v>
                </c:pt>
                <c:pt idx="191">
                  <c:v>24.14</c:v>
                </c:pt>
                <c:pt idx="192">
                  <c:v>24.19</c:v>
                </c:pt>
                <c:pt idx="193">
                  <c:v>24.28</c:v>
                </c:pt>
                <c:pt idx="194">
                  <c:v>23.3</c:v>
                </c:pt>
                <c:pt idx="195">
                  <c:v>22.56</c:v>
                </c:pt>
                <c:pt idx="196">
                  <c:v>20</c:v>
                </c:pt>
                <c:pt idx="197">
                  <c:v>20.04</c:v>
                </c:pt>
                <c:pt idx="198">
                  <c:v>19.78</c:v>
                </c:pt>
                <c:pt idx="199">
                  <c:v>19.25</c:v>
                </c:pt>
                <c:pt idx="200">
                  <c:v>19.3</c:v>
                </c:pt>
                <c:pt idx="201">
                  <c:v>19.12</c:v>
                </c:pt>
                <c:pt idx="202">
                  <c:v>18.850000000000001</c:v>
                </c:pt>
                <c:pt idx="203">
                  <c:v>17.8</c:v>
                </c:pt>
                <c:pt idx="204">
                  <c:v>17.78</c:v>
                </c:pt>
                <c:pt idx="205">
                  <c:v>17.760000000000002</c:v>
                </c:pt>
                <c:pt idx="206">
                  <c:v>17.77</c:v>
                </c:pt>
                <c:pt idx="207">
                  <c:v>17.62</c:v>
                </c:pt>
                <c:pt idx="208">
                  <c:v>17.84</c:v>
                </c:pt>
                <c:pt idx="209">
                  <c:v>17.760000000000002</c:v>
                </c:pt>
                <c:pt idx="210">
                  <c:v>17.41</c:v>
                </c:pt>
                <c:pt idx="211">
                  <c:v>17.64</c:v>
                </c:pt>
                <c:pt idx="212">
                  <c:v>17.62</c:v>
                </c:pt>
                <c:pt idx="213">
                  <c:v>17.420000000000002</c:v>
                </c:pt>
                <c:pt idx="214">
                  <c:v>17.82</c:v>
                </c:pt>
                <c:pt idx="215">
                  <c:v>17.82</c:v>
                </c:pt>
                <c:pt idx="216">
                  <c:v>18.32</c:v>
                </c:pt>
                <c:pt idx="217">
                  <c:v>17.73</c:v>
                </c:pt>
                <c:pt idx="218">
                  <c:v>18.23</c:v>
                </c:pt>
                <c:pt idx="219">
                  <c:v>17.55</c:v>
                </c:pt>
                <c:pt idx="220">
                  <c:v>23.81</c:v>
                </c:pt>
                <c:pt idx="221">
                  <c:v>17</c:v>
                </c:pt>
                <c:pt idx="222">
                  <c:v>16.46</c:v>
                </c:pt>
                <c:pt idx="223">
                  <c:v>16.37</c:v>
                </c:pt>
                <c:pt idx="224">
                  <c:v>16.559999999999999</c:v>
                </c:pt>
                <c:pt idx="225">
                  <c:v>16.52</c:v>
                </c:pt>
                <c:pt idx="226">
                  <c:v>15.86</c:v>
                </c:pt>
                <c:pt idx="227">
                  <c:v>14.86</c:v>
                </c:pt>
                <c:pt idx="228">
                  <c:v>14.87</c:v>
                </c:pt>
                <c:pt idx="229">
                  <c:v>14.83</c:v>
                </c:pt>
                <c:pt idx="230">
                  <c:v>14.42</c:v>
                </c:pt>
                <c:pt idx="231">
                  <c:v>14.41</c:v>
                </c:pt>
                <c:pt idx="232">
                  <c:v>13.93</c:v>
                </c:pt>
                <c:pt idx="233">
                  <c:v>14.19</c:v>
                </c:pt>
                <c:pt idx="234">
                  <c:v>14.25</c:v>
                </c:pt>
                <c:pt idx="235">
                  <c:v>14.17</c:v>
                </c:pt>
                <c:pt idx="236">
                  <c:v>14.27</c:v>
                </c:pt>
                <c:pt idx="237">
                  <c:v>13.94</c:v>
                </c:pt>
                <c:pt idx="238">
                  <c:v>13.78</c:v>
                </c:pt>
                <c:pt idx="239">
                  <c:v>14.05</c:v>
                </c:pt>
                <c:pt idx="240">
                  <c:v>14.35</c:v>
                </c:pt>
                <c:pt idx="241">
                  <c:v>14.21</c:v>
                </c:pt>
                <c:pt idx="242">
                  <c:v>13.93</c:v>
                </c:pt>
                <c:pt idx="243">
                  <c:v>14.05</c:v>
                </c:pt>
                <c:pt idx="244">
                  <c:v>13.89</c:v>
                </c:pt>
                <c:pt idx="245">
                  <c:v>13.73</c:v>
                </c:pt>
                <c:pt idx="246">
                  <c:v>13.9</c:v>
                </c:pt>
                <c:pt idx="247">
                  <c:v>13.88</c:v>
                </c:pt>
                <c:pt idx="248">
                  <c:v>13.43</c:v>
                </c:pt>
                <c:pt idx="249">
                  <c:v>14</c:v>
                </c:pt>
                <c:pt idx="250">
                  <c:v>13.89</c:v>
                </c:pt>
                <c:pt idx="251">
                  <c:v>13.84</c:v>
                </c:pt>
                <c:pt idx="252">
                  <c:v>14.08</c:v>
                </c:pt>
                <c:pt idx="253">
                  <c:v>14.2</c:v>
                </c:pt>
                <c:pt idx="254">
                  <c:v>14.51</c:v>
                </c:pt>
                <c:pt idx="255">
                  <c:v>13.72</c:v>
                </c:pt>
                <c:pt idx="256">
                  <c:v>13.91</c:v>
                </c:pt>
                <c:pt idx="257">
                  <c:v>14.37</c:v>
                </c:pt>
                <c:pt idx="258">
                  <c:v>14.24</c:v>
                </c:pt>
                <c:pt idx="259">
                  <c:v>13.79</c:v>
                </c:pt>
                <c:pt idx="260">
                  <c:v>13.88</c:v>
                </c:pt>
                <c:pt idx="261">
                  <c:v>13.89</c:v>
                </c:pt>
                <c:pt idx="262">
                  <c:v>13.96</c:v>
                </c:pt>
                <c:pt idx="263">
                  <c:v>13.93</c:v>
                </c:pt>
                <c:pt idx="264">
                  <c:v>13.76</c:v>
                </c:pt>
                <c:pt idx="265">
                  <c:v>13.72</c:v>
                </c:pt>
                <c:pt idx="266">
                  <c:v>13.48</c:v>
                </c:pt>
                <c:pt idx="267">
                  <c:v>13.56</c:v>
                </c:pt>
                <c:pt idx="268">
                  <c:v>12.41</c:v>
                </c:pt>
                <c:pt idx="269">
                  <c:v>11.96</c:v>
                </c:pt>
                <c:pt idx="270">
                  <c:v>11.83</c:v>
                </c:pt>
                <c:pt idx="271">
                  <c:v>11.72</c:v>
                </c:pt>
                <c:pt idx="272">
                  <c:v>11.33</c:v>
                </c:pt>
                <c:pt idx="273">
                  <c:v>11.73</c:v>
                </c:pt>
                <c:pt idx="274">
                  <c:v>12.12</c:v>
                </c:pt>
                <c:pt idx="275">
                  <c:v>12.45</c:v>
                </c:pt>
                <c:pt idx="276">
                  <c:v>12.01</c:v>
                </c:pt>
                <c:pt idx="277">
                  <c:v>12.26</c:v>
                </c:pt>
                <c:pt idx="278">
                  <c:v>12.02</c:v>
                </c:pt>
                <c:pt idx="279">
                  <c:v>12.13</c:v>
                </c:pt>
                <c:pt idx="280">
                  <c:v>11.53</c:v>
                </c:pt>
                <c:pt idx="281">
                  <c:v>11.4</c:v>
                </c:pt>
                <c:pt idx="282">
                  <c:v>11.12</c:v>
                </c:pt>
                <c:pt idx="283">
                  <c:v>11.88</c:v>
                </c:pt>
                <c:pt idx="284">
                  <c:v>12</c:v>
                </c:pt>
                <c:pt idx="285">
                  <c:v>11.8</c:v>
                </c:pt>
                <c:pt idx="286">
                  <c:v>11.91</c:v>
                </c:pt>
                <c:pt idx="287">
                  <c:v>11.3</c:v>
                </c:pt>
                <c:pt idx="288">
                  <c:v>11.41</c:v>
                </c:pt>
                <c:pt idx="289">
                  <c:v>11.41</c:v>
                </c:pt>
                <c:pt idx="290">
                  <c:v>11.09</c:v>
                </c:pt>
                <c:pt idx="291">
                  <c:v>11.01</c:v>
                </c:pt>
                <c:pt idx="292">
                  <c:v>11.38</c:v>
                </c:pt>
                <c:pt idx="293">
                  <c:v>11.24</c:v>
                </c:pt>
                <c:pt idx="294">
                  <c:v>10.28</c:v>
                </c:pt>
                <c:pt idx="295">
                  <c:v>10.62</c:v>
                </c:pt>
                <c:pt idx="296">
                  <c:v>11.09</c:v>
                </c:pt>
                <c:pt idx="297">
                  <c:v>11.37</c:v>
                </c:pt>
                <c:pt idx="298">
                  <c:v>11.62</c:v>
                </c:pt>
                <c:pt idx="299">
                  <c:v>11.85</c:v>
                </c:pt>
                <c:pt idx="300">
                  <c:v>11.63</c:v>
                </c:pt>
                <c:pt idx="301">
                  <c:v>11.3</c:v>
                </c:pt>
                <c:pt idx="302">
                  <c:v>11.34</c:v>
                </c:pt>
                <c:pt idx="303">
                  <c:v>10.88</c:v>
                </c:pt>
                <c:pt idx="304">
                  <c:v>10.77</c:v>
                </c:pt>
                <c:pt idx="305">
                  <c:v>10.53</c:v>
                </c:pt>
                <c:pt idx="306">
                  <c:v>10.8</c:v>
                </c:pt>
                <c:pt idx="307">
                  <c:v>10.84</c:v>
                </c:pt>
                <c:pt idx="308">
                  <c:v>10.84</c:v>
                </c:pt>
                <c:pt idx="309">
                  <c:v>10.88</c:v>
                </c:pt>
                <c:pt idx="310">
                  <c:v>10.97</c:v>
                </c:pt>
                <c:pt idx="311">
                  <c:v>11.92</c:v>
                </c:pt>
                <c:pt idx="312">
                  <c:v>11.68</c:v>
                </c:pt>
                <c:pt idx="313">
                  <c:v>10.86</c:v>
                </c:pt>
                <c:pt idx="314">
                  <c:v>11.15</c:v>
                </c:pt>
                <c:pt idx="315">
                  <c:v>10.25</c:v>
                </c:pt>
                <c:pt idx="316">
                  <c:v>9.9600000000000009</c:v>
                </c:pt>
                <c:pt idx="317">
                  <c:v>9.39</c:v>
                </c:pt>
                <c:pt idx="318">
                  <c:v>9.68</c:v>
                </c:pt>
                <c:pt idx="319">
                  <c:v>9.11</c:v>
                </c:pt>
                <c:pt idx="320">
                  <c:v>9.32</c:v>
                </c:pt>
                <c:pt idx="321">
                  <c:v>9.39</c:v>
                </c:pt>
                <c:pt idx="322">
                  <c:v>9.5500000000000007</c:v>
                </c:pt>
                <c:pt idx="323">
                  <c:v>8.7799999999999994</c:v>
                </c:pt>
                <c:pt idx="324">
                  <c:v>8.25</c:v>
                </c:pt>
                <c:pt idx="325">
                  <c:v>8.3699999999999992</c:v>
                </c:pt>
                <c:pt idx="326">
                  <c:v>8.44</c:v>
                </c:pt>
                <c:pt idx="327">
                  <c:v>7.49</c:v>
                </c:pt>
                <c:pt idx="328">
                  <c:v>6.87</c:v>
                </c:pt>
                <c:pt idx="329">
                  <c:v>10.65</c:v>
                </c:pt>
                <c:pt idx="330">
                  <c:v>10.84</c:v>
                </c:pt>
                <c:pt idx="331">
                  <c:v>10.69</c:v>
                </c:pt>
                <c:pt idx="332">
                  <c:v>10.87</c:v>
                </c:pt>
                <c:pt idx="333">
                  <c:v>11.24</c:v>
                </c:pt>
                <c:pt idx="334">
                  <c:v>11.43</c:v>
                </c:pt>
                <c:pt idx="335">
                  <c:v>11.61</c:v>
                </c:pt>
                <c:pt idx="336">
                  <c:v>11.66</c:v>
                </c:pt>
                <c:pt idx="337">
                  <c:v>11.59</c:v>
                </c:pt>
                <c:pt idx="338">
                  <c:v>12</c:v>
                </c:pt>
                <c:pt idx="339">
                  <c:v>12.2</c:v>
                </c:pt>
                <c:pt idx="340">
                  <c:v>11.98</c:v>
                </c:pt>
                <c:pt idx="341">
                  <c:v>11.59</c:v>
                </c:pt>
                <c:pt idx="342">
                  <c:v>11.46</c:v>
                </c:pt>
                <c:pt idx="343">
                  <c:v>11.57</c:v>
                </c:pt>
                <c:pt idx="344">
                  <c:v>11.61</c:v>
                </c:pt>
                <c:pt idx="345">
                  <c:v>11.73</c:v>
                </c:pt>
                <c:pt idx="346">
                  <c:v>12.13</c:v>
                </c:pt>
                <c:pt idx="347">
                  <c:v>12.38</c:v>
                </c:pt>
                <c:pt idx="348">
                  <c:v>12.11</c:v>
                </c:pt>
                <c:pt idx="349">
                  <c:v>12.19</c:v>
                </c:pt>
                <c:pt idx="350">
                  <c:v>11.92</c:v>
                </c:pt>
                <c:pt idx="351">
                  <c:v>12.44</c:v>
                </c:pt>
                <c:pt idx="352">
                  <c:v>12.35</c:v>
                </c:pt>
                <c:pt idx="353">
                  <c:v>12.23</c:v>
                </c:pt>
                <c:pt idx="354">
                  <c:v>12.62</c:v>
                </c:pt>
                <c:pt idx="355">
                  <c:v>12.55</c:v>
                </c:pt>
                <c:pt idx="356">
                  <c:v>12.59</c:v>
                </c:pt>
                <c:pt idx="357">
                  <c:v>12.9</c:v>
                </c:pt>
                <c:pt idx="358">
                  <c:v>12.91</c:v>
                </c:pt>
                <c:pt idx="359">
                  <c:v>12.39</c:v>
                </c:pt>
                <c:pt idx="360">
                  <c:v>12.24</c:v>
                </c:pt>
                <c:pt idx="361">
                  <c:v>12.39</c:v>
                </c:pt>
                <c:pt idx="362">
                  <c:v>12.22</c:v>
                </c:pt>
                <c:pt idx="363">
                  <c:v>12.4</c:v>
                </c:pt>
                <c:pt idx="364">
                  <c:v>12.64</c:v>
                </c:pt>
                <c:pt idx="365">
                  <c:v>12.56</c:v>
                </c:pt>
                <c:pt idx="366">
                  <c:v>13.03</c:v>
                </c:pt>
                <c:pt idx="367">
                  <c:v>13.04</c:v>
                </c:pt>
                <c:pt idx="368">
                  <c:v>13.16</c:v>
                </c:pt>
                <c:pt idx="369">
                  <c:v>13.03</c:v>
                </c:pt>
                <c:pt idx="370">
                  <c:v>13.47</c:v>
                </c:pt>
                <c:pt idx="371">
                  <c:v>13.12</c:v>
                </c:pt>
                <c:pt idx="372">
                  <c:v>12.92</c:v>
                </c:pt>
                <c:pt idx="373">
                  <c:v>12.95</c:v>
                </c:pt>
                <c:pt idx="374">
                  <c:v>13.02</c:v>
                </c:pt>
                <c:pt idx="375">
                  <c:v>13.2</c:v>
                </c:pt>
                <c:pt idx="376">
                  <c:v>12.89</c:v>
                </c:pt>
                <c:pt idx="377">
                  <c:v>13.12</c:v>
                </c:pt>
                <c:pt idx="378">
                  <c:v>13.45</c:v>
                </c:pt>
                <c:pt idx="379">
                  <c:v>13.54</c:v>
                </c:pt>
                <c:pt idx="380">
                  <c:v>13.42</c:v>
                </c:pt>
                <c:pt idx="381">
                  <c:v>13.7</c:v>
                </c:pt>
                <c:pt idx="382">
                  <c:v>13.78</c:v>
                </c:pt>
                <c:pt idx="383">
                  <c:v>13.56</c:v>
                </c:pt>
                <c:pt idx="384">
                  <c:v>13.99</c:v>
                </c:pt>
                <c:pt idx="385">
                  <c:v>14.38</c:v>
                </c:pt>
                <c:pt idx="386">
                  <c:v>14.6</c:v>
                </c:pt>
                <c:pt idx="387">
                  <c:v>15.55</c:v>
                </c:pt>
                <c:pt idx="388">
                  <c:v>15.69</c:v>
                </c:pt>
                <c:pt idx="389">
                  <c:v>15.72</c:v>
                </c:pt>
                <c:pt idx="390">
                  <c:v>15.46</c:v>
                </c:pt>
                <c:pt idx="391">
                  <c:v>15.39</c:v>
                </c:pt>
                <c:pt idx="392">
                  <c:v>15.79</c:v>
                </c:pt>
                <c:pt idx="393">
                  <c:v>15.86</c:v>
                </c:pt>
                <c:pt idx="394">
                  <c:v>15.93</c:v>
                </c:pt>
                <c:pt idx="395">
                  <c:v>15.83</c:v>
                </c:pt>
                <c:pt idx="396">
                  <c:v>15.54</c:v>
                </c:pt>
                <c:pt idx="397">
                  <c:v>15.41</c:v>
                </c:pt>
                <c:pt idx="398">
                  <c:v>15.49</c:v>
                </c:pt>
                <c:pt idx="399">
                  <c:v>15.58</c:v>
                </c:pt>
                <c:pt idx="400">
                  <c:v>15.56</c:v>
                </c:pt>
                <c:pt idx="401">
                  <c:v>15.45</c:v>
                </c:pt>
                <c:pt idx="402">
                  <c:v>15.45</c:v>
                </c:pt>
                <c:pt idx="403">
                  <c:v>15.69</c:v>
                </c:pt>
                <c:pt idx="404">
                  <c:v>15.57</c:v>
                </c:pt>
                <c:pt idx="405">
                  <c:v>15.28</c:v>
                </c:pt>
                <c:pt idx="406">
                  <c:v>15.12</c:v>
                </c:pt>
                <c:pt idx="407">
                  <c:v>14.91</c:v>
                </c:pt>
                <c:pt idx="408">
                  <c:v>14.93</c:v>
                </c:pt>
                <c:pt idx="409">
                  <c:v>15.15</c:v>
                </c:pt>
                <c:pt idx="410">
                  <c:v>16.059999999999999</c:v>
                </c:pt>
                <c:pt idx="411">
                  <c:v>16.34</c:v>
                </c:pt>
                <c:pt idx="412">
                  <c:v>16.18</c:v>
                </c:pt>
                <c:pt idx="413">
                  <c:v>15.7</c:v>
                </c:pt>
                <c:pt idx="414">
                  <c:v>15.67</c:v>
                </c:pt>
                <c:pt idx="415">
                  <c:v>14.68</c:v>
                </c:pt>
                <c:pt idx="416">
                  <c:v>14.35</c:v>
                </c:pt>
                <c:pt idx="417">
                  <c:v>14.65</c:v>
                </c:pt>
                <c:pt idx="418">
                  <c:v>23.38</c:v>
                </c:pt>
                <c:pt idx="419">
                  <c:v>22.98</c:v>
                </c:pt>
                <c:pt idx="420">
                  <c:v>22.63</c:v>
                </c:pt>
                <c:pt idx="421">
                  <c:v>22.85</c:v>
                </c:pt>
                <c:pt idx="422">
                  <c:v>23.01</c:v>
                </c:pt>
                <c:pt idx="423">
                  <c:v>23.07</c:v>
                </c:pt>
                <c:pt idx="424">
                  <c:v>23.7</c:v>
                </c:pt>
                <c:pt idx="425">
                  <c:v>23.7</c:v>
                </c:pt>
                <c:pt idx="426">
                  <c:v>23.89</c:v>
                </c:pt>
                <c:pt idx="427">
                  <c:v>23.72</c:v>
                </c:pt>
                <c:pt idx="428">
                  <c:v>23.8</c:v>
                </c:pt>
                <c:pt idx="429">
                  <c:v>24.31</c:v>
                </c:pt>
                <c:pt idx="430">
                  <c:v>24.37</c:v>
                </c:pt>
                <c:pt idx="431">
                  <c:v>24.2</c:v>
                </c:pt>
                <c:pt idx="432">
                  <c:v>24.4</c:v>
                </c:pt>
                <c:pt idx="433">
                  <c:v>24.07</c:v>
                </c:pt>
                <c:pt idx="434">
                  <c:v>23.74</c:v>
                </c:pt>
                <c:pt idx="435">
                  <c:v>24.45</c:v>
                </c:pt>
                <c:pt idx="436">
                  <c:v>24.15</c:v>
                </c:pt>
                <c:pt idx="437">
                  <c:v>24.16</c:v>
                </c:pt>
                <c:pt idx="438">
                  <c:v>23.78</c:v>
                </c:pt>
                <c:pt idx="439">
                  <c:v>23.42</c:v>
                </c:pt>
                <c:pt idx="440">
                  <c:v>23.98</c:v>
                </c:pt>
                <c:pt idx="441">
                  <c:v>24.15</c:v>
                </c:pt>
                <c:pt idx="442">
                  <c:v>24.24</c:v>
                </c:pt>
                <c:pt idx="443">
                  <c:v>24.03</c:v>
                </c:pt>
                <c:pt idx="444">
                  <c:v>23.9</c:v>
                </c:pt>
                <c:pt idx="445">
                  <c:v>23.61</c:v>
                </c:pt>
                <c:pt idx="446">
                  <c:v>22.93</c:v>
                </c:pt>
                <c:pt idx="447">
                  <c:v>22.38</c:v>
                </c:pt>
                <c:pt idx="448">
                  <c:v>21.66</c:v>
                </c:pt>
                <c:pt idx="449">
                  <c:v>22.21</c:v>
                </c:pt>
                <c:pt idx="450">
                  <c:v>22.24</c:v>
                </c:pt>
                <c:pt idx="451">
                  <c:v>22.73</c:v>
                </c:pt>
                <c:pt idx="452">
                  <c:v>22.52</c:v>
                </c:pt>
                <c:pt idx="453">
                  <c:v>21.96</c:v>
                </c:pt>
                <c:pt idx="454">
                  <c:v>22.15</c:v>
                </c:pt>
                <c:pt idx="455">
                  <c:v>22.53</c:v>
                </c:pt>
                <c:pt idx="456">
                  <c:v>22.18</c:v>
                </c:pt>
                <c:pt idx="457">
                  <c:v>21.77</c:v>
                </c:pt>
                <c:pt idx="458">
                  <c:v>21.14</c:v>
                </c:pt>
                <c:pt idx="459">
                  <c:v>21.13</c:v>
                </c:pt>
                <c:pt idx="460">
                  <c:v>21</c:v>
                </c:pt>
                <c:pt idx="461">
                  <c:v>21.28</c:v>
                </c:pt>
                <c:pt idx="462">
                  <c:v>21.21</c:v>
                </c:pt>
                <c:pt idx="463">
                  <c:v>21.36</c:v>
                </c:pt>
                <c:pt idx="464">
                  <c:v>21.3</c:v>
                </c:pt>
                <c:pt idx="465">
                  <c:v>21.54</c:v>
                </c:pt>
                <c:pt idx="466">
                  <c:v>21.7</c:v>
                </c:pt>
                <c:pt idx="467">
                  <c:v>21.31</c:v>
                </c:pt>
                <c:pt idx="468">
                  <c:v>21.39</c:v>
                </c:pt>
                <c:pt idx="469">
                  <c:v>21.21</c:v>
                </c:pt>
                <c:pt idx="470">
                  <c:v>20.8</c:v>
                </c:pt>
                <c:pt idx="471">
                  <c:v>20.87</c:v>
                </c:pt>
                <c:pt idx="472">
                  <c:v>21.02</c:v>
                </c:pt>
                <c:pt idx="473">
                  <c:v>21.12</c:v>
                </c:pt>
                <c:pt idx="474">
                  <c:v>20.239999999999998</c:v>
                </c:pt>
                <c:pt idx="475">
                  <c:v>20.059999999999999</c:v>
                </c:pt>
                <c:pt idx="476">
                  <c:v>19.62</c:v>
                </c:pt>
                <c:pt idx="477">
                  <c:v>19.36</c:v>
                </c:pt>
                <c:pt idx="478">
                  <c:v>19</c:v>
                </c:pt>
                <c:pt idx="479">
                  <c:v>18.54</c:v>
                </c:pt>
                <c:pt idx="480">
                  <c:v>19.41</c:v>
                </c:pt>
                <c:pt idx="481">
                  <c:v>18.989999999999998</c:v>
                </c:pt>
                <c:pt idx="482">
                  <c:v>19.23</c:v>
                </c:pt>
                <c:pt idx="483">
                  <c:v>18.989999999999998</c:v>
                </c:pt>
                <c:pt idx="484">
                  <c:v>18.32</c:v>
                </c:pt>
                <c:pt idx="485">
                  <c:v>19.16</c:v>
                </c:pt>
                <c:pt idx="486">
                  <c:v>18.23</c:v>
                </c:pt>
                <c:pt idx="487">
                  <c:v>19.579999999999998</c:v>
                </c:pt>
                <c:pt idx="488">
                  <c:v>19.14</c:v>
                </c:pt>
                <c:pt idx="489">
                  <c:v>19.86</c:v>
                </c:pt>
                <c:pt idx="490">
                  <c:v>20.38</c:v>
                </c:pt>
                <c:pt idx="491">
                  <c:v>20</c:v>
                </c:pt>
                <c:pt idx="492">
                  <c:v>19.91</c:v>
                </c:pt>
                <c:pt idx="493">
                  <c:v>20.23</c:v>
                </c:pt>
                <c:pt idx="494">
                  <c:v>19.91</c:v>
                </c:pt>
                <c:pt idx="495">
                  <c:v>19.48</c:v>
                </c:pt>
                <c:pt idx="496">
                  <c:v>19.559999999999999</c:v>
                </c:pt>
                <c:pt idx="497">
                  <c:v>18.97</c:v>
                </c:pt>
                <c:pt idx="498">
                  <c:v>18.89</c:v>
                </c:pt>
                <c:pt idx="499">
                  <c:v>18.75</c:v>
                </c:pt>
                <c:pt idx="500">
                  <c:v>18.809999999999999</c:v>
                </c:pt>
                <c:pt idx="501">
                  <c:v>18.27</c:v>
                </c:pt>
                <c:pt idx="502">
                  <c:v>18.41</c:v>
                </c:pt>
                <c:pt idx="503">
                  <c:v>18.91</c:v>
                </c:pt>
                <c:pt idx="504">
                  <c:v>19.2</c:v>
                </c:pt>
                <c:pt idx="505">
                  <c:v>19.46</c:v>
                </c:pt>
                <c:pt idx="506">
                  <c:v>19.170000000000002</c:v>
                </c:pt>
                <c:pt idx="507">
                  <c:v>19</c:v>
                </c:pt>
                <c:pt idx="508">
                  <c:v>19.11</c:v>
                </c:pt>
                <c:pt idx="509">
                  <c:v>18.91</c:v>
                </c:pt>
                <c:pt idx="510">
                  <c:v>18.95</c:v>
                </c:pt>
                <c:pt idx="511">
                  <c:v>18.46</c:v>
                </c:pt>
                <c:pt idx="512">
                  <c:v>18.2</c:v>
                </c:pt>
                <c:pt idx="513">
                  <c:v>18.62</c:v>
                </c:pt>
                <c:pt idx="514">
                  <c:v>19.09</c:v>
                </c:pt>
                <c:pt idx="515">
                  <c:v>19.54</c:v>
                </c:pt>
                <c:pt idx="516">
                  <c:v>18.809999999999999</c:v>
                </c:pt>
                <c:pt idx="517">
                  <c:v>19.12</c:v>
                </c:pt>
                <c:pt idx="518">
                  <c:v>19</c:v>
                </c:pt>
                <c:pt idx="519">
                  <c:v>18.89</c:v>
                </c:pt>
                <c:pt idx="520">
                  <c:v>18.84</c:v>
                </c:pt>
                <c:pt idx="521">
                  <c:v>18.78</c:v>
                </c:pt>
                <c:pt idx="522">
                  <c:v>18.940000000000001</c:v>
                </c:pt>
                <c:pt idx="523">
                  <c:v>19.14</c:v>
                </c:pt>
                <c:pt idx="524">
                  <c:v>18.88</c:v>
                </c:pt>
                <c:pt idx="525">
                  <c:v>18.739999999999998</c:v>
                </c:pt>
                <c:pt idx="526">
                  <c:v>19.170000000000002</c:v>
                </c:pt>
                <c:pt idx="527">
                  <c:v>19.43</c:v>
                </c:pt>
                <c:pt idx="528">
                  <c:v>19.34</c:v>
                </c:pt>
                <c:pt idx="529">
                  <c:v>18.79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55-448F-B357-6C6BD351666A}"/>
            </c:ext>
          </c:extLst>
        </c:ser>
        <c:ser>
          <c:idx val="3"/>
          <c:order val="3"/>
          <c:tx>
            <c:v>Bande sup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'Simens Energy'!$AL$2:$AL$530</c:f>
              <c:numCache>
                <c:formatCode>General</c:formatCode>
                <c:ptCount val="529"/>
                <c:pt idx="0">
                  <c:v>78.125325094475883</c:v>
                </c:pt>
                <c:pt idx="1">
                  <c:v>77.574250402186649</c:v>
                </c:pt>
                <c:pt idx="2">
                  <c:v>77.154120566242526</c:v>
                </c:pt>
                <c:pt idx="3">
                  <c:v>76.657772530546097</c:v>
                </c:pt>
                <c:pt idx="4">
                  <c:v>76.092895718436495</c:v>
                </c:pt>
                <c:pt idx="5">
                  <c:v>75.556060955923954</c:v>
                </c:pt>
                <c:pt idx="6">
                  <c:v>75.220174106195287</c:v>
                </c:pt>
                <c:pt idx="7">
                  <c:v>74.883104670766343</c:v>
                </c:pt>
                <c:pt idx="8">
                  <c:v>74.642756666688697</c:v>
                </c:pt>
                <c:pt idx="9">
                  <c:v>74.32016948491821</c:v>
                </c:pt>
                <c:pt idx="10">
                  <c:v>73.92252980625463</c:v>
                </c:pt>
                <c:pt idx="11">
                  <c:v>73.581187484524278</c:v>
                </c:pt>
                <c:pt idx="12">
                  <c:v>73.35026777167991</c:v>
                </c:pt>
                <c:pt idx="13">
                  <c:v>73.293793184387795</c:v>
                </c:pt>
                <c:pt idx="14">
                  <c:v>72.654998925823634</c:v>
                </c:pt>
                <c:pt idx="15">
                  <c:v>72.079356424675183</c:v>
                </c:pt>
                <c:pt idx="16">
                  <c:v>71.662010646135997</c:v>
                </c:pt>
                <c:pt idx="17">
                  <c:v>71.487549085573562</c:v>
                </c:pt>
                <c:pt idx="18">
                  <c:v>71.392175949176448</c:v>
                </c:pt>
                <c:pt idx="19">
                  <c:v>71.200165505972166</c:v>
                </c:pt>
                <c:pt idx="20">
                  <c:v>70.97042395377207</c:v>
                </c:pt>
                <c:pt idx="21">
                  <c:v>70.649638438034771</c:v>
                </c:pt>
                <c:pt idx="22">
                  <c:v>70.506201961592708</c:v>
                </c:pt>
                <c:pt idx="23">
                  <c:v>70.356915131655924</c:v>
                </c:pt>
                <c:pt idx="24">
                  <c:v>70.309105042129332</c:v>
                </c:pt>
                <c:pt idx="25">
                  <c:v>70.142453580907741</c:v>
                </c:pt>
                <c:pt idx="26">
                  <c:v>70.107734967398159</c:v>
                </c:pt>
                <c:pt idx="27">
                  <c:v>69.819987816906817</c:v>
                </c:pt>
                <c:pt idx="28">
                  <c:v>69.473836860831682</c:v>
                </c:pt>
                <c:pt idx="29">
                  <c:v>69.274186042264176</c:v>
                </c:pt>
                <c:pt idx="30">
                  <c:v>69.106446053071437</c:v>
                </c:pt>
                <c:pt idx="31">
                  <c:v>68.923744806885054</c:v>
                </c:pt>
                <c:pt idx="32">
                  <c:v>68.66033148101576</c:v>
                </c:pt>
                <c:pt idx="33">
                  <c:v>68.328727535565307</c:v>
                </c:pt>
                <c:pt idx="34">
                  <c:v>68.064499666079953</c:v>
                </c:pt>
                <c:pt idx="35">
                  <c:v>67.787158781630524</c:v>
                </c:pt>
                <c:pt idx="36">
                  <c:v>67.386236811328189</c:v>
                </c:pt>
                <c:pt idx="37">
                  <c:v>66.903903894079832</c:v>
                </c:pt>
                <c:pt idx="38">
                  <c:v>66.426025734028798</c:v>
                </c:pt>
                <c:pt idx="39">
                  <c:v>66.062018357389121</c:v>
                </c:pt>
                <c:pt idx="40">
                  <c:v>65.758120182192087</c:v>
                </c:pt>
                <c:pt idx="41">
                  <c:v>65.305473597689812</c:v>
                </c:pt>
                <c:pt idx="42">
                  <c:v>64.946699760594925</c:v>
                </c:pt>
                <c:pt idx="43">
                  <c:v>64.079312783534931</c:v>
                </c:pt>
                <c:pt idx="44">
                  <c:v>63.297218919784171</c:v>
                </c:pt>
                <c:pt idx="45">
                  <c:v>62.397746422959699</c:v>
                </c:pt>
                <c:pt idx="46">
                  <c:v>61.531730706412631</c:v>
                </c:pt>
                <c:pt idx="47">
                  <c:v>60.672542971068111</c:v>
                </c:pt>
                <c:pt idx="48">
                  <c:v>59.84235467923051</c:v>
                </c:pt>
                <c:pt idx="49">
                  <c:v>59.027750992580195</c:v>
                </c:pt>
                <c:pt idx="50">
                  <c:v>58.237080564388386</c:v>
                </c:pt>
                <c:pt idx="51">
                  <c:v>57.504359126840185</c:v>
                </c:pt>
                <c:pt idx="52">
                  <c:v>56.805758574137307</c:v>
                </c:pt>
                <c:pt idx="53">
                  <c:v>56.076195320581121</c:v>
                </c:pt>
                <c:pt idx="54">
                  <c:v>55.392517949484045</c:v>
                </c:pt>
                <c:pt idx="55">
                  <c:v>54.791589927874746</c:v>
                </c:pt>
                <c:pt idx="56">
                  <c:v>54.21030974991946</c:v>
                </c:pt>
                <c:pt idx="57">
                  <c:v>53.588509330814247</c:v>
                </c:pt>
                <c:pt idx="58">
                  <c:v>52.986804096099256</c:v>
                </c:pt>
                <c:pt idx="59">
                  <c:v>52.325547372734547</c:v>
                </c:pt>
                <c:pt idx="60">
                  <c:v>51.705052531798536</c:v>
                </c:pt>
                <c:pt idx="61">
                  <c:v>51.080672073119729</c:v>
                </c:pt>
                <c:pt idx="62">
                  <c:v>50.771996719789797</c:v>
                </c:pt>
                <c:pt idx="63">
                  <c:v>50.35521791529996</c:v>
                </c:pt>
                <c:pt idx="64">
                  <c:v>50.078010709694261</c:v>
                </c:pt>
                <c:pt idx="65">
                  <c:v>49.839239393466137</c:v>
                </c:pt>
                <c:pt idx="66">
                  <c:v>49.553708859561063</c:v>
                </c:pt>
                <c:pt idx="67">
                  <c:v>49.281476298543822</c:v>
                </c:pt>
                <c:pt idx="68">
                  <c:v>49.017134030736116</c:v>
                </c:pt>
                <c:pt idx="69">
                  <c:v>48.76007406735917</c:v>
                </c:pt>
                <c:pt idx="70">
                  <c:v>48.549693355087996</c:v>
                </c:pt>
                <c:pt idx="71">
                  <c:v>48.260154840605409</c:v>
                </c:pt>
                <c:pt idx="72">
                  <c:v>47.949817897631917</c:v>
                </c:pt>
                <c:pt idx="73">
                  <c:v>47.645284188426189</c:v>
                </c:pt>
                <c:pt idx="74">
                  <c:v>47.274406809477249</c:v>
                </c:pt>
                <c:pt idx="75">
                  <c:v>46.967522029648698</c:v>
                </c:pt>
                <c:pt idx="76">
                  <c:v>46.725456725821125</c:v>
                </c:pt>
                <c:pt idx="77">
                  <c:v>46.487958008046988</c:v>
                </c:pt>
                <c:pt idx="78">
                  <c:v>46.212348571607492</c:v>
                </c:pt>
                <c:pt idx="79">
                  <c:v>45.950698241844208</c:v>
                </c:pt>
                <c:pt idx="80">
                  <c:v>45.642855435774869</c:v>
                </c:pt>
                <c:pt idx="81">
                  <c:v>45.400475533747539</c:v>
                </c:pt>
                <c:pt idx="82">
                  <c:v>45.131190135427339</c:v>
                </c:pt>
                <c:pt idx="83">
                  <c:v>44.742196281887189</c:v>
                </c:pt>
                <c:pt idx="84">
                  <c:v>44.305550671681246</c:v>
                </c:pt>
                <c:pt idx="85">
                  <c:v>43.937157507311184</c:v>
                </c:pt>
                <c:pt idx="86">
                  <c:v>43.389388068159256</c:v>
                </c:pt>
                <c:pt idx="87">
                  <c:v>42.786038470152107</c:v>
                </c:pt>
                <c:pt idx="88">
                  <c:v>42.174102521127217</c:v>
                </c:pt>
                <c:pt idx="89">
                  <c:v>41.545251220147563</c:v>
                </c:pt>
                <c:pt idx="90">
                  <c:v>40.942802602887284</c:v>
                </c:pt>
                <c:pt idx="91">
                  <c:v>40.445896936045443</c:v>
                </c:pt>
                <c:pt idx="92">
                  <c:v>39.963916728284318</c:v>
                </c:pt>
                <c:pt idx="93">
                  <c:v>39.526163774479116</c:v>
                </c:pt>
                <c:pt idx="94">
                  <c:v>39.134811323662611</c:v>
                </c:pt>
                <c:pt idx="95">
                  <c:v>38.711503777195588</c:v>
                </c:pt>
                <c:pt idx="96">
                  <c:v>38.25073920240925</c:v>
                </c:pt>
                <c:pt idx="97">
                  <c:v>37.81335356261264</c:v>
                </c:pt>
                <c:pt idx="98">
                  <c:v>37.365934070661559</c:v>
                </c:pt>
                <c:pt idx="99">
                  <c:v>36.984304075730883</c:v>
                </c:pt>
                <c:pt idx="100">
                  <c:v>36.628921756320601</c:v>
                </c:pt>
                <c:pt idx="101">
                  <c:v>36.285330595936578</c:v>
                </c:pt>
                <c:pt idx="102">
                  <c:v>35.96656373131718</c:v>
                </c:pt>
                <c:pt idx="103">
                  <c:v>35.707666191622373</c:v>
                </c:pt>
                <c:pt idx="104">
                  <c:v>35.491862974905459</c:v>
                </c:pt>
                <c:pt idx="105">
                  <c:v>35.39725779977941</c:v>
                </c:pt>
                <c:pt idx="106">
                  <c:v>35.373000870140132</c:v>
                </c:pt>
                <c:pt idx="107">
                  <c:v>35.354917887106559</c:v>
                </c:pt>
                <c:pt idx="108">
                  <c:v>35.346646333766664</c:v>
                </c:pt>
                <c:pt idx="109">
                  <c:v>35.35337524931159</c:v>
                </c:pt>
                <c:pt idx="110">
                  <c:v>35.266569514800885</c:v>
                </c:pt>
                <c:pt idx="111">
                  <c:v>35.181632671057827</c:v>
                </c:pt>
                <c:pt idx="112">
                  <c:v>35.102765345691907</c:v>
                </c:pt>
                <c:pt idx="113">
                  <c:v>34.993611786916325</c:v>
                </c:pt>
                <c:pt idx="114">
                  <c:v>34.854390462746167</c:v>
                </c:pt>
                <c:pt idx="115">
                  <c:v>34.766369412673903</c:v>
                </c:pt>
                <c:pt idx="116">
                  <c:v>34.792352549295245</c:v>
                </c:pt>
                <c:pt idx="117">
                  <c:v>34.864175025625876</c:v>
                </c:pt>
                <c:pt idx="118">
                  <c:v>34.842547365358634</c:v>
                </c:pt>
                <c:pt idx="119">
                  <c:v>34.806017120176691</c:v>
                </c:pt>
                <c:pt idx="120">
                  <c:v>34.808899554386528</c:v>
                </c:pt>
                <c:pt idx="121">
                  <c:v>34.805115943874107</c:v>
                </c:pt>
                <c:pt idx="122">
                  <c:v>34.853127789277529</c:v>
                </c:pt>
                <c:pt idx="123">
                  <c:v>34.883066901999904</c:v>
                </c:pt>
                <c:pt idx="124">
                  <c:v>34.901890429507432</c:v>
                </c:pt>
                <c:pt idx="125">
                  <c:v>34.897034792677239</c:v>
                </c:pt>
                <c:pt idx="126">
                  <c:v>34.879721474182482</c:v>
                </c:pt>
                <c:pt idx="127">
                  <c:v>34.900038690962901</c:v>
                </c:pt>
                <c:pt idx="128">
                  <c:v>35.005578752187887</c:v>
                </c:pt>
                <c:pt idx="129">
                  <c:v>35.101430623536359</c:v>
                </c:pt>
                <c:pt idx="130">
                  <c:v>35.25762247670248</c:v>
                </c:pt>
                <c:pt idx="131">
                  <c:v>35.414646971652346</c:v>
                </c:pt>
                <c:pt idx="132">
                  <c:v>35.534515387366731</c:v>
                </c:pt>
                <c:pt idx="133">
                  <c:v>35.663784920222433</c:v>
                </c:pt>
                <c:pt idx="134">
                  <c:v>35.777558535573668</c:v>
                </c:pt>
                <c:pt idx="135">
                  <c:v>35.76063516748642</c:v>
                </c:pt>
                <c:pt idx="136">
                  <c:v>35.695240923809138</c:v>
                </c:pt>
                <c:pt idx="137">
                  <c:v>35.693401648347432</c:v>
                </c:pt>
                <c:pt idx="138">
                  <c:v>35.648712683624616</c:v>
                </c:pt>
                <c:pt idx="139">
                  <c:v>35.55209406988719</c:v>
                </c:pt>
                <c:pt idx="140">
                  <c:v>35.491411883381978</c:v>
                </c:pt>
                <c:pt idx="141">
                  <c:v>35.403160381960866</c:v>
                </c:pt>
                <c:pt idx="142">
                  <c:v>35.277079017962159</c:v>
                </c:pt>
                <c:pt idx="143">
                  <c:v>35.171961694668177</c:v>
                </c:pt>
                <c:pt idx="144">
                  <c:v>35.096559092535529</c:v>
                </c:pt>
                <c:pt idx="145">
                  <c:v>35.001637579123226</c:v>
                </c:pt>
                <c:pt idx="146">
                  <c:v>34.94370414486022</c:v>
                </c:pt>
                <c:pt idx="147">
                  <c:v>34.780818176247152</c:v>
                </c:pt>
                <c:pt idx="148">
                  <c:v>34.608748150350905</c:v>
                </c:pt>
                <c:pt idx="149">
                  <c:v>34.344437385255965</c:v>
                </c:pt>
                <c:pt idx="150">
                  <c:v>34.077204465784277</c:v>
                </c:pt>
                <c:pt idx="151">
                  <c:v>33.851287557580783</c:v>
                </c:pt>
                <c:pt idx="152">
                  <c:v>33.690515198394579</c:v>
                </c:pt>
                <c:pt idx="153">
                  <c:v>33.480089513802682</c:v>
                </c:pt>
                <c:pt idx="154">
                  <c:v>33.307306847981152</c:v>
                </c:pt>
                <c:pt idx="155">
                  <c:v>33.11710128174888</c:v>
                </c:pt>
                <c:pt idx="156">
                  <c:v>32.953841351036715</c:v>
                </c:pt>
                <c:pt idx="157">
                  <c:v>32.876772891209207</c:v>
                </c:pt>
                <c:pt idx="158">
                  <c:v>32.845165452778204</c:v>
                </c:pt>
                <c:pt idx="159">
                  <c:v>32.88178896911473</c:v>
                </c:pt>
                <c:pt idx="160">
                  <c:v>32.871832636218855</c:v>
                </c:pt>
                <c:pt idx="161">
                  <c:v>32.933577325430051</c:v>
                </c:pt>
                <c:pt idx="162">
                  <c:v>32.984789135211102</c:v>
                </c:pt>
                <c:pt idx="163">
                  <c:v>33.081313050697077</c:v>
                </c:pt>
                <c:pt idx="164">
                  <c:v>33.173212600045488</c:v>
                </c:pt>
                <c:pt idx="165">
                  <c:v>33.183624531821323</c:v>
                </c:pt>
                <c:pt idx="166">
                  <c:v>33.183280924190669</c:v>
                </c:pt>
                <c:pt idx="167">
                  <c:v>33.170683092582735</c:v>
                </c:pt>
                <c:pt idx="168">
                  <c:v>33.181720270237619</c:v>
                </c:pt>
                <c:pt idx="169">
                  <c:v>33.212451404692871</c:v>
                </c:pt>
                <c:pt idx="170">
                  <c:v>33.268434371119952</c:v>
                </c:pt>
                <c:pt idx="171">
                  <c:v>33.311995536080389</c:v>
                </c:pt>
                <c:pt idx="172">
                  <c:v>33.406893211461593</c:v>
                </c:pt>
                <c:pt idx="173">
                  <c:v>33.407250757665523</c:v>
                </c:pt>
                <c:pt idx="174">
                  <c:v>33.434554284091398</c:v>
                </c:pt>
                <c:pt idx="175">
                  <c:v>33.454780398838196</c:v>
                </c:pt>
                <c:pt idx="176">
                  <c:v>33.383219374485023</c:v>
                </c:pt>
                <c:pt idx="177">
                  <c:v>33.275092927513519</c:v>
                </c:pt>
                <c:pt idx="178">
                  <c:v>32.956079834978482</c:v>
                </c:pt>
                <c:pt idx="179">
                  <c:v>32.670172406885385</c:v>
                </c:pt>
                <c:pt idx="180">
                  <c:v>32.309110828934337</c:v>
                </c:pt>
                <c:pt idx="181">
                  <c:v>31.935285074929894</c:v>
                </c:pt>
                <c:pt idx="182">
                  <c:v>31.513005407498895</c:v>
                </c:pt>
                <c:pt idx="183">
                  <c:v>31.137963991941014</c:v>
                </c:pt>
                <c:pt idx="184">
                  <c:v>30.763833413160761</c:v>
                </c:pt>
                <c:pt idx="185">
                  <c:v>30.391058709406597</c:v>
                </c:pt>
                <c:pt idx="186">
                  <c:v>30.053229072916139</c:v>
                </c:pt>
                <c:pt idx="187">
                  <c:v>29.713651747126256</c:v>
                </c:pt>
                <c:pt idx="188">
                  <c:v>29.358578543044114</c:v>
                </c:pt>
                <c:pt idx="189">
                  <c:v>28.963824762219868</c:v>
                </c:pt>
                <c:pt idx="190">
                  <c:v>28.561131079581902</c:v>
                </c:pt>
                <c:pt idx="191">
                  <c:v>28.141446593114484</c:v>
                </c:pt>
                <c:pt idx="192">
                  <c:v>27.788379754431404</c:v>
                </c:pt>
                <c:pt idx="193">
                  <c:v>27.446651132649542</c:v>
                </c:pt>
                <c:pt idx="194">
                  <c:v>27.100800806733442</c:v>
                </c:pt>
                <c:pt idx="195">
                  <c:v>26.797547891350092</c:v>
                </c:pt>
                <c:pt idx="196">
                  <c:v>26.555529572585542</c:v>
                </c:pt>
                <c:pt idx="197">
                  <c:v>26.449157425393182</c:v>
                </c:pt>
                <c:pt idx="198">
                  <c:v>26.367399001183387</c:v>
                </c:pt>
                <c:pt idx="199">
                  <c:v>26.268585637635589</c:v>
                </c:pt>
                <c:pt idx="200">
                  <c:v>26.224341045163065</c:v>
                </c:pt>
                <c:pt idx="201">
                  <c:v>26.141863755661632</c:v>
                </c:pt>
                <c:pt idx="202">
                  <c:v>26.398630015405999</c:v>
                </c:pt>
                <c:pt idx="203">
                  <c:v>26.310471975193863</c:v>
                </c:pt>
                <c:pt idx="204">
                  <c:v>26.249487860813211</c:v>
                </c:pt>
                <c:pt idx="205">
                  <c:v>26.185062182545245</c:v>
                </c:pt>
                <c:pt idx="206">
                  <c:v>26.131938294316967</c:v>
                </c:pt>
                <c:pt idx="207">
                  <c:v>26.076396126435846</c:v>
                </c:pt>
                <c:pt idx="208">
                  <c:v>25.994229172131014</c:v>
                </c:pt>
                <c:pt idx="209">
                  <c:v>25.848135720771626</c:v>
                </c:pt>
                <c:pt idx="210">
                  <c:v>25.707209782444671</c:v>
                </c:pt>
                <c:pt idx="211">
                  <c:v>25.582988909833958</c:v>
                </c:pt>
                <c:pt idx="212">
                  <c:v>25.425411576846098</c:v>
                </c:pt>
                <c:pt idx="213">
                  <c:v>25.268723446587686</c:v>
                </c:pt>
                <c:pt idx="214">
                  <c:v>25.097621850757648</c:v>
                </c:pt>
                <c:pt idx="215">
                  <c:v>24.919453868782522</c:v>
                </c:pt>
                <c:pt idx="216">
                  <c:v>24.744705108544562</c:v>
                </c:pt>
                <c:pt idx="217">
                  <c:v>24.539637010124117</c:v>
                </c:pt>
                <c:pt idx="218">
                  <c:v>24.371050079800739</c:v>
                </c:pt>
                <c:pt idx="219">
                  <c:v>24.158873421965708</c:v>
                </c:pt>
                <c:pt idx="220">
                  <c:v>23.974097001825143</c:v>
                </c:pt>
                <c:pt idx="221">
                  <c:v>23.474028728423292</c:v>
                </c:pt>
                <c:pt idx="222">
                  <c:v>23.347708375507878</c:v>
                </c:pt>
                <c:pt idx="223">
                  <c:v>23.242287260277941</c:v>
                </c:pt>
                <c:pt idx="224">
                  <c:v>23.126718938982009</c:v>
                </c:pt>
                <c:pt idx="225">
                  <c:v>23.007274434514304</c:v>
                </c:pt>
                <c:pt idx="226">
                  <c:v>22.881284874438961</c:v>
                </c:pt>
                <c:pt idx="227">
                  <c:v>22.781335036486816</c:v>
                </c:pt>
                <c:pt idx="228">
                  <c:v>22.742724354907804</c:v>
                </c:pt>
                <c:pt idx="229">
                  <c:v>22.702444377247776</c:v>
                </c:pt>
                <c:pt idx="230">
                  <c:v>22.640484693727643</c:v>
                </c:pt>
                <c:pt idx="231">
                  <c:v>22.629932643854275</c:v>
                </c:pt>
                <c:pt idx="232">
                  <c:v>22.614093440674711</c:v>
                </c:pt>
                <c:pt idx="233">
                  <c:v>22.620843879291819</c:v>
                </c:pt>
                <c:pt idx="234">
                  <c:v>22.626568591573594</c:v>
                </c:pt>
                <c:pt idx="235">
                  <c:v>22.635474709551389</c:v>
                </c:pt>
                <c:pt idx="236">
                  <c:v>22.664940536862748</c:v>
                </c:pt>
                <c:pt idx="237">
                  <c:v>22.647662987471307</c:v>
                </c:pt>
                <c:pt idx="238">
                  <c:v>22.657703765228387</c:v>
                </c:pt>
                <c:pt idx="239">
                  <c:v>22.700412848611865</c:v>
                </c:pt>
                <c:pt idx="240">
                  <c:v>22.722211945690361</c:v>
                </c:pt>
                <c:pt idx="241">
                  <c:v>22.704612929658708</c:v>
                </c:pt>
                <c:pt idx="242">
                  <c:v>22.699066956777738</c:v>
                </c:pt>
                <c:pt idx="243">
                  <c:v>22.708769547958976</c:v>
                </c:pt>
                <c:pt idx="244">
                  <c:v>22.715876058112961</c:v>
                </c:pt>
                <c:pt idx="245">
                  <c:v>22.729851345923723</c:v>
                </c:pt>
                <c:pt idx="246">
                  <c:v>22.743350134871129</c:v>
                </c:pt>
                <c:pt idx="247">
                  <c:v>22.745844613823461</c:v>
                </c:pt>
                <c:pt idx="248">
                  <c:v>22.736770743457726</c:v>
                </c:pt>
                <c:pt idx="249">
                  <c:v>22.755561255040639</c:v>
                </c:pt>
                <c:pt idx="250">
                  <c:v>22.683891825384411</c:v>
                </c:pt>
                <c:pt idx="251">
                  <c:v>22.594069250844381</c:v>
                </c:pt>
                <c:pt idx="252">
                  <c:v>22.499692396189555</c:v>
                </c:pt>
                <c:pt idx="253">
                  <c:v>22.386510018736423</c:v>
                </c:pt>
                <c:pt idx="254">
                  <c:v>22.245996532530015</c:v>
                </c:pt>
                <c:pt idx="255">
                  <c:v>22.109574175646753</c:v>
                </c:pt>
                <c:pt idx="256">
                  <c:v>22.034583881675196</c:v>
                </c:pt>
                <c:pt idx="257">
                  <c:v>21.966553492165538</c:v>
                </c:pt>
                <c:pt idx="258">
                  <c:v>21.850764038202207</c:v>
                </c:pt>
                <c:pt idx="259">
                  <c:v>21.754312204273567</c:v>
                </c:pt>
                <c:pt idx="260">
                  <c:v>21.668323713642703</c:v>
                </c:pt>
                <c:pt idx="261">
                  <c:v>21.582832287799341</c:v>
                </c:pt>
                <c:pt idx="262">
                  <c:v>21.464660009687442</c:v>
                </c:pt>
                <c:pt idx="263">
                  <c:v>21.335159561975807</c:v>
                </c:pt>
                <c:pt idx="264">
                  <c:v>21.191587523862189</c:v>
                </c:pt>
                <c:pt idx="265">
                  <c:v>21.095908911851666</c:v>
                </c:pt>
                <c:pt idx="266">
                  <c:v>21.007883254283087</c:v>
                </c:pt>
                <c:pt idx="267">
                  <c:v>20.921221831935028</c:v>
                </c:pt>
                <c:pt idx="268">
                  <c:v>20.835383118302097</c:v>
                </c:pt>
                <c:pt idx="269">
                  <c:v>20.777190463801201</c:v>
                </c:pt>
                <c:pt idx="270">
                  <c:v>20.747888287123313</c:v>
                </c:pt>
                <c:pt idx="271">
                  <c:v>20.725059827894405</c:v>
                </c:pt>
                <c:pt idx="272">
                  <c:v>20.690855201287668</c:v>
                </c:pt>
                <c:pt idx="273">
                  <c:v>20.672544359508631</c:v>
                </c:pt>
                <c:pt idx="274">
                  <c:v>20.652355364222103</c:v>
                </c:pt>
                <c:pt idx="275">
                  <c:v>20.603951644301148</c:v>
                </c:pt>
                <c:pt idx="276">
                  <c:v>20.487088653999976</c:v>
                </c:pt>
                <c:pt idx="277">
                  <c:v>20.410104844894974</c:v>
                </c:pt>
                <c:pt idx="278">
                  <c:v>20.343843846101553</c:v>
                </c:pt>
                <c:pt idx="279">
                  <c:v>20.304170221525183</c:v>
                </c:pt>
                <c:pt idx="280">
                  <c:v>20.271312711548866</c:v>
                </c:pt>
                <c:pt idx="281">
                  <c:v>20.281640680226275</c:v>
                </c:pt>
                <c:pt idx="282">
                  <c:v>20.287135494476836</c:v>
                </c:pt>
                <c:pt idx="283">
                  <c:v>20.289854870628055</c:v>
                </c:pt>
                <c:pt idx="284">
                  <c:v>20.254506999659569</c:v>
                </c:pt>
                <c:pt idx="285">
                  <c:v>20.188087825236593</c:v>
                </c:pt>
                <c:pt idx="286">
                  <c:v>20.125541887020869</c:v>
                </c:pt>
                <c:pt idx="287">
                  <c:v>20.043729944061951</c:v>
                </c:pt>
                <c:pt idx="288">
                  <c:v>20.007169703954659</c:v>
                </c:pt>
                <c:pt idx="289">
                  <c:v>19.966311950380813</c:v>
                </c:pt>
                <c:pt idx="290">
                  <c:v>19.924783892561976</c:v>
                </c:pt>
                <c:pt idx="291">
                  <c:v>19.901513115144443</c:v>
                </c:pt>
                <c:pt idx="292">
                  <c:v>19.886687582927138</c:v>
                </c:pt>
                <c:pt idx="293">
                  <c:v>19.901972157874251</c:v>
                </c:pt>
                <c:pt idx="294">
                  <c:v>19.911908068941536</c:v>
                </c:pt>
                <c:pt idx="295">
                  <c:v>19.929065647719604</c:v>
                </c:pt>
                <c:pt idx="296">
                  <c:v>19.943524478443379</c:v>
                </c:pt>
                <c:pt idx="297">
                  <c:v>19.885779180942279</c:v>
                </c:pt>
                <c:pt idx="298">
                  <c:v>19.797105722540699</c:v>
                </c:pt>
                <c:pt idx="299">
                  <c:v>19.66396215891443</c:v>
                </c:pt>
                <c:pt idx="300">
                  <c:v>19.532090437382806</c:v>
                </c:pt>
                <c:pt idx="301">
                  <c:v>19.379864538318792</c:v>
                </c:pt>
                <c:pt idx="302">
                  <c:v>19.253800311967321</c:v>
                </c:pt>
                <c:pt idx="303">
                  <c:v>19.127324876442906</c:v>
                </c:pt>
                <c:pt idx="304">
                  <c:v>19.031424238644981</c:v>
                </c:pt>
                <c:pt idx="305">
                  <c:v>18.899096660883252</c:v>
                </c:pt>
                <c:pt idx="306">
                  <c:v>18.749249974439643</c:v>
                </c:pt>
                <c:pt idx="307">
                  <c:v>18.588923962929343</c:v>
                </c:pt>
                <c:pt idx="308">
                  <c:v>18.427347089548853</c:v>
                </c:pt>
                <c:pt idx="309">
                  <c:v>18.212824402021504</c:v>
                </c:pt>
                <c:pt idx="310">
                  <c:v>17.959654360861762</c:v>
                </c:pt>
                <c:pt idx="311">
                  <c:v>17.895965215361166</c:v>
                </c:pt>
                <c:pt idx="312">
                  <c:v>17.79066872304832</c:v>
                </c:pt>
                <c:pt idx="313">
                  <c:v>17.687731292368358</c:v>
                </c:pt>
                <c:pt idx="314">
                  <c:v>17.635029897220019</c:v>
                </c:pt>
                <c:pt idx="315">
                  <c:v>17.585014714494328</c:v>
                </c:pt>
                <c:pt idx="316">
                  <c:v>17.590865570038879</c:v>
                </c:pt>
                <c:pt idx="317">
                  <c:v>17.620985330637843</c:v>
                </c:pt>
                <c:pt idx="318">
                  <c:v>17.683727196458676</c:v>
                </c:pt>
                <c:pt idx="319">
                  <c:v>17.728136977071934</c:v>
                </c:pt>
                <c:pt idx="320">
                  <c:v>17.824394065726565</c:v>
                </c:pt>
                <c:pt idx="321">
                  <c:v>17.92138980645796</c:v>
                </c:pt>
                <c:pt idx="322">
                  <c:v>18.004402502990409</c:v>
                </c:pt>
                <c:pt idx="323">
                  <c:v>18.059482971332159</c:v>
                </c:pt>
                <c:pt idx="324">
                  <c:v>18.148734002907034</c:v>
                </c:pt>
                <c:pt idx="325">
                  <c:v>18.272809711220226</c:v>
                </c:pt>
                <c:pt idx="326">
                  <c:v>18.394474695425682</c:v>
                </c:pt>
                <c:pt idx="327">
                  <c:v>18.520517840355847</c:v>
                </c:pt>
                <c:pt idx="328">
                  <c:v>18.719433342199299</c:v>
                </c:pt>
                <c:pt idx="329">
                  <c:v>18.967279447736324</c:v>
                </c:pt>
                <c:pt idx="330">
                  <c:v>19.005921214302639</c:v>
                </c:pt>
                <c:pt idx="331">
                  <c:v>19.038976625115421</c:v>
                </c:pt>
                <c:pt idx="332">
                  <c:v>19.065821289052035</c:v>
                </c:pt>
                <c:pt idx="333">
                  <c:v>19.110555480280166</c:v>
                </c:pt>
                <c:pt idx="334">
                  <c:v>19.131395154098119</c:v>
                </c:pt>
                <c:pt idx="335">
                  <c:v>19.135806461771278</c:v>
                </c:pt>
                <c:pt idx="336">
                  <c:v>19.150858222114522</c:v>
                </c:pt>
                <c:pt idx="337">
                  <c:v>19.15937246783465</c:v>
                </c:pt>
                <c:pt idx="338">
                  <c:v>19.173331493449595</c:v>
                </c:pt>
                <c:pt idx="339">
                  <c:v>19.181780345271882</c:v>
                </c:pt>
                <c:pt idx="340">
                  <c:v>19.179876239720457</c:v>
                </c:pt>
                <c:pt idx="341">
                  <c:v>19.161629454928658</c:v>
                </c:pt>
                <c:pt idx="342">
                  <c:v>19.155140020058525</c:v>
                </c:pt>
                <c:pt idx="343">
                  <c:v>19.162728139882653</c:v>
                </c:pt>
                <c:pt idx="344">
                  <c:v>19.15518747758205</c:v>
                </c:pt>
                <c:pt idx="345">
                  <c:v>19.1543189751042</c:v>
                </c:pt>
                <c:pt idx="346">
                  <c:v>19.159193979328606</c:v>
                </c:pt>
                <c:pt idx="347">
                  <c:v>19.138342430663755</c:v>
                </c:pt>
                <c:pt idx="348">
                  <c:v>19.128073701353458</c:v>
                </c:pt>
                <c:pt idx="349">
                  <c:v>19.131749071497516</c:v>
                </c:pt>
                <c:pt idx="350">
                  <c:v>19.137018210018855</c:v>
                </c:pt>
                <c:pt idx="351">
                  <c:v>19.149171760942419</c:v>
                </c:pt>
                <c:pt idx="352">
                  <c:v>19.156772351430721</c:v>
                </c:pt>
                <c:pt idx="353">
                  <c:v>19.150244406180768</c:v>
                </c:pt>
                <c:pt idx="354">
                  <c:v>19.138747765510317</c:v>
                </c:pt>
                <c:pt idx="355">
                  <c:v>19.107424293725732</c:v>
                </c:pt>
                <c:pt idx="356">
                  <c:v>19.082129781897404</c:v>
                </c:pt>
                <c:pt idx="357">
                  <c:v>19.062975805362129</c:v>
                </c:pt>
                <c:pt idx="358">
                  <c:v>19.010081965399653</c:v>
                </c:pt>
                <c:pt idx="359">
                  <c:v>18.966841139811834</c:v>
                </c:pt>
                <c:pt idx="360">
                  <c:v>18.966597970077999</c:v>
                </c:pt>
                <c:pt idx="361">
                  <c:v>18.978263438082795</c:v>
                </c:pt>
                <c:pt idx="362">
                  <c:v>18.975279778713315</c:v>
                </c:pt>
                <c:pt idx="363">
                  <c:v>18.995170530237317</c:v>
                </c:pt>
                <c:pt idx="364">
                  <c:v>19.009555218088618</c:v>
                </c:pt>
                <c:pt idx="365">
                  <c:v>18.999344482730045</c:v>
                </c:pt>
                <c:pt idx="366">
                  <c:v>19.014951250601818</c:v>
                </c:pt>
                <c:pt idx="367">
                  <c:v>19.025982291165473</c:v>
                </c:pt>
                <c:pt idx="368">
                  <c:v>19.04757628077645</c:v>
                </c:pt>
                <c:pt idx="369">
                  <c:v>19.11264161706741</c:v>
                </c:pt>
                <c:pt idx="370">
                  <c:v>19.192872224633</c:v>
                </c:pt>
                <c:pt idx="371">
                  <c:v>19.252893620419503</c:v>
                </c:pt>
                <c:pt idx="372">
                  <c:v>19.318488117031976</c:v>
                </c:pt>
                <c:pt idx="373">
                  <c:v>19.391918969792687</c:v>
                </c:pt>
                <c:pt idx="374">
                  <c:v>19.486036414553578</c:v>
                </c:pt>
                <c:pt idx="375">
                  <c:v>19.581927898498222</c:v>
                </c:pt>
                <c:pt idx="376">
                  <c:v>19.673852894967958</c:v>
                </c:pt>
                <c:pt idx="377">
                  <c:v>19.778548683030269</c:v>
                </c:pt>
                <c:pt idx="378">
                  <c:v>19.857930120025873</c:v>
                </c:pt>
                <c:pt idx="379">
                  <c:v>19.914488323073996</c:v>
                </c:pt>
                <c:pt idx="380">
                  <c:v>19.971313953117356</c:v>
                </c:pt>
                <c:pt idx="381">
                  <c:v>20.039998629442252</c:v>
                </c:pt>
                <c:pt idx="382">
                  <c:v>20.094016482393151</c:v>
                </c:pt>
                <c:pt idx="383">
                  <c:v>20.138777144520446</c:v>
                </c:pt>
                <c:pt idx="384">
                  <c:v>20.195621593201842</c:v>
                </c:pt>
                <c:pt idx="385">
                  <c:v>20.243294059495938</c:v>
                </c:pt>
                <c:pt idx="386">
                  <c:v>20.264715596512005</c:v>
                </c:pt>
                <c:pt idx="387">
                  <c:v>20.259194887296776</c:v>
                </c:pt>
                <c:pt idx="388">
                  <c:v>20.194427392373253</c:v>
                </c:pt>
                <c:pt idx="389">
                  <c:v>20.108762354963915</c:v>
                </c:pt>
                <c:pt idx="390">
                  <c:v>20.019411666076685</c:v>
                </c:pt>
                <c:pt idx="391">
                  <c:v>19.951931753222148</c:v>
                </c:pt>
                <c:pt idx="392">
                  <c:v>19.9331744995105</c:v>
                </c:pt>
                <c:pt idx="393">
                  <c:v>19.906676768488452</c:v>
                </c:pt>
                <c:pt idx="394">
                  <c:v>19.866367810201922</c:v>
                </c:pt>
                <c:pt idx="395">
                  <c:v>19.794908325933406</c:v>
                </c:pt>
                <c:pt idx="396">
                  <c:v>19.723811166595567</c:v>
                </c:pt>
                <c:pt idx="397">
                  <c:v>19.612432964351633</c:v>
                </c:pt>
                <c:pt idx="398">
                  <c:v>19.485488281655787</c:v>
                </c:pt>
                <c:pt idx="399">
                  <c:v>19.364232039392558</c:v>
                </c:pt>
                <c:pt idx="400">
                  <c:v>19.691718292084087</c:v>
                </c:pt>
                <c:pt idx="401">
                  <c:v>20.010785947801068</c:v>
                </c:pt>
                <c:pt idx="402">
                  <c:v>20.327993456057893</c:v>
                </c:pt>
                <c:pt idx="403">
                  <c:v>20.666947419530626</c:v>
                </c:pt>
                <c:pt idx="404">
                  <c:v>21.011945774349297</c:v>
                </c:pt>
                <c:pt idx="405">
                  <c:v>21.376086854373195</c:v>
                </c:pt>
                <c:pt idx="406">
                  <c:v>21.797968872988932</c:v>
                </c:pt>
                <c:pt idx="407">
                  <c:v>22.237887251046274</c:v>
                </c:pt>
                <c:pt idx="408">
                  <c:v>22.707390325516457</c:v>
                </c:pt>
                <c:pt idx="409">
                  <c:v>23.174274163116326</c:v>
                </c:pt>
                <c:pt idx="410">
                  <c:v>23.639317364459707</c:v>
                </c:pt>
                <c:pt idx="411">
                  <c:v>24.08700509308936</c:v>
                </c:pt>
                <c:pt idx="412">
                  <c:v>24.524953190887739</c:v>
                </c:pt>
                <c:pt idx="413">
                  <c:v>24.96251163597508</c:v>
                </c:pt>
                <c:pt idx="414">
                  <c:v>25.434290982311211</c:v>
                </c:pt>
                <c:pt idx="415">
                  <c:v>25.886551508565198</c:v>
                </c:pt>
                <c:pt idx="416">
                  <c:v>26.367853362934145</c:v>
                </c:pt>
                <c:pt idx="417">
                  <c:v>26.895300331188515</c:v>
                </c:pt>
                <c:pt idx="418">
                  <c:v>27.378422469216385</c:v>
                </c:pt>
                <c:pt idx="419">
                  <c:v>27.387114538898686</c:v>
                </c:pt>
                <c:pt idx="420">
                  <c:v>27.393713202843259</c:v>
                </c:pt>
                <c:pt idx="421">
                  <c:v>27.39634817655184</c:v>
                </c:pt>
                <c:pt idx="422">
                  <c:v>27.413170124312018</c:v>
                </c:pt>
                <c:pt idx="423">
                  <c:v>27.42581712958426</c:v>
                </c:pt>
                <c:pt idx="424">
                  <c:v>27.434867204720742</c:v>
                </c:pt>
                <c:pt idx="425">
                  <c:v>27.393942336380743</c:v>
                </c:pt>
                <c:pt idx="426">
                  <c:v>27.341735959703698</c:v>
                </c:pt>
                <c:pt idx="427">
                  <c:v>27.259706508819562</c:v>
                </c:pt>
                <c:pt idx="428">
                  <c:v>27.147015571994391</c:v>
                </c:pt>
                <c:pt idx="429">
                  <c:v>26.998291000918041</c:v>
                </c:pt>
                <c:pt idx="430">
                  <c:v>26.783353642790356</c:v>
                </c:pt>
                <c:pt idx="431">
                  <c:v>26.595899217056257</c:v>
                </c:pt>
                <c:pt idx="432">
                  <c:v>26.419480212897405</c:v>
                </c:pt>
                <c:pt idx="433">
                  <c:v>26.258336927303514</c:v>
                </c:pt>
                <c:pt idx="434">
                  <c:v>26.102723946809164</c:v>
                </c:pt>
                <c:pt idx="435">
                  <c:v>25.933815013623974</c:v>
                </c:pt>
                <c:pt idx="436">
                  <c:v>25.736917579493902</c:v>
                </c:pt>
                <c:pt idx="437">
                  <c:v>25.576693058060464</c:v>
                </c:pt>
                <c:pt idx="438">
                  <c:v>25.396429839269754</c:v>
                </c:pt>
                <c:pt idx="439">
                  <c:v>25.21451878849437</c:v>
                </c:pt>
                <c:pt idx="440">
                  <c:v>25.018426831777067</c:v>
                </c:pt>
                <c:pt idx="441">
                  <c:v>24.793251887926438</c:v>
                </c:pt>
                <c:pt idx="442">
                  <c:v>24.555163252758483</c:v>
                </c:pt>
                <c:pt idx="443">
                  <c:v>24.331172726095328</c:v>
                </c:pt>
                <c:pt idx="444">
                  <c:v>24.118346784189995</c:v>
                </c:pt>
                <c:pt idx="445">
                  <c:v>23.923890380238564</c:v>
                </c:pt>
                <c:pt idx="446">
                  <c:v>23.744546686333681</c:v>
                </c:pt>
                <c:pt idx="447">
                  <c:v>23.616128818757268</c:v>
                </c:pt>
                <c:pt idx="448">
                  <c:v>23.524809660902061</c:v>
                </c:pt>
                <c:pt idx="449">
                  <c:v>23.448170063603559</c:v>
                </c:pt>
                <c:pt idx="450">
                  <c:v>23.342581857146381</c:v>
                </c:pt>
                <c:pt idx="451">
                  <c:v>23.222890916589996</c:v>
                </c:pt>
                <c:pt idx="452">
                  <c:v>23.053171051057159</c:v>
                </c:pt>
                <c:pt idx="453">
                  <c:v>22.898815401502198</c:v>
                </c:pt>
                <c:pt idx="454">
                  <c:v>22.781377627859495</c:v>
                </c:pt>
                <c:pt idx="455">
                  <c:v>22.655585945441512</c:v>
                </c:pt>
                <c:pt idx="456">
                  <c:v>22.459616728295114</c:v>
                </c:pt>
                <c:pt idx="457">
                  <c:v>22.274143789012328</c:v>
                </c:pt>
                <c:pt idx="458">
                  <c:v>22.08802955214227</c:v>
                </c:pt>
                <c:pt idx="459">
                  <c:v>21.9226194453665</c:v>
                </c:pt>
                <c:pt idx="460">
                  <c:v>21.738227091376014</c:v>
                </c:pt>
                <c:pt idx="461">
                  <c:v>21.537709162058615</c:v>
                </c:pt>
                <c:pt idx="462">
                  <c:v>21.37158976961647</c:v>
                </c:pt>
                <c:pt idx="463">
                  <c:v>21.18747615450626</c:v>
                </c:pt>
                <c:pt idx="464">
                  <c:v>21.010738055278097</c:v>
                </c:pt>
                <c:pt idx="465">
                  <c:v>20.8270849938868</c:v>
                </c:pt>
                <c:pt idx="466">
                  <c:v>20.599797390857564</c:v>
                </c:pt>
                <c:pt idx="467">
                  <c:v>20.419344309374011</c:v>
                </c:pt>
                <c:pt idx="468">
                  <c:v>20.218686858514715</c:v>
                </c:pt>
                <c:pt idx="469">
                  <c:v>20.09684704071325</c:v>
                </c:pt>
                <c:pt idx="470">
                  <c:v>19.967105442537612</c:v>
                </c:pt>
                <c:pt idx="471">
                  <c:v>19.903862042727315</c:v>
                </c:pt>
                <c:pt idx="472">
                  <c:v>19.866630756899092</c:v>
                </c:pt>
                <c:pt idx="473">
                  <c:v>19.802175886328161</c:v>
                </c:pt>
                <c:pt idx="474">
                  <c:v>19.730458542754612</c:v>
                </c:pt>
                <c:pt idx="475">
                  <c:v>19.72517181169863</c:v>
                </c:pt>
                <c:pt idx="476">
                  <c:v>19.711988210156576</c:v>
                </c:pt>
                <c:pt idx="477">
                  <c:v>19.69920858430703</c:v>
                </c:pt>
                <c:pt idx="478">
                  <c:v>19.7041538736128</c:v>
                </c:pt>
                <c:pt idx="479">
                  <c:v>19.695559535007749</c:v>
                </c:pt>
                <c:pt idx="480">
                  <c:v>19.706197826366868</c:v>
                </c:pt>
                <c:pt idx="481">
                  <c:v>19.661111420163135</c:v>
                </c:pt>
                <c:pt idx="482">
                  <c:v>19.642938760949402</c:v>
                </c:pt>
                <c:pt idx="483">
                  <c:v>19.583350701989499</c:v>
                </c:pt>
                <c:pt idx="484">
                  <c:v>19.546788440007155</c:v>
                </c:pt>
                <c:pt idx="485">
                  <c:v>19.573304164322408</c:v>
                </c:pt>
                <c:pt idx="486">
                  <c:v>19.567658729752448</c:v>
                </c:pt>
                <c:pt idx="487">
                  <c:v>19.623282323910512</c:v>
                </c:pt>
                <c:pt idx="488">
                  <c:v>19.583466487502886</c:v>
                </c:pt>
                <c:pt idx="489">
                  <c:v>19.557365338364331</c:v>
                </c:pt>
                <c:pt idx="490">
                  <c:v>19.496319048881116</c:v>
                </c:pt>
                <c:pt idx="491">
                  <c:v>19.399062475774059</c:v>
                </c:pt>
                <c:pt idx="492">
                  <c:v>19.331756291866395</c:v>
                </c:pt>
                <c:pt idx="493">
                  <c:v>19.248349195834798</c:v>
                </c:pt>
                <c:pt idx="494">
                  <c:v>19.140515370389906</c:v>
                </c:pt>
                <c:pt idx="495">
                  <c:v>19.075113269146399</c:v>
                </c:pt>
                <c:pt idx="496">
                  <c:v>19.055372854913443</c:v>
                </c:pt>
                <c:pt idx="497">
                  <c:v>19.053764959026559</c:v>
                </c:pt>
                <c:pt idx="498">
                  <c:v>19.044458791436046</c:v>
                </c:pt>
                <c:pt idx="499">
                  <c:v>19.054653461080836</c:v>
                </c:pt>
                <c:pt idx="500">
                  <c:v>19.066499725202146</c:v>
                </c:pt>
                <c:pt idx="501">
                  <c:v>19.070113329585787</c:v>
                </c:pt>
                <c:pt idx="502">
                  <c:v>19.099553266821196</c:v>
                </c:pt>
                <c:pt idx="503">
                  <c:v>19.120359539882905</c:v>
                </c:pt>
                <c:pt idx="504">
                  <c:v>19.124271976831754</c:v>
                </c:pt>
                <c:pt idx="505">
                  <c:v>19.123596050756351</c:v>
                </c:pt>
                <c:pt idx="506">
                  <c:v>19.095475147344306</c:v>
                </c:pt>
                <c:pt idx="507">
                  <c:v>19.073072873890617</c:v>
                </c:pt>
                <c:pt idx="508">
                  <c:v>19.079370505705675</c:v>
                </c:pt>
                <c:pt idx="509">
                  <c:v>19.093754504127723</c:v>
                </c:pt>
                <c:pt idx="510">
                  <c:v>19.115149560689385</c:v>
                </c:pt>
                <c:pt idx="511">
                  <c:v>19.107433847575592</c:v>
                </c:pt>
                <c:pt idx="512">
                  <c:v>19.133141158038967</c:v>
                </c:pt>
                <c:pt idx="513">
                  <c:v>19.17974484280828</c:v>
                </c:pt>
                <c:pt idx="514">
                  <c:v>19.209019095855226</c:v>
                </c:pt>
                <c:pt idx="515">
                  <c:v>19.211325039530138</c:v>
                </c:pt>
                <c:pt idx="516">
                  <c:v>19.181585856175058</c:v>
                </c:pt>
                <c:pt idx="517">
                  <c:v>19.201363040205393</c:v>
                </c:pt>
                <c:pt idx="518">
                  <c:v>19.199278132884277</c:v>
                </c:pt>
                <c:pt idx="519">
                  <c:v>19.20641731246074</c:v>
                </c:pt>
                <c:pt idx="520">
                  <c:v>19.22523517242448</c:v>
                </c:pt>
                <c:pt idx="521">
                  <c:v>19.254188302903639</c:v>
                </c:pt>
                <c:pt idx="522">
                  <c:v>19.298958106262788</c:v>
                </c:pt>
                <c:pt idx="523">
                  <c:v>19.3347440912701</c:v>
                </c:pt>
                <c:pt idx="524">
                  <c:v>19.348283808031645</c:v>
                </c:pt>
                <c:pt idx="525">
                  <c:v>19.418138379228516</c:v>
                </c:pt>
                <c:pt idx="526">
                  <c:v>19.554723984241264</c:v>
                </c:pt>
                <c:pt idx="527">
                  <c:v>19.59309191376812</c:v>
                </c:pt>
                <c:pt idx="528">
                  <c:v>19.453908729652596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55-448F-B357-6C6BD351666A}"/>
            </c:ext>
          </c:extLst>
        </c:ser>
        <c:ser>
          <c:idx val="4"/>
          <c:order val="4"/>
          <c:tx>
            <c:v>Bande inf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'Simens Energy'!$AM$2:$AM$530</c:f>
              <c:numCache>
                <c:formatCode>General</c:formatCode>
                <c:ptCount val="529"/>
                <c:pt idx="0">
                  <c:v>32.298885431839921</c:v>
                </c:pt>
                <c:pt idx="1">
                  <c:v>32.057328545181775</c:v>
                </c:pt>
                <c:pt idx="2">
                  <c:v>31.942721539020638</c:v>
                </c:pt>
                <c:pt idx="3">
                  <c:v>31.750648522085502</c:v>
                </c:pt>
                <c:pt idx="4">
                  <c:v>31.487104281563511</c:v>
                </c:pt>
                <c:pt idx="5">
                  <c:v>31.247096938812895</c:v>
                </c:pt>
                <c:pt idx="6">
                  <c:v>31.204036420120524</c:v>
                </c:pt>
                <c:pt idx="7">
                  <c:v>31.160053223970504</c:v>
                </c:pt>
                <c:pt idx="8">
                  <c:v>31.213032806995525</c:v>
                </c:pt>
                <c:pt idx="9">
                  <c:v>31.186146304555496</c:v>
                </c:pt>
                <c:pt idx="10">
                  <c:v>31.08483861479802</c:v>
                </c:pt>
                <c:pt idx="11">
                  <c:v>31.038812515475726</c:v>
                </c:pt>
                <c:pt idx="12">
                  <c:v>31.103416438846416</c:v>
                </c:pt>
                <c:pt idx="13">
                  <c:v>31.345154184033273</c:v>
                </c:pt>
                <c:pt idx="14">
                  <c:v>31.011316863650066</c:v>
                </c:pt>
                <c:pt idx="15">
                  <c:v>30.734327785851161</c:v>
                </c:pt>
                <c:pt idx="16">
                  <c:v>30.61062093281139</c:v>
                </c:pt>
                <c:pt idx="17">
                  <c:v>30.728240388110663</c:v>
                </c:pt>
                <c:pt idx="18">
                  <c:v>30.928876682402514</c:v>
                </c:pt>
                <c:pt idx="19">
                  <c:v>31.038781862448893</c:v>
                </c:pt>
                <c:pt idx="20">
                  <c:v>31.114839204122696</c:v>
                </c:pt>
                <c:pt idx="21">
                  <c:v>31.102993140912602</c:v>
                </c:pt>
                <c:pt idx="22">
                  <c:v>31.269587512091519</c:v>
                </c:pt>
                <c:pt idx="23">
                  <c:v>31.435716447291451</c:v>
                </c:pt>
                <c:pt idx="24">
                  <c:v>31.708789694712781</c:v>
                </c:pt>
                <c:pt idx="25">
                  <c:v>31.871230629618584</c:v>
                </c:pt>
                <c:pt idx="26">
                  <c:v>32.171212401022885</c:v>
                </c:pt>
                <c:pt idx="27">
                  <c:v>32.227380604145807</c:v>
                </c:pt>
                <c:pt idx="28">
                  <c:v>32.228268402326215</c:v>
                </c:pt>
                <c:pt idx="29">
                  <c:v>32.377392905104244</c:v>
                </c:pt>
                <c:pt idx="30">
                  <c:v>32.564080262718036</c:v>
                </c:pt>
                <c:pt idx="31">
                  <c:v>32.742570982588632</c:v>
                </c:pt>
                <c:pt idx="32">
                  <c:v>32.847036940036872</c:v>
                </c:pt>
                <c:pt idx="33">
                  <c:v>32.888114569697862</c:v>
                </c:pt>
                <c:pt idx="34">
                  <c:v>32.999710860235851</c:v>
                </c:pt>
                <c:pt idx="35">
                  <c:v>33.103367534158949</c:v>
                </c:pt>
                <c:pt idx="36">
                  <c:v>33.088500030777084</c:v>
                </c:pt>
                <c:pt idx="37">
                  <c:v>32.993990842762294</c:v>
                </c:pt>
                <c:pt idx="38">
                  <c:v>32.90344795018175</c:v>
                </c:pt>
                <c:pt idx="39">
                  <c:v>32.926402695242473</c:v>
                </c:pt>
                <c:pt idx="40">
                  <c:v>33.012406133597395</c:v>
                </c:pt>
                <c:pt idx="41">
                  <c:v>32.954526402310194</c:v>
                </c:pt>
                <c:pt idx="42">
                  <c:v>32.991194976247179</c:v>
                </c:pt>
                <c:pt idx="43">
                  <c:v>32.522792479622979</c:v>
                </c:pt>
                <c:pt idx="44">
                  <c:v>32.12804423811059</c:v>
                </c:pt>
                <c:pt idx="45">
                  <c:v>31.606464103356103</c:v>
                </c:pt>
                <c:pt idx="46">
                  <c:v>31.105111398850539</c:v>
                </c:pt>
                <c:pt idx="47">
                  <c:v>30.597983344721371</c:v>
                </c:pt>
                <c:pt idx="48">
                  <c:v>30.107119004980021</c:v>
                </c:pt>
                <c:pt idx="49">
                  <c:v>29.619617428472438</c:v>
                </c:pt>
                <c:pt idx="50">
                  <c:v>29.143972067190553</c:v>
                </c:pt>
                <c:pt idx="51">
                  <c:v>28.714588241580856</c:v>
                </c:pt>
                <c:pt idx="52">
                  <c:v>28.308978267967966</c:v>
                </c:pt>
                <c:pt idx="53">
                  <c:v>27.862752047839933</c:v>
                </c:pt>
                <c:pt idx="54">
                  <c:v>27.45169257683175</c:v>
                </c:pt>
                <c:pt idx="55">
                  <c:v>27.113673230019991</c:v>
                </c:pt>
                <c:pt idx="56">
                  <c:v>26.787584986922653</c:v>
                </c:pt>
                <c:pt idx="57">
                  <c:v>26.413595932343654</c:v>
                </c:pt>
                <c:pt idx="58">
                  <c:v>26.051090640742864</c:v>
                </c:pt>
                <c:pt idx="59">
                  <c:v>25.620768416739153</c:v>
                </c:pt>
                <c:pt idx="60">
                  <c:v>25.22126325767514</c:v>
                </c:pt>
                <c:pt idx="61">
                  <c:v>24.8088016110908</c:v>
                </c:pt>
                <c:pt idx="62">
                  <c:v>24.702740122315461</c:v>
                </c:pt>
                <c:pt idx="63">
                  <c:v>24.48688734785793</c:v>
                </c:pt>
                <c:pt idx="64">
                  <c:v>24.406199816621516</c:v>
                </c:pt>
                <c:pt idx="65">
                  <c:v>24.362865869691767</c:v>
                </c:pt>
                <c:pt idx="66">
                  <c:v>24.272606929912605</c:v>
                </c:pt>
                <c:pt idx="67">
                  <c:v>24.194313175140394</c:v>
                </c:pt>
                <c:pt idx="68">
                  <c:v>24.122865969263881</c:v>
                </c:pt>
                <c:pt idx="69">
                  <c:v>24.057820669482947</c:v>
                </c:pt>
                <c:pt idx="70">
                  <c:v>24.038727697543596</c:v>
                </c:pt>
                <c:pt idx="71">
                  <c:v>23.940897790973551</c:v>
                </c:pt>
                <c:pt idx="72">
                  <c:v>23.820708418157576</c:v>
                </c:pt>
                <c:pt idx="73">
                  <c:v>23.704189495784334</c:v>
                </c:pt>
                <c:pt idx="74">
                  <c:v>23.519277401049074</c:v>
                </c:pt>
                <c:pt idx="75">
                  <c:v>23.394583233509202</c:v>
                </c:pt>
                <c:pt idx="76">
                  <c:v>23.33243801102099</c:v>
                </c:pt>
                <c:pt idx="77">
                  <c:v>23.274147255110904</c:v>
                </c:pt>
                <c:pt idx="78">
                  <c:v>23.177125112603036</c:v>
                </c:pt>
                <c:pt idx="79">
                  <c:v>23.092459652892639</c:v>
                </c:pt>
                <c:pt idx="80">
                  <c:v>22.960302458961969</c:v>
                </c:pt>
                <c:pt idx="81">
                  <c:v>22.891103413620879</c:v>
                </c:pt>
                <c:pt idx="82">
                  <c:v>22.794073022467394</c:v>
                </c:pt>
                <c:pt idx="83">
                  <c:v>22.575698454954914</c:v>
                </c:pt>
                <c:pt idx="84">
                  <c:v>22.304975644108239</c:v>
                </c:pt>
                <c:pt idx="85">
                  <c:v>22.096526703215144</c:v>
                </c:pt>
                <c:pt idx="86">
                  <c:v>21.704296142367063</c:v>
                </c:pt>
                <c:pt idx="87">
                  <c:v>21.247645740374224</c:v>
                </c:pt>
                <c:pt idx="88">
                  <c:v>20.772213268346476</c:v>
                </c:pt>
                <c:pt idx="89">
                  <c:v>20.269485621957699</c:v>
                </c:pt>
                <c:pt idx="90">
                  <c:v>19.782460555007457</c:v>
                </c:pt>
                <c:pt idx="91">
                  <c:v>19.390945169217712</c:v>
                </c:pt>
                <c:pt idx="92">
                  <c:v>19.006609587505164</c:v>
                </c:pt>
                <c:pt idx="93">
                  <c:v>18.659099383415622</c:v>
                </c:pt>
                <c:pt idx="94">
                  <c:v>18.351504465811075</c:v>
                </c:pt>
                <c:pt idx="95">
                  <c:v>18.006390959646509</c:v>
                </c:pt>
                <c:pt idx="96">
                  <c:v>17.617681850222333</c:v>
                </c:pt>
                <c:pt idx="97">
                  <c:v>17.245593805808433</c:v>
                </c:pt>
                <c:pt idx="98">
                  <c:v>16.857223824075298</c:v>
                </c:pt>
                <c:pt idx="99">
                  <c:v>16.528327503216495</c:v>
                </c:pt>
                <c:pt idx="100">
                  <c:v>16.220551927889936</c:v>
                </c:pt>
                <c:pt idx="101">
                  <c:v>15.919932561958165</c:v>
                </c:pt>
                <c:pt idx="102">
                  <c:v>15.639752058156512</c:v>
                </c:pt>
                <c:pt idx="103">
                  <c:v>15.415491703114476</c:v>
                </c:pt>
                <c:pt idx="104">
                  <c:v>15.231294919831395</c:v>
                </c:pt>
                <c:pt idx="105">
                  <c:v>15.165900094957442</c:v>
                </c:pt>
                <c:pt idx="106">
                  <c:v>15.170157024596723</c:v>
                </c:pt>
                <c:pt idx="107">
                  <c:v>15.180871586577652</c:v>
                </c:pt>
                <c:pt idx="108">
                  <c:v>15.201774718864916</c:v>
                </c:pt>
                <c:pt idx="109">
                  <c:v>15.238203698056831</c:v>
                </c:pt>
                <c:pt idx="110">
                  <c:v>15.181851537830696</c:v>
                </c:pt>
                <c:pt idx="111">
                  <c:v>15.126788381573757</c:v>
                </c:pt>
                <c:pt idx="112">
                  <c:v>15.077234654308096</c:v>
                </c:pt>
                <c:pt idx="113">
                  <c:v>14.99691452887315</c:v>
                </c:pt>
                <c:pt idx="114">
                  <c:v>14.885609537253831</c:v>
                </c:pt>
                <c:pt idx="115">
                  <c:v>14.82415690311557</c:v>
                </c:pt>
                <c:pt idx="116">
                  <c:v>14.876068503336326</c:v>
                </c:pt>
                <c:pt idx="117">
                  <c:v>14.974772342795177</c:v>
                </c:pt>
                <c:pt idx="118">
                  <c:v>14.981663160957153</c:v>
                </c:pt>
                <c:pt idx="119">
                  <c:v>14.973982879823311</c:v>
                </c:pt>
                <c:pt idx="120">
                  <c:v>15.00583728771873</c:v>
                </c:pt>
                <c:pt idx="121">
                  <c:v>15.031726161389054</c:v>
                </c:pt>
                <c:pt idx="122">
                  <c:v>15.110030105459309</c:v>
                </c:pt>
                <c:pt idx="123">
                  <c:v>15.171669940105359</c:v>
                </c:pt>
                <c:pt idx="124">
                  <c:v>15.223372728387302</c:v>
                </c:pt>
                <c:pt idx="125">
                  <c:v>15.252438891533279</c:v>
                </c:pt>
                <c:pt idx="126">
                  <c:v>15.26975221002804</c:v>
                </c:pt>
                <c:pt idx="127">
                  <c:v>15.325224466931832</c:v>
                </c:pt>
                <c:pt idx="128">
                  <c:v>15.467052826759481</c:v>
                </c:pt>
                <c:pt idx="129">
                  <c:v>15.601727271200478</c:v>
                </c:pt>
                <c:pt idx="130">
                  <c:v>15.799219628560682</c:v>
                </c:pt>
                <c:pt idx="131">
                  <c:v>16.001142502031868</c:v>
                </c:pt>
                <c:pt idx="132">
                  <c:v>16.169695138949066</c:v>
                </c:pt>
                <c:pt idx="133">
                  <c:v>16.350951921882832</c:v>
                </c:pt>
                <c:pt idx="134">
                  <c:v>16.520336201268442</c:v>
                </c:pt>
                <c:pt idx="135">
                  <c:v>16.562522727250425</c:v>
                </c:pt>
                <c:pt idx="136">
                  <c:v>16.557390655138235</c:v>
                </c:pt>
                <c:pt idx="137">
                  <c:v>16.616072035863091</c:v>
                </c:pt>
                <c:pt idx="138">
                  <c:v>16.633392579533279</c:v>
                </c:pt>
                <c:pt idx="139">
                  <c:v>16.599484877481228</c:v>
                </c:pt>
                <c:pt idx="140">
                  <c:v>16.601219695565391</c:v>
                </c:pt>
                <c:pt idx="141">
                  <c:v>16.575786986460187</c:v>
                </c:pt>
                <c:pt idx="142">
                  <c:v>16.512394666248369</c:v>
                </c:pt>
                <c:pt idx="143">
                  <c:v>16.469090936910774</c:v>
                </c:pt>
                <c:pt idx="144">
                  <c:v>16.455019854832894</c:v>
                </c:pt>
                <c:pt idx="145">
                  <c:v>16.421520315613616</c:v>
                </c:pt>
                <c:pt idx="146">
                  <c:v>16.424716907771366</c:v>
                </c:pt>
                <c:pt idx="147">
                  <c:v>16.323392350068637</c:v>
                </c:pt>
                <c:pt idx="148">
                  <c:v>16.211251849649098</c:v>
                </c:pt>
                <c:pt idx="149">
                  <c:v>16.005036298954558</c:v>
                </c:pt>
                <c:pt idx="150">
                  <c:v>15.792269218426245</c:v>
                </c:pt>
                <c:pt idx="151">
                  <c:v>15.617133495050787</c:v>
                </c:pt>
                <c:pt idx="152">
                  <c:v>15.504221643710689</c:v>
                </c:pt>
                <c:pt idx="153">
                  <c:v>15.339910486197322</c:v>
                </c:pt>
                <c:pt idx="154">
                  <c:v>15.210587888860957</c:v>
                </c:pt>
                <c:pt idx="155">
                  <c:v>15.061846086672167</c:v>
                </c:pt>
                <c:pt idx="156">
                  <c:v>14.937737596331694</c:v>
                </c:pt>
                <c:pt idx="157">
                  <c:v>14.897963950896049</c:v>
                </c:pt>
                <c:pt idx="158">
                  <c:v>14.903255599853376</c:v>
                </c:pt>
                <c:pt idx="159">
                  <c:v>14.977158399306321</c:v>
                </c:pt>
                <c:pt idx="160">
                  <c:v>15.00606210062325</c:v>
                </c:pt>
                <c:pt idx="161">
                  <c:v>15.107475306148896</c:v>
                </c:pt>
                <c:pt idx="162">
                  <c:v>15.200474022683643</c:v>
                </c:pt>
                <c:pt idx="163">
                  <c:v>15.340792212460826</c:v>
                </c:pt>
                <c:pt idx="164">
                  <c:v>15.479418978901878</c:v>
                </c:pt>
                <c:pt idx="165">
                  <c:v>15.539533362915524</c:v>
                </c:pt>
                <c:pt idx="166">
                  <c:v>15.590403286335647</c:v>
                </c:pt>
                <c:pt idx="167">
                  <c:v>15.630369538996213</c:v>
                </c:pt>
                <c:pt idx="168">
                  <c:v>15.695121835025528</c:v>
                </c:pt>
                <c:pt idx="169">
                  <c:v>15.781232805833437</c:v>
                </c:pt>
                <c:pt idx="170">
                  <c:v>15.894723523616884</c:v>
                </c:pt>
                <c:pt idx="171">
                  <c:v>15.998530779709087</c:v>
                </c:pt>
                <c:pt idx="172">
                  <c:v>16.156264683275246</c:v>
                </c:pt>
                <c:pt idx="173">
                  <c:v>16.223275558123941</c:v>
                </c:pt>
                <c:pt idx="174">
                  <c:v>16.319129926434918</c:v>
                </c:pt>
                <c:pt idx="175">
                  <c:v>16.410482759056542</c:v>
                </c:pt>
                <c:pt idx="176">
                  <c:v>16.412570099199186</c:v>
                </c:pt>
                <c:pt idx="177">
                  <c:v>16.378591283012803</c:v>
                </c:pt>
                <c:pt idx="178">
                  <c:v>16.13339384923205</c:v>
                </c:pt>
                <c:pt idx="179">
                  <c:v>15.916143382588293</c:v>
                </c:pt>
                <c:pt idx="180">
                  <c:v>15.619310223697251</c:v>
                </c:pt>
                <c:pt idx="181">
                  <c:v>15.303662293491174</c:v>
                </c:pt>
                <c:pt idx="182">
                  <c:v>14.933310381974799</c:v>
                </c:pt>
                <c:pt idx="183">
                  <c:v>14.603088639637948</c:v>
                </c:pt>
                <c:pt idx="184">
                  <c:v>14.267745534207677</c:v>
                </c:pt>
                <c:pt idx="185">
                  <c:v>13.927888659014467</c:v>
                </c:pt>
                <c:pt idx="186">
                  <c:v>13.617297242873351</c:v>
                </c:pt>
                <c:pt idx="187">
                  <c:v>13.300032463400074</c:v>
                </c:pt>
                <c:pt idx="188">
                  <c:v>12.962474088534844</c:v>
                </c:pt>
                <c:pt idx="189">
                  <c:v>12.580385764095926</c:v>
                </c:pt>
                <c:pt idx="190">
                  <c:v>12.185184709891782</c:v>
                </c:pt>
                <c:pt idx="191">
                  <c:v>11.768027091096034</c:v>
                </c:pt>
                <c:pt idx="192">
                  <c:v>11.412672877147543</c:v>
                </c:pt>
                <c:pt idx="193">
                  <c:v>11.064927814718876</c:v>
                </c:pt>
                <c:pt idx="194">
                  <c:v>10.709725509056032</c:v>
                </c:pt>
                <c:pt idx="195">
                  <c:v>10.39403105601833</c:v>
                </c:pt>
                <c:pt idx="196">
                  <c:v>10.137102006361829</c:v>
                </c:pt>
                <c:pt idx="197">
                  <c:v>10.014000469343666</c:v>
                </c:pt>
                <c:pt idx="198">
                  <c:v>9.9147062619745085</c:v>
                </c:pt>
                <c:pt idx="199">
                  <c:v>9.7977301518381026</c:v>
                </c:pt>
                <c:pt idx="200">
                  <c:v>9.7346063232579905</c:v>
                </c:pt>
                <c:pt idx="201">
                  <c:v>9.6328730864436292</c:v>
                </c:pt>
                <c:pt idx="202">
                  <c:v>9.8697910372255908</c:v>
                </c:pt>
                <c:pt idx="203">
                  <c:v>9.7632122353324586</c:v>
                </c:pt>
                <c:pt idx="204">
                  <c:v>9.683143718134156</c:v>
                </c:pt>
                <c:pt idx="205">
                  <c:v>9.599148343770544</c:v>
                </c:pt>
                <c:pt idx="206">
                  <c:v>9.5259564425251373</c:v>
                </c:pt>
                <c:pt idx="207">
                  <c:v>9.4499196630378322</c:v>
                </c:pt>
                <c:pt idx="208">
                  <c:v>9.3468234594479345</c:v>
                </c:pt>
                <c:pt idx="209">
                  <c:v>9.1792327002810019</c:v>
                </c:pt>
                <c:pt idx="210">
                  <c:v>9.0159481122921736</c:v>
                </c:pt>
                <c:pt idx="211">
                  <c:v>8.8685900375344691</c:v>
                </c:pt>
                <c:pt idx="212">
                  <c:v>8.6872200021012738</c:v>
                </c:pt>
                <c:pt idx="213">
                  <c:v>8.5060133955175843</c:v>
                </c:pt>
                <c:pt idx="214">
                  <c:v>8.3097465702949922</c:v>
                </c:pt>
                <c:pt idx="215">
                  <c:v>8.1058092891122193</c:v>
                </c:pt>
                <c:pt idx="216">
                  <c:v>7.9047685756659725</c:v>
                </c:pt>
                <c:pt idx="217">
                  <c:v>7.6729945688232579</c:v>
                </c:pt>
                <c:pt idx="218">
                  <c:v>7.4773709728308493</c:v>
                </c:pt>
                <c:pt idx="219">
                  <c:v>7.2379686832974492</c:v>
                </c:pt>
                <c:pt idx="220">
                  <c:v>7.0259029981748515</c:v>
                </c:pt>
                <c:pt idx="221">
                  <c:v>6.4986028505240743</c:v>
                </c:pt>
                <c:pt idx="222">
                  <c:v>6.3459758350184376</c:v>
                </c:pt>
                <c:pt idx="223">
                  <c:v>6.2145548449852175</c:v>
                </c:pt>
                <c:pt idx="224">
                  <c:v>6.0732810610179921</c:v>
                </c:pt>
                <c:pt idx="225">
                  <c:v>5.9285150391699055</c:v>
                </c:pt>
                <c:pt idx="226">
                  <c:v>5.777662493982092</c:v>
                </c:pt>
                <c:pt idx="227">
                  <c:v>5.6534018056184561</c:v>
                </c:pt>
                <c:pt idx="228">
                  <c:v>5.5909598556185145</c:v>
                </c:pt>
                <c:pt idx="229">
                  <c:v>5.5270293069627527</c:v>
                </c:pt>
                <c:pt idx="230">
                  <c:v>5.4416205694302562</c:v>
                </c:pt>
                <c:pt idx="231">
                  <c:v>5.407962092987832</c:v>
                </c:pt>
                <c:pt idx="232">
                  <c:v>5.3690644540621264</c:v>
                </c:pt>
                <c:pt idx="233">
                  <c:v>5.3528403312344928</c:v>
                </c:pt>
                <c:pt idx="234">
                  <c:v>5.3355366715843004</c:v>
                </c:pt>
                <c:pt idx="235">
                  <c:v>5.3213673957117695</c:v>
                </c:pt>
                <c:pt idx="236">
                  <c:v>5.32769104208462</c:v>
                </c:pt>
                <c:pt idx="237">
                  <c:v>5.287073854633956</c:v>
                </c:pt>
                <c:pt idx="238">
                  <c:v>5.2738751821400349</c:v>
                </c:pt>
                <c:pt idx="239">
                  <c:v>5.2932713619144494</c:v>
                </c:pt>
                <c:pt idx="240">
                  <c:v>5.2914722648359547</c:v>
                </c:pt>
                <c:pt idx="241">
                  <c:v>5.2501239124465613</c:v>
                </c:pt>
                <c:pt idx="242">
                  <c:v>5.2209330432222636</c:v>
                </c:pt>
                <c:pt idx="243">
                  <c:v>5.2070199257252341</c:v>
                </c:pt>
                <c:pt idx="244">
                  <c:v>5.1904397313607173</c:v>
                </c:pt>
                <c:pt idx="245">
                  <c:v>5.1806749698657484</c:v>
                </c:pt>
                <c:pt idx="246">
                  <c:v>5.1703340756551945</c:v>
                </c:pt>
                <c:pt idx="247">
                  <c:v>5.1488922282818024</c:v>
                </c:pt>
                <c:pt idx="248">
                  <c:v>5.1158608354896433</c:v>
                </c:pt>
                <c:pt idx="249">
                  <c:v>5.1107545344330418</c:v>
                </c:pt>
                <c:pt idx="250">
                  <c:v>5.0150555430366417</c:v>
                </c:pt>
                <c:pt idx="251">
                  <c:v>4.9017202228398276</c:v>
                </c:pt>
                <c:pt idx="252">
                  <c:v>4.7845181301262336</c:v>
                </c:pt>
                <c:pt idx="253">
                  <c:v>4.6492794549477896</c:v>
                </c:pt>
                <c:pt idx="254">
                  <c:v>4.4876876779963002</c:v>
                </c:pt>
                <c:pt idx="255">
                  <c:v>4.3314784559321957</c:v>
                </c:pt>
                <c:pt idx="256">
                  <c:v>4.2380476972721777</c:v>
                </c:pt>
                <c:pt idx="257">
                  <c:v>4.1523938762555144</c:v>
                </c:pt>
                <c:pt idx="258">
                  <c:v>4.019762277587267</c:v>
                </c:pt>
                <c:pt idx="259">
                  <c:v>3.9077930588843284</c:v>
                </c:pt>
                <c:pt idx="260">
                  <c:v>3.8074657600415094</c:v>
                </c:pt>
                <c:pt idx="261">
                  <c:v>3.7087466595690799</c:v>
                </c:pt>
                <c:pt idx="262">
                  <c:v>3.5784978850493978</c:v>
                </c:pt>
                <c:pt idx="263">
                  <c:v>3.438524648550505</c:v>
                </c:pt>
                <c:pt idx="264">
                  <c:v>3.2863072129799136</c:v>
                </c:pt>
                <c:pt idx="265">
                  <c:v>3.1840910881483371</c:v>
                </c:pt>
                <c:pt idx="266">
                  <c:v>3.0910641141379678</c:v>
                </c:pt>
                <c:pt idx="267">
                  <c:v>3.0008834312228725</c:v>
                </c:pt>
                <c:pt idx="268">
                  <c:v>2.9130379343294877</c:v>
                </c:pt>
                <c:pt idx="269">
                  <c:v>2.8543884835672237</c:v>
                </c:pt>
                <c:pt idx="270">
                  <c:v>2.8257959234030032</c:v>
                </c:pt>
                <c:pt idx="271">
                  <c:v>2.8044138563161187</c:v>
                </c:pt>
                <c:pt idx="272">
                  <c:v>2.7723026934491752</c:v>
                </c:pt>
                <c:pt idx="273">
                  <c:v>2.7569293247018969</c:v>
                </c:pt>
                <c:pt idx="274">
                  <c:v>2.7402762147252648</c:v>
                </c:pt>
                <c:pt idx="275">
                  <c:v>2.6960483556988546</c:v>
                </c:pt>
                <c:pt idx="276">
                  <c:v>2.5844902933684484</c:v>
                </c:pt>
                <c:pt idx="277">
                  <c:v>2.5151583129997626</c:v>
                </c:pt>
                <c:pt idx="278">
                  <c:v>2.4582614170563417</c:v>
                </c:pt>
                <c:pt idx="279">
                  <c:v>2.4295139890011335</c:v>
                </c:pt>
                <c:pt idx="280">
                  <c:v>2.4086872884511337</c:v>
                </c:pt>
                <c:pt idx="281">
                  <c:v>2.4320435303000476</c:v>
                </c:pt>
                <c:pt idx="282">
                  <c:v>2.4507592423652671</c:v>
                </c:pt>
                <c:pt idx="283">
                  <c:v>2.4669872346351021</c:v>
                </c:pt>
                <c:pt idx="284">
                  <c:v>2.4454930003404289</c:v>
                </c:pt>
                <c:pt idx="285">
                  <c:v>2.3940174379213044</c:v>
                </c:pt>
                <c:pt idx="286">
                  <c:v>2.3481423235054493</c:v>
                </c:pt>
                <c:pt idx="287">
                  <c:v>2.284691108569632</c:v>
                </c:pt>
                <c:pt idx="288">
                  <c:v>2.2686197697295523</c:v>
                </c:pt>
                <c:pt idx="289">
                  <c:v>2.2494775233033995</c:v>
                </c:pt>
                <c:pt idx="290">
                  <c:v>2.2310055811222398</c:v>
                </c:pt>
                <c:pt idx="291">
                  <c:v>2.2321710953818723</c:v>
                </c:pt>
                <c:pt idx="292">
                  <c:v>2.2427861012833894</c:v>
                </c:pt>
                <c:pt idx="293">
                  <c:v>2.2843436315994303</c:v>
                </c:pt>
                <c:pt idx="294">
                  <c:v>2.3207235100058288</c:v>
                </c:pt>
                <c:pt idx="295">
                  <c:v>2.3646185628067098</c:v>
                </c:pt>
                <c:pt idx="296">
                  <c:v>2.4059492057671417</c:v>
                </c:pt>
                <c:pt idx="297">
                  <c:v>2.3752734506366657</c:v>
                </c:pt>
                <c:pt idx="298">
                  <c:v>2.3155258564066692</c:v>
                </c:pt>
                <c:pt idx="299">
                  <c:v>2.2139325779276788</c:v>
                </c:pt>
                <c:pt idx="300">
                  <c:v>2.1173832468277229</c:v>
                </c:pt>
                <c:pt idx="301">
                  <c:v>2.0043459879970023</c:v>
                </c:pt>
                <c:pt idx="302">
                  <c:v>1.9219891617168905</c:v>
                </c:pt>
                <c:pt idx="303">
                  <c:v>1.8432014393465703</c:v>
                </c:pt>
                <c:pt idx="304">
                  <c:v>1.7991020771444983</c:v>
                </c:pt>
                <c:pt idx="305">
                  <c:v>1.7219559706956939</c:v>
                </c:pt>
                <c:pt idx="306">
                  <c:v>1.6318026571393052</c:v>
                </c:pt>
                <c:pt idx="307">
                  <c:v>1.5363391949653895</c:v>
                </c:pt>
                <c:pt idx="308">
                  <c:v>1.4452844893985208</c:v>
                </c:pt>
                <c:pt idx="309">
                  <c:v>1.3071755979785014</c:v>
                </c:pt>
                <c:pt idx="310">
                  <c:v>1.1382403759803452</c:v>
                </c:pt>
                <c:pt idx="311">
                  <c:v>1.1682453109546262</c:v>
                </c:pt>
                <c:pt idx="312">
                  <c:v>1.1598575927411598</c:v>
                </c:pt>
                <c:pt idx="313">
                  <c:v>1.158584497105327</c:v>
                </c:pt>
                <c:pt idx="314">
                  <c:v>1.2123385238326136</c:v>
                </c:pt>
                <c:pt idx="315">
                  <c:v>1.2718273907688324</c:v>
                </c:pt>
                <c:pt idx="316">
                  <c:v>1.3901870615400718</c:v>
                </c:pt>
                <c:pt idx="317">
                  <c:v>1.5337515114674201</c:v>
                </c:pt>
                <c:pt idx="318">
                  <c:v>1.7099570140676423</c:v>
                </c:pt>
                <c:pt idx="319">
                  <c:v>1.8665998650333337</c:v>
                </c:pt>
                <c:pt idx="320">
                  <c:v>2.0745533026944898</c:v>
                </c:pt>
                <c:pt idx="321">
                  <c:v>2.2807154566999381</c:v>
                </c:pt>
                <c:pt idx="322">
                  <c:v>2.4703343391148502</c:v>
                </c:pt>
                <c:pt idx="323">
                  <c:v>2.6299907128783673</c:v>
                </c:pt>
                <c:pt idx="324">
                  <c:v>2.822844944461389</c:v>
                </c:pt>
                <c:pt idx="325">
                  <c:v>3.0482429203587182</c:v>
                </c:pt>
                <c:pt idx="326">
                  <c:v>3.2676305677322075</c:v>
                </c:pt>
                <c:pt idx="327">
                  <c:v>3.4879032122757287</c:v>
                </c:pt>
                <c:pt idx="328">
                  <c:v>3.7774087630638604</c:v>
                </c:pt>
                <c:pt idx="329">
                  <c:v>4.1095626575268334</c:v>
                </c:pt>
                <c:pt idx="330">
                  <c:v>4.2246051014868335</c:v>
                </c:pt>
                <c:pt idx="331">
                  <c:v>4.3336549538319433</c:v>
                </c:pt>
                <c:pt idx="332">
                  <c:v>4.4362839741058542</c:v>
                </c:pt>
                <c:pt idx="333">
                  <c:v>4.5568129407724598</c:v>
                </c:pt>
                <c:pt idx="334">
                  <c:v>4.6528153722176624</c:v>
                </c:pt>
                <c:pt idx="335">
                  <c:v>4.7326145908602966</c:v>
                </c:pt>
                <c:pt idx="336">
                  <c:v>4.8238786199907357</c:v>
                </c:pt>
                <c:pt idx="337">
                  <c:v>4.9090485847969223</c:v>
                </c:pt>
                <c:pt idx="338">
                  <c:v>5.0003527170767175</c:v>
                </c:pt>
                <c:pt idx="339">
                  <c:v>5.0866407073596935</c:v>
                </c:pt>
                <c:pt idx="340">
                  <c:v>5.163281655016382</c:v>
                </c:pt>
                <c:pt idx="341">
                  <c:v>5.2246863345450247</c:v>
                </c:pt>
                <c:pt idx="342">
                  <c:v>5.2995968220467455</c:v>
                </c:pt>
                <c:pt idx="343">
                  <c:v>5.3899034390647182</c:v>
                </c:pt>
                <c:pt idx="344">
                  <c:v>5.4658651539968988</c:v>
                </c:pt>
                <c:pt idx="345">
                  <c:v>5.5498915512115907</c:v>
                </c:pt>
                <c:pt idx="346">
                  <c:v>5.640806020671393</c:v>
                </c:pt>
                <c:pt idx="347">
                  <c:v>5.7069207272309779</c:v>
                </c:pt>
                <c:pt idx="348">
                  <c:v>5.7856105091728569</c:v>
                </c:pt>
                <c:pt idx="349">
                  <c:v>5.8798298758709082</c:v>
                </c:pt>
                <c:pt idx="350">
                  <c:v>5.9766660005074606</c:v>
                </c:pt>
                <c:pt idx="351">
                  <c:v>6.0813545548470538</c:v>
                </c:pt>
                <c:pt idx="352">
                  <c:v>6.1821750169903318</c:v>
                </c:pt>
                <c:pt idx="353">
                  <c:v>6.2697555938192302</c:v>
                </c:pt>
                <c:pt idx="354">
                  <c:v>6.3538838134370517</c:v>
                </c:pt>
                <c:pt idx="355">
                  <c:v>6.4199441273268958</c:v>
                </c:pt>
                <c:pt idx="356">
                  <c:v>6.4947123233657544</c:v>
                </c:pt>
                <c:pt idx="357">
                  <c:v>6.5780768262168205</c:v>
                </c:pt>
                <c:pt idx="358">
                  <c:v>6.629918034600343</c:v>
                </c:pt>
                <c:pt idx="359">
                  <c:v>6.6952641233460577</c:v>
                </c:pt>
                <c:pt idx="360">
                  <c:v>6.8070862404483155</c:v>
                </c:pt>
                <c:pt idx="361">
                  <c:v>6.9322628777066733</c:v>
                </c:pt>
                <c:pt idx="362">
                  <c:v>7.0436675897077325</c:v>
                </c:pt>
                <c:pt idx="363">
                  <c:v>7.1795663118679434</c:v>
                </c:pt>
                <c:pt idx="364">
                  <c:v>7.3104447819113823</c:v>
                </c:pt>
                <c:pt idx="365">
                  <c:v>7.4174976225331104</c:v>
                </c:pt>
                <c:pt idx="366">
                  <c:v>7.5524171704508092</c:v>
                </c:pt>
                <c:pt idx="367">
                  <c:v>7.6834913930450526</c:v>
                </c:pt>
                <c:pt idx="368">
                  <c:v>7.8261079297498588</c:v>
                </c:pt>
                <c:pt idx="369">
                  <c:v>8.0126215408273218</c:v>
                </c:pt>
                <c:pt idx="370">
                  <c:v>8.2123909332617409</c:v>
                </c:pt>
                <c:pt idx="371">
                  <c:v>8.3892116427383954</c:v>
                </c:pt>
                <c:pt idx="372">
                  <c:v>8.5699329355996028</c:v>
                </c:pt>
                <c:pt idx="373">
                  <c:v>8.7565020828388924</c:v>
                </c:pt>
                <c:pt idx="374">
                  <c:v>8.9613320064990596</c:v>
                </c:pt>
                <c:pt idx="375">
                  <c:v>9.1643878909754655</c:v>
                </c:pt>
                <c:pt idx="376">
                  <c:v>9.3598313155583543</c:v>
                </c:pt>
                <c:pt idx="377">
                  <c:v>9.5646092117065713</c:v>
                </c:pt>
                <c:pt idx="378">
                  <c:v>9.7399646168162342</c:v>
                </c:pt>
                <c:pt idx="379">
                  <c:v>9.8897222032417922</c:v>
                </c:pt>
                <c:pt idx="380">
                  <c:v>10.038159731093174</c:v>
                </c:pt>
                <c:pt idx="381">
                  <c:v>10.196843475820906</c:v>
                </c:pt>
                <c:pt idx="382">
                  <c:v>10.338615096554216</c:v>
                </c:pt>
                <c:pt idx="383">
                  <c:v>10.469643908111131</c:v>
                </c:pt>
                <c:pt idx="384">
                  <c:v>10.611746827850791</c:v>
                </c:pt>
                <c:pt idx="385">
                  <c:v>10.743021729977746</c:v>
                </c:pt>
                <c:pt idx="386">
                  <c:v>10.846863350856415</c:v>
                </c:pt>
                <c:pt idx="387">
                  <c:v>10.923963007440062</c:v>
                </c:pt>
                <c:pt idx="388">
                  <c:v>10.943467344468853</c:v>
                </c:pt>
                <c:pt idx="389">
                  <c:v>10.947027118720298</c:v>
                </c:pt>
                <c:pt idx="390">
                  <c:v>10.953219912870681</c:v>
                </c:pt>
                <c:pt idx="391">
                  <c:v>10.988068246777846</c:v>
                </c:pt>
                <c:pt idx="392">
                  <c:v>11.077351816278963</c:v>
                </c:pt>
                <c:pt idx="393">
                  <c:v>11.161744284143118</c:v>
                </c:pt>
                <c:pt idx="394">
                  <c:v>11.23573745295597</c:v>
                </c:pt>
                <c:pt idx="395">
                  <c:v>11.282986410908702</c:v>
                </c:pt>
                <c:pt idx="396">
                  <c:v>11.337241464983384</c:v>
                </c:pt>
                <c:pt idx="397">
                  <c:v>11.358093351437844</c:v>
                </c:pt>
                <c:pt idx="398">
                  <c:v>11.373459086765269</c:v>
                </c:pt>
                <c:pt idx="399">
                  <c:v>11.406294276396913</c:v>
                </c:pt>
                <c:pt idx="400">
                  <c:v>11.899860655284336</c:v>
                </c:pt>
                <c:pt idx="401">
                  <c:v>12.361845631146302</c:v>
                </c:pt>
                <c:pt idx="402">
                  <c:v>12.800427596573687</c:v>
                </c:pt>
                <c:pt idx="403">
                  <c:v>13.240421001522005</c:v>
                </c:pt>
                <c:pt idx="404">
                  <c:v>13.665948962492809</c:v>
                </c:pt>
                <c:pt idx="405">
                  <c:v>14.091281566679438</c:v>
                </c:pt>
                <c:pt idx="406">
                  <c:v>14.555715337537377</c:v>
                </c:pt>
                <c:pt idx="407">
                  <c:v>15.018954854216879</c:v>
                </c:pt>
                <c:pt idx="408">
                  <c:v>15.494714937641435</c:v>
                </c:pt>
                <c:pt idx="409">
                  <c:v>15.953094257936298</c:v>
                </c:pt>
                <c:pt idx="410">
                  <c:v>16.398577372382391</c:v>
                </c:pt>
                <c:pt idx="411">
                  <c:v>16.819310696384314</c:v>
                </c:pt>
                <c:pt idx="412">
                  <c:v>17.226625756480683</c:v>
                </c:pt>
                <c:pt idx="413">
                  <c:v>17.633277837709119</c:v>
                </c:pt>
                <c:pt idx="414">
                  <c:v>18.077287965057202</c:v>
                </c:pt>
                <c:pt idx="415">
                  <c:v>18.509237965119013</c:v>
                </c:pt>
                <c:pt idx="416">
                  <c:v>18.981620321276377</c:v>
                </c:pt>
                <c:pt idx="417">
                  <c:v>19.51733124775884</c:v>
                </c:pt>
                <c:pt idx="418">
                  <c:v>20.03420910973097</c:v>
                </c:pt>
                <c:pt idx="419">
                  <c:v>20.107622303206568</c:v>
                </c:pt>
                <c:pt idx="420">
                  <c:v>20.185234165577796</c:v>
                </c:pt>
                <c:pt idx="421">
                  <c:v>20.265757086606058</c:v>
                </c:pt>
                <c:pt idx="422">
                  <c:v>20.367882507266934</c:v>
                </c:pt>
                <c:pt idx="423">
                  <c:v>20.475235501994689</c:v>
                </c:pt>
                <c:pt idx="424">
                  <c:v>20.589343321595042</c:v>
                </c:pt>
                <c:pt idx="425">
                  <c:v>20.665005032040316</c:v>
                </c:pt>
                <c:pt idx="426">
                  <c:v>20.738264040296301</c:v>
                </c:pt>
                <c:pt idx="427">
                  <c:v>20.790819806969914</c:v>
                </c:pt>
                <c:pt idx="428">
                  <c:v>20.820352849058242</c:v>
                </c:pt>
                <c:pt idx="429">
                  <c:v>20.819603735924066</c:v>
                </c:pt>
                <c:pt idx="430">
                  <c:v>20.7555937256307</c:v>
                </c:pt>
                <c:pt idx="431">
                  <c:v>20.715679730312161</c:v>
                </c:pt>
                <c:pt idx="432">
                  <c:v>20.685782944997335</c:v>
                </c:pt>
                <c:pt idx="433">
                  <c:v>20.671136756907014</c:v>
                </c:pt>
                <c:pt idx="434">
                  <c:v>20.663591842664523</c:v>
                </c:pt>
                <c:pt idx="435">
                  <c:v>20.645132354797081</c:v>
                </c:pt>
                <c:pt idx="436">
                  <c:v>20.599924525769257</c:v>
                </c:pt>
                <c:pt idx="437">
                  <c:v>20.589622731413222</c:v>
                </c:pt>
                <c:pt idx="438">
                  <c:v>20.561464897572346</c:v>
                </c:pt>
                <c:pt idx="439">
                  <c:v>20.531797000979314</c:v>
                </c:pt>
                <c:pt idx="440">
                  <c:v>20.487888957696608</c:v>
                </c:pt>
                <c:pt idx="441">
                  <c:v>20.413063901547233</c:v>
                </c:pt>
                <c:pt idx="442">
                  <c:v>20.319573589346767</c:v>
                </c:pt>
                <c:pt idx="443">
                  <c:v>20.231985168641518</c:v>
                </c:pt>
                <c:pt idx="444">
                  <c:v>20.147969005283692</c:v>
                </c:pt>
                <c:pt idx="445">
                  <c:v>20.075056988182485</c:v>
                </c:pt>
                <c:pt idx="446">
                  <c:v>20.011242787350536</c:v>
                </c:pt>
                <c:pt idx="447">
                  <c:v>19.99334486545326</c:v>
                </c:pt>
                <c:pt idx="448">
                  <c:v>20.013085075940044</c:v>
                </c:pt>
                <c:pt idx="449">
                  <c:v>20.052882567975391</c:v>
                </c:pt>
                <c:pt idx="450">
                  <c:v>20.072154984958882</c:v>
                </c:pt>
                <c:pt idx="451">
                  <c:v>20.08342487288369</c:v>
                </c:pt>
                <c:pt idx="452">
                  <c:v>20.049986843679687</c:v>
                </c:pt>
                <c:pt idx="453">
                  <c:v>20.03065828270833</c:v>
                </c:pt>
                <c:pt idx="454">
                  <c:v>20.049148687929975</c:v>
                </c:pt>
                <c:pt idx="455">
                  <c:v>20.066519317716381</c:v>
                </c:pt>
                <c:pt idx="456">
                  <c:v>20.021435903283827</c:v>
                </c:pt>
                <c:pt idx="457">
                  <c:v>19.983750947829776</c:v>
                </c:pt>
                <c:pt idx="458">
                  <c:v>19.943549395226146</c:v>
                </c:pt>
                <c:pt idx="459">
                  <c:v>19.921591080949284</c:v>
                </c:pt>
                <c:pt idx="460">
                  <c:v>19.88177290862399</c:v>
                </c:pt>
                <c:pt idx="461">
                  <c:v>19.823343469520342</c:v>
                </c:pt>
                <c:pt idx="462">
                  <c:v>19.792620756699328</c:v>
                </c:pt>
                <c:pt idx="463">
                  <c:v>19.743050161283225</c:v>
                </c:pt>
                <c:pt idx="464">
                  <c:v>19.695577734195602</c:v>
                </c:pt>
                <c:pt idx="465">
                  <c:v>19.636072900850053</c:v>
                </c:pt>
                <c:pt idx="466">
                  <c:v>19.524413135458236</c:v>
                </c:pt>
                <c:pt idx="467">
                  <c:v>19.437497795889158</c:v>
                </c:pt>
                <c:pt idx="468">
                  <c:v>19.313944720432659</c:v>
                </c:pt>
                <c:pt idx="469">
                  <c:v>19.245258222444647</c:v>
                </c:pt>
                <c:pt idx="470">
                  <c:v>19.15710508377818</c:v>
                </c:pt>
                <c:pt idx="471">
                  <c:v>19.121401115167419</c:v>
                </c:pt>
                <c:pt idx="472">
                  <c:v>19.107053453627223</c:v>
                </c:pt>
                <c:pt idx="473">
                  <c:v>19.06413990314552</c:v>
                </c:pt>
                <c:pt idx="474">
                  <c:v>19.00848882566644</c:v>
                </c:pt>
                <c:pt idx="475">
                  <c:v>19.012722925143471</c:v>
                </c:pt>
                <c:pt idx="476">
                  <c:v>19.010117053001323</c:v>
                </c:pt>
                <c:pt idx="477">
                  <c:v>19.008159836745612</c:v>
                </c:pt>
                <c:pt idx="478">
                  <c:v>19.024267179018789</c:v>
                </c:pt>
                <c:pt idx="479">
                  <c:v>19.029703622886995</c:v>
                </c:pt>
                <c:pt idx="480">
                  <c:v>19.055907436791031</c:v>
                </c:pt>
                <c:pt idx="481">
                  <c:v>19.031520158784236</c:v>
                </c:pt>
                <c:pt idx="482">
                  <c:v>19.030745449576909</c:v>
                </c:pt>
                <c:pt idx="483">
                  <c:v>18.98928087695786</c:v>
                </c:pt>
                <c:pt idx="484">
                  <c:v>18.964790507361265</c:v>
                </c:pt>
                <c:pt idx="485">
                  <c:v>19.000380046203908</c:v>
                </c:pt>
                <c:pt idx="486">
                  <c:v>19.010236007089656</c:v>
                </c:pt>
                <c:pt idx="487">
                  <c:v>19.084086097142116</c:v>
                </c:pt>
                <c:pt idx="488">
                  <c:v>19.080744038812906</c:v>
                </c:pt>
                <c:pt idx="489">
                  <c:v>19.092108345846196</c:v>
                </c:pt>
                <c:pt idx="490">
                  <c:v>19.074207266908356</c:v>
                </c:pt>
                <c:pt idx="491">
                  <c:v>19.016726997910155</c:v>
                </c:pt>
                <c:pt idx="492">
                  <c:v>18.973506866028348</c:v>
                </c:pt>
                <c:pt idx="493">
                  <c:v>18.904282383112573</c:v>
                </c:pt>
                <c:pt idx="494">
                  <c:v>18.798431998031148</c:v>
                </c:pt>
                <c:pt idx="495">
                  <c:v>18.728044625590442</c:v>
                </c:pt>
                <c:pt idx="496">
                  <c:v>18.706732408244449</c:v>
                </c:pt>
                <c:pt idx="497">
                  <c:v>18.706235040973439</c:v>
                </c:pt>
                <c:pt idx="498">
                  <c:v>18.698699103300793</c:v>
                </c:pt>
                <c:pt idx="499">
                  <c:v>18.712714959971795</c:v>
                </c:pt>
                <c:pt idx="500">
                  <c:v>18.72718448532417</c:v>
                </c:pt>
                <c:pt idx="501">
                  <c:v>18.731991933572111</c:v>
                </c:pt>
                <c:pt idx="502">
                  <c:v>18.76255199633669</c:v>
                </c:pt>
                <c:pt idx="503">
                  <c:v>18.780693091696037</c:v>
                </c:pt>
                <c:pt idx="504">
                  <c:v>18.779938549484033</c:v>
                </c:pt>
                <c:pt idx="505">
                  <c:v>18.774298686085746</c:v>
                </c:pt>
                <c:pt idx="506">
                  <c:v>18.741366957918853</c:v>
                </c:pt>
                <c:pt idx="507">
                  <c:v>18.718506073477798</c:v>
                </c:pt>
                <c:pt idx="508">
                  <c:v>18.730103178504848</c:v>
                </c:pt>
                <c:pt idx="509">
                  <c:v>18.749403390609125</c:v>
                </c:pt>
                <c:pt idx="510">
                  <c:v>18.773271491942193</c:v>
                </c:pt>
                <c:pt idx="511">
                  <c:v>18.764145099792835</c:v>
                </c:pt>
                <c:pt idx="512">
                  <c:v>18.79130328640548</c:v>
                </c:pt>
                <c:pt idx="513">
                  <c:v>18.834372804250545</c:v>
                </c:pt>
                <c:pt idx="514">
                  <c:v>18.853480904144774</c:v>
                </c:pt>
                <c:pt idx="515">
                  <c:v>18.843341627136532</c:v>
                </c:pt>
                <c:pt idx="516">
                  <c:v>18.799842715253515</c:v>
                </c:pt>
                <c:pt idx="517">
                  <c:v>18.807867729025375</c:v>
                </c:pt>
                <c:pt idx="518">
                  <c:v>18.790721867115725</c:v>
                </c:pt>
                <c:pt idx="519">
                  <c:v>18.782673596630172</c:v>
                </c:pt>
                <c:pt idx="520">
                  <c:v>18.784764827575525</c:v>
                </c:pt>
                <c:pt idx="521">
                  <c:v>18.792478363763021</c:v>
                </c:pt>
                <c:pt idx="522">
                  <c:v>18.808541893737207</c:v>
                </c:pt>
                <c:pt idx="523">
                  <c:v>18.805255908729894</c:v>
                </c:pt>
                <c:pt idx="524">
                  <c:v>18.768382858635022</c:v>
                </c:pt>
                <c:pt idx="525">
                  <c:v>18.769861620771486</c:v>
                </c:pt>
                <c:pt idx="526">
                  <c:v>18.810276015758731</c:v>
                </c:pt>
                <c:pt idx="527">
                  <c:v>18.780241419565208</c:v>
                </c:pt>
                <c:pt idx="528">
                  <c:v>18.676091270347399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55-448F-B357-6C6BD3516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7127856"/>
        <c:axId val="1727130256"/>
      </c:lineChart>
      <c:catAx>
        <c:axId val="172712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7130256"/>
        <c:crosses val="autoZero"/>
        <c:auto val="1"/>
        <c:lblAlgn val="ctr"/>
        <c:lblOffset val="100"/>
        <c:noMultiLvlLbl val="0"/>
      </c:catAx>
      <c:valAx>
        <c:axId val="172713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712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141754</xdr:colOff>
      <xdr:row>0</xdr:row>
      <xdr:rowOff>278463</xdr:rowOff>
    </xdr:from>
    <xdr:to>
      <xdr:col>26</xdr:col>
      <xdr:colOff>705971</xdr:colOff>
      <xdr:row>16</xdr:row>
      <xdr:rowOff>22412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C900935-26D1-FFF0-06D0-D6BEDCF34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20170</xdr:colOff>
      <xdr:row>1</xdr:row>
      <xdr:rowOff>7563</xdr:rowOff>
    </xdr:from>
    <xdr:to>
      <xdr:col>32</xdr:col>
      <xdr:colOff>717176</xdr:colOff>
      <xdr:row>15</xdr:row>
      <xdr:rowOff>201706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7E26C4E-3516-6BA5-5573-A9A7C3F05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802862</xdr:colOff>
      <xdr:row>16</xdr:row>
      <xdr:rowOff>34682</xdr:rowOff>
    </xdr:from>
    <xdr:to>
      <xdr:col>31</xdr:col>
      <xdr:colOff>505551</xdr:colOff>
      <xdr:row>36</xdr:row>
      <xdr:rowOff>172408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FDF80F2-D686-23D9-B696-0893DF1FD346}"/>
            </a:ext>
            <a:ext uri="{147F2762-F138-4A5C-976F-8EAC2B608ADB}">
              <a16:predDERef xmlns:a16="http://schemas.microsoft.com/office/drawing/2014/main" pred="{A7E26C4E-3516-6BA5-5573-A9A7C3F05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30479</xdr:colOff>
      <xdr:row>1</xdr:row>
      <xdr:rowOff>4483</xdr:rowOff>
    </xdr:from>
    <xdr:to>
      <xdr:col>27</xdr:col>
      <xdr:colOff>44824</xdr:colOff>
      <xdr:row>15</xdr:row>
      <xdr:rowOff>190499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D151D9E-73F8-48C0-98AD-D48A5D606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39220</xdr:colOff>
      <xdr:row>1</xdr:row>
      <xdr:rowOff>12325</xdr:rowOff>
    </xdr:from>
    <xdr:to>
      <xdr:col>33</xdr:col>
      <xdr:colOff>0</xdr:colOff>
      <xdr:row>15</xdr:row>
      <xdr:rowOff>212911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8347696-0D1D-F822-46A4-357CE1018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235323</xdr:colOff>
      <xdr:row>16</xdr:row>
      <xdr:rowOff>44823</xdr:rowOff>
    </xdr:from>
    <xdr:to>
      <xdr:col>32</xdr:col>
      <xdr:colOff>694764</xdr:colOff>
      <xdr:row>36</xdr:row>
      <xdr:rowOff>11205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C418D49-2583-EAE4-68B2-8255886C6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36452</xdr:colOff>
      <xdr:row>0</xdr:row>
      <xdr:rowOff>598075</xdr:rowOff>
    </xdr:from>
    <xdr:to>
      <xdr:col>27</xdr:col>
      <xdr:colOff>11759</xdr:colOff>
      <xdr:row>14</xdr:row>
      <xdr:rowOff>199908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971624B-366B-170F-C26D-0DF744EF8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24693</xdr:colOff>
      <xdr:row>0</xdr:row>
      <xdr:rowOff>621593</xdr:rowOff>
    </xdr:from>
    <xdr:to>
      <xdr:col>33</xdr:col>
      <xdr:colOff>0</xdr:colOff>
      <xdr:row>15</xdr:row>
      <xdr:rowOff>11758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97E8689-7573-E669-CFD5-DEED7B06F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48212</xdr:colOff>
      <xdr:row>16</xdr:row>
      <xdr:rowOff>11759</xdr:rowOff>
    </xdr:from>
    <xdr:to>
      <xdr:col>32</xdr:col>
      <xdr:colOff>729074</xdr:colOff>
      <xdr:row>33</xdr:row>
      <xdr:rowOff>94074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ADB49B5-8645-96F5-FB8B-0C38789CC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28575</xdr:colOff>
      <xdr:row>1</xdr:row>
      <xdr:rowOff>38100</xdr:rowOff>
    </xdr:from>
    <xdr:to>
      <xdr:col>26</xdr:col>
      <xdr:colOff>723900</xdr:colOff>
      <xdr:row>16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211764E-2FCC-4EA7-972F-ED7CD47C5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9525</xdr:colOff>
      <xdr:row>0</xdr:row>
      <xdr:rowOff>566737</xdr:rowOff>
    </xdr:from>
    <xdr:to>
      <xdr:col>33</xdr:col>
      <xdr:colOff>9525</xdr:colOff>
      <xdr:row>14</xdr:row>
      <xdr:rowOff>14287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24BF703-31E9-2487-697F-C21A771E8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115660</xdr:colOff>
      <xdr:row>16</xdr:row>
      <xdr:rowOff>57151</xdr:rowOff>
    </xdr:from>
    <xdr:to>
      <xdr:col>33</xdr:col>
      <xdr:colOff>27214</xdr:colOff>
      <xdr:row>39</xdr:row>
      <xdr:rowOff>54429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7A90A9EF-F00C-F27F-2A45-078DBCFC1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5443</xdr:colOff>
      <xdr:row>0</xdr:row>
      <xdr:rowOff>621165</xdr:rowOff>
    </xdr:from>
    <xdr:to>
      <xdr:col>27</xdr:col>
      <xdr:colOff>0</xdr:colOff>
      <xdr:row>14</xdr:row>
      <xdr:rowOff>14287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8B9A993-2C50-0C48-723E-58CC545E2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48745</xdr:colOff>
      <xdr:row>1</xdr:row>
      <xdr:rowOff>17368</xdr:rowOff>
    </xdr:from>
    <xdr:to>
      <xdr:col>33</xdr:col>
      <xdr:colOff>31937</xdr:colOff>
      <xdr:row>13</xdr:row>
      <xdr:rowOff>206747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791E205-4841-3091-F4C1-53817FDABD42}"/>
            </a:ext>
            <a:ext uri="{147F2762-F138-4A5C-976F-8EAC2B608ADB}">
              <a16:predDERef xmlns:a16="http://schemas.microsoft.com/office/drawing/2014/main" pred="{B8B9A993-2C50-0C48-723E-58CC545E2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576541</xdr:colOff>
      <xdr:row>32</xdr:row>
      <xdr:rowOff>28014</xdr:rowOff>
    </xdr:from>
    <xdr:to>
      <xdr:col>32</xdr:col>
      <xdr:colOff>638174</xdr:colOff>
      <xdr:row>51</xdr:row>
      <xdr:rowOff>106455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4FED673-5D25-CEA0-922A-D8B0B9AE26A5}"/>
            </a:ext>
            <a:ext uri="{147F2762-F138-4A5C-976F-8EAC2B608ADB}">
              <a16:predDERef xmlns:a16="http://schemas.microsoft.com/office/drawing/2014/main" pred="{F791E205-4841-3091-F4C1-53817FDAB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48D0-1E5A-4B01-BAE2-AB529DBF883F}">
  <dimension ref="A1:AM532"/>
  <sheetViews>
    <sheetView topLeftCell="W12" zoomScale="85" zoomScaleNormal="85" workbookViewId="0">
      <selection activeCell="AD41" sqref="AD41"/>
    </sheetView>
  </sheetViews>
  <sheetFormatPr baseColWidth="10" defaultColWidth="11.42578125" defaultRowHeight="15" x14ac:dyDescent="0.25"/>
  <sheetData>
    <row r="1" spans="1:39" ht="49.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4" t="s">
        <v>7</v>
      </c>
      <c r="J1" s="4" t="s">
        <v>8</v>
      </c>
      <c r="L1" s="4" t="s">
        <v>9</v>
      </c>
      <c r="M1" s="4" t="s">
        <v>10</v>
      </c>
      <c r="O1" s="4" t="s">
        <v>11</v>
      </c>
      <c r="P1" s="4" t="s">
        <v>12</v>
      </c>
      <c r="R1" s="4" t="s">
        <v>13</v>
      </c>
      <c r="S1" s="4" t="s">
        <v>14</v>
      </c>
      <c r="U1" s="4" t="s">
        <v>15</v>
      </c>
      <c r="V1" s="4" t="s">
        <v>16</v>
      </c>
      <c r="W1" s="4" t="s">
        <v>17</v>
      </c>
      <c r="AB1" t="s">
        <v>18</v>
      </c>
      <c r="AC1" s="6" t="s">
        <v>19</v>
      </c>
      <c r="AH1" t="s">
        <v>20</v>
      </c>
      <c r="AI1" t="s">
        <v>21</v>
      </c>
      <c r="AJ1" t="s">
        <v>22</v>
      </c>
      <c r="AL1" s="6" t="s">
        <v>23</v>
      </c>
      <c r="AM1" s="6" t="s">
        <v>24</v>
      </c>
    </row>
    <row r="2" spans="1:39" ht="16.5" x14ac:dyDescent="0.25">
      <c r="A2" s="1">
        <v>45700</v>
      </c>
      <c r="B2" s="5">
        <v>76.63</v>
      </c>
      <c r="C2" s="4">
        <v>76.16</v>
      </c>
      <c r="D2" s="4">
        <v>77.174999999999997</v>
      </c>
      <c r="E2" s="4">
        <v>76.16</v>
      </c>
      <c r="F2" s="4" t="s">
        <v>25</v>
      </c>
      <c r="G2" s="2" t="s">
        <v>26</v>
      </c>
      <c r="I2">
        <f>AVERAGE(B2:B21)</f>
        <v>77.829499999999982</v>
      </c>
      <c r="J2">
        <f>AVERAGE(B2:B41)</f>
        <v>77.772750000000002</v>
      </c>
      <c r="L2">
        <f>IF($C2&lt;$B2,1,0)</f>
        <v>1</v>
      </c>
      <c r="M2">
        <f>IF($C2&lt;$B2,0,1)</f>
        <v>0</v>
      </c>
      <c r="O2">
        <f>IF($C2&lt;$B2,B2-C2,0)</f>
        <v>0.46999999999999886</v>
      </c>
      <c r="P2">
        <f>IF($B2&lt;$C2,C2-B2,0)</f>
        <v>0</v>
      </c>
      <c r="R2">
        <f>SUM(O2:O15)/SUM(L2:L15)</f>
        <v>0.92555555555555535</v>
      </c>
      <c r="S2">
        <f>SUM(P2:P15)/SUM(M2:M15)</f>
        <v>1.1760000000000048</v>
      </c>
      <c r="U2">
        <f>100-(100/(1+(R2/S2)))</f>
        <v>44.041450777201966</v>
      </c>
      <c r="V2">
        <v>58</v>
      </c>
      <c r="W2">
        <v>42</v>
      </c>
      <c r="AB2">
        <f>((B2-E2)/(D2-E2))*100</f>
        <v>46.30541871921168</v>
      </c>
      <c r="AC2">
        <f>AVERAGE(AB2:AB16)</f>
        <v>51.418159835434942</v>
      </c>
      <c r="AH2">
        <f>_xlfn.STDEV.S(I2:I532)</f>
        <v>11.240133209824828</v>
      </c>
      <c r="AI2">
        <f>I2-$AH$2</f>
        <v>66.589366790175148</v>
      </c>
      <c r="AJ2">
        <f>I2+$AH$2</f>
        <v>89.069633209824815</v>
      </c>
      <c r="AL2">
        <f>I2+(AH2*2)</f>
        <v>100.30976641964963</v>
      </c>
      <c r="AM2">
        <f>I2-(AH2*2)</f>
        <v>55.349233580350329</v>
      </c>
    </row>
    <row r="3" spans="1:39" ht="16.5" x14ac:dyDescent="0.25">
      <c r="A3" s="1">
        <v>45699</v>
      </c>
      <c r="B3" s="5">
        <v>76.22</v>
      </c>
      <c r="C3" s="4">
        <v>76.8</v>
      </c>
      <c r="D3" s="4">
        <v>77.040000000000006</v>
      </c>
      <c r="E3" s="4">
        <v>75.48</v>
      </c>
      <c r="F3" s="4" t="s">
        <v>27</v>
      </c>
      <c r="G3" s="2" t="s">
        <v>28</v>
      </c>
      <c r="I3">
        <f t="shared" ref="I3:I66" si="0">AVERAGE(B3:B22)</f>
        <v>77.849999999999994</v>
      </c>
      <c r="J3">
        <f t="shared" ref="J3:J66" si="1">AVERAGE(B3:B42)</f>
        <v>77.819000000000003</v>
      </c>
      <c r="L3">
        <f t="shared" ref="L3:L66" si="2">IF($C3&lt;$B3,1,0)</f>
        <v>0</v>
      </c>
      <c r="M3">
        <f t="shared" ref="M3:M66" si="3">IF($C3&lt;$B3,0,1)</f>
        <v>1</v>
      </c>
      <c r="O3">
        <f t="shared" ref="O3:O66" si="4">IF($C3&lt;$B3,B3-C3,0)</f>
        <v>0</v>
      </c>
      <c r="P3">
        <f t="shared" ref="P3:P66" si="5">IF($B3&lt;$C3,C3-B3,0)</f>
        <v>0.57999999999999829</v>
      </c>
      <c r="R3">
        <f t="shared" ref="R3:R66" si="6">SUM(O3:O16)/SUM(L3:L16)</f>
        <v>0.98249999999999993</v>
      </c>
      <c r="S3">
        <f t="shared" ref="S3:S66" si="7">SUM(P3:P16)/SUM(M3:M16)</f>
        <v>1.2000000000000053</v>
      </c>
      <c r="U3">
        <f t="shared" ref="U3:U16" si="8">100-(100/(1+(R3/S3)))</f>
        <v>45.017182130584082</v>
      </c>
      <c r="V3">
        <v>58</v>
      </c>
      <c r="W3">
        <v>42</v>
      </c>
      <c r="AB3">
        <f t="shared" ref="AB3:AB16" si="9">((B3-E3)/(D3-E3))*100</f>
        <v>47.43589743589704</v>
      </c>
      <c r="AC3">
        <f t="shared" ref="AC3:AC16" si="10">AVERAGE(AB3:AB17)</f>
        <v>51.783355629450895</v>
      </c>
      <c r="AH3">
        <f t="shared" ref="AH3:AH66" si="11">_xlfn.STDEV.S(I3:I533)</f>
        <v>11.229222689797677</v>
      </c>
      <c r="AI3">
        <f t="shared" ref="AI3:AI66" si="12">I3-$AH$2</f>
        <v>66.609866790175161</v>
      </c>
      <c r="AJ3">
        <f t="shared" ref="AJ3:AJ66" si="13">I3+$AH$2</f>
        <v>89.090133209824828</v>
      </c>
      <c r="AL3">
        <f t="shared" ref="AL3:AL66" si="14">I3+(AH3*2)</f>
        <v>100.30844537959536</v>
      </c>
      <c r="AM3">
        <f t="shared" ref="AM3:AM66" si="15">I3-(AH3*2)</f>
        <v>55.391554620404641</v>
      </c>
    </row>
    <row r="4" spans="1:39" ht="16.5" x14ac:dyDescent="0.25">
      <c r="A4" s="1">
        <v>45698</v>
      </c>
      <c r="B4" s="5">
        <v>77.040000000000006</v>
      </c>
      <c r="C4" s="4">
        <v>76.48</v>
      </c>
      <c r="D4" s="4">
        <v>77.48</v>
      </c>
      <c r="E4" s="4">
        <v>76.34</v>
      </c>
      <c r="F4" s="4" t="s">
        <v>29</v>
      </c>
      <c r="G4" s="2" t="s">
        <v>30</v>
      </c>
      <c r="I4">
        <f t="shared" si="0"/>
        <v>77.837999999999994</v>
      </c>
      <c r="J4">
        <f t="shared" si="1"/>
        <v>77.905499999999989</v>
      </c>
      <c r="L4">
        <f t="shared" si="2"/>
        <v>1</v>
      </c>
      <c r="M4">
        <f t="shared" si="3"/>
        <v>0</v>
      </c>
      <c r="O4">
        <f t="shared" si="4"/>
        <v>0.56000000000000227</v>
      </c>
      <c r="P4">
        <f t="shared" si="5"/>
        <v>0</v>
      </c>
      <c r="R4">
        <f t="shared" si="6"/>
        <v>0.98249999999999993</v>
      </c>
      <c r="S4">
        <f t="shared" si="7"/>
        <v>1.1500000000000057</v>
      </c>
      <c r="U4">
        <f t="shared" si="8"/>
        <v>46.072684642438333</v>
      </c>
      <c r="V4">
        <v>58</v>
      </c>
      <c r="W4">
        <v>42</v>
      </c>
      <c r="AB4">
        <f t="shared" si="9"/>
        <v>61.403508771930049</v>
      </c>
      <c r="AC4">
        <f t="shared" si="10"/>
        <v>52.117775490493493</v>
      </c>
      <c r="AH4">
        <f t="shared" si="11"/>
        <v>11.218233960920125</v>
      </c>
      <c r="AI4">
        <f t="shared" si="12"/>
        <v>66.597866790175161</v>
      </c>
      <c r="AJ4">
        <f t="shared" si="13"/>
        <v>89.078133209824827</v>
      </c>
      <c r="AL4">
        <f t="shared" si="14"/>
        <v>100.27446792184024</v>
      </c>
      <c r="AM4">
        <f t="shared" si="15"/>
        <v>55.401532078159747</v>
      </c>
    </row>
    <row r="5" spans="1:39" ht="16.5" x14ac:dyDescent="0.25">
      <c r="A5" s="1">
        <v>45695</v>
      </c>
      <c r="B5" s="5">
        <v>76.38</v>
      </c>
      <c r="C5" s="4">
        <v>77.84</v>
      </c>
      <c r="D5" s="4">
        <v>78.58</v>
      </c>
      <c r="E5" s="4">
        <v>76.12</v>
      </c>
      <c r="F5" s="4" t="s">
        <v>31</v>
      </c>
      <c r="G5" s="2" t="s">
        <v>32</v>
      </c>
      <c r="I5">
        <f t="shared" si="0"/>
        <v>77.796999999999997</v>
      </c>
      <c r="J5">
        <f t="shared" si="1"/>
        <v>77.959499999999991</v>
      </c>
      <c r="L5">
        <f t="shared" si="2"/>
        <v>0</v>
      </c>
      <c r="M5">
        <f t="shared" si="3"/>
        <v>1</v>
      </c>
      <c r="O5">
        <f t="shared" si="4"/>
        <v>0</v>
      </c>
      <c r="P5">
        <f t="shared" si="5"/>
        <v>1.460000000000008</v>
      </c>
      <c r="R5">
        <f t="shared" si="6"/>
        <v>1.0428571428571425</v>
      </c>
      <c r="S5">
        <f t="shared" si="7"/>
        <v>1.0342857142857196</v>
      </c>
      <c r="U5">
        <f t="shared" si="8"/>
        <v>50.206327372764655</v>
      </c>
      <c r="V5">
        <v>58</v>
      </c>
      <c r="W5">
        <v>42</v>
      </c>
      <c r="AB5">
        <f t="shared" si="9"/>
        <v>10.569105691056569</v>
      </c>
      <c r="AC5">
        <f t="shared" si="10"/>
        <v>51.34396438370711</v>
      </c>
      <c r="AH5">
        <f t="shared" si="11"/>
        <v>11.207077858782169</v>
      </c>
      <c r="AI5">
        <f t="shared" si="12"/>
        <v>66.556866790175164</v>
      </c>
      <c r="AJ5">
        <f t="shared" si="13"/>
        <v>89.03713320982483</v>
      </c>
      <c r="AL5">
        <f t="shared" si="14"/>
        <v>100.21115571756434</v>
      </c>
      <c r="AM5">
        <f t="shared" si="15"/>
        <v>55.382844282435656</v>
      </c>
    </row>
    <row r="6" spans="1:39" ht="16.5" x14ac:dyDescent="0.25">
      <c r="A6" s="1">
        <v>45694</v>
      </c>
      <c r="B6" s="5">
        <v>77.62</v>
      </c>
      <c r="C6" s="4">
        <v>76.28</v>
      </c>
      <c r="D6" s="4">
        <v>78.2</v>
      </c>
      <c r="E6" s="4">
        <v>75.78</v>
      </c>
      <c r="F6" s="4" t="s">
        <v>33</v>
      </c>
      <c r="G6" s="2" t="s">
        <v>34</v>
      </c>
      <c r="I6">
        <f t="shared" si="0"/>
        <v>77.796999999999997</v>
      </c>
      <c r="J6">
        <f t="shared" si="1"/>
        <v>77.98099999999998</v>
      </c>
      <c r="L6">
        <f t="shared" si="2"/>
        <v>1</v>
      </c>
      <c r="M6">
        <f t="shared" si="3"/>
        <v>0</v>
      </c>
      <c r="O6">
        <f t="shared" si="4"/>
        <v>1.3400000000000034</v>
      </c>
      <c r="P6">
        <f t="shared" si="5"/>
        <v>0</v>
      </c>
      <c r="R6">
        <f t="shared" si="6"/>
        <v>1.1650000000000009</v>
      </c>
      <c r="S6">
        <f t="shared" si="7"/>
        <v>0.96333333333333826</v>
      </c>
      <c r="U6">
        <f t="shared" si="8"/>
        <v>54.737666405638102</v>
      </c>
      <c r="V6">
        <v>58</v>
      </c>
      <c r="W6">
        <v>42</v>
      </c>
      <c r="AB6">
        <f t="shared" si="9"/>
        <v>76.033057851239761</v>
      </c>
      <c r="AC6">
        <f t="shared" si="10"/>
        <v>55.050769719402609</v>
      </c>
      <c r="AH6">
        <f t="shared" si="11"/>
        <v>11.195672901297401</v>
      </c>
      <c r="AI6">
        <f t="shared" si="12"/>
        <v>66.556866790175164</v>
      </c>
      <c r="AJ6">
        <f t="shared" si="13"/>
        <v>89.03713320982483</v>
      </c>
      <c r="AL6">
        <f t="shared" si="14"/>
        <v>100.1883458025948</v>
      </c>
      <c r="AM6">
        <f t="shared" si="15"/>
        <v>55.405654197405198</v>
      </c>
    </row>
    <row r="7" spans="1:39" ht="16.5" x14ac:dyDescent="0.25">
      <c r="A7" s="1">
        <v>45693</v>
      </c>
      <c r="B7" s="5">
        <v>76.319999999999993</v>
      </c>
      <c r="C7" s="4">
        <v>76.5</v>
      </c>
      <c r="D7" s="4">
        <v>77</v>
      </c>
      <c r="E7" s="4">
        <v>75.680000000000007</v>
      </c>
      <c r="F7" s="4" t="s">
        <v>35</v>
      </c>
      <c r="G7" s="2" t="s">
        <v>36</v>
      </c>
      <c r="I7">
        <f t="shared" si="0"/>
        <v>77.692000000000007</v>
      </c>
      <c r="J7">
        <f t="shared" si="1"/>
        <v>77.920499999999976</v>
      </c>
      <c r="L7">
        <f t="shared" si="2"/>
        <v>0</v>
      </c>
      <c r="M7">
        <f t="shared" si="3"/>
        <v>1</v>
      </c>
      <c r="O7">
        <f t="shared" si="4"/>
        <v>0</v>
      </c>
      <c r="P7">
        <f t="shared" si="5"/>
        <v>0.18000000000000682</v>
      </c>
      <c r="R7">
        <f t="shared" si="6"/>
        <v>1.0474999999999994</v>
      </c>
      <c r="S7">
        <f t="shared" si="7"/>
        <v>0.96333333333333826</v>
      </c>
      <c r="U7">
        <f t="shared" si="8"/>
        <v>52.092830501450329</v>
      </c>
      <c r="V7">
        <v>58</v>
      </c>
      <c r="W7">
        <v>42</v>
      </c>
      <c r="AB7">
        <f t="shared" si="9"/>
        <v>48.484848484847703</v>
      </c>
      <c r="AC7">
        <f t="shared" si="10"/>
        <v>52.952540906218893</v>
      </c>
      <c r="AH7">
        <f t="shared" si="11"/>
        <v>11.184128619048195</v>
      </c>
      <c r="AI7">
        <f t="shared" si="12"/>
        <v>66.451866790175174</v>
      </c>
      <c r="AJ7">
        <f t="shared" si="13"/>
        <v>88.93213320982484</v>
      </c>
      <c r="AL7">
        <f t="shared" si="14"/>
        <v>100.0602572380964</v>
      </c>
      <c r="AM7">
        <f t="shared" si="15"/>
        <v>55.323742761903617</v>
      </c>
    </row>
    <row r="8" spans="1:39" ht="16.5" x14ac:dyDescent="0.25">
      <c r="A8" s="1">
        <v>45692</v>
      </c>
      <c r="B8" s="5">
        <v>77.16</v>
      </c>
      <c r="C8" s="4">
        <v>76.680000000000007</v>
      </c>
      <c r="D8" s="4">
        <v>77.5</v>
      </c>
      <c r="E8" s="4">
        <v>75.239999999999995</v>
      </c>
      <c r="F8" s="4" t="s">
        <v>37</v>
      </c>
      <c r="G8" s="2" t="s">
        <v>38</v>
      </c>
      <c r="I8">
        <f t="shared" si="0"/>
        <v>77.713999999999999</v>
      </c>
      <c r="J8">
        <f t="shared" si="1"/>
        <v>77.848499999999973</v>
      </c>
      <c r="L8">
        <f t="shared" si="2"/>
        <v>1</v>
      </c>
      <c r="M8">
        <f t="shared" si="3"/>
        <v>0</v>
      </c>
      <c r="O8">
        <f t="shared" si="4"/>
        <v>0.47999999999998977</v>
      </c>
      <c r="P8">
        <f t="shared" si="5"/>
        <v>0</v>
      </c>
      <c r="R8">
        <f t="shared" si="6"/>
        <v>1.0474999999999994</v>
      </c>
      <c r="S8">
        <f t="shared" si="7"/>
        <v>1.2200000000000035</v>
      </c>
      <c r="U8">
        <f t="shared" si="8"/>
        <v>46.196251378169706</v>
      </c>
      <c r="V8">
        <v>58</v>
      </c>
      <c r="W8">
        <v>42</v>
      </c>
      <c r="AB8">
        <f t="shared" si="9"/>
        <v>84.955752212389271</v>
      </c>
      <c r="AC8">
        <f t="shared" si="10"/>
        <v>53.448951175260135</v>
      </c>
      <c r="AH8">
        <f t="shared" si="11"/>
        <v>11.172151846798618</v>
      </c>
      <c r="AI8">
        <f t="shared" si="12"/>
        <v>66.473866790175165</v>
      </c>
      <c r="AJ8">
        <f t="shared" si="13"/>
        <v>88.954133209824832</v>
      </c>
      <c r="AL8">
        <f t="shared" si="14"/>
        <v>100.05830369359724</v>
      </c>
      <c r="AM8">
        <f t="shared" si="15"/>
        <v>55.369696306402759</v>
      </c>
    </row>
    <row r="9" spans="1:39" ht="16.5" x14ac:dyDescent="0.25">
      <c r="A9" s="1">
        <v>45691</v>
      </c>
      <c r="B9" s="5">
        <v>76.72</v>
      </c>
      <c r="C9" s="4">
        <v>74.64</v>
      </c>
      <c r="D9" s="4">
        <v>76.92</v>
      </c>
      <c r="E9" s="4">
        <v>73.48</v>
      </c>
      <c r="F9" s="4" t="s">
        <v>39</v>
      </c>
      <c r="G9" s="2" t="s">
        <v>40</v>
      </c>
      <c r="I9">
        <f t="shared" si="0"/>
        <v>77.799000000000007</v>
      </c>
      <c r="J9">
        <f t="shared" si="1"/>
        <v>77.714499999999987</v>
      </c>
      <c r="L9">
        <f t="shared" si="2"/>
        <v>1</v>
      </c>
      <c r="M9">
        <f t="shared" si="3"/>
        <v>0</v>
      </c>
      <c r="O9">
        <f t="shared" si="4"/>
        <v>2.0799999999999983</v>
      </c>
      <c r="P9">
        <f t="shared" si="5"/>
        <v>0</v>
      </c>
      <c r="R9">
        <f t="shared" si="6"/>
        <v>1.0550000000000015</v>
      </c>
      <c r="S9">
        <f t="shared" si="7"/>
        <v>1.2200000000000035</v>
      </c>
      <c r="U9">
        <f t="shared" si="8"/>
        <v>46.37362637362633</v>
      </c>
      <c r="V9">
        <v>58</v>
      </c>
      <c r="W9">
        <v>42</v>
      </c>
      <c r="AB9">
        <f t="shared" si="9"/>
        <v>94.186046511627822</v>
      </c>
      <c r="AC9">
        <f t="shared" si="10"/>
        <v>49.510601045618998</v>
      </c>
      <c r="AH9">
        <f t="shared" si="11"/>
        <v>11.160091112727388</v>
      </c>
      <c r="AI9">
        <f t="shared" si="12"/>
        <v>66.558866790175173</v>
      </c>
      <c r="AJ9">
        <f t="shared" si="13"/>
        <v>89.03913320982484</v>
      </c>
      <c r="AL9">
        <f t="shared" si="14"/>
        <v>100.11918222545478</v>
      </c>
      <c r="AM9">
        <f t="shared" si="15"/>
        <v>55.478817774545234</v>
      </c>
    </row>
    <row r="10" spans="1:39" ht="16.5" x14ac:dyDescent="0.25">
      <c r="A10" s="1">
        <v>45688</v>
      </c>
      <c r="B10" s="5">
        <v>78.599999999999994</v>
      </c>
      <c r="C10" s="4">
        <v>79.86</v>
      </c>
      <c r="D10" s="4">
        <v>80.14</v>
      </c>
      <c r="E10" s="4">
        <v>78.599999999999994</v>
      </c>
      <c r="F10" s="4" t="s">
        <v>41</v>
      </c>
      <c r="G10" s="2" t="s">
        <v>32</v>
      </c>
      <c r="I10">
        <f t="shared" si="0"/>
        <v>77.952999999999989</v>
      </c>
      <c r="J10">
        <f t="shared" si="1"/>
        <v>77.593499999999977</v>
      </c>
      <c r="L10">
        <f t="shared" si="2"/>
        <v>0</v>
      </c>
      <c r="M10">
        <f t="shared" si="3"/>
        <v>1</v>
      </c>
      <c r="O10">
        <f t="shared" si="4"/>
        <v>0</v>
      </c>
      <c r="P10">
        <f t="shared" si="5"/>
        <v>1.2600000000000051</v>
      </c>
      <c r="R10">
        <f t="shared" si="6"/>
        <v>0.90857142857143047</v>
      </c>
      <c r="S10">
        <f t="shared" si="7"/>
        <v>1.2342857142857164</v>
      </c>
      <c r="U10">
        <f t="shared" si="8"/>
        <v>42.400000000000006</v>
      </c>
      <c r="V10">
        <v>58</v>
      </c>
      <c r="W10">
        <v>42</v>
      </c>
      <c r="AB10">
        <f t="shared" si="9"/>
        <v>0</v>
      </c>
      <c r="AC10">
        <f t="shared" si="10"/>
        <v>43.12839455047488</v>
      </c>
      <c r="AH10">
        <f t="shared" si="11"/>
        <v>11.148121895499926</v>
      </c>
      <c r="AI10">
        <f t="shared" si="12"/>
        <v>66.712866790175156</v>
      </c>
      <c r="AJ10">
        <f t="shared" si="13"/>
        <v>89.193133209824822</v>
      </c>
      <c r="AL10">
        <f t="shared" si="14"/>
        <v>100.24924379099984</v>
      </c>
      <c r="AM10">
        <f t="shared" si="15"/>
        <v>55.656756209000136</v>
      </c>
    </row>
    <row r="11" spans="1:39" ht="16.5" x14ac:dyDescent="0.25">
      <c r="A11" s="1">
        <v>45687</v>
      </c>
      <c r="B11" s="5">
        <v>79.88</v>
      </c>
      <c r="C11" s="4">
        <v>79.5</v>
      </c>
      <c r="D11" s="4">
        <v>80.12</v>
      </c>
      <c r="E11" s="4">
        <v>78.819999999999993</v>
      </c>
      <c r="F11" s="4" t="s">
        <v>42</v>
      </c>
      <c r="G11" s="2" t="s">
        <v>43</v>
      </c>
      <c r="I11">
        <f t="shared" si="0"/>
        <v>77.843999999999994</v>
      </c>
      <c r="J11">
        <f t="shared" si="1"/>
        <v>77.378999999999976</v>
      </c>
      <c r="L11">
        <f t="shared" si="2"/>
        <v>1</v>
      </c>
      <c r="M11">
        <f t="shared" si="3"/>
        <v>0</v>
      </c>
      <c r="O11">
        <f t="shared" si="4"/>
        <v>0.37999999999999545</v>
      </c>
      <c r="P11">
        <f t="shared" si="5"/>
        <v>0</v>
      </c>
      <c r="R11">
        <f t="shared" si="6"/>
        <v>0.90857142857143047</v>
      </c>
      <c r="S11">
        <f t="shared" si="7"/>
        <v>1.0685714285714292</v>
      </c>
      <c r="U11">
        <f t="shared" si="8"/>
        <v>45.953757225433563</v>
      </c>
      <c r="V11">
        <v>58</v>
      </c>
      <c r="W11">
        <v>42</v>
      </c>
      <c r="AB11">
        <f t="shared" si="9"/>
        <v>81.538461538461007</v>
      </c>
      <c r="AC11">
        <f t="shared" si="10"/>
        <v>50.316460308887365</v>
      </c>
      <c r="AH11">
        <f t="shared" si="11"/>
        <v>11.136437046785757</v>
      </c>
      <c r="AI11">
        <f t="shared" si="12"/>
        <v>66.603866790175161</v>
      </c>
      <c r="AJ11">
        <f t="shared" si="13"/>
        <v>89.084133209824827</v>
      </c>
      <c r="AL11">
        <f t="shared" si="14"/>
        <v>100.11687409357151</v>
      </c>
      <c r="AM11">
        <f t="shared" si="15"/>
        <v>55.571125906428477</v>
      </c>
    </row>
    <row r="12" spans="1:39" ht="16.5" x14ac:dyDescent="0.25">
      <c r="A12" s="1">
        <v>45686</v>
      </c>
      <c r="B12" s="5">
        <v>79.3</v>
      </c>
      <c r="C12" s="4">
        <v>78.88</v>
      </c>
      <c r="D12" s="4">
        <v>79.760000000000005</v>
      </c>
      <c r="E12" s="4">
        <v>78.28</v>
      </c>
      <c r="F12" s="4" t="s">
        <v>44</v>
      </c>
      <c r="G12" s="2" t="s">
        <v>45</v>
      </c>
      <c r="I12">
        <f t="shared" si="0"/>
        <v>77.754999999999995</v>
      </c>
      <c r="J12">
        <f t="shared" si="1"/>
        <v>77.10499999999999</v>
      </c>
      <c r="L12">
        <f t="shared" si="2"/>
        <v>1</v>
      </c>
      <c r="M12">
        <f t="shared" si="3"/>
        <v>0</v>
      </c>
      <c r="O12">
        <f t="shared" si="4"/>
        <v>0.42000000000000171</v>
      </c>
      <c r="P12">
        <f t="shared" si="5"/>
        <v>0</v>
      </c>
      <c r="R12">
        <f t="shared" si="6"/>
        <v>1.0057142857142887</v>
      </c>
      <c r="S12">
        <f t="shared" si="7"/>
        <v>1.0685714285714292</v>
      </c>
      <c r="U12">
        <f t="shared" si="8"/>
        <v>48.484848484848541</v>
      </c>
      <c r="V12">
        <v>58</v>
      </c>
      <c r="W12">
        <v>42</v>
      </c>
      <c r="AB12">
        <f t="shared" si="9"/>
        <v>68.918918918918465</v>
      </c>
      <c r="AC12">
        <f t="shared" si="10"/>
        <v>44.072060062972632</v>
      </c>
      <c r="AH12">
        <f t="shared" si="11"/>
        <v>11.124302961981181</v>
      </c>
      <c r="AI12">
        <f t="shared" si="12"/>
        <v>66.514866790175162</v>
      </c>
      <c r="AJ12">
        <f t="shared" si="13"/>
        <v>88.995133209824829</v>
      </c>
      <c r="AL12">
        <f t="shared" si="14"/>
        <v>100.00360592396235</v>
      </c>
      <c r="AM12">
        <f t="shared" si="15"/>
        <v>55.506394076037637</v>
      </c>
    </row>
    <row r="13" spans="1:39" ht="16.5" x14ac:dyDescent="0.25">
      <c r="A13" s="1">
        <v>45685</v>
      </c>
      <c r="B13" s="5">
        <v>78.8</v>
      </c>
      <c r="C13" s="4">
        <v>81.2</v>
      </c>
      <c r="D13" s="4">
        <v>81.78</v>
      </c>
      <c r="E13" s="4">
        <v>78.64</v>
      </c>
      <c r="F13" s="4" t="s">
        <v>46</v>
      </c>
      <c r="G13" s="2" t="s">
        <v>47</v>
      </c>
      <c r="I13">
        <f t="shared" si="0"/>
        <v>77.739000000000004</v>
      </c>
      <c r="J13">
        <f t="shared" si="1"/>
        <v>76.832499999999982</v>
      </c>
      <c r="L13">
        <f t="shared" si="2"/>
        <v>0</v>
      </c>
      <c r="M13">
        <f t="shared" si="3"/>
        <v>1</v>
      </c>
      <c r="O13">
        <f t="shared" si="4"/>
        <v>0</v>
      </c>
      <c r="P13">
        <f t="shared" si="5"/>
        <v>2.4000000000000057</v>
      </c>
      <c r="R13">
        <f t="shared" si="6"/>
        <v>1.1033333333333364</v>
      </c>
      <c r="S13">
        <f t="shared" si="7"/>
        <v>1.0100000000000016</v>
      </c>
      <c r="U13">
        <f t="shared" si="8"/>
        <v>52.208201892744512</v>
      </c>
      <c r="V13">
        <v>58</v>
      </c>
      <c r="W13">
        <v>42</v>
      </c>
      <c r="AB13">
        <f t="shared" si="9"/>
        <v>5.0955414012737759</v>
      </c>
      <c r="AC13">
        <f t="shared" si="10"/>
        <v>37.860345348986179</v>
      </c>
      <c r="AH13">
        <f t="shared" si="11"/>
        <v>11.111768212650937</v>
      </c>
      <c r="AI13">
        <f t="shared" si="12"/>
        <v>66.498866790175171</v>
      </c>
      <c r="AJ13">
        <f t="shared" si="13"/>
        <v>88.979133209824838</v>
      </c>
      <c r="AL13">
        <f t="shared" si="14"/>
        <v>99.962536425301877</v>
      </c>
      <c r="AM13">
        <f t="shared" si="15"/>
        <v>55.515463574698131</v>
      </c>
    </row>
    <row r="14" spans="1:39" ht="16.5" x14ac:dyDescent="0.25">
      <c r="A14" s="1">
        <v>45684</v>
      </c>
      <c r="B14" s="5">
        <v>81.040000000000006</v>
      </c>
      <c r="C14" s="4">
        <v>79.22</v>
      </c>
      <c r="D14" s="4">
        <v>81.08</v>
      </c>
      <c r="E14" s="4">
        <v>78.52</v>
      </c>
      <c r="F14" s="4" t="s">
        <v>48</v>
      </c>
      <c r="G14" s="2" t="s">
        <v>49</v>
      </c>
      <c r="I14">
        <f t="shared" si="0"/>
        <v>77.715999999999994</v>
      </c>
      <c r="J14">
        <f t="shared" si="1"/>
        <v>76.574499999999986</v>
      </c>
      <c r="L14">
        <f t="shared" si="2"/>
        <v>1</v>
      </c>
      <c r="M14">
        <f t="shared" si="3"/>
        <v>0</v>
      </c>
      <c r="O14">
        <f t="shared" si="4"/>
        <v>1.8200000000000074</v>
      </c>
      <c r="P14">
        <f t="shared" si="5"/>
        <v>0</v>
      </c>
      <c r="R14">
        <f t="shared" si="6"/>
        <v>1.1033333333333364</v>
      </c>
      <c r="S14">
        <f t="shared" si="7"/>
        <v>0.92500000000000071</v>
      </c>
      <c r="U14">
        <f t="shared" si="8"/>
        <v>54.396055875102761</v>
      </c>
      <c r="V14">
        <v>58</v>
      </c>
      <c r="W14">
        <v>42</v>
      </c>
      <c r="AB14">
        <f t="shared" si="9"/>
        <v>98.437500000000313</v>
      </c>
      <c r="AC14">
        <f t="shared" si="10"/>
        <v>48.781946664890313</v>
      </c>
      <c r="AH14">
        <f t="shared" si="11"/>
        <v>11.099035129482072</v>
      </c>
      <c r="AI14">
        <f t="shared" si="12"/>
        <v>66.475866790175161</v>
      </c>
      <c r="AJ14">
        <f t="shared" si="13"/>
        <v>88.956133209824827</v>
      </c>
      <c r="AL14">
        <f t="shared" si="14"/>
        <v>99.914070258964131</v>
      </c>
      <c r="AM14">
        <f t="shared" si="15"/>
        <v>55.51792974103585</v>
      </c>
    </row>
    <row r="15" spans="1:39" ht="16.5" x14ac:dyDescent="0.25">
      <c r="A15" s="1">
        <v>45681</v>
      </c>
      <c r="B15" s="5">
        <v>78.84</v>
      </c>
      <c r="C15" s="4">
        <v>78.06</v>
      </c>
      <c r="D15" s="4">
        <v>80.7</v>
      </c>
      <c r="E15" s="4">
        <v>77.92</v>
      </c>
      <c r="F15" s="4" t="s">
        <v>50</v>
      </c>
      <c r="G15" s="2" t="s">
        <v>51</v>
      </c>
      <c r="I15">
        <f t="shared" si="0"/>
        <v>77.510999999999996</v>
      </c>
      <c r="J15">
        <f t="shared" si="1"/>
        <v>76.280999999999977</v>
      </c>
      <c r="L15">
        <f t="shared" si="2"/>
        <v>1</v>
      </c>
      <c r="M15">
        <f t="shared" si="3"/>
        <v>0</v>
      </c>
      <c r="O15">
        <f t="shared" si="4"/>
        <v>0.78000000000000114</v>
      </c>
      <c r="P15">
        <f t="shared" si="5"/>
        <v>0</v>
      </c>
      <c r="R15">
        <f t="shared" si="6"/>
        <v>0.9600000000000023</v>
      </c>
      <c r="S15">
        <f t="shared" si="7"/>
        <v>0.9044444444444445</v>
      </c>
      <c r="U15">
        <f t="shared" si="8"/>
        <v>51.489868891537604</v>
      </c>
      <c r="V15">
        <v>58</v>
      </c>
      <c r="W15">
        <v>42</v>
      </c>
      <c r="AB15">
        <f t="shared" si="9"/>
        <v>33.093525179856165</v>
      </c>
      <c r="AC15">
        <f t="shared" si="10"/>
        <v>23.954169997335313</v>
      </c>
      <c r="AH15">
        <f t="shared" si="11"/>
        <v>11.086080976861867</v>
      </c>
      <c r="AI15">
        <f t="shared" si="12"/>
        <v>66.270866790175162</v>
      </c>
      <c r="AJ15">
        <f t="shared" si="13"/>
        <v>88.751133209824829</v>
      </c>
      <c r="AL15">
        <f t="shared" si="14"/>
        <v>99.683161953723726</v>
      </c>
      <c r="AM15">
        <f t="shared" si="15"/>
        <v>55.338838046276265</v>
      </c>
    </row>
    <row r="16" spans="1:39" ht="16.5" x14ac:dyDescent="0.25">
      <c r="A16" s="1">
        <v>45680</v>
      </c>
      <c r="B16" s="5">
        <v>77.38</v>
      </c>
      <c r="C16" s="4">
        <v>78.7</v>
      </c>
      <c r="D16" s="4">
        <v>78.760000000000005</v>
      </c>
      <c r="E16" s="4">
        <v>77.14</v>
      </c>
      <c r="F16" s="4" t="s">
        <v>52</v>
      </c>
      <c r="G16" s="2" t="s">
        <v>53</v>
      </c>
      <c r="I16">
        <f t="shared" si="0"/>
        <v>77.447999999999993</v>
      </c>
      <c r="J16">
        <f t="shared" si="1"/>
        <v>76.004999999999995</v>
      </c>
      <c r="L16">
        <f t="shared" si="2"/>
        <v>0</v>
      </c>
      <c r="M16">
        <f t="shared" si="3"/>
        <v>1</v>
      </c>
      <c r="O16">
        <f t="shared" si="4"/>
        <v>0</v>
      </c>
      <c r="P16">
        <f t="shared" si="5"/>
        <v>1.3200000000000074</v>
      </c>
      <c r="R16">
        <f t="shared" si="6"/>
        <v>1.2360000000000013</v>
      </c>
      <c r="S16">
        <f t="shared" si="7"/>
        <v>0.9044444444444445</v>
      </c>
      <c r="U16">
        <f t="shared" si="8"/>
        <v>57.745016611295704</v>
      </c>
      <c r="V16">
        <v>58</v>
      </c>
      <c r="W16">
        <v>42</v>
      </c>
      <c r="AB16">
        <f t="shared" si="9"/>
        <v>14.814814814814458</v>
      </c>
      <c r="AC16">
        <f t="shared" si="10"/>
        <v>14.814814814814458</v>
      </c>
      <c r="AH16">
        <f t="shared" si="11"/>
        <v>11.072372473677921</v>
      </c>
      <c r="AI16">
        <f t="shared" si="12"/>
        <v>66.20786679017516</v>
      </c>
      <c r="AJ16">
        <f t="shared" si="13"/>
        <v>88.688133209824827</v>
      </c>
      <c r="AL16">
        <f t="shared" si="14"/>
        <v>99.59274494735584</v>
      </c>
      <c r="AM16">
        <f t="shared" si="15"/>
        <v>55.303255052644147</v>
      </c>
    </row>
    <row r="17" spans="1:39" ht="16.5" x14ac:dyDescent="0.25">
      <c r="A17" s="1">
        <v>45679</v>
      </c>
      <c r="B17" s="5">
        <v>78.22</v>
      </c>
      <c r="C17" s="4">
        <v>78.5</v>
      </c>
      <c r="D17" s="4">
        <v>79.34</v>
      </c>
      <c r="E17" s="4">
        <v>77.88</v>
      </c>
      <c r="F17" s="4" t="s">
        <v>54</v>
      </c>
      <c r="G17" s="2" t="s">
        <v>55</v>
      </c>
      <c r="I17">
        <f t="shared" si="0"/>
        <v>77.442999999999984</v>
      </c>
      <c r="J17">
        <f t="shared" si="1"/>
        <v>75.769000000000005</v>
      </c>
      <c r="L17">
        <f t="shared" si="2"/>
        <v>0</v>
      </c>
      <c r="M17">
        <f t="shared" si="3"/>
        <v>1</v>
      </c>
      <c r="O17">
        <f t="shared" si="4"/>
        <v>0</v>
      </c>
      <c r="P17">
        <f t="shared" si="5"/>
        <v>0.28000000000000114</v>
      </c>
      <c r="R17">
        <f t="shared" si="6"/>
        <v>1.2360000000000013</v>
      </c>
      <c r="S17">
        <f t="shared" si="7"/>
        <v>0.90222222222222115</v>
      </c>
      <c r="U17">
        <f t="shared" ref="U17:U66" si="16">100-(100/(1+(R17/S17)))</f>
        <v>57.80503013926424</v>
      </c>
      <c r="AH17">
        <f t="shared" si="11"/>
        <v>11.058312609181508</v>
      </c>
      <c r="AI17">
        <f t="shared" si="12"/>
        <v>66.20286679017515</v>
      </c>
      <c r="AJ17">
        <f t="shared" si="13"/>
        <v>88.683133209824817</v>
      </c>
      <c r="AL17">
        <f t="shared" si="14"/>
        <v>99.559625218362996</v>
      </c>
      <c r="AM17">
        <f t="shared" si="15"/>
        <v>55.326374781636972</v>
      </c>
    </row>
    <row r="18" spans="1:39" ht="16.5" x14ac:dyDescent="0.25">
      <c r="A18" s="1">
        <v>45678</v>
      </c>
      <c r="B18" s="5">
        <v>77.84</v>
      </c>
      <c r="C18" s="4">
        <v>78.180000000000007</v>
      </c>
      <c r="D18" s="4">
        <v>78.8</v>
      </c>
      <c r="E18" s="4">
        <v>77.56</v>
      </c>
      <c r="F18" s="4" t="s">
        <v>56</v>
      </c>
      <c r="G18" s="2" t="s">
        <v>57</v>
      </c>
      <c r="I18">
        <f t="shared" si="0"/>
        <v>77.431999999999988</v>
      </c>
      <c r="J18">
        <f t="shared" si="1"/>
        <v>75.52600000000001</v>
      </c>
      <c r="L18">
        <f t="shared" si="2"/>
        <v>0</v>
      </c>
      <c r="M18">
        <f t="shared" si="3"/>
        <v>1</v>
      </c>
      <c r="O18">
        <f t="shared" si="4"/>
        <v>0</v>
      </c>
      <c r="P18">
        <f t="shared" si="5"/>
        <v>0.34000000000000341</v>
      </c>
      <c r="R18">
        <f t="shared" si="6"/>
        <v>1.2360000000000013</v>
      </c>
      <c r="S18">
        <f t="shared" si="7"/>
        <v>0.92000000000000015</v>
      </c>
      <c r="U18">
        <f t="shared" si="16"/>
        <v>57.328385899814485</v>
      </c>
      <c r="AH18">
        <f t="shared" si="11"/>
        <v>11.0440684269035</v>
      </c>
      <c r="AI18">
        <f t="shared" si="12"/>
        <v>66.191866790175155</v>
      </c>
      <c r="AJ18">
        <f t="shared" si="13"/>
        <v>88.672133209824821</v>
      </c>
      <c r="AL18">
        <f t="shared" si="14"/>
        <v>99.520136853806989</v>
      </c>
      <c r="AM18">
        <f t="shared" si="15"/>
        <v>55.343863146192987</v>
      </c>
    </row>
    <row r="19" spans="1:39" ht="16.5" x14ac:dyDescent="0.25">
      <c r="A19" s="1">
        <v>45677</v>
      </c>
      <c r="B19" s="5">
        <v>79.260000000000005</v>
      </c>
      <c r="C19" s="4">
        <v>77.239999999999995</v>
      </c>
      <c r="D19" s="4">
        <v>80.28</v>
      </c>
      <c r="E19" s="4">
        <v>76.459999999999994</v>
      </c>
      <c r="F19" s="4" t="s">
        <v>58</v>
      </c>
      <c r="G19" s="2" t="s">
        <v>59</v>
      </c>
      <c r="I19">
        <f t="shared" si="0"/>
        <v>77.457999999999984</v>
      </c>
      <c r="J19">
        <f t="shared" si="1"/>
        <v>75.306500000000014</v>
      </c>
      <c r="L19">
        <f t="shared" si="2"/>
        <v>1</v>
      </c>
      <c r="M19">
        <f t="shared" si="3"/>
        <v>0</v>
      </c>
      <c r="O19">
        <f t="shared" si="4"/>
        <v>2.0200000000000102</v>
      </c>
      <c r="P19">
        <f t="shared" si="5"/>
        <v>0</v>
      </c>
      <c r="R19">
        <f t="shared" si="6"/>
        <v>1.2066666666666681</v>
      </c>
      <c r="S19">
        <f t="shared" si="7"/>
        <v>0.99249999999999972</v>
      </c>
      <c r="U19">
        <f t="shared" si="16"/>
        <v>54.86926866237215</v>
      </c>
      <c r="AH19">
        <f t="shared" si="11"/>
        <v>11.029619645889285</v>
      </c>
      <c r="AI19">
        <f t="shared" si="12"/>
        <v>66.217866790175151</v>
      </c>
      <c r="AJ19">
        <f t="shared" si="13"/>
        <v>88.698133209824817</v>
      </c>
      <c r="AL19">
        <f t="shared" si="14"/>
        <v>99.517239291778552</v>
      </c>
      <c r="AM19">
        <f t="shared" si="15"/>
        <v>55.398760708221417</v>
      </c>
    </row>
    <row r="20" spans="1:39" ht="16.5" x14ac:dyDescent="0.25">
      <c r="A20" s="1">
        <v>45674</v>
      </c>
      <c r="B20" s="5">
        <v>77.099999999999994</v>
      </c>
      <c r="C20" s="4">
        <v>76.7</v>
      </c>
      <c r="D20" s="4">
        <v>77.86</v>
      </c>
      <c r="E20" s="4">
        <v>76.42</v>
      </c>
      <c r="F20" s="4" t="s">
        <v>60</v>
      </c>
      <c r="G20" s="2" t="s">
        <v>61</v>
      </c>
      <c r="I20">
        <f t="shared" si="0"/>
        <v>77.376000000000005</v>
      </c>
      <c r="J20">
        <f t="shared" si="1"/>
        <v>75.043000000000021</v>
      </c>
      <c r="L20">
        <f t="shared" si="2"/>
        <v>1</v>
      </c>
      <c r="M20">
        <f t="shared" si="3"/>
        <v>0</v>
      </c>
      <c r="O20">
        <f t="shared" si="4"/>
        <v>0.39999999999999147</v>
      </c>
      <c r="P20">
        <f t="shared" si="5"/>
        <v>0</v>
      </c>
      <c r="R20">
        <f t="shared" si="6"/>
        <v>1.1133333333333344</v>
      </c>
      <c r="S20">
        <f t="shared" si="7"/>
        <v>0.99249999999999972</v>
      </c>
      <c r="U20">
        <f t="shared" si="16"/>
        <v>52.869014641867849</v>
      </c>
      <c r="AH20">
        <f t="shared" si="11"/>
        <v>11.015074726120183</v>
      </c>
      <c r="AI20">
        <f t="shared" si="12"/>
        <v>66.135866790175172</v>
      </c>
      <c r="AJ20">
        <f t="shared" si="13"/>
        <v>88.616133209824838</v>
      </c>
      <c r="AL20">
        <f t="shared" si="14"/>
        <v>99.406149452240371</v>
      </c>
      <c r="AM20">
        <f t="shared" si="15"/>
        <v>55.345850547759639</v>
      </c>
    </row>
    <row r="21" spans="1:39" ht="16.5" x14ac:dyDescent="0.25">
      <c r="A21" s="1">
        <v>45673</v>
      </c>
      <c r="B21" s="5">
        <v>76.239999999999995</v>
      </c>
      <c r="C21" s="4">
        <v>77.959999999999994</v>
      </c>
      <c r="D21" s="4">
        <v>78.02</v>
      </c>
      <c r="E21" s="4">
        <v>76.239999999999995</v>
      </c>
      <c r="F21" s="4" t="s">
        <v>62</v>
      </c>
      <c r="G21" s="2" t="s">
        <v>63</v>
      </c>
      <c r="I21">
        <f t="shared" si="0"/>
        <v>77.528999999999982</v>
      </c>
      <c r="J21">
        <f t="shared" si="1"/>
        <v>74.813500000000005</v>
      </c>
      <c r="L21">
        <f t="shared" si="2"/>
        <v>0</v>
      </c>
      <c r="M21">
        <f t="shared" si="3"/>
        <v>1</v>
      </c>
      <c r="O21">
        <f t="shared" si="4"/>
        <v>0</v>
      </c>
      <c r="P21">
        <f t="shared" si="5"/>
        <v>1.7199999999999989</v>
      </c>
      <c r="R21">
        <f t="shared" si="6"/>
        <v>1.2560000000000031</v>
      </c>
      <c r="S21">
        <f t="shared" si="7"/>
        <v>0.95777777777777828</v>
      </c>
      <c r="U21">
        <f t="shared" si="16"/>
        <v>56.735595261995634</v>
      </c>
      <c r="AH21">
        <f t="shared" si="11"/>
        <v>11.000106278173226</v>
      </c>
      <c r="AI21">
        <f t="shared" si="12"/>
        <v>66.288866790175149</v>
      </c>
      <c r="AJ21">
        <f t="shared" si="13"/>
        <v>88.769133209824815</v>
      </c>
      <c r="AL21">
        <f t="shared" si="14"/>
        <v>99.529212556346437</v>
      </c>
      <c r="AM21">
        <f t="shared" si="15"/>
        <v>55.528787443653528</v>
      </c>
    </row>
    <row r="22" spans="1:39" ht="16.5" x14ac:dyDescent="0.25">
      <c r="A22" s="1">
        <v>45672</v>
      </c>
      <c r="B22" s="5">
        <v>77.040000000000006</v>
      </c>
      <c r="C22" s="4">
        <v>76.5</v>
      </c>
      <c r="D22" s="4">
        <v>77.400000000000006</v>
      </c>
      <c r="E22" s="4">
        <v>75.900000000000006</v>
      </c>
      <c r="F22" s="4" t="s">
        <v>64</v>
      </c>
      <c r="G22" s="2" t="s">
        <v>65</v>
      </c>
      <c r="I22">
        <f t="shared" si="0"/>
        <v>77.715999999999994</v>
      </c>
      <c r="J22">
        <f t="shared" si="1"/>
        <v>74.598500000000016</v>
      </c>
      <c r="L22">
        <f t="shared" si="2"/>
        <v>1</v>
      </c>
      <c r="M22">
        <f t="shared" si="3"/>
        <v>0</v>
      </c>
      <c r="O22">
        <f t="shared" si="4"/>
        <v>0.54000000000000625</v>
      </c>
      <c r="P22">
        <f t="shared" si="5"/>
        <v>0</v>
      </c>
      <c r="R22">
        <f t="shared" si="6"/>
        <v>1.1933333333333351</v>
      </c>
      <c r="S22">
        <f t="shared" si="7"/>
        <v>0.86250000000000071</v>
      </c>
      <c r="U22">
        <f t="shared" si="16"/>
        <v>58.046209971625473</v>
      </c>
      <c r="AH22">
        <f t="shared" si="11"/>
        <v>10.985421524424105</v>
      </c>
      <c r="AI22">
        <f t="shared" si="12"/>
        <v>66.475866790175161</v>
      </c>
      <c r="AJ22">
        <f t="shared" si="13"/>
        <v>88.956133209824827</v>
      </c>
      <c r="AL22">
        <f t="shared" si="14"/>
        <v>99.686843048848203</v>
      </c>
      <c r="AM22">
        <f t="shared" si="15"/>
        <v>55.745156951151785</v>
      </c>
    </row>
    <row r="23" spans="1:39" ht="16.5" x14ac:dyDescent="0.25">
      <c r="A23" s="1">
        <v>45671</v>
      </c>
      <c r="B23" s="5">
        <v>75.98</v>
      </c>
      <c r="C23" s="4">
        <v>77.3</v>
      </c>
      <c r="D23" s="4">
        <v>77.84</v>
      </c>
      <c r="E23" s="4">
        <v>75.98</v>
      </c>
      <c r="F23" s="4" t="s">
        <v>66</v>
      </c>
      <c r="G23" s="2" t="s">
        <v>67</v>
      </c>
      <c r="I23">
        <f t="shared" si="0"/>
        <v>77.787999999999997</v>
      </c>
      <c r="J23">
        <f t="shared" si="1"/>
        <v>74.321500000000015</v>
      </c>
      <c r="L23">
        <f t="shared" si="2"/>
        <v>0</v>
      </c>
      <c r="M23">
        <f t="shared" si="3"/>
        <v>1</v>
      </c>
      <c r="O23">
        <f t="shared" si="4"/>
        <v>0</v>
      </c>
      <c r="P23">
        <f t="shared" si="5"/>
        <v>1.3199999999999932</v>
      </c>
      <c r="R23">
        <f t="shared" si="6"/>
        <v>1.1366666666666678</v>
      </c>
      <c r="S23">
        <f t="shared" si="7"/>
        <v>0.86250000000000071</v>
      </c>
      <c r="U23">
        <f t="shared" si="16"/>
        <v>56.85702375989996</v>
      </c>
      <c r="AH23">
        <f t="shared" si="11"/>
        <v>10.971123506135338</v>
      </c>
      <c r="AI23">
        <f t="shared" si="12"/>
        <v>66.547866790175163</v>
      </c>
      <c r="AJ23">
        <f t="shared" si="13"/>
        <v>89.02813320982483</v>
      </c>
      <c r="AL23">
        <f t="shared" si="14"/>
        <v>99.730247012270667</v>
      </c>
      <c r="AM23">
        <f t="shared" si="15"/>
        <v>55.84575298772932</v>
      </c>
    </row>
    <row r="24" spans="1:39" ht="16.5" x14ac:dyDescent="0.25">
      <c r="A24" s="1">
        <v>45670</v>
      </c>
      <c r="B24" s="5">
        <v>76.22</v>
      </c>
      <c r="C24" s="4">
        <v>76.319999999999993</v>
      </c>
      <c r="D24" s="4">
        <v>77.16</v>
      </c>
      <c r="E24" s="4">
        <v>75.28</v>
      </c>
      <c r="F24" s="4" t="s">
        <v>68</v>
      </c>
      <c r="G24" s="2" t="s">
        <v>69</v>
      </c>
      <c r="I24">
        <f t="shared" si="0"/>
        <v>77.973000000000027</v>
      </c>
      <c r="J24">
        <f t="shared" si="1"/>
        <v>74.10250000000002</v>
      </c>
      <c r="L24">
        <f t="shared" si="2"/>
        <v>0</v>
      </c>
      <c r="M24">
        <f t="shared" si="3"/>
        <v>1</v>
      </c>
      <c r="O24">
        <f t="shared" si="4"/>
        <v>0</v>
      </c>
      <c r="P24">
        <f t="shared" si="5"/>
        <v>9.9999999999994316E-2</v>
      </c>
      <c r="R24">
        <f t="shared" si="6"/>
        <v>1.1366666666666678</v>
      </c>
      <c r="S24">
        <f t="shared" si="7"/>
        <v>0.82250000000000156</v>
      </c>
      <c r="U24">
        <f t="shared" si="16"/>
        <v>58.017864738409166</v>
      </c>
      <c r="AH24">
        <f t="shared" si="11"/>
        <v>10.956868237621711</v>
      </c>
      <c r="AI24">
        <f t="shared" si="12"/>
        <v>66.732866790175194</v>
      </c>
      <c r="AJ24">
        <f t="shared" si="13"/>
        <v>89.213133209824861</v>
      </c>
      <c r="AL24">
        <f t="shared" si="14"/>
        <v>99.886736475243453</v>
      </c>
      <c r="AM24">
        <f t="shared" si="15"/>
        <v>56.059263524756602</v>
      </c>
    </row>
    <row r="25" spans="1:39" ht="16.5" x14ac:dyDescent="0.25">
      <c r="A25" s="1">
        <v>45667</v>
      </c>
      <c r="B25" s="5">
        <v>76.38</v>
      </c>
      <c r="C25" s="4">
        <v>75.319999999999993</v>
      </c>
      <c r="D25" s="4">
        <v>77.84</v>
      </c>
      <c r="E25" s="4">
        <v>74.52</v>
      </c>
      <c r="F25" s="4" t="s">
        <v>70</v>
      </c>
      <c r="G25" s="2" t="s">
        <v>71</v>
      </c>
      <c r="I25">
        <f t="shared" si="0"/>
        <v>78.122000000000014</v>
      </c>
      <c r="J25">
        <f t="shared" si="1"/>
        <v>73.893000000000015</v>
      </c>
      <c r="L25">
        <f t="shared" si="2"/>
        <v>1</v>
      </c>
      <c r="M25">
        <f t="shared" si="3"/>
        <v>0</v>
      </c>
      <c r="O25">
        <f t="shared" si="4"/>
        <v>1.0600000000000023</v>
      </c>
      <c r="P25">
        <f t="shared" si="5"/>
        <v>0</v>
      </c>
      <c r="R25">
        <f t="shared" si="6"/>
        <v>1.1685714285714295</v>
      </c>
      <c r="S25">
        <f t="shared" si="7"/>
        <v>0.92571428571428827</v>
      </c>
      <c r="U25">
        <f t="shared" si="16"/>
        <v>55.79809004092764</v>
      </c>
      <c r="AH25">
        <f t="shared" si="11"/>
        <v>10.942994697932352</v>
      </c>
      <c r="AI25">
        <f t="shared" si="12"/>
        <v>66.881866790175181</v>
      </c>
      <c r="AJ25">
        <f t="shared" si="13"/>
        <v>89.362133209824847</v>
      </c>
      <c r="AL25">
        <f t="shared" si="14"/>
        <v>100.00798939586471</v>
      </c>
      <c r="AM25">
        <f t="shared" si="15"/>
        <v>56.236010604135309</v>
      </c>
    </row>
    <row r="26" spans="1:39" ht="16.5" x14ac:dyDescent="0.25">
      <c r="A26" s="1">
        <v>45666</v>
      </c>
      <c r="B26" s="5">
        <v>75.52</v>
      </c>
      <c r="C26" s="4">
        <v>76.12</v>
      </c>
      <c r="D26" s="4">
        <v>76.52</v>
      </c>
      <c r="E26" s="4">
        <v>75.14</v>
      </c>
      <c r="F26" s="4" t="s">
        <v>72</v>
      </c>
      <c r="G26" s="2" t="s">
        <v>73</v>
      </c>
      <c r="I26">
        <f t="shared" si="0"/>
        <v>78.165000000000006</v>
      </c>
      <c r="J26">
        <f t="shared" si="1"/>
        <v>73.673000000000016</v>
      </c>
      <c r="L26">
        <f t="shared" si="2"/>
        <v>0</v>
      </c>
      <c r="M26">
        <f t="shared" si="3"/>
        <v>1</v>
      </c>
      <c r="O26">
        <f t="shared" si="4"/>
        <v>0</v>
      </c>
      <c r="P26">
        <f t="shared" si="5"/>
        <v>0.60000000000000853</v>
      </c>
      <c r="R26">
        <f t="shared" si="6"/>
        <v>1.1866666666666674</v>
      </c>
      <c r="S26">
        <f t="shared" si="7"/>
        <v>1.052500000000002</v>
      </c>
      <c r="U26">
        <f t="shared" si="16"/>
        <v>52.995906215109763</v>
      </c>
      <c r="AH26">
        <f t="shared" si="11"/>
        <v>10.929396219730931</v>
      </c>
      <c r="AI26">
        <f t="shared" si="12"/>
        <v>66.924866790175173</v>
      </c>
      <c r="AJ26">
        <f t="shared" si="13"/>
        <v>89.405133209824839</v>
      </c>
      <c r="AL26">
        <f t="shared" si="14"/>
        <v>100.02379243946187</v>
      </c>
      <c r="AM26">
        <f t="shared" si="15"/>
        <v>56.306207560538141</v>
      </c>
    </row>
    <row r="27" spans="1:39" ht="16.5" x14ac:dyDescent="0.25">
      <c r="A27" s="1">
        <v>45665</v>
      </c>
      <c r="B27" s="5">
        <v>76.760000000000005</v>
      </c>
      <c r="C27" s="4">
        <v>78.48</v>
      </c>
      <c r="D27" s="4">
        <v>78.760000000000005</v>
      </c>
      <c r="E27" s="4">
        <v>76.459999999999994</v>
      </c>
      <c r="F27" s="4" t="s">
        <v>74</v>
      </c>
      <c r="G27" s="2" t="s">
        <v>75</v>
      </c>
      <c r="I27">
        <f t="shared" si="0"/>
        <v>78.149000000000015</v>
      </c>
      <c r="J27">
        <f t="shared" si="1"/>
        <v>73.530500000000018</v>
      </c>
      <c r="L27">
        <f t="shared" si="2"/>
        <v>0</v>
      </c>
      <c r="M27">
        <f t="shared" si="3"/>
        <v>1</v>
      </c>
      <c r="O27">
        <f t="shared" si="4"/>
        <v>0</v>
      </c>
      <c r="P27">
        <f t="shared" si="5"/>
        <v>1.7199999999999989</v>
      </c>
      <c r="R27">
        <f t="shared" si="6"/>
        <v>1.0571428571428581</v>
      </c>
      <c r="S27">
        <f t="shared" si="7"/>
        <v>1.1171428571428581</v>
      </c>
      <c r="U27">
        <f t="shared" si="16"/>
        <v>48.620236530880419</v>
      </c>
      <c r="AH27">
        <f t="shared" si="11"/>
        <v>10.915758403865626</v>
      </c>
      <c r="AI27">
        <f t="shared" si="12"/>
        <v>66.908866790175182</v>
      </c>
      <c r="AJ27">
        <f t="shared" si="13"/>
        <v>89.389133209824848</v>
      </c>
      <c r="AL27">
        <f t="shared" si="14"/>
        <v>99.980516807731263</v>
      </c>
      <c r="AM27">
        <f t="shared" si="15"/>
        <v>56.317483192268767</v>
      </c>
    </row>
    <row r="28" spans="1:39" ht="16.5" x14ac:dyDescent="0.25">
      <c r="A28" s="1">
        <v>45664</v>
      </c>
      <c r="B28" s="5">
        <v>78.86</v>
      </c>
      <c r="C28" s="4">
        <v>79.599999999999994</v>
      </c>
      <c r="D28" s="4">
        <v>80.28</v>
      </c>
      <c r="E28" s="4">
        <v>78.739999999999995</v>
      </c>
      <c r="F28" s="4" t="s">
        <v>31</v>
      </c>
      <c r="G28" s="2" t="s">
        <v>76</v>
      </c>
      <c r="I28">
        <f t="shared" si="0"/>
        <v>77.983000000000018</v>
      </c>
      <c r="J28">
        <f t="shared" si="1"/>
        <v>73.307500000000019</v>
      </c>
      <c r="L28">
        <f t="shared" si="2"/>
        <v>0</v>
      </c>
      <c r="M28">
        <f t="shared" si="3"/>
        <v>1</v>
      </c>
      <c r="O28">
        <f t="shared" si="4"/>
        <v>0</v>
      </c>
      <c r="P28">
        <f t="shared" si="5"/>
        <v>0.73999999999999488</v>
      </c>
      <c r="R28">
        <f t="shared" si="6"/>
        <v>1.1225000000000005</v>
      </c>
      <c r="S28">
        <f t="shared" si="7"/>
        <v>1.0166666666666682</v>
      </c>
      <c r="U28">
        <f t="shared" si="16"/>
        <v>52.473704713673527</v>
      </c>
      <c r="AH28">
        <f t="shared" si="11"/>
        <v>10.901904033196718</v>
      </c>
      <c r="AI28">
        <f t="shared" si="12"/>
        <v>66.742866790175185</v>
      </c>
      <c r="AJ28">
        <f t="shared" si="13"/>
        <v>89.223133209824852</v>
      </c>
      <c r="AL28">
        <f t="shared" si="14"/>
        <v>99.786808066393462</v>
      </c>
      <c r="AM28">
        <f t="shared" si="15"/>
        <v>56.179191933606582</v>
      </c>
    </row>
    <row r="29" spans="1:39" ht="16.5" x14ac:dyDescent="0.25">
      <c r="A29" s="1">
        <v>45663</v>
      </c>
      <c r="B29" s="5">
        <v>79.8</v>
      </c>
      <c r="C29" s="4">
        <v>77.64</v>
      </c>
      <c r="D29" s="4">
        <v>81.7</v>
      </c>
      <c r="E29" s="4">
        <v>77.62</v>
      </c>
      <c r="F29" s="4" t="s">
        <v>77</v>
      </c>
      <c r="G29" s="2" t="s">
        <v>78</v>
      </c>
      <c r="I29">
        <f t="shared" si="0"/>
        <v>77.63000000000001</v>
      </c>
      <c r="J29">
        <f t="shared" si="1"/>
        <v>73.151499999999999</v>
      </c>
      <c r="L29">
        <f t="shared" si="2"/>
        <v>1</v>
      </c>
      <c r="M29">
        <f t="shared" si="3"/>
        <v>0</v>
      </c>
      <c r="O29">
        <f t="shared" si="4"/>
        <v>2.1599999999999966</v>
      </c>
      <c r="P29">
        <f t="shared" si="5"/>
        <v>0</v>
      </c>
      <c r="R29">
        <f t="shared" si="6"/>
        <v>1.1225000000000005</v>
      </c>
      <c r="S29">
        <f t="shared" si="7"/>
        <v>1.1300000000000026</v>
      </c>
      <c r="U29">
        <f t="shared" si="16"/>
        <v>49.833518312985525</v>
      </c>
      <c r="AH29">
        <f t="shared" si="11"/>
        <v>10.887375025595201</v>
      </c>
      <c r="AI29">
        <f t="shared" si="12"/>
        <v>66.389866790175176</v>
      </c>
      <c r="AJ29">
        <f t="shared" si="13"/>
        <v>88.870133209824843</v>
      </c>
      <c r="AL29">
        <f t="shared" si="14"/>
        <v>99.404750051190405</v>
      </c>
      <c r="AM29">
        <f t="shared" si="15"/>
        <v>55.855249948809607</v>
      </c>
    </row>
    <row r="30" spans="1:39" ht="16.5" x14ac:dyDescent="0.25">
      <c r="A30" s="1">
        <v>45660</v>
      </c>
      <c r="B30" s="5">
        <v>76.42</v>
      </c>
      <c r="C30" s="4">
        <v>77.72</v>
      </c>
      <c r="D30" s="4">
        <v>78.02</v>
      </c>
      <c r="E30" s="4">
        <v>76.099999999999994</v>
      </c>
      <c r="F30" s="4" t="s">
        <v>79</v>
      </c>
      <c r="G30" s="2" t="s">
        <v>80</v>
      </c>
      <c r="I30">
        <f t="shared" si="0"/>
        <v>77.234000000000009</v>
      </c>
      <c r="J30">
        <f t="shared" si="1"/>
        <v>72.974000000000004</v>
      </c>
      <c r="L30">
        <f t="shared" si="2"/>
        <v>0</v>
      </c>
      <c r="M30">
        <f t="shared" si="3"/>
        <v>1</v>
      </c>
      <c r="O30">
        <f t="shared" si="4"/>
        <v>0</v>
      </c>
      <c r="P30">
        <f t="shared" si="5"/>
        <v>1.2999999999999972</v>
      </c>
      <c r="R30">
        <f t="shared" si="6"/>
        <v>0.98250000000000171</v>
      </c>
      <c r="S30">
        <f t="shared" si="7"/>
        <v>1.1300000000000026</v>
      </c>
      <c r="U30">
        <f t="shared" si="16"/>
        <v>46.508875739644957</v>
      </c>
      <c r="AH30">
        <f t="shared" si="11"/>
        <v>10.871574084638061</v>
      </c>
      <c r="AI30">
        <f t="shared" si="12"/>
        <v>65.993866790175176</v>
      </c>
      <c r="AJ30">
        <f t="shared" si="13"/>
        <v>88.474133209824842</v>
      </c>
      <c r="AL30">
        <f t="shared" si="14"/>
        <v>98.977148169276134</v>
      </c>
      <c r="AM30">
        <f t="shared" si="15"/>
        <v>55.490851830723884</v>
      </c>
    </row>
    <row r="31" spans="1:39" ht="16.5" x14ac:dyDescent="0.25">
      <c r="A31" s="1">
        <v>45659</v>
      </c>
      <c r="B31" s="5">
        <v>78.099999999999994</v>
      </c>
      <c r="C31" s="4">
        <v>78.540000000000006</v>
      </c>
      <c r="D31" s="4">
        <v>78.959999999999994</v>
      </c>
      <c r="E31" s="4">
        <v>76.239999999999995</v>
      </c>
      <c r="F31" s="4" t="s">
        <v>81</v>
      </c>
      <c r="G31" s="2" t="s">
        <v>82</v>
      </c>
      <c r="I31">
        <f t="shared" si="0"/>
        <v>76.914000000000016</v>
      </c>
      <c r="J31">
        <f t="shared" si="1"/>
        <v>72.892499999999998</v>
      </c>
      <c r="L31">
        <f t="shared" si="2"/>
        <v>0</v>
      </c>
      <c r="M31">
        <f t="shared" si="3"/>
        <v>1</v>
      </c>
      <c r="O31">
        <f t="shared" si="4"/>
        <v>0</v>
      </c>
      <c r="P31">
        <f t="shared" si="5"/>
        <v>0.44000000000001194</v>
      </c>
      <c r="R31">
        <f t="shared" si="6"/>
        <v>0.99555555555555797</v>
      </c>
      <c r="S31">
        <f t="shared" si="7"/>
        <v>1.0960000000000036</v>
      </c>
      <c r="U31">
        <f t="shared" si="16"/>
        <v>47.598810029749231</v>
      </c>
      <c r="AH31">
        <f t="shared" si="11"/>
        <v>10.854319708702807</v>
      </c>
      <c r="AI31">
        <f t="shared" si="12"/>
        <v>65.673866790175182</v>
      </c>
      <c r="AJ31">
        <f t="shared" si="13"/>
        <v>88.154133209824849</v>
      </c>
      <c r="AL31">
        <f t="shared" si="14"/>
        <v>98.622639417405622</v>
      </c>
      <c r="AM31">
        <f t="shared" si="15"/>
        <v>55.205360582594402</v>
      </c>
    </row>
    <row r="32" spans="1:39" ht="16.5" x14ac:dyDescent="0.25">
      <c r="A32" s="1">
        <v>45656</v>
      </c>
      <c r="B32" s="5">
        <v>78.98</v>
      </c>
      <c r="C32" s="4">
        <v>77.92</v>
      </c>
      <c r="D32" s="4">
        <v>79.040000000000006</v>
      </c>
      <c r="E32" s="4">
        <v>77.84</v>
      </c>
      <c r="F32" s="4" t="s">
        <v>83</v>
      </c>
      <c r="G32" s="2" t="s">
        <v>84</v>
      </c>
      <c r="I32">
        <f t="shared" si="0"/>
        <v>76.455000000000013</v>
      </c>
      <c r="J32">
        <f t="shared" si="1"/>
        <v>72.748000000000005</v>
      </c>
      <c r="L32">
        <f t="shared" si="2"/>
        <v>1</v>
      </c>
      <c r="M32">
        <f t="shared" si="3"/>
        <v>0</v>
      </c>
      <c r="O32">
        <f t="shared" si="4"/>
        <v>1.0600000000000023</v>
      </c>
      <c r="P32">
        <f t="shared" si="5"/>
        <v>0</v>
      </c>
      <c r="R32">
        <f t="shared" si="6"/>
        <v>1.0200000000000018</v>
      </c>
      <c r="S32">
        <f t="shared" si="7"/>
        <v>1.2600000000000016</v>
      </c>
      <c r="U32">
        <f t="shared" si="16"/>
        <v>44.736842105263172</v>
      </c>
      <c r="AH32">
        <f t="shared" si="11"/>
        <v>10.835810258405266</v>
      </c>
      <c r="AI32">
        <f t="shared" si="12"/>
        <v>65.214866790175179</v>
      </c>
      <c r="AJ32">
        <f t="shared" si="13"/>
        <v>87.695133209824846</v>
      </c>
      <c r="AL32">
        <f t="shared" si="14"/>
        <v>98.126620516810547</v>
      </c>
      <c r="AM32">
        <f t="shared" si="15"/>
        <v>54.783379483189478</v>
      </c>
    </row>
    <row r="33" spans="1:39" ht="16.5" x14ac:dyDescent="0.25">
      <c r="A33" s="1">
        <v>45653</v>
      </c>
      <c r="B33" s="5">
        <v>78.34</v>
      </c>
      <c r="C33" s="4">
        <v>76.88</v>
      </c>
      <c r="D33" s="4">
        <v>78.459999999999994</v>
      </c>
      <c r="E33" s="4">
        <v>76.739999999999995</v>
      </c>
      <c r="F33" s="4" t="s">
        <v>85</v>
      </c>
      <c r="G33" s="2" t="s">
        <v>86</v>
      </c>
      <c r="I33">
        <f t="shared" si="0"/>
        <v>75.926000000000016</v>
      </c>
      <c r="J33">
        <f t="shared" si="1"/>
        <v>72.609499999999997</v>
      </c>
      <c r="L33">
        <f t="shared" si="2"/>
        <v>1</v>
      </c>
      <c r="M33">
        <f t="shared" si="3"/>
        <v>0</v>
      </c>
      <c r="O33">
        <f t="shared" si="4"/>
        <v>1.460000000000008</v>
      </c>
      <c r="P33">
        <f t="shared" si="5"/>
        <v>0</v>
      </c>
      <c r="R33">
        <f t="shared" si="6"/>
        <v>1.0980000000000019</v>
      </c>
      <c r="S33">
        <f t="shared" si="7"/>
        <v>1.2600000000000016</v>
      </c>
      <c r="U33">
        <f t="shared" si="16"/>
        <v>46.564885496183216</v>
      </c>
      <c r="AH33">
        <f t="shared" si="11"/>
        <v>10.81553478725443</v>
      </c>
      <c r="AI33">
        <f t="shared" si="12"/>
        <v>64.685866790175183</v>
      </c>
      <c r="AJ33">
        <f t="shared" si="13"/>
        <v>87.166133209824849</v>
      </c>
      <c r="AL33">
        <f t="shared" si="14"/>
        <v>97.557069574508873</v>
      </c>
      <c r="AM33">
        <f t="shared" si="15"/>
        <v>54.29493042549116</v>
      </c>
    </row>
    <row r="34" spans="1:39" ht="16.5" x14ac:dyDescent="0.25">
      <c r="A34" s="1">
        <v>45649</v>
      </c>
      <c r="B34" s="5">
        <v>76.94</v>
      </c>
      <c r="C34" s="4">
        <v>77.62</v>
      </c>
      <c r="D34" s="4">
        <v>77.680000000000007</v>
      </c>
      <c r="E34" s="4">
        <v>76.260000000000005</v>
      </c>
      <c r="F34" s="4" t="s">
        <v>87</v>
      </c>
      <c r="G34" s="2" t="s">
        <v>88</v>
      </c>
      <c r="I34">
        <f t="shared" si="0"/>
        <v>75.433000000000021</v>
      </c>
      <c r="J34">
        <f t="shared" si="1"/>
        <v>72.508500000000012</v>
      </c>
      <c r="L34">
        <f t="shared" si="2"/>
        <v>0</v>
      </c>
      <c r="M34">
        <f t="shared" si="3"/>
        <v>1</v>
      </c>
      <c r="O34">
        <f t="shared" si="4"/>
        <v>0</v>
      </c>
      <c r="P34">
        <f t="shared" si="5"/>
        <v>0.68000000000000682</v>
      </c>
      <c r="R34">
        <f t="shared" si="6"/>
        <v>1.0920000000000001</v>
      </c>
      <c r="S34">
        <f t="shared" si="7"/>
        <v>1.2600000000000016</v>
      </c>
      <c r="U34">
        <f t="shared" si="16"/>
        <v>46.428571428571402</v>
      </c>
      <c r="AH34">
        <f t="shared" si="11"/>
        <v>10.793177489387418</v>
      </c>
      <c r="AI34">
        <f t="shared" si="12"/>
        <v>64.192866790175188</v>
      </c>
      <c r="AJ34">
        <f t="shared" si="13"/>
        <v>86.673133209824854</v>
      </c>
      <c r="AL34">
        <f t="shared" si="14"/>
        <v>97.019354978774857</v>
      </c>
      <c r="AM34">
        <f t="shared" si="15"/>
        <v>53.846645021225186</v>
      </c>
    </row>
    <row r="35" spans="1:39" ht="16.5" x14ac:dyDescent="0.25">
      <c r="A35" s="1">
        <v>45646</v>
      </c>
      <c r="B35" s="5">
        <v>77.58</v>
      </c>
      <c r="C35" s="4">
        <v>76.7</v>
      </c>
      <c r="D35" s="4">
        <v>77.86</v>
      </c>
      <c r="E35" s="4">
        <v>76.12</v>
      </c>
      <c r="F35" s="4" t="s">
        <v>89</v>
      </c>
      <c r="G35" s="2" t="s">
        <v>90</v>
      </c>
      <c r="I35">
        <f t="shared" si="0"/>
        <v>75.051000000000016</v>
      </c>
      <c r="J35">
        <f t="shared" si="1"/>
        <v>72.473000000000013</v>
      </c>
      <c r="L35">
        <f t="shared" si="2"/>
        <v>1</v>
      </c>
      <c r="M35">
        <f t="shared" si="3"/>
        <v>0</v>
      </c>
      <c r="O35">
        <f t="shared" si="4"/>
        <v>0.87999999999999545</v>
      </c>
      <c r="P35">
        <f t="shared" si="5"/>
        <v>0</v>
      </c>
      <c r="R35">
        <f t="shared" si="6"/>
        <v>1.0920000000000001</v>
      </c>
      <c r="S35">
        <f t="shared" si="7"/>
        <v>1.3249999999999993</v>
      </c>
      <c r="U35">
        <f t="shared" si="16"/>
        <v>45.179975175837832</v>
      </c>
      <c r="AH35">
        <f t="shared" si="11"/>
        <v>10.768779736001623</v>
      </c>
      <c r="AI35">
        <f t="shared" si="12"/>
        <v>63.81086679017519</v>
      </c>
      <c r="AJ35">
        <f t="shared" si="13"/>
        <v>86.291133209824849</v>
      </c>
      <c r="AL35">
        <f t="shared" si="14"/>
        <v>96.588559472003254</v>
      </c>
      <c r="AM35">
        <f t="shared" si="15"/>
        <v>53.513440527996771</v>
      </c>
    </row>
    <row r="36" spans="1:39" ht="16.5" x14ac:dyDescent="0.25">
      <c r="A36" s="1">
        <v>45645</v>
      </c>
      <c r="B36" s="5">
        <v>77.28</v>
      </c>
      <c r="C36" s="4">
        <v>77.08</v>
      </c>
      <c r="D36" s="4">
        <v>78.38</v>
      </c>
      <c r="E36" s="4">
        <v>76.900000000000006</v>
      </c>
      <c r="F36" s="4" t="s">
        <v>91</v>
      </c>
      <c r="G36" s="2" t="s">
        <v>92</v>
      </c>
      <c r="I36">
        <f t="shared" si="0"/>
        <v>74.562000000000012</v>
      </c>
      <c r="J36">
        <f t="shared" si="1"/>
        <v>72.433500000000009</v>
      </c>
      <c r="L36">
        <f t="shared" si="2"/>
        <v>1</v>
      </c>
      <c r="M36">
        <f t="shared" si="3"/>
        <v>0</v>
      </c>
      <c r="O36">
        <f t="shared" si="4"/>
        <v>0.20000000000000284</v>
      </c>
      <c r="P36">
        <f t="shared" si="5"/>
        <v>0</v>
      </c>
      <c r="R36">
        <f t="shared" si="6"/>
        <v>1.25</v>
      </c>
      <c r="S36">
        <f t="shared" si="7"/>
        <v>1.3249999999999993</v>
      </c>
      <c r="U36">
        <f t="shared" si="16"/>
        <v>48.54368932038836</v>
      </c>
      <c r="AH36">
        <f t="shared" si="11"/>
        <v>10.742673587010547</v>
      </c>
      <c r="AI36">
        <f t="shared" si="12"/>
        <v>63.321866790175186</v>
      </c>
      <c r="AJ36">
        <f t="shared" si="13"/>
        <v>85.802133209824845</v>
      </c>
      <c r="AL36">
        <f t="shared" si="14"/>
        <v>96.047347174021098</v>
      </c>
      <c r="AM36">
        <f t="shared" si="15"/>
        <v>53.076652825978918</v>
      </c>
    </row>
    <row r="37" spans="1:39" ht="16.5" x14ac:dyDescent="0.25">
      <c r="A37" s="1">
        <v>45644</v>
      </c>
      <c r="B37" s="5">
        <v>78</v>
      </c>
      <c r="C37" s="4">
        <v>79</v>
      </c>
      <c r="D37" s="4">
        <v>79.2</v>
      </c>
      <c r="E37" s="4">
        <v>78</v>
      </c>
      <c r="F37" s="4" t="s">
        <v>62</v>
      </c>
      <c r="G37" s="2" t="s">
        <v>93</v>
      </c>
      <c r="I37">
        <f t="shared" si="0"/>
        <v>74.095000000000013</v>
      </c>
      <c r="J37">
        <f t="shared" si="1"/>
        <v>72.413500000000028</v>
      </c>
      <c r="L37">
        <f t="shared" si="2"/>
        <v>0</v>
      </c>
      <c r="M37">
        <f t="shared" si="3"/>
        <v>1</v>
      </c>
      <c r="O37">
        <f t="shared" si="4"/>
        <v>0</v>
      </c>
      <c r="P37">
        <f t="shared" si="5"/>
        <v>1</v>
      </c>
      <c r="R37">
        <f t="shared" si="6"/>
        <v>1.383999999999999</v>
      </c>
      <c r="S37">
        <f t="shared" si="7"/>
        <v>1.3249999999999993</v>
      </c>
      <c r="U37">
        <f t="shared" si="16"/>
        <v>51.088962716869695</v>
      </c>
      <c r="AH37">
        <f t="shared" si="11"/>
        <v>10.714388741711472</v>
      </c>
      <c r="AI37">
        <f t="shared" si="12"/>
        <v>62.854866790175187</v>
      </c>
      <c r="AJ37">
        <f t="shared" si="13"/>
        <v>85.335133209824846</v>
      </c>
      <c r="AL37">
        <f t="shared" si="14"/>
        <v>95.523777483422961</v>
      </c>
      <c r="AM37">
        <f t="shared" si="15"/>
        <v>52.666222516577065</v>
      </c>
    </row>
    <row r="38" spans="1:39" ht="16.5" x14ac:dyDescent="0.25">
      <c r="A38" s="1">
        <v>45643</v>
      </c>
      <c r="B38" s="5">
        <v>78.36</v>
      </c>
      <c r="C38" s="4">
        <v>77</v>
      </c>
      <c r="D38" s="4">
        <v>78.760000000000005</v>
      </c>
      <c r="E38" s="4">
        <v>76.92</v>
      </c>
      <c r="F38" s="4" t="s">
        <v>62</v>
      </c>
      <c r="G38" s="2" t="s">
        <v>94</v>
      </c>
      <c r="I38">
        <f t="shared" si="0"/>
        <v>73.62</v>
      </c>
      <c r="J38">
        <f t="shared" si="1"/>
        <v>72.352500000000006</v>
      </c>
      <c r="L38">
        <f t="shared" si="2"/>
        <v>1</v>
      </c>
      <c r="M38">
        <f t="shared" si="3"/>
        <v>0</v>
      </c>
      <c r="O38">
        <f t="shared" si="4"/>
        <v>1.3599999999999994</v>
      </c>
      <c r="P38">
        <f t="shared" si="5"/>
        <v>0</v>
      </c>
      <c r="R38">
        <f t="shared" si="6"/>
        <v>1.383999999999999</v>
      </c>
      <c r="S38">
        <f t="shared" si="7"/>
        <v>1.125</v>
      </c>
      <c r="U38">
        <f t="shared" si="16"/>
        <v>55.161418891988824</v>
      </c>
      <c r="AH38">
        <f t="shared" si="11"/>
        <v>10.683924586510757</v>
      </c>
      <c r="AI38">
        <f t="shared" si="12"/>
        <v>62.379866790175178</v>
      </c>
      <c r="AJ38">
        <f t="shared" si="13"/>
        <v>84.860133209824838</v>
      </c>
      <c r="AL38">
        <f t="shared" si="14"/>
        <v>94.987849173021516</v>
      </c>
      <c r="AM38">
        <f t="shared" si="15"/>
        <v>52.252150826978493</v>
      </c>
    </row>
    <row r="39" spans="1:39" ht="16.5" x14ac:dyDescent="0.25">
      <c r="A39" s="1">
        <v>45642</v>
      </c>
      <c r="B39" s="5">
        <v>77.62</v>
      </c>
      <c r="C39" s="4">
        <v>79.56</v>
      </c>
      <c r="D39" s="4">
        <v>80.08</v>
      </c>
      <c r="E39" s="4">
        <v>77.14</v>
      </c>
      <c r="F39" s="4" t="s">
        <v>95</v>
      </c>
      <c r="G39" s="2" t="s">
        <v>96</v>
      </c>
      <c r="I39">
        <f t="shared" si="0"/>
        <v>73.155000000000001</v>
      </c>
      <c r="J39">
        <f t="shared" si="1"/>
        <v>72.273999999999987</v>
      </c>
      <c r="L39">
        <f t="shared" si="2"/>
        <v>0</v>
      </c>
      <c r="M39">
        <f t="shared" si="3"/>
        <v>1</v>
      </c>
      <c r="O39">
        <f t="shared" si="4"/>
        <v>0</v>
      </c>
      <c r="P39">
        <f t="shared" si="5"/>
        <v>1.9399999999999977</v>
      </c>
      <c r="R39">
        <f t="shared" si="6"/>
        <v>1.2879999999999996</v>
      </c>
      <c r="S39">
        <f t="shared" si="7"/>
        <v>1.125</v>
      </c>
      <c r="U39">
        <f t="shared" si="16"/>
        <v>53.377538334024031</v>
      </c>
      <c r="AH39">
        <f t="shared" si="11"/>
        <v>10.651163114640346</v>
      </c>
      <c r="AI39">
        <f t="shared" si="12"/>
        <v>61.914866790175175</v>
      </c>
      <c r="AJ39">
        <f t="shared" si="13"/>
        <v>84.395133209824834</v>
      </c>
      <c r="AL39">
        <f t="shared" si="14"/>
        <v>94.457326229280696</v>
      </c>
      <c r="AM39">
        <f t="shared" si="15"/>
        <v>51.852673770719306</v>
      </c>
    </row>
    <row r="40" spans="1:39" ht="16.5" x14ac:dyDescent="0.25">
      <c r="A40" s="1">
        <v>45639</v>
      </c>
      <c r="B40" s="5">
        <v>80.16</v>
      </c>
      <c r="C40" s="4">
        <v>79.88</v>
      </c>
      <c r="D40" s="4">
        <v>81.84</v>
      </c>
      <c r="E40" s="4">
        <v>79.88</v>
      </c>
      <c r="F40" s="4" t="s">
        <v>97</v>
      </c>
      <c r="G40" s="2" t="s">
        <v>98</v>
      </c>
      <c r="I40">
        <f t="shared" si="0"/>
        <v>72.709999999999994</v>
      </c>
      <c r="J40">
        <f t="shared" si="1"/>
        <v>72.205500000000001</v>
      </c>
      <c r="L40">
        <f t="shared" si="2"/>
        <v>1</v>
      </c>
      <c r="M40">
        <f t="shared" si="3"/>
        <v>0</v>
      </c>
      <c r="O40">
        <f t="shared" si="4"/>
        <v>0.28000000000000114</v>
      </c>
      <c r="P40">
        <f t="shared" si="5"/>
        <v>0</v>
      </c>
      <c r="R40">
        <f t="shared" si="6"/>
        <v>1.1945454545454546</v>
      </c>
      <c r="S40">
        <f t="shared" si="7"/>
        <v>0.85333333333333405</v>
      </c>
      <c r="U40">
        <f t="shared" si="16"/>
        <v>58.330867120449817</v>
      </c>
      <c r="AH40">
        <f t="shared" si="11"/>
        <v>10.616055475371224</v>
      </c>
      <c r="AI40">
        <f t="shared" si="12"/>
        <v>61.469866790175168</v>
      </c>
      <c r="AJ40">
        <f t="shared" si="13"/>
        <v>83.950133209824827</v>
      </c>
      <c r="AL40">
        <f t="shared" si="14"/>
        <v>93.942110950742446</v>
      </c>
      <c r="AM40">
        <f t="shared" si="15"/>
        <v>51.477889049257541</v>
      </c>
    </row>
    <row r="41" spans="1:39" ht="16.5" x14ac:dyDescent="0.25">
      <c r="A41" s="1">
        <v>45638</v>
      </c>
      <c r="B41" s="5">
        <v>79.98</v>
      </c>
      <c r="C41" s="4">
        <v>78.400000000000006</v>
      </c>
      <c r="D41" s="4">
        <v>80.22</v>
      </c>
      <c r="E41" s="4">
        <v>78.28</v>
      </c>
      <c r="F41" s="4" t="s">
        <v>99</v>
      </c>
      <c r="G41" s="2" t="s">
        <v>100</v>
      </c>
      <c r="I41">
        <f t="shared" si="0"/>
        <v>72.097999999999999</v>
      </c>
      <c r="J41">
        <f t="shared" si="1"/>
        <v>72.078999999999994</v>
      </c>
      <c r="L41">
        <f t="shared" si="2"/>
        <v>1</v>
      </c>
      <c r="M41">
        <f t="shared" si="3"/>
        <v>0</v>
      </c>
      <c r="O41">
        <f t="shared" si="4"/>
        <v>1.5799999999999983</v>
      </c>
      <c r="P41">
        <f t="shared" si="5"/>
        <v>0</v>
      </c>
      <c r="R41">
        <f t="shared" si="6"/>
        <v>1.2327272727272729</v>
      </c>
      <c r="S41">
        <f t="shared" si="7"/>
        <v>0.85333333333333405</v>
      </c>
      <c r="U41">
        <f t="shared" si="16"/>
        <v>59.093550261475869</v>
      </c>
      <c r="AH41">
        <f t="shared" si="11"/>
        <v>10.578596283029722</v>
      </c>
      <c r="AI41">
        <f t="shared" si="12"/>
        <v>60.857866790175173</v>
      </c>
      <c r="AJ41">
        <f t="shared" si="13"/>
        <v>83.338133209824832</v>
      </c>
      <c r="AL41">
        <f t="shared" si="14"/>
        <v>93.255192566059435</v>
      </c>
      <c r="AM41">
        <f t="shared" si="15"/>
        <v>50.940807433940556</v>
      </c>
    </row>
    <row r="42" spans="1:39" ht="16.5" x14ac:dyDescent="0.25">
      <c r="A42" s="1">
        <v>45637</v>
      </c>
      <c r="B42" s="5">
        <v>78.48</v>
      </c>
      <c r="C42" s="4">
        <v>79.900000000000006</v>
      </c>
      <c r="D42" s="4">
        <v>80.040000000000006</v>
      </c>
      <c r="E42" s="4">
        <v>78.239999999999995</v>
      </c>
      <c r="F42" s="4" t="s">
        <v>101</v>
      </c>
      <c r="G42" s="2" t="s">
        <v>102</v>
      </c>
      <c r="I42">
        <f t="shared" si="0"/>
        <v>71.480999999999995</v>
      </c>
      <c r="J42">
        <f t="shared" si="1"/>
        <v>71.948499999999996</v>
      </c>
      <c r="L42">
        <f t="shared" si="2"/>
        <v>0</v>
      </c>
      <c r="M42">
        <f t="shared" si="3"/>
        <v>1</v>
      </c>
      <c r="O42">
        <f t="shared" si="4"/>
        <v>0</v>
      </c>
      <c r="P42">
        <f t="shared" si="5"/>
        <v>1.4200000000000017</v>
      </c>
      <c r="R42">
        <f t="shared" si="6"/>
        <v>1.1980000000000004</v>
      </c>
      <c r="S42">
        <f t="shared" si="7"/>
        <v>0.67000000000000171</v>
      </c>
      <c r="U42">
        <f t="shared" si="16"/>
        <v>64.132762312633787</v>
      </c>
      <c r="AH42">
        <f t="shared" si="11"/>
        <v>10.537951084433008</v>
      </c>
      <c r="AI42">
        <f t="shared" si="12"/>
        <v>60.240866790175168</v>
      </c>
      <c r="AJ42">
        <f t="shared" si="13"/>
        <v>82.721133209824828</v>
      </c>
      <c r="AL42">
        <f t="shared" si="14"/>
        <v>92.556902168866003</v>
      </c>
      <c r="AM42">
        <f t="shared" si="15"/>
        <v>50.405097831133979</v>
      </c>
    </row>
    <row r="43" spans="1:39" ht="16.5" x14ac:dyDescent="0.25">
      <c r="A43" s="1">
        <v>45636</v>
      </c>
      <c r="B43" s="5">
        <v>79.680000000000007</v>
      </c>
      <c r="C43" s="4">
        <v>78.64</v>
      </c>
      <c r="D43" s="4">
        <v>80.239999999999995</v>
      </c>
      <c r="E43" s="4">
        <v>78.64</v>
      </c>
      <c r="F43" s="4" t="s">
        <v>103</v>
      </c>
      <c r="G43" s="2" t="s">
        <v>104</v>
      </c>
      <c r="I43">
        <f t="shared" si="0"/>
        <v>70.855000000000004</v>
      </c>
      <c r="J43">
        <f t="shared" si="1"/>
        <v>71.855000000000004</v>
      </c>
      <c r="L43">
        <f t="shared" si="2"/>
        <v>1</v>
      </c>
      <c r="M43">
        <f t="shared" si="3"/>
        <v>0</v>
      </c>
      <c r="O43">
        <f t="shared" si="4"/>
        <v>1.0400000000000063</v>
      </c>
      <c r="P43">
        <f t="shared" si="5"/>
        <v>0</v>
      </c>
      <c r="R43">
        <f t="shared" si="6"/>
        <v>1.1980000000000004</v>
      </c>
      <c r="S43">
        <f t="shared" si="7"/>
        <v>0.42500000000000071</v>
      </c>
      <c r="U43">
        <f t="shared" si="16"/>
        <v>73.813924830560666</v>
      </c>
      <c r="AH43">
        <f t="shared" si="11"/>
        <v>10.493949822220271</v>
      </c>
      <c r="AI43">
        <f t="shared" si="12"/>
        <v>59.614866790175178</v>
      </c>
      <c r="AJ43">
        <f t="shared" si="13"/>
        <v>82.095133209824837</v>
      </c>
      <c r="AL43">
        <f t="shared" si="14"/>
        <v>91.84289964444055</v>
      </c>
      <c r="AM43">
        <f t="shared" si="15"/>
        <v>49.867100355559458</v>
      </c>
    </row>
    <row r="44" spans="1:39" ht="16.5" x14ac:dyDescent="0.25">
      <c r="A44" s="1">
        <v>45635</v>
      </c>
      <c r="B44" s="5">
        <v>79.2</v>
      </c>
      <c r="C44" s="4">
        <v>78.099999999999994</v>
      </c>
      <c r="D44" s="4">
        <v>79.959999999999994</v>
      </c>
      <c r="E44" s="4">
        <v>78.06</v>
      </c>
      <c r="F44" s="4" t="s">
        <v>105</v>
      </c>
      <c r="G44" s="2" t="s">
        <v>106</v>
      </c>
      <c r="I44">
        <f t="shared" si="0"/>
        <v>70.231999999999999</v>
      </c>
      <c r="J44">
        <f t="shared" si="1"/>
        <v>71.74499999999999</v>
      </c>
      <c r="L44">
        <f t="shared" si="2"/>
        <v>1</v>
      </c>
      <c r="M44">
        <f t="shared" si="3"/>
        <v>0</v>
      </c>
      <c r="O44">
        <f t="shared" si="4"/>
        <v>1.1000000000000085</v>
      </c>
      <c r="P44">
        <f t="shared" si="5"/>
        <v>0</v>
      </c>
      <c r="R44">
        <f t="shared" si="6"/>
        <v>1.2155555555555553</v>
      </c>
      <c r="S44">
        <f t="shared" si="7"/>
        <v>0.48000000000000115</v>
      </c>
      <c r="U44">
        <f t="shared" si="16"/>
        <v>71.690694626474397</v>
      </c>
      <c r="AH44">
        <f t="shared" si="11"/>
        <v>10.446393564451832</v>
      </c>
      <c r="AI44">
        <f t="shared" si="12"/>
        <v>58.991866790175173</v>
      </c>
      <c r="AJ44">
        <f t="shared" si="13"/>
        <v>81.472133209824833</v>
      </c>
      <c r="AL44">
        <f t="shared" si="14"/>
        <v>91.124787128903662</v>
      </c>
      <c r="AM44">
        <f t="shared" si="15"/>
        <v>49.339212871096336</v>
      </c>
    </row>
    <row r="45" spans="1:39" ht="16.5" x14ac:dyDescent="0.25">
      <c r="A45" s="1">
        <v>45632</v>
      </c>
      <c r="B45" s="5">
        <v>77.239999999999995</v>
      </c>
      <c r="C45" s="4">
        <v>76</v>
      </c>
      <c r="D45" s="4">
        <v>77.319999999999993</v>
      </c>
      <c r="E45" s="4">
        <v>75.459999999999994</v>
      </c>
      <c r="F45" s="4" t="s">
        <v>107</v>
      </c>
      <c r="G45" s="2" t="s">
        <v>108</v>
      </c>
      <c r="I45">
        <f t="shared" si="0"/>
        <v>69.664000000000001</v>
      </c>
      <c r="J45">
        <f t="shared" si="1"/>
        <v>71.670999999999992</v>
      </c>
      <c r="L45">
        <f t="shared" si="2"/>
        <v>1</v>
      </c>
      <c r="M45">
        <f t="shared" si="3"/>
        <v>0</v>
      </c>
      <c r="O45">
        <f t="shared" si="4"/>
        <v>1.2399999999999949</v>
      </c>
      <c r="P45">
        <f t="shared" si="5"/>
        <v>0</v>
      </c>
      <c r="R45">
        <f t="shared" si="6"/>
        <v>1.1266666666666652</v>
      </c>
      <c r="S45">
        <f t="shared" si="7"/>
        <v>0.48000000000000115</v>
      </c>
      <c r="U45">
        <f t="shared" si="16"/>
        <v>70.124481327800751</v>
      </c>
      <c r="AH45">
        <f t="shared" si="11"/>
        <v>10.395130154761</v>
      </c>
      <c r="AI45">
        <f t="shared" si="12"/>
        <v>58.423866790175175</v>
      </c>
      <c r="AJ45">
        <f t="shared" si="13"/>
        <v>80.904133209824835</v>
      </c>
      <c r="AL45">
        <f t="shared" si="14"/>
        <v>90.454260309521999</v>
      </c>
      <c r="AM45">
        <f t="shared" si="15"/>
        <v>48.873739690478004</v>
      </c>
    </row>
    <row r="46" spans="1:39" ht="16.5" x14ac:dyDescent="0.25">
      <c r="A46" s="1">
        <v>45631</v>
      </c>
      <c r="B46" s="5">
        <v>75.2</v>
      </c>
      <c r="C46" s="4">
        <v>73.36</v>
      </c>
      <c r="D46" s="4">
        <v>75.3</v>
      </c>
      <c r="E46" s="4">
        <v>73.36</v>
      </c>
      <c r="F46" s="4" t="s">
        <v>109</v>
      </c>
      <c r="G46" s="2" t="s">
        <v>110</v>
      </c>
      <c r="I46">
        <f t="shared" si="0"/>
        <v>69.180999999999997</v>
      </c>
      <c r="J46">
        <f t="shared" si="1"/>
        <v>71.634499999999989</v>
      </c>
      <c r="L46">
        <f t="shared" si="2"/>
        <v>1</v>
      </c>
      <c r="M46">
        <f t="shared" si="3"/>
        <v>0</v>
      </c>
      <c r="O46">
        <f t="shared" si="4"/>
        <v>1.8400000000000034</v>
      </c>
      <c r="P46">
        <f t="shared" si="5"/>
        <v>0</v>
      </c>
      <c r="R46">
        <f t="shared" si="6"/>
        <v>1.0577777777777773</v>
      </c>
      <c r="S46">
        <f t="shared" si="7"/>
        <v>0.48000000000000115</v>
      </c>
      <c r="U46">
        <f t="shared" si="16"/>
        <v>68.786127167629999</v>
      </c>
      <c r="AH46">
        <f t="shared" si="11"/>
        <v>10.340266846839196</v>
      </c>
      <c r="AI46">
        <f t="shared" si="12"/>
        <v>57.940866790175171</v>
      </c>
      <c r="AJ46">
        <f t="shared" si="13"/>
        <v>80.421133209824831</v>
      </c>
      <c r="AL46">
        <f t="shared" si="14"/>
        <v>89.861533693678382</v>
      </c>
      <c r="AM46">
        <f t="shared" si="15"/>
        <v>48.500466306321606</v>
      </c>
    </row>
    <row r="47" spans="1:39" ht="16.5" x14ac:dyDescent="0.25">
      <c r="A47" s="1">
        <v>45630</v>
      </c>
      <c r="B47" s="5">
        <v>73.44</v>
      </c>
      <c r="C47" s="4">
        <v>72.040000000000006</v>
      </c>
      <c r="D47" s="4">
        <v>73.599999999999994</v>
      </c>
      <c r="E47" s="4">
        <v>71.94</v>
      </c>
      <c r="F47" s="4" t="s">
        <v>111</v>
      </c>
      <c r="G47" s="2" t="s">
        <v>112</v>
      </c>
      <c r="I47">
        <f t="shared" si="0"/>
        <v>68.911999999999992</v>
      </c>
      <c r="J47">
        <f t="shared" si="1"/>
        <v>71.67049999999999</v>
      </c>
      <c r="L47">
        <f t="shared" si="2"/>
        <v>1</v>
      </c>
      <c r="M47">
        <f t="shared" si="3"/>
        <v>0</v>
      </c>
      <c r="O47">
        <f t="shared" si="4"/>
        <v>1.3999999999999915</v>
      </c>
      <c r="P47">
        <f t="shared" si="5"/>
        <v>0</v>
      </c>
      <c r="R47">
        <f t="shared" si="6"/>
        <v>0.95555555555555494</v>
      </c>
      <c r="S47">
        <f t="shared" si="7"/>
        <v>0.48000000000000115</v>
      </c>
      <c r="U47">
        <f t="shared" si="16"/>
        <v>66.563467492260003</v>
      </c>
      <c r="AH47">
        <f t="shared" si="11"/>
        <v>10.282089345940085</v>
      </c>
      <c r="AI47">
        <f t="shared" si="12"/>
        <v>57.671866790175166</v>
      </c>
      <c r="AJ47">
        <f t="shared" si="13"/>
        <v>80.152133209824825</v>
      </c>
      <c r="AL47">
        <f t="shared" si="14"/>
        <v>89.476178691880165</v>
      </c>
      <c r="AM47">
        <f t="shared" si="15"/>
        <v>48.347821308119819</v>
      </c>
    </row>
    <row r="48" spans="1:39" ht="16.5" x14ac:dyDescent="0.25">
      <c r="A48" s="1">
        <v>45629</v>
      </c>
      <c r="B48" s="5">
        <v>71.8</v>
      </c>
      <c r="C48" s="4">
        <v>72.739999999999995</v>
      </c>
      <c r="D48" s="4">
        <v>73.66</v>
      </c>
      <c r="E48" s="4">
        <v>71.8</v>
      </c>
      <c r="F48" s="4" t="s">
        <v>113</v>
      </c>
      <c r="G48" s="2" t="s">
        <v>114</v>
      </c>
      <c r="I48">
        <f t="shared" si="0"/>
        <v>68.631999999999977</v>
      </c>
      <c r="J48">
        <f t="shared" si="1"/>
        <v>71.764499999999984</v>
      </c>
      <c r="L48">
        <f t="shared" si="2"/>
        <v>0</v>
      </c>
      <c r="M48">
        <f t="shared" si="3"/>
        <v>1</v>
      </c>
      <c r="O48">
        <f t="shared" si="4"/>
        <v>0</v>
      </c>
      <c r="P48">
        <f t="shared" si="5"/>
        <v>0.93999999999999773</v>
      </c>
      <c r="R48">
        <f t="shared" si="6"/>
        <v>0.97111111111111215</v>
      </c>
      <c r="S48">
        <f t="shared" si="7"/>
        <v>0.48000000000000115</v>
      </c>
      <c r="U48">
        <f t="shared" si="16"/>
        <v>66.921898928024461</v>
      </c>
      <c r="AH48">
        <f t="shared" si="11"/>
        <v>10.221612621893833</v>
      </c>
      <c r="AI48">
        <f t="shared" si="12"/>
        <v>57.39186679017515</v>
      </c>
      <c r="AJ48">
        <f t="shared" si="13"/>
        <v>79.87213320982481</v>
      </c>
      <c r="AL48">
        <f t="shared" si="14"/>
        <v>89.075225243787642</v>
      </c>
      <c r="AM48">
        <f t="shared" si="15"/>
        <v>48.188774756212311</v>
      </c>
    </row>
    <row r="49" spans="1:39" ht="16.5" x14ac:dyDescent="0.25">
      <c r="A49" s="1">
        <v>45628</v>
      </c>
      <c r="B49" s="5">
        <v>71.88</v>
      </c>
      <c r="C49" s="4">
        <v>69.42</v>
      </c>
      <c r="D49" s="4">
        <v>72.66</v>
      </c>
      <c r="E49" s="4">
        <v>69.040000000000006</v>
      </c>
      <c r="F49" s="4" t="s">
        <v>46</v>
      </c>
      <c r="G49" s="2" t="s">
        <v>115</v>
      </c>
      <c r="I49">
        <f t="shared" si="0"/>
        <v>68.672999999999973</v>
      </c>
      <c r="J49">
        <f t="shared" si="1"/>
        <v>71.875999999999991</v>
      </c>
      <c r="L49">
        <f t="shared" si="2"/>
        <v>1</v>
      </c>
      <c r="M49">
        <f t="shared" si="3"/>
        <v>0</v>
      </c>
      <c r="O49">
        <f t="shared" si="4"/>
        <v>2.4599999999999937</v>
      </c>
      <c r="P49">
        <f t="shared" si="5"/>
        <v>0</v>
      </c>
      <c r="R49">
        <f t="shared" si="6"/>
        <v>0.97111111111111215</v>
      </c>
      <c r="S49">
        <f t="shared" si="7"/>
        <v>0.45600000000000307</v>
      </c>
      <c r="U49">
        <f t="shared" si="16"/>
        <v>68.047337278106383</v>
      </c>
      <c r="AH49">
        <f t="shared" si="11"/>
        <v>10.158697368026131</v>
      </c>
      <c r="AI49">
        <f t="shared" si="12"/>
        <v>57.432866790175147</v>
      </c>
      <c r="AJ49">
        <f t="shared" si="13"/>
        <v>79.913133209824807</v>
      </c>
      <c r="AL49">
        <f t="shared" si="14"/>
        <v>88.990394736052238</v>
      </c>
      <c r="AM49">
        <f t="shared" si="15"/>
        <v>48.355605263947709</v>
      </c>
    </row>
    <row r="50" spans="1:39" ht="16.5" x14ac:dyDescent="0.25">
      <c r="A50" s="1">
        <v>45625</v>
      </c>
      <c r="B50" s="5">
        <v>70.02</v>
      </c>
      <c r="C50" s="4">
        <v>68.48</v>
      </c>
      <c r="D50" s="4">
        <v>70.16</v>
      </c>
      <c r="E50" s="4">
        <v>68.42</v>
      </c>
      <c r="F50" s="4" t="s">
        <v>116</v>
      </c>
      <c r="G50" s="2" t="s">
        <v>117</v>
      </c>
      <c r="I50">
        <f t="shared" si="0"/>
        <v>68.713999999999999</v>
      </c>
      <c r="J50">
        <f t="shared" si="1"/>
        <v>72.025000000000006</v>
      </c>
      <c r="L50">
        <f t="shared" si="2"/>
        <v>1</v>
      </c>
      <c r="M50">
        <f t="shared" si="3"/>
        <v>0</v>
      </c>
      <c r="O50">
        <f t="shared" si="4"/>
        <v>1.539999999999992</v>
      </c>
      <c r="P50">
        <f t="shared" si="5"/>
        <v>0</v>
      </c>
      <c r="R50">
        <f t="shared" si="6"/>
        <v>0.72000000000000197</v>
      </c>
      <c r="S50">
        <f t="shared" si="7"/>
        <v>0.45600000000000307</v>
      </c>
      <c r="U50">
        <f t="shared" si="16"/>
        <v>61.224489795918274</v>
      </c>
      <c r="AH50">
        <f t="shared" si="11"/>
        <v>10.095045764508123</v>
      </c>
      <c r="AI50">
        <f t="shared" si="12"/>
        <v>57.473866790175173</v>
      </c>
      <c r="AJ50">
        <f t="shared" si="13"/>
        <v>79.954133209824832</v>
      </c>
      <c r="AL50">
        <f t="shared" si="14"/>
        <v>88.904091529016242</v>
      </c>
      <c r="AM50">
        <f t="shared" si="15"/>
        <v>48.523908470983756</v>
      </c>
    </row>
    <row r="51" spans="1:39" ht="16.5" x14ac:dyDescent="0.25">
      <c r="A51" s="1">
        <v>45624</v>
      </c>
      <c r="B51" s="5">
        <v>68.92</v>
      </c>
      <c r="C51" s="4">
        <v>69.12</v>
      </c>
      <c r="D51" s="4">
        <v>69.88</v>
      </c>
      <c r="E51" s="4">
        <v>68.72</v>
      </c>
      <c r="F51" s="4" t="s">
        <v>118</v>
      </c>
      <c r="G51" s="2" t="s">
        <v>119</v>
      </c>
      <c r="I51">
        <f t="shared" si="0"/>
        <v>68.871000000000009</v>
      </c>
      <c r="J51">
        <f t="shared" si="1"/>
        <v>72.218500000000006</v>
      </c>
      <c r="L51">
        <f t="shared" si="2"/>
        <v>0</v>
      </c>
      <c r="M51">
        <f t="shared" si="3"/>
        <v>1</v>
      </c>
      <c r="O51">
        <f t="shared" si="4"/>
        <v>0</v>
      </c>
      <c r="P51">
        <f t="shared" si="5"/>
        <v>0.20000000000000284</v>
      </c>
      <c r="R51">
        <f t="shared" si="6"/>
        <v>0.61750000000000327</v>
      </c>
      <c r="S51">
        <f t="shared" si="7"/>
        <v>0.4300000000000021</v>
      </c>
      <c r="U51">
        <f t="shared" si="16"/>
        <v>58.949880668257762</v>
      </c>
      <c r="AH51">
        <f t="shared" si="11"/>
        <v>10.030640775972518</v>
      </c>
      <c r="AI51">
        <f t="shared" si="12"/>
        <v>57.630866790175183</v>
      </c>
      <c r="AJ51">
        <f t="shared" si="13"/>
        <v>80.111133209824843</v>
      </c>
      <c r="AL51">
        <f t="shared" si="14"/>
        <v>88.932281551945039</v>
      </c>
      <c r="AM51">
        <f t="shared" si="15"/>
        <v>48.809718448054973</v>
      </c>
    </row>
    <row r="52" spans="1:39" ht="16.5" x14ac:dyDescent="0.25">
      <c r="A52" s="1">
        <v>45623</v>
      </c>
      <c r="B52" s="5">
        <v>68.400000000000006</v>
      </c>
      <c r="C52" s="4">
        <v>68</v>
      </c>
      <c r="D52" s="4">
        <v>68.400000000000006</v>
      </c>
      <c r="E52" s="4">
        <v>67.48</v>
      </c>
      <c r="F52" s="4" t="s">
        <v>120</v>
      </c>
      <c r="G52" s="2" t="s">
        <v>121</v>
      </c>
      <c r="I52">
        <f t="shared" si="0"/>
        <v>69.040999999999997</v>
      </c>
      <c r="J52">
        <f t="shared" si="1"/>
        <v>72.406000000000006</v>
      </c>
      <c r="L52">
        <f t="shared" si="2"/>
        <v>1</v>
      </c>
      <c r="M52">
        <f t="shared" si="3"/>
        <v>0</v>
      </c>
      <c r="O52">
        <f t="shared" si="4"/>
        <v>0.40000000000000568</v>
      </c>
      <c r="P52">
        <f t="shared" si="5"/>
        <v>0</v>
      </c>
      <c r="R52">
        <f t="shared" si="6"/>
        <v>0.61750000000000327</v>
      </c>
      <c r="S52">
        <f t="shared" si="7"/>
        <v>0.71666666666666856</v>
      </c>
      <c r="U52">
        <f t="shared" si="16"/>
        <v>46.283572767020679</v>
      </c>
      <c r="AH52">
        <f t="shared" si="11"/>
        <v>9.9661174692078891</v>
      </c>
      <c r="AI52">
        <f t="shared" si="12"/>
        <v>57.800866790175171</v>
      </c>
      <c r="AJ52">
        <f t="shared" si="13"/>
        <v>80.28113320982483</v>
      </c>
      <c r="AL52">
        <f t="shared" si="14"/>
        <v>88.973234938415771</v>
      </c>
      <c r="AM52">
        <f t="shared" si="15"/>
        <v>49.108765061584222</v>
      </c>
    </row>
    <row r="53" spans="1:39" ht="16.5" x14ac:dyDescent="0.25">
      <c r="A53" s="1">
        <v>45622</v>
      </c>
      <c r="B53" s="5">
        <v>68.48</v>
      </c>
      <c r="C53" s="4">
        <v>68.22</v>
      </c>
      <c r="D53" s="4">
        <v>68.959999999999994</v>
      </c>
      <c r="E53" s="4">
        <v>67.52</v>
      </c>
      <c r="F53" s="4" t="s">
        <v>31</v>
      </c>
      <c r="G53" s="2" t="s">
        <v>76</v>
      </c>
      <c r="I53">
        <f t="shared" si="0"/>
        <v>69.293000000000006</v>
      </c>
      <c r="J53">
        <f t="shared" si="1"/>
        <v>72.636500000000012</v>
      </c>
      <c r="L53">
        <f t="shared" si="2"/>
        <v>1</v>
      </c>
      <c r="M53">
        <f t="shared" si="3"/>
        <v>0</v>
      </c>
      <c r="O53">
        <f t="shared" si="4"/>
        <v>0.26000000000000512</v>
      </c>
      <c r="P53">
        <f t="shared" si="5"/>
        <v>0</v>
      </c>
      <c r="R53">
        <f t="shared" si="6"/>
        <v>0.78250000000000242</v>
      </c>
      <c r="S53">
        <f t="shared" si="7"/>
        <v>0.71666666666666856</v>
      </c>
      <c r="U53">
        <f t="shared" si="16"/>
        <v>52.195664257921074</v>
      </c>
      <c r="AH53">
        <f t="shared" si="11"/>
        <v>9.901547107440555</v>
      </c>
      <c r="AI53">
        <f t="shared" si="12"/>
        <v>58.05286679017518</v>
      </c>
      <c r="AJ53">
        <f t="shared" si="13"/>
        <v>80.53313320982484</v>
      </c>
      <c r="AL53">
        <f t="shared" si="14"/>
        <v>89.09609421488112</v>
      </c>
      <c r="AM53">
        <f t="shared" si="15"/>
        <v>49.489905785118893</v>
      </c>
    </row>
    <row r="54" spans="1:39" ht="16.5" x14ac:dyDescent="0.25">
      <c r="A54" s="1">
        <v>45621</v>
      </c>
      <c r="B54" s="5">
        <v>69.3</v>
      </c>
      <c r="C54" s="4">
        <v>68.599999999999994</v>
      </c>
      <c r="D54" s="4">
        <v>69.540000000000006</v>
      </c>
      <c r="E54" s="4">
        <v>68.14</v>
      </c>
      <c r="F54" s="4" t="s">
        <v>122</v>
      </c>
      <c r="G54" s="2" t="s">
        <v>123</v>
      </c>
      <c r="I54">
        <f t="shared" si="0"/>
        <v>69.584000000000017</v>
      </c>
      <c r="J54">
        <f t="shared" si="1"/>
        <v>72.868000000000009</v>
      </c>
      <c r="L54">
        <f t="shared" si="2"/>
        <v>1</v>
      </c>
      <c r="M54">
        <f t="shared" si="3"/>
        <v>0</v>
      </c>
      <c r="O54">
        <f t="shared" si="4"/>
        <v>0.70000000000000284</v>
      </c>
      <c r="P54">
        <f t="shared" si="5"/>
        <v>0</v>
      </c>
      <c r="R54">
        <f t="shared" si="6"/>
        <v>0.8571428571428592</v>
      </c>
      <c r="S54">
        <f t="shared" si="7"/>
        <v>0.88285714285714378</v>
      </c>
      <c r="U54">
        <f t="shared" si="16"/>
        <v>49.261083743842399</v>
      </c>
      <c r="AH54">
        <f t="shared" si="11"/>
        <v>9.8373927239533572</v>
      </c>
      <c r="AI54">
        <f t="shared" si="12"/>
        <v>58.343866790175191</v>
      </c>
      <c r="AJ54">
        <f t="shared" si="13"/>
        <v>80.824133209824851</v>
      </c>
      <c r="AL54">
        <f t="shared" si="14"/>
        <v>89.258785447906732</v>
      </c>
      <c r="AM54">
        <f t="shared" si="15"/>
        <v>49.909214552093303</v>
      </c>
    </row>
    <row r="55" spans="1:39" ht="16.5" x14ac:dyDescent="0.25">
      <c r="A55" s="1">
        <v>45618</v>
      </c>
      <c r="B55" s="5">
        <v>67.8</v>
      </c>
      <c r="C55" s="4">
        <v>67.92</v>
      </c>
      <c r="D55" s="4">
        <v>68.28</v>
      </c>
      <c r="E55" s="4">
        <v>66.52</v>
      </c>
      <c r="F55" s="4" t="s">
        <v>124</v>
      </c>
      <c r="G55" s="2" t="s">
        <v>69</v>
      </c>
      <c r="I55">
        <f t="shared" si="0"/>
        <v>69.89500000000001</v>
      </c>
      <c r="J55">
        <f t="shared" si="1"/>
        <v>73.114999999999995</v>
      </c>
      <c r="L55">
        <f t="shared" si="2"/>
        <v>0</v>
      </c>
      <c r="M55">
        <f t="shared" si="3"/>
        <v>1</v>
      </c>
      <c r="O55">
        <f t="shared" si="4"/>
        <v>0</v>
      </c>
      <c r="P55">
        <f t="shared" si="5"/>
        <v>0.12000000000000455</v>
      </c>
      <c r="R55">
        <f t="shared" si="6"/>
        <v>0.88333333333333519</v>
      </c>
      <c r="S55">
        <f t="shared" si="7"/>
        <v>0.82000000000000028</v>
      </c>
      <c r="U55">
        <f t="shared" si="16"/>
        <v>51.859099804305323</v>
      </c>
      <c r="AH55">
        <f t="shared" si="11"/>
        <v>9.7738814808706227</v>
      </c>
      <c r="AI55">
        <f t="shared" si="12"/>
        <v>58.654866790175184</v>
      </c>
      <c r="AJ55">
        <f t="shared" si="13"/>
        <v>81.135133209824843</v>
      </c>
      <c r="AL55">
        <f t="shared" si="14"/>
        <v>89.442762961741252</v>
      </c>
      <c r="AM55">
        <f t="shared" si="15"/>
        <v>50.347237038258768</v>
      </c>
    </row>
    <row r="56" spans="1:39" ht="16.5" x14ac:dyDescent="0.25">
      <c r="A56" s="1">
        <v>45617</v>
      </c>
      <c r="B56" s="5">
        <v>67.94</v>
      </c>
      <c r="C56" s="4">
        <v>68.38</v>
      </c>
      <c r="D56" s="4">
        <v>68.400000000000006</v>
      </c>
      <c r="E56" s="4">
        <v>66.680000000000007</v>
      </c>
      <c r="F56" s="4" t="s">
        <v>125</v>
      </c>
      <c r="G56" s="2" t="s">
        <v>88</v>
      </c>
      <c r="I56">
        <f t="shared" si="0"/>
        <v>70.305000000000007</v>
      </c>
      <c r="J56">
        <f t="shared" si="1"/>
        <v>73.448499999999996</v>
      </c>
      <c r="L56">
        <f t="shared" si="2"/>
        <v>0</v>
      </c>
      <c r="M56">
        <f t="shared" si="3"/>
        <v>1</v>
      </c>
      <c r="O56">
        <f t="shared" si="4"/>
        <v>0</v>
      </c>
      <c r="P56">
        <f t="shared" si="5"/>
        <v>0.43999999999999773</v>
      </c>
      <c r="R56">
        <f t="shared" si="6"/>
        <v>0.88333333333333519</v>
      </c>
      <c r="S56">
        <f t="shared" si="7"/>
        <v>0.84249999999999936</v>
      </c>
      <c r="U56">
        <f t="shared" si="16"/>
        <v>51.18300338000973</v>
      </c>
      <c r="AH56">
        <f t="shared" si="11"/>
        <v>9.7111356230526518</v>
      </c>
      <c r="AI56">
        <f t="shared" si="12"/>
        <v>59.064866790175181</v>
      </c>
      <c r="AJ56">
        <f t="shared" si="13"/>
        <v>81.54513320982484</v>
      </c>
      <c r="AL56">
        <f t="shared" si="14"/>
        <v>89.727271246105317</v>
      </c>
      <c r="AM56">
        <f t="shared" si="15"/>
        <v>50.882728753894703</v>
      </c>
    </row>
    <row r="57" spans="1:39" ht="16.5" x14ac:dyDescent="0.25">
      <c r="A57" s="1">
        <v>45616</v>
      </c>
      <c r="B57" s="5">
        <v>68.5</v>
      </c>
      <c r="C57" s="4">
        <v>69.2</v>
      </c>
      <c r="D57" s="4">
        <v>69.459999999999994</v>
      </c>
      <c r="E57" s="4">
        <v>68.319999999999993</v>
      </c>
      <c r="F57" s="4" t="s">
        <v>126</v>
      </c>
      <c r="G57" s="2" t="s">
        <v>127</v>
      </c>
      <c r="I57">
        <f t="shared" si="0"/>
        <v>70.731999999999999</v>
      </c>
      <c r="J57">
        <f t="shared" si="1"/>
        <v>73.713499999999996</v>
      </c>
      <c r="L57">
        <f t="shared" si="2"/>
        <v>0</v>
      </c>
      <c r="M57">
        <f t="shared" si="3"/>
        <v>1</v>
      </c>
      <c r="O57">
        <f t="shared" si="4"/>
        <v>0</v>
      </c>
      <c r="P57">
        <f t="shared" si="5"/>
        <v>0.70000000000000284</v>
      </c>
      <c r="R57">
        <f t="shared" si="6"/>
        <v>0.90571428571428625</v>
      </c>
      <c r="S57">
        <f t="shared" si="7"/>
        <v>0.89999999999999958</v>
      </c>
      <c r="U57">
        <f t="shared" si="16"/>
        <v>50.158227848101291</v>
      </c>
      <c r="AH57">
        <f t="shared" si="11"/>
        <v>9.6497218030989576</v>
      </c>
      <c r="AI57">
        <f t="shared" si="12"/>
        <v>59.491866790175173</v>
      </c>
      <c r="AJ57">
        <f t="shared" si="13"/>
        <v>81.972133209824833</v>
      </c>
      <c r="AL57">
        <f t="shared" si="14"/>
        <v>90.031443606197911</v>
      </c>
      <c r="AM57">
        <f t="shared" si="15"/>
        <v>51.432556393802088</v>
      </c>
    </row>
    <row r="58" spans="1:39" ht="16.5" x14ac:dyDescent="0.25">
      <c r="A58" s="1">
        <v>45615</v>
      </c>
      <c r="B58" s="5">
        <v>69.06</v>
      </c>
      <c r="C58" s="4">
        <v>68.760000000000005</v>
      </c>
      <c r="D58" s="4">
        <v>69.56</v>
      </c>
      <c r="E58" s="4">
        <v>68.08</v>
      </c>
      <c r="F58" s="4" t="s">
        <v>128</v>
      </c>
      <c r="G58" s="2" t="s">
        <v>55</v>
      </c>
      <c r="I58">
        <f t="shared" si="0"/>
        <v>71.085000000000008</v>
      </c>
      <c r="J58">
        <f t="shared" si="1"/>
        <v>73.892499999999998</v>
      </c>
      <c r="L58">
        <f t="shared" si="2"/>
        <v>1</v>
      </c>
      <c r="M58">
        <f t="shared" si="3"/>
        <v>0</v>
      </c>
      <c r="O58">
        <f t="shared" si="4"/>
        <v>0.29999999999999716</v>
      </c>
      <c r="P58">
        <f t="shared" si="5"/>
        <v>0</v>
      </c>
      <c r="R58">
        <f t="shared" si="6"/>
        <v>0.90571428571428625</v>
      </c>
      <c r="S58">
        <f t="shared" si="7"/>
        <v>0.89142857142857068</v>
      </c>
      <c r="U58">
        <f t="shared" si="16"/>
        <v>50.397456279809255</v>
      </c>
      <c r="AH58">
        <f t="shared" si="11"/>
        <v>9.5897471253029831</v>
      </c>
      <c r="AI58">
        <f t="shared" si="12"/>
        <v>59.844866790175182</v>
      </c>
      <c r="AJ58">
        <f t="shared" si="13"/>
        <v>82.325133209824841</v>
      </c>
      <c r="AL58">
        <f t="shared" si="14"/>
        <v>90.264494250605978</v>
      </c>
      <c r="AM58">
        <f t="shared" si="15"/>
        <v>51.905505749394038</v>
      </c>
    </row>
    <row r="59" spans="1:39" ht="16.5" x14ac:dyDescent="0.25">
      <c r="A59" s="1">
        <v>45614</v>
      </c>
      <c r="B59" s="5">
        <v>68.72</v>
      </c>
      <c r="C59" s="4">
        <v>68.099999999999994</v>
      </c>
      <c r="D59" s="4">
        <v>69.56</v>
      </c>
      <c r="E59" s="4">
        <v>68.099999999999994</v>
      </c>
      <c r="F59" s="4" t="s">
        <v>129</v>
      </c>
      <c r="G59" s="2" t="s">
        <v>130</v>
      </c>
      <c r="I59">
        <f t="shared" si="0"/>
        <v>71.393000000000001</v>
      </c>
      <c r="J59">
        <f t="shared" si="1"/>
        <v>74.118999999999986</v>
      </c>
      <c r="L59">
        <f t="shared" si="2"/>
        <v>1</v>
      </c>
      <c r="M59">
        <f t="shared" si="3"/>
        <v>0</v>
      </c>
      <c r="O59">
        <f t="shared" si="4"/>
        <v>0.62000000000000455</v>
      </c>
      <c r="P59">
        <f t="shared" si="5"/>
        <v>0</v>
      </c>
      <c r="R59">
        <f t="shared" si="6"/>
        <v>1.0066666666666677</v>
      </c>
      <c r="S59">
        <f t="shared" si="7"/>
        <v>0.79749999999999943</v>
      </c>
      <c r="U59">
        <f t="shared" si="16"/>
        <v>55.796766743649009</v>
      </c>
      <c r="AH59">
        <f t="shared" si="11"/>
        <v>9.5308130624891803</v>
      </c>
      <c r="AI59">
        <f t="shared" si="12"/>
        <v>60.152866790175175</v>
      </c>
      <c r="AJ59">
        <f t="shared" si="13"/>
        <v>82.633133209824834</v>
      </c>
      <c r="AL59">
        <f t="shared" si="14"/>
        <v>90.454626124978361</v>
      </c>
      <c r="AM59">
        <f t="shared" si="15"/>
        <v>52.33137387502164</v>
      </c>
    </row>
    <row r="60" spans="1:39" ht="16.5" x14ac:dyDescent="0.25">
      <c r="A60" s="1">
        <v>45611</v>
      </c>
      <c r="B60" s="5">
        <v>67.92</v>
      </c>
      <c r="C60" s="4">
        <v>67</v>
      </c>
      <c r="D60" s="4">
        <v>68.58</v>
      </c>
      <c r="E60" s="4">
        <v>67</v>
      </c>
      <c r="F60" s="4" t="s">
        <v>101</v>
      </c>
      <c r="G60" s="2" t="s">
        <v>131</v>
      </c>
      <c r="I60">
        <f t="shared" si="0"/>
        <v>71.700999999999993</v>
      </c>
      <c r="J60">
        <f t="shared" si="1"/>
        <v>74.286999999999992</v>
      </c>
      <c r="L60">
        <f t="shared" si="2"/>
        <v>1</v>
      </c>
      <c r="M60">
        <f t="shared" si="3"/>
        <v>0</v>
      </c>
      <c r="O60">
        <f t="shared" si="4"/>
        <v>0.92000000000000171</v>
      </c>
      <c r="P60">
        <f t="shared" si="5"/>
        <v>0</v>
      </c>
      <c r="R60">
        <f t="shared" si="6"/>
        <v>1.0840000000000003</v>
      </c>
      <c r="S60">
        <f t="shared" si="7"/>
        <v>0.83777777777777684</v>
      </c>
      <c r="U60">
        <f t="shared" si="16"/>
        <v>56.406105457909383</v>
      </c>
      <c r="AH60">
        <f t="shared" si="11"/>
        <v>9.4726817814758935</v>
      </c>
      <c r="AI60">
        <f t="shared" si="12"/>
        <v>60.460866790175167</v>
      </c>
      <c r="AJ60">
        <f t="shared" si="13"/>
        <v>82.941133209824827</v>
      </c>
      <c r="AL60">
        <f t="shared" si="14"/>
        <v>90.646363562951777</v>
      </c>
      <c r="AM60">
        <f t="shared" si="15"/>
        <v>52.75563643704821</v>
      </c>
    </row>
    <row r="61" spans="1:39" ht="16.5" x14ac:dyDescent="0.25">
      <c r="A61" s="1">
        <v>45610</v>
      </c>
      <c r="B61" s="5">
        <v>67.64</v>
      </c>
      <c r="C61" s="4">
        <v>66.099999999999994</v>
      </c>
      <c r="D61" s="4">
        <v>67.92</v>
      </c>
      <c r="E61" s="4">
        <v>65.760000000000005</v>
      </c>
      <c r="F61" s="4" t="s">
        <v>132</v>
      </c>
      <c r="G61" s="2" t="s">
        <v>133</v>
      </c>
      <c r="I61">
        <f t="shared" si="0"/>
        <v>72.059999999999988</v>
      </c>
      <c r="J61">
        <f t="shared" si="1"/>
        <v>74.429999999999978</v>
      </c>
      <c r="L61">
        <f t="shared" si="2"/>
        <v>1</v>
      </c>
      <c r="M61">
        <f t="shared" si="3"/>
        <v>0</v>
      </c>
      <c r="O61">
        <f t="shared" si="4"/>
        <v>1.5400000000000063</v>
      </c>
      <c r="P61">
        <f t="shared" si="5"/>
        <v>0</v>
      </c>
      <c r="R61">
        <f t="shared" si="6"/>
        <v>1.125</v>
      </c>
      <c r="S61">
        <f t="shared" si="7"/>
        <v>0.87199999999999989</v>
      </c>
      <c r="U61">
        <f t="shared" si="16"/>
        <v>56.334501752628952</v>
      </c>
      <c r="AH61">
        <f t="shared" si="11"/>
        <v>9.4153632946358918</v>
      </c>
      <c r="AI61">
        <f t="shared" si="12"/>
        <v>60.819866790175162</v>
      </c>
      <c r="AJ61">
        <f t="shared" si="13"/>
        <v>83.300133209824821</v>
      </c>
      <c r="AL61">
        <f t="shared" si="14"/>
        <v>90.890726589271765</v>
      </c>
      <c r="AM61">
        <f t="shared" si="15"/>
        <v>53.229273410728204</v>
      </c>
    </row>
    <row r="62" spans="1:39" ht="16.5" x14ac:dyDescent="0.25">
      <c r="A62" s="1">
        <v>45609</v>
      </c>
      <c r="B62" s="5">
        <v>65.959999999999994</v>
      </c>
      <c r="C62" s="4">
        <v>66.78</v>
      </c>
      <c r="D62" s="4">
        <v>67.22</v>
      </c>
      <c r="E62" s="4">
        <v>65.260000000000005</v>
      </c>
      <c r="F62" s="4" t="s">
        <v>134</v>
      </c>
      <c r="G62" s="2" t="s">
        <v>135</v>
      </c>
      <c r="I62">
        <f t="shared" si="0"/>
        <v>72.415999999999997</v>
      </c>
      <c r="J62">
        <f t="shared" si="1"/>
        <v>74.642499999999984</v>
      </c>
      <c r="L62">
        <f t="shared" si="2"/>
        <v>0</v>
      </c>
      <c r="M62">
        <f t="shared" si="3"/>
        <v>1</v>
      </c>
      <c r="O62">
        <f t="shared" si="4"/>
        <v>0</v>
      </c>
      <c r="P62">
        <f t="shared" si="5"/>
        <v>0.82000000000000739</v>
      </c>
      <c r="R62">
        <f t="shared" si="6"/>
        <v>0.81499999999999773</v>
      </c>
      <c r="S62">
        <f t="shared" si="7"/>
        <v>0.87199999999999989</v>
      </c>
      <c r="U62">
        <f t="shared" si="16"/>
        <v>48.310610551274387</v>
      </c>
      <c r="AH62">
        <f t="shared" si="11"/>
        <v>9.3591484947680783</v>
      </c>
      <c r="AI62">
        <f t="shared" si="12"/>
        <v>61.175866790175171</v>
      </c>
      <c r="AJ62">
        <f t="shared" si="13"/>
        <v>83.65613320982483</v>
      </c>
      <c r="AL62">
        <f t="shared" si="14"/>
        <v>91.134296989536153</v>
      </c>
      <c r="AM62">
        <f t="shared" si="15"/>
        <v>53.69770301046384</v>
      </c>
    </row>
    <row r="63" spans="1:39" ht="16.5" x14ac:dyDescent="0.25">
      <c r="A63" s="1">
        <v>45608</v>
      </c>
      <c r="B63" s="5">
        <v>67.22</v>
      </c>
      <c r="C63" s="4">
        <v>67.02</v>
      </c>
      <c r="D63" s="4">
        <v>68.739999999999995</v>
      </c>
      <c r="E63" s="4">
        <v>66.900000000000006</v>
      </c>
      <c r="F63" s="4" t="s">
        <v>136</v>
      </c>
      <c r="G63" s="2" t="s">
        <v>137</v>
      </c>
      <c r="I63">
        <f t="shared" si="0"/>
        <v>72.85499999999999</v>
      </c>
      <c r="J63">
        <f t="shared" si="1"/>
        <v>74.856499999999969</v>
      </c>
      <c r="L63">
        <f t="shared" si="2"/>
        <v>1</v>
      </c>
      <c r="M63">
        <f t="shared" si="3"/>
        <v>0</v>
      </c>
      <c r="O63">
        <f t="shared" si="4"/>
        <v>0.20000000000000284</v>
      </c>
      <c r="P63">
        <f t="shared" si="5"/>
        <v>0</v>
      </c>
      <c r="R63">
        <f t="shared" si="6"/>
        <v>0.85999999999999943</v>
      </c>
      <c r="S63">
        <f t="shared" si="7"/>
        <v>0.87777777777777688</v>
      </c>
      <c r="U63">
        <f t="shared" si="16"/>
        <v>49.48849104859336</v>
      </c>
      <c r="AH63">
        <f t="shared" si="11"/>
        <v>9.3040316301512132</v>
      </c>
      <c r="AI63">
        <f t="shared" si="12"/>
        <v>61.614866790175164</v>
      </c>
      <c r="AJ63">
        <f t="shared" si="13"/>
        <v>84.095133209824823</v>
      </c>
      <c r="AL63">
        <f t="shared" si="14"/>
        <v>91.46306326030242</v>
      </c>
      <c r="AM63">
        <f t="shared" si="15"/>
        <v>54.24693673969756</v>
      </c>
    </row>
    <row r="64" spans="1:39" ht="16.5" x14ac:dyDescent="0.25">
      <c r="A64" s="1">
        <v>45607</v>
      </c>
      <c r="B64" s="5">
        <v>67.84</v>
      </c>
      <c r="C64" s="4">
        <v>68.14</v>
      </c>
      <c r="D64" s="4">
        <v>68.540000000000006</v>
      </c>
      <c r="E64" s="4">
        <v>66.52</v>
      </c>
      <c r="F64" s="4" t="s">
        <v>70</v>
      </c>
      <c r="G64" s="2" t="s">
        <v>138</v>
      </c>
      <c r="I64">
        <f t="shared" si="0"/>
        <v>73.25800000000001</v>
      </c>
      <c r="J64">
        <f t="shared" si="1"/>
        <v>74.998999999999981</v>
      </c>
      <c r="L64">
        <f t="shared" si="2"/>
        <v>0</v>
      </c>
      <c r="M64">
        <f t="shared" si="3"/>
        <v>1</v>
      </c>
      <c r="O64">
        <f t="shared" si="4"/>
        <v>0</v>
      </c>
      <c r="P64">
        <f t="shared" si="5"/>
        <v>0.29999999999999716</v>
      </c>
      <c r="R64">
        <f t="shared" si="6"/>
        <v>0.83599999999999852</v>
      </c>
      <c r="S64">
        <f t="shared" si="7"/>
        <v>0.87777777777777688</v>
      </c>
      <c r="U64">
        <f t="shared" si="16"/>
        <v>48.781120331950191</v>
      </c>
      <c r="AH64">
        <f t="shared" si="11"/>
        <v>9.2504746314226782</v>
      </c>
      <c r="AI64">
        <f t="shared" si="12"/>
        <v>62.017866790175184</v>
      </c>
      <c r="AJ64">
        <f t="shared" si="13"/>
        <v>84.498133209824843</v>
      </c>
      <c r="AL64">
        <f t="shared" si="14"/>
        <v>91.758949262845363</v>
      </c>
      <c r="AM64">
        <f t="shared" si="15"/>
        <v>54.757050737154657</v>
      </c>
    </row>
    <row r="65" spans="1:39" ht="16.5" x14ac:dyDescent="0.25">
      <c r="A65" s="1">
        <v>45604</v>
      </c>
      <c r="B65" s="5">
        <v>67.58</v>
      </c>
      <c r="C65" s="4">
        <v>69.5</v>
      </c>
      <c r="D65" s="4">
        <v>69.56</v>
      </c>
      <c r="E65" s="4">
        <v>66.900000000000006</v>
      </c>
      <c r="F65" s="4" t="s">
        <v>139</v>
      </c>
      <c r="G65" s="2" t="s">
        <v>140</v>
      </c>
      <c r="I65">
        <f t="shared" si="0"/>
        <v>73.677999999999997</v>
      </c>
      <c r="J65">
        <f t="shared" si="1"/>
        <v>75.115999999999971</v>
      </c>
      <c r="L65">
        <f t="shared" si="2"/>
        <v>0</v>
      </c>
      <c r="M65">
        <f t="shared" si="3"/>
        <v>1</v>
      </c>
      <c r="O65">
        <f t="shared" si="4"/>
        <v>0</v>
      </c>
      <c r="P65">
        <f t="shared" si="5"/>
        <v>1.9200000000000017</v>
      </c>
      <c r="R65">
        <f t="shared" si="6"/>
        <v>0.79333333333333178</v>
      </c>
      <c r="S65">
        <f t="shared" si="7"/>
        <v>0.94999999999999929</v>
      </c>
      <c r="U65">
        <f t="shared" si="16"/>
        <v>45.506692160611827</v>
      </c>
      <c r="AH65">
        <f t="shared" si="11"/>
        <v>9.1982917406603235</v>
      </c>
      <c r="AI65">
        <f t="shared" si="12"/>
        <v>62.437866790175171</v>
      </c>
      <c r="AJ65">
        <f t="shared" si="13"/>
        <v>84.91813320982483</v>
      </c>
      <c r="AL65">
        <f t="shared" si="14"/>
        <v>92.074583481320644</v>
      </c>
      <c r="AM65">
        <f t="shared" si="15"/>
        <v>55.28141651867935</v>
      </c>
    </row>
    <row r="66" spans="1:39" ht="16.5" x14ac:dyDescent="0.25">
      <c r="A66" s="1">
        <v>45603</v>
      </c>
      <c r="B66" s="5">
        <v>69.819999999999993</v>
      </c>
      <c r="C66" s="4">
        <v>68.099999999999994</v>
      </c>
      <c r="D66" s="4">
        <v>70.36</v>
      </c>
      <c r="E66" s="4">
        <v>68.099999999999994</v>
      </c>
      <c r="F66" s="4" t="s">
        <v>141</v>
      </c>
      <c r="G66" s="2" t="s">
        <v>142</v>
      </c>
      <c r="I66">
        <f t="shared" si="0"/>
        <v>74.087999999999994</v>
      </c>
      <c r="J66">
        <f t="shared" si="1"/>
        <v>75.259499999999974</v>
      </c>
      <c r="L66">
        <f t="shared" si="2"/>
        <v>1</v>
      </c>
      <c r="M66">
        <f t="shared" si="3"/>
        <v>0</v>
      </c>
      <c r="O66">
        <f t="shared" si="4"/>
        <v>1.7199999999999989</v>
      </c>
      <c r="P66">
        <f t="shared" si="5"/>
        <v>0</v>
      </c>
      <c r="R66">
        <f t="shared" si="6"/>
        <v>0.79333333333333178</v>
      </c>
      <c r="S66">
        <f t="shared" si="7"/>
        <v>0.71499999999999986</v>
      </c>
      <c r="U66">
        <f t="shared" si="16"/>
        <v>52.596685082872881</v>
      </c>
      <c r="AH66">
        <f t="shared" si="11"/>
        <v>9.1475824848909468</v>
      </c>
      <c r="AI66">
        <f t="shared" si="12"/>
        <v>62.847866790175168</v>
      </c>
      <c r="AJ66">
        <f t="shared" si="13"/>
        <v>85.328133209824827</v>
      </c>
      <c r="AL66">
        <f t="shared" si="14"/>
        <v>92.383164969781888</v>
      </c>
      <c r="AM66">
        <f t="shared" si="15"/>
        <v>55.7928350302181</v>
      </c>
    </row>
    <row r="67" spans="1:39" ht="16.5" x14ac:dyDescent="0.25">
      <c r="A67" s="1">
        <v>45602</v>
      </c>
      <c r="B67" s="5">
        <v>67.84</v>
      </c>
      <c r="C67" s="4">
        <v>69.72</v>
      </c>
      <c r="D67" s="4">
        <v>70.14</v>
      </c>
      <c r="E67" s="4">
        <v>66.84</v>
      </c>
      <c r="F67" s="4" t="s">
        <v>143</v>
      </c>
      <c r="G67" s="2" t="s">
        <v>144</v>
      </c>
      <c r="I67">
        <f t="shared" ref="I67:I130" si="17">AVERAGE(B67:B86)</f>
        <v>74.429000000000002</v>
      </c>
      <c r="J67">
        <f t="shared" ref="J67:J130" si="18">AVERAGE(B67:B106)</f>
        <v>75.298000000000002</v>
      </c>
      <c r="L67">
        <f t="shared" ref="L67:L130" si="19">IF($C67&lt;$B67,1,0)</f>
        <v>0</v>
      </c>
      <c r="M67">
        <f t="shared" ref="M67:M130" si="20">IF($C67&lt;$B67,0,1)</f>
        <v>1</v>
      </c>
      <c r="O67">
        <f t="shared" ref="O67:O130" si="21">IF($C67&lt;$B67,B67-C67,0)</f>
        <v>0</v>
      </c>
      <c r="P67">
        <f t="shared" ref="P67:P130" si="22">IF($B67&lt;$C67,C67-B67,0)</f>
        <v>1.8799999999999955</v>
      </c>
      <c r="R67">
        <f t="shared" ref="R67:R130" si="23">SUM(O67:O80)/SUM(L67:L80)</f>
        <v>0.56333333333333024</v>
      </c>
      <c r="S67">
        <f t="shared" ref="S67:S130" si="24">SUM(P67:P80)/SUM(M67:M80)</f>
        <v>0.71499999999999986</v>
      </c>
      <c r="U67">
        <f t="shared" ref="U67:U130" si="25">100-(100/(1+(R67/S67)))</f>
        <v>44.06779661016936</v>
      </c>
      <c r="AH67">
        <f t="shared" ref="AH67:AH130" si="26">_xlfn.STDEV.S(I67:I597)</f>
        <v>9.0983011244814147</v>
      </c>
      <c r="AI67">
        <f t="shared" ref="AI67:AI130" si="27">I67-$AH$2</f>
        <v>63.188866790175176</v>
      </c>
      <c r="AJ67">
        <f t="shared" ref="AJ67:AJ130" si="28">I67+$AH$2</f>
        <v>85.669133209824835</v>
      </c>
      <c r="AL67">
        <f t="shared" ref="AL67:AL130" si="29">I67+(AH67*2)</f>
        <v>92.625602248962835</v>
      </c>
      <c r="AM67">
        <f t="shared" ref="AM67:AM130" si="30">I67-(AH67*2)</f>
        <v>56.232397751037169</v>
      </c>
    </row>
    <row r="68" spans="1:39" ht="16.5" x14ac:dyDescent="0.25">
      <c r="A68" s="1">
        <v>45601</v>
      </c>
      <c r="B68" s="5">
        <v>72.62</v>
      </c>
      <c r="C68" s="4">
        <v>73</v>
      </c>
      <c r="D68" s="4">
        <v>73.34</v>
      </c>
      <c r="E68" s="4">
        <v>72.099999999999994</v>
      </c>
      <c r="F68" s="4" t="s">
        <v>145</v>
      </c>
      <c r="G68" s="2" t="s">
        <v>114</v>
      </c>
      <c r="I68">
        <f t="shared" si="17"/>
        <v>74.897000000000006</v>
      </c>
      <c r="J68">
        <f t="shared" si="18"/>
        <v>75.378999999999991</v>
      </c>
      <c r="L68">
        <f t="shared" si="19"/>
        <v>0</v>
      </c>
      <c r="M68">
        <f t="shared" si="20"/>
        <v>1</v>
      </c>
      <c r="O68">
        <f t="shared" si="21"/>
        <v>0</v>
      </c>
      <c r="P68">
        <f t="shared" si="22"/>
        <v>0.37999999999999545</v>
      </c>
      <c r="R68">
        <f t="shared" si="23"/>
        <v>0.56333333333333024</v>
      </c>
      <c r="S68">
        <f t="shared" si="24"/>
        <v>0.49499999999999922</v>
      </c>
      <c r="U68">
        <f t="shared" si="25"/>
        <v>53.228346456692812</v>
      </c>
      <c r="AH68">
        <f t="shared" si="26"/>
        <v>9.0500914130411871</v>
      </c>
      <c r="AI68">
        <f t="shared" si="27"/>
        <v>63.656866790175179</v>
      </c>
      <c r="AJ68">
        <f t="shared" si="28"/>
        <v>86.137133209824839</v>
      </c>
      <c r="AL68">
        <f t="shared" si="29"/>
        <v>92.99718282608238</v>
      </c>
      <c r="AM68">
        <f t="shared" si="30"/>
        <v>56.796817173917631</v>
      </c>
    </row>
    <row r="69" spans="1:39" ht="16.5" x14ac:dyDescent="0.25">
      <c r="A69" s="1">
        <v>45600</v>
      </c>
      <c r="B69" s="5">
        <v>72.7</v>
      </c>
      <c r="C69" s="4">
        <v>73</v>
      </c>
      <c r="D69" s="4">
        <v>74.16</v>
      </c>
      <c r="E69" s="4">
        <v>72.58</v>
      </c>
      <c r="F69" s="4" t="s">
        <v>146</v>
      </c>
      <c r="G69" s="2" t="s">
        <v>147</v>
      </c>
      <c r="I69">
        <f t="shared" si="17"/>
        <v>75.079000000000008</v>
      </c>
      <c r="J69">
        <f t="shared" si="18"/>
        <v>75.287999999999997</v>
      </c>
      <c r="L69">
        <f t="shared" si="19"/>
        <v>0</v>
      </c>
      <c r="M69">
        <f t="shared" si="20"/>
        <v>1</v>
      </c>
      <c r="O69">
        <f t="shared" si="21"/>
        <v>0</v>
      </c>
      <c r="P69">
        <f t="shared" si="22"/>
        <v>0.29999999999999716</v>
      </c>
      <c r="R69">
        <f t="shared" si="23"/>
        <v>0.56333333333333024</v>
      </c>
      <c r="S69">
        <f t="shared" si="24"/>
        <v>0.45000000000000107</v>
      </c>
      <c r="U69">
        <f t="shared" si="25"/>
        <v>55.592105263157698</v>
      </c>
      <c r="AH69">
        <f t="shared" si="26"/>
        <v>9.0036247959791691</v>
      </c>
      <c r="AI69">
        <f t="shared" si="27"/>
        <v>63.838866790175182</v>
      </c>
      <c r="AJ69">
        <f t="shared" si="28"/>
        <v>86.319133209824841</v>
      </c>
      <c r="AL69">
        <f t="shared" si="29"/>
        <v>93.086249591958349</v>
      </c>
      <c r="AM69">
        <f t="shared" si="30"/>
        <v>57.071750408041666</v>
      </c>
    </row>
    <row r="70" spans="1:39" ht="16.5" x14ac:dyDescent="0.25">
      <c r="A70" s="1">
        <v>45597</v>
      </c>
      <c r="B70" s="5">
        <v>73.16</v>
      </c>
      <c r="C70" s="4">
        <v>72.12</v>
      </c>
      <c r="D70" s="4">
        <v>73.52</v>
      </c>
      <c r="E70" s="4">
        <v>72.08</v>
      </c>
      <c r="F70" s="4" t="s">
        <v>148</v>
      </c>
      <c r="G70" s="2" t="s">
        <v>149</v>
      </c>
      <c r="I70">
        <f t="shared" si="17"/>
        <v>75.335999999999999</v>
      </c>
      <c r="J70">
        <f t="shared" si="18"/>
        <v>75.411500000000004</v>
      </c>
      <c r="L70">
        <f t="shared" si="19"/>
        <v>1</v>
      </c>
      <c r="M70">
        <f t="shared" si="20"/>
        <v>0</v>
      </c>
      <c r="O70">
        <f t="shared" si="21"/>
        <v>1.039999999999992</v>
      </c>
      <c r="P70">
        <f t="shared" si="22"/>
        <v>0</v>
      </c>
      <c r="R70">
        <f t="shared" si="23"/>
        <v>0.56333333333333024</v>
      </c>
      <c r="S70">
        <f t="shared" si="24"/>
        <v>0.54500000000000171</v>
      </c>
      <c r="U70">
        <f t="shared" si="25"/>
        <v>50.827067669172713</v>
      </c>
      <c r="AH70">
        <f t="shared" si="26"/>
        <v>8.9574218037629088</v>
      </c>
      <c r="AI70">
        <f t="shared" si="27"/>
        <v>64.095866790175165</v>
      </c>
      <c r="AJ70">
        <f t="shared" si="28"/>
        <v>86.576133209824832</v>
      </c>
      <c r="AL70">
        <f t="shared" si="29"/>
        <v>93.250843607525809</v>
      </c>
      <c r="AM70">
        <f t="shared" si="30"/>
        <v>57.421156392474181</v>
      </c>
    </row>
    <row r="71" spans="1:39" ht="16.5" x14ac:dyDescent="0.25">
      <c r="A71" s="1">
        <v>45596</v>
      </c>
      <c r="B71" s="5">
        <v>72.319999999999993</v>
      </c>
      <c r="C71" s="4">
        <v>72.959999999999994</v>
      </c>
      <c r="D71" s="4">
        <v>73.459999999999994</v>
      </c>
      <c r="E71" s="4">
        <v>72.22</v>
      </c>
      <c r="F71" s="4" t="s">
        <v>150</v>
      </c>
      <c r="G71" s="2" t="s">
        <v>151</v>
      </c>
      <c r="I71">
        <f t="shared" si="17"/>
        <v>75.566000000000003</v>
      </c>
      <c r="J71">
        <f t="shared" si="18"/>
        <v>75.537499999999994</v>
      </c>
      <c r="L71">
        <f t="shared" si="19"/>
        <v>0</v>
      </c>
      <c r="M71">
        <f t="shared" si="20"/>
        <v>1</v>
      </c>
      <c r="O71">
        <f t="shared" si="21"/>
        <v>0</v>
      </c>
      <c r="P71">
        <f t="shared" si="22"/>
        <v>0.64000000000000057</v>
      </c>
      <c r="R71">
        <f t="shared" si="23"/>
        <v>0.46799999999999786</v>
      </c>
      <c r="S71">
        <f t="shared" si="24"/>
        <v>0.50000000000000155</v>
      </c>
      <c r="U71">
        <f t="shared" si="25"/>
        <v>48.347107438016337</v>
      </c>
      <c r="AH71">
        <f t="shared" si="26"/>
        <v>8.9118770729749883</v>
      </c>
      <c r="AI71">
        <f t="shared" si="27"/>
        <v>64.325866790175169</v>
      </c>
      <c r="AJ71">
        <f t="shared" si="28"/>
        <v>86.806133209824836</v>
      </c>
      <c r="AL71">
        <f t="shared" si="29"/>
        <v>93.389754145949979</v>
      </c>
      <c r="AM71">
        <f t="shared" si="30"/>
        <v>57.742245854050026</v>
      </c>
    </row>
    <row r="72" spans="1:39" ht="16.5" x14ac:dyDescent="0.25">
      <c r="A72" s="1">
        <v>45595</v>
      </c>
      <c r="B72" s="5">
        <v>73.44</v>
      </c>
      <c r="C72" s="4">
        <v>73.58</v>
      </c>
      <c r="D72" s="4">
        <v>74.180000000000007</v>
      </c>
      <c r="E72" s="4">
        <v>72.58</v>
      </c>
      <c r="F72" s="4" t="s">
        <v>152</v>
      </c>
      <c r="G72" s="2" t="s">
        <v>153</v>
      </c>
      <c r="I72">
        <f t="shared" si="17"/>
        <v>75.771000000000001</v>
      </c>
      <c r="J72">
        <f t="shared" si="18"/>
        <v>75.736999999999995</v>
      </c>
      <c r="L72">
        <f t="shared" si="19"/>
        <v>0</v>
      </c>
      <c r="M72">
        <f t="shared" si="20"/>
        <v>1</v>
      </c>
      <c r="O72">
        <f t="shared" si="21"/>
        <v>0</v>
      </c>
      <c r="P72">
        <f t="shared" si="22"/>
        <v>0.14000000000000057</v>
      </c>
      <c r="R72">
        <f t="shared" si="23"/>
        <v>0.46799999999999786</v>
      </c>
      <c r="S72">
        <f t="shared" si="24"/>
        <v>0.49333333333333468</v>
      </c>
      <c r="U72">
        <f t="shared" si="25"/>
        <v>48.682385575589279</v>
      </c>
      <c r="AH72">
        <f t="shared" si="26"/>
        <v>8.8668574836696585</v>
      </c>
      <c r="AI72">
        <f t="shared" si="27"/>
        <v>64.530866790175168</v>
      </c>
      <c r="AJ72">
        <f t="shared" si="28"/>
        <v>87.011133209824834</v>
      </c>
      <c r="AL72">
        <f t="shared" si="29"/>
        <v>93.504714967339311</v>
      </c>
      <c r="AM72">
        <f t="shared" si="30"/>
        <v>58.037285032660684</v>
      </c>
    </row>
    <row r="73" spans="1:39" ht="16.5" x14ac:dyDescent="0.25">
      <c r="A73" s="1">
        <v>45594</v>
      </c>
      <c r="B73" s="5">
        <v>74.3</v>
      </c>
      <c r="C73" s="4">
        <v>75.459999999999994</v>
      </c>
      <c r="D73" s="4">
        <v>76.08</v>
      </c>
      <c r="E73" s="4">
        <v>74.040000000000006</v>
      </c>
      <c r="F73" s="4" t="s">
        <v>154</v>
      </c>
      <c r="G73" s="2" t="s">
        <v>73</v>
      </c>
      <c r="I73">
        <f t="shared" si="17"/>
        <v>75.97999999999999</v>
      </c>
      <c r="J73">
        <f t="shared" si="18"/>
        <v>75.914500000000004</v>
      </c>
      <c r="L73">
        <f t="shared" si="19"/>
        <v>0</v>
      </c>
      <c r="M73">
        <f t="shared" si="20"/>
        <v>1</v>
      </c>
      <c r="O73">
        <f t="shared" si="21"/>
        <v>0</v>
      </c>
      <c r="P73">
        <f t="shared" si="22"/>
        <v>1.1599999999999966</v>
      </c>
      <c r="R73">
        <f t="shared" si="23"/>
        <v>0.46799999999999786</v>
      </c>
      <c r="S73">
        <f t="shared" si="24"/>
        <v>0.54222222222222327</v>
      </c>
      <c r="U73">
        <f t="shared" si="25"/>
        <v>46.326440827100583</v>
      </c>
      <c r="AH73">
        <f t="shared" si="26"/>
        <v>8.8222395576802697</v>
      </c>
      <c r="AI73">
        <f t="shared" si="27"/>
        <v>64.739866790175157</v>
      </c>
      <c r="AJ73">
        <f t="shared" si="28"/>
        <v>87.220133209824823</v>
      </c>
      <c r="AL73">
        <f t="shared" si="29"/>
        <v>93.624479115360529</v>
      </c>
      <c r="AM73">
        <f t="shared" si="30"/>
        <v>58.33552088463945</v>
      </c>
    </row>
    <row r="74" spans="1:39" ht="16.5" x14ac:dyDescent="0.25">
      <c r="A74" s="1">
        <v>45593</v>
      </c>
      <c r="B74" s="5">
        <v>75.52</v>
      </c>
      <c r="C74" s="4">
        <v>76.7</v>
      </c>
      <c r="D74" s="4">
        <v>77</v>
      </c>
      <c r="E74" s="4">
        <v>74.48</v>
      </c>
      <c r="F74" s="4" t="s">
        <v>155</v>
      </c>
      <c r="G74" s="2" t="s">
        <v>147</v>
      </c>
      <c r="I74">
        <f t="shared" si="17"/>
        <v>76.151999999999987</v>
      </c>
      <c r="J74">
        <f t="shared" si="18"/>
        <v>76.095999999999989</v>
      </c>
      <c r="L74">
        <f t="shared" si="19"/>
        <v>0</v>
      </c>
      <c r="M74">
        <f t="shared" si="20"/>
        <v>1</v>
      </c>
      <c r="O74">
        <f t="shared" si="21"/>
        <v>0</v>
      </c>
      <c r="P74">
        <f t="shared" si="22"/>
        <v>1.1800000000000068</v>
      </c>
      <c r="R74">
        <f t="shared" si="23"/>
        <v>0.4899999999999996</v>
      </c>
      <c r="S74">
        <f t="shared" si="24"/>
        <v>0.46500000000000163</v>
      </c>
      <c r="U74">
        <f t="shared" si="25"/>
        <v>51.308900523560105</v>
      </c>
      <c r="AH74">
        <f t="shared" si="26"/>
        <v>8.7780492998589654</v>
      </c>
      <c r="AI74">
        <f t="shared" si="27"/>
        <v>64.911866790175154</v>
      </c>
      <c r="AJ74">
        <f t="shared" si="28"/>
        <v>87.39213320982482</v>
      </c>
      <c r="AL74">
        <f t="shared" si="29"/>
        <v>93.708098599717914</v>
      </c>
      <c r="AM74">
        <f t="shared" si="30"/>
        <v>58.59590140028206</v>
      </c>
    </row>
    <row r="75" spans="1:39" ht="16.5" x14ac:dyDescent="0.25">
      <c r="A75" s="1">
        <v>45590</v>
      </c>
      <c r="B75" s="5">
        <v>76</v>
      </c>
      <c r="C75" s="4">
        <v>75.7</v>
      </c>
      <c r="D75" s="4">
        <v>76.739999999999995</v>
      </c>
      <c r="E75" s="4">
        <v>75.36</v>
      </c>
      <c r="F75" s="4" t="s">
        <v>156</v>
      </c>
      <c r="G75" s="2" t="s">
        <v>147</v>
      </c>
      <c r="I75">
        <f t="shared" si="17"/>
        <v>76.335000000000008</v>
      </c>
      <c r="J75">
        <f t="shared" si="18"/>
        <v>76.286500000000018</v>
      </c>
      <c r="L75">
        <f t="shared" si="19"/>
        <v>1</v>
      </c>
      <c r="M75">
        <f t="shared" si="20"/>
        <v>0</v>
      </c>
      <c r="O75">
        <f t="shared" si="21"/>
        <v>0.29999999999999716</v>
      </c>
      <c r="P75">
        <f t="shared" si="22"/>
        <v>0</v>
      </c>
      <c r="R75">
        <f t="shared" si="23"/>
        <v>0.45714285714285757</v>
      </c>
      <c r="S75">
        <f t="shared" si="24"/>
        <v>0.36285714285714377</v>
      </c>
      <c r="U75">
        <f t="shared" si="25"/>
        <v>55.749128919860581</v>
      </c>
      <c r="AH75">
        <f t="shared" si="26"/>
        <v>8.7341001685782018</v>
      </c>
      <c r="AI75">
        <f t="shared" si="27"/>
        <v>65.094866790175175</v>
      </c>
      <c r="AJ75">
        <f t="shared" si="28"/>
        <v>87.575133209824841</v>
      </c>
      <c r="AL75">
        <f t="shared" si="29"/>
        <v>93.803200337156412</v>
      </c>
      <c r="AM75">
        <f t="shared" si="30"/>
        <v>58.866799662843604</v>
      </c>
    </row>
    <row r="76" spans="1:39" ht="16.5" x14ac:dyDescent="0.25">
      <c r="A76" s="1">
        <v>45589</v>
      </c>
      <c r="B76" s="5">
        <v>76.48</v>
      </c>
      <c r="C76" s="4">
        <v>75.44</v>
      </c>
      <c r="D76" s="4">
        <v>78.540000000000006</v>
      </c>
      <c r="E76" s="4">
        <v>75.44</v>
      </c>
      <c r="F76" s="4" t="s">
        <v>157</v>
      </c>
      <c r="G76" s="2" t="s">
        <v>158</v>
      </c>
      <c r="I76">
        <f t="shared" si="17"/>
        <v>76.592000000000013</v>
      </c>
      <c r="J76">
        <f t="shared" si="18"/>
        <v>76.482000000000014</v>
      </c>
      <c r="L76">
        <f t="shared" si="19"/>
        <v>1</v>
      </c>
      <c r="M76">
        <f t="shared" si="20"/>
        <v>0</v>
      </c>
      <c r="O76">
        <f t="shared" si="21"/>
        <v>1.0400000000000063</v>
      </c>
      <c r="P76">
        <f t="shared" si="22"/>
        <v>0</v>
      </c>
      <c r="R76">
        <f t="shared" si="23"/>
        <v>0.48333333333333428</v>
      </c>
      <c r="S76">
        <f t="shared" si="24"/>
        <v>0.3725000000000005</v>
      </c>
      <c r="U76">
        <f t="shared" si="25"/>
        <v>56.475170399221049</v>
      </c>
      <c r="AH76">
        <f t="shared" si="26"/>
        <v>8.6904529391560708</v>
      </c>
      <c r="AI76">
        <f t="shared" si="27"/>
        <v>65.35186679017518</v>
      </c>
      <c r="AJ76">
        <f t="shared" si="28"/>
        <v>87.832133209824846</v>
      </c>
      <c r="AL76">
        <f t="shared" si="29"/>
        <v>93.972905878312162</v>
      </c>
      <c r="AM76">
        <f t="shared" si="30"/>
        <v>59.211094121687871</v>
      </c>
    </row>
    <row r="77" spans="1:39" ht="16.5" x14ac:dyDescent="0.25">
      <c r="A77" s="1">
        <v>45588</v>
      </c>
      <c r="B77" s="5">
        <v>75.56</v>
      </c>
      <c r="C77" s="4">
        <v>75.48</v>
      </c>
      <c r="D77" s="4">
        <v>76.92</v>
      </c>
      <c r="E77" s="4">
        <v>75.3</v>
      </c>
      <c r="F77" s="4" t="s">
        <v>159</v>
      </c>
      <c r="G77" s="2" t="s">
        <v>160</v>
      </c>
      <c r="I77">
        <f t="shared" si="17"/>
        <v>76.695000000000022</v>
      </c>
      <c r="J77">
        <f t="shared" si="18"/>
        <v>76.666500000000013</v>
      </c>
      <c r="L77">
        <f t="shared" si="19"/>
        <v>1</v>
      </c>
      <c r="M77">
        <f t="shared" si="20"/>
        <v>0</v>
      </c>
      <c r="O77">
        <f t="shared" si="21"/>
        <v>7.9999999999998295E-2</v>
      </c>
      <c r="P77">
        <f t="shared" si="22"/>
        <v>0</v>
      </c>
      <c r="R77">
        <f t="shared" si="23"/>
        <v>0.53333333333333377</v>
      </c>
      <c r="S77">
        <f t="shared" si="24"/>
        <v>0.3725000000000005</v>
      </c>
      <c r="U77">
        <f t="shared" si="25"/>
        <v>58.877644894204224</v>
      </c>
      <c r="AH77">
        <f t="shared" si="26"/>
        <v>8.6474958634391648</v>
      </c>
      <c r="AI77">
        <f t="shared" si="27"/>
        <v>65.454866790175188</v>
      </c>
      <c r="AJ77">
        <f t="shared" si="28"/>
        <v>87.935133209824855</v>
      </c>
      <c r="AL77">
        <f t="shared" si="29"/>
        <v>93.989991726878344</v>
      </c>
      <c r="AM77">
        <f t="shared" si="30"/>
        <v>59.400008273121692</v>
      </c>
    </row>
    <row r="78" spans="1:39" ht="16.5" x14ac:dyDescent="0.25">
      <c r="A78" s="1">
        <v>45587</v>
      </c>
      <c r="B78" s="5">
        <v>75.22</v>
      </c>
      <c r="C78" s="4">
        <v>74.64</v>
      </c>
      <c r="D78" s="4">
        <v>75.42</v>
      </c>
      <c r="E78" s="4">
        <v>74.56</v>
      </c>
      <c r="F78" s="4" t="s">
        <v>161</v>
      </c>
      <c r="G78" s="2" t="s">
        <v>160</v>
      </c>
      <c r="I78">
        <f t="shared" si="17"/>
        <v>76.700000000000017</v>
      </c>
      <c r="J78">
        <f t="shared" si="18"/>
        <v>76.866000000000014</v>
      </c>
      <c r="L78">
        <f t="shared" si="19"/>
        <v>1</v>
      </c>
      <c r="M78">
        <f t="shared" si="20"/>
        <v>0</v>
      </c>
      <c r="O78">
        <f t="shared" si="21"/>
        <v>0.57999999999999829</v>
      </c>
      <c r="P78">
        <f t="shared" si="22"/>
        <v>0</v>
      </c>
      <c r="R78">
        <f t="shared" si="23"/>
        <v>0.62400000000000089</v>
      </c>
      <c r="S78">
        <f t="shared" si="24"/>
        <v>0.43555555555555575</v>
      </c>
      <c r="U78">
        <f t="shared" si="25"/>
        <v>58.892617449664456</v>
      </c>
      <c r="AH78">
        <f t="shared" si="26"/>
        <v>8.6044376777466702</v>
      </c>
      <c r="AI78">
        <f t="shared" si="27"/>
        <v>65.459866790175184</v>
      </c>
      <c r="AJ78">
        <f t="shared" si="28"/>
        <v>87.94013320982485</v>
      </c>
      <c r="AL78">
        <f t="shared" si="29"/>
        <v>93.908875355493365</v>
      </c>
      <c r="AM78">
        <f t="shared" si="30"/>
        <v>59.491124644506677</v>
      </c>
    </row>
    <row r="79" spans="1:39" ht="16.5" x14ac:dyDescent="0.25">
      <c r="A79" s="1">
        <v>45586</v>
      </c>
      <c r="B79" s="5">
        <v>74.88</v>
      </c>
      <c r="C79" s="4">
        <v>74.92</v>
      </c>
      <c r="D79" s="4">
        <v>75.72</v>
      </c>
      <c r="E79" s="4">
        <v>74.459999999999994</v>
      </c>
      <c r="F79" s="4" t="s">
        <v>162</v>
      </c>
      <c r="G79" s="2" t="s">
        <v>163</v>
      </c>
      <c r="I79">
        <f t="shared" si="17"/>
        <v>76.844999999999999</v>
      </c>
      <c r="J79">
        <f t="shared" si="18"/>
        <v>77.105000000000018</v>
      </c>
      <c r="L79">
        <f t="shared" si="19"/>
        <v>0</v>
      </c>
      <c r="M79">
        <f t="shared" si="20"/>
        <v>1</v>
      </c>
      <c r="O79">
        <f t="shared" si="21"/>
        <v>0</v>
      </c>
      <c r="P79">
        <f t="shared" si="22"/>
        <v>4.0000000000006253E-2</v>
      </c>
      <c r="R79">
        <f t="shared" si="23"/>
        <v>0.63500000000000156</v>
      </c>
      <c r="S79">
        <f t="shared" si="24"/>
        <v>0.39399999999999979</v>
      </c>
      <c r="U79">
        <f t="shared" si="25"/>
        <v>61.710398445092387</v>
      </c>
      <c r="AH79">
        <f t="shared" si="26"/>
        <v>8.5607636245361505</v>
      </c>
      <c r="AI79">
        <f t="shared" si="27"/>
        <v>65.604866790175166</v>
      </c>
      <c r="AJ79">
        <f t="shared" si="28"/>
        <v>88.085133209824832</v>
      </c>
      <c r="AL79">
        <f t="shared" si="29"/>
        <v>93.9665272490723</v>
      </c>
      <c r="AM79">
        <f t="shared" si="30"/>
        <v>59.723472750927698</v>
      </c>
    </row>
    <row r="80" spans="1:39" ht="16.5" x14ac:dyDescent="0.25">
      <c r="A80" s="1">
        <v>45583</v>
      </c>
      <c r="B80" s="5">
        <v>75.099999999999994</v>
      </c>
      <c r="C80" s="4">
        <v>74.760000000000005</v>
      </c>
      <c r="D80" s="4">
        <v>76.56</v>
      </c>
      <c r="E80" s="4">
        <v>74.739999999999995</v>
      </c>
      <c r="F80" s="4" t="s">
        <v>164</v>
      </c>
      <c r="G80" s="2" t="s">
        <v>160</v>
      </c>
      <c r="I80">
        <f t="shared" si="17"/>
        <v>76.873000000000005</v>
      </c>
      <c r="J80">
        <f t="shared" si="18"/>
        <v>77.353000000000009</v>
      </c>
      <c r="L80">
        <f t="shared" si="19"/>
        <v>1</v>
      </c>
      <c r="M80">
        <f t="shared" si="20"/>
        <v>0</v>
      </c>
      <c r="O80">
        <f t="shared" si="21"/>
        <v>0.3399999999999892</v>
      </c>
      <c r="P80">
        <f t="shared" si="22"/>
        <v>0</v>
      </c>
      <c r="R80">
        <f t="shared" si="23"/>
        <v>0.63500000000000156</v>
      </c>
      <c r="S80">
        <f t="shared" si="24"/>
        <v>0.53400000000000036</v>
      </c>
      <c r="U80">
        <f t="shared" si="25"/>
        <v>54.319931565440591</v>
      </c>
      <c r="AH80">
        <f t="shared" si="26"/>
        <v>8.5171995303004255</v>
      </c>
      <c r="AI80">
        <f t="shared" si="27"/>
        <v>65.632866790175171</v>
      </c>
      <c r="AJ80">
        <f t="shared" si="28"/>
        <v>88.113133209824838</v>
      </c>
      <c r="AL80">
        <f t="shared" si="29"/>
        <v>93.907399060600852</v>
      </c>
      <c r="AM80">
        <f t="shared" si="30"/>
        <v>59.838600939399157</v>
      </c>
    </row>
    <row r="81" spans="1:39" ht="16.5" x14ac:dyDescent="0.25">
      <c r="A81" s="1">
        <v>45582</v>
      </c>
      <c r="B81" s="5">
        <v>74.760000000000005</v>
      </c>
      <c r="C81" s="4">
        <v>74.88</v>
      </c>
      <c r="D81" s="4">
        <v>75.3</v>
      </c>
      <c r="E81" s="4">
        <v>74.12</v>
      </c>
      <c r="F81" s="4" t="s">
        <v>165</v>
      </c>
      <c r="G81" s="2" t="s">
        <v>166</v>
      </c>
      <c r="I81">
        <f t="shared" si="17"/>
        <v>76.800000000000011</v>
      </c>
      <c r="J81">
        <f t="shared" si="18"/>
        <v>77.587000000000018</v>
      </c>
      <c r="L81">
        <f t="shared" si="19"/>
        <v>0</v>
      </c>
      <c r="M81">
        <f t="shared" si="20"/>
        <v>1</v>
      </c>
      <c r="O81">
        <f t="shared" si="21"/>
        <v>0</v>
      </c>
      <c r="P81">
        <f t="shared" si="22"/>
        <v>0.11999999999999034</v>
      </c>
      <c r="R81">
        <f t="shared" si="23"/>
        <v>0.73333333333333905</v>
      </c>
      <c r="S81">
        <f t="shared" si="24"/>
        <v>0.60545454545454513</v>
      </c>
      <c r="U81">
        <f t="shared" si="25"/>
        <v>54.775916704391335</v>
      </c>
      <c r="AH81">
        <f t="shared" si="26"/>
        <v>8.4731283344057235</v>
      </c>
      <c r="AI81">
        <f t="shared" si="27"/>
        <v>65.559866790175178</v>
      </c>
      <c r="AJ81">
        <f t="shared" si="28"/>
        <v>88.040133209824845</v>
      </c>
      <c r="AL81">
        <f t="shared" si="29"/>
        <v>93.746256668811455</v>
      </c>
      <c r="AM81">
        <f t="shared" si="30"/>
        <v>59.853743331188568</v>
      </c>
    </row>
    <row r="82" spans="1:39" ht="16.5" x14ac:dyDescent="0.25">
      <c r="A82" s="1">
        <v>45581</v>
      </c>
      <c r="B82" s="5">
        <v>74.739999999999995</v>
      </c>
      <c r="C82" s="4">
        <v>74.760000000000005</v>
      </c>
      <c r="D82" s="4">
        <v>75.34</v>
      </c>
      <c r="E82" s="4">
        <v>74.02</v>
      </c>
      <c r="F82" s="4" t="s">
        <v>167</v>
      </c>
      <c r="G82" s="2" t="s">
        <v>168</v>
      </c>
      <c r="I82">
        <f t="shared" si="17"/>
        <v>76.869000000000028</v>
      </c>
      <c r="J82">
        <f t="shared" si="18"/>
        <v>77.798500000000018</v>
      </c>
      <c r="L82">
        <f t="shared" si="19"/>
        <v>0</v>
      </c>
      <c r="M82">
        <f t="shared" si="20"/>
        <v>1</v>
      </c>
      <c r="O82">
        <f t="shared" si="21"/>
        <v>0</v>
      </c>
      <c r="P82">
        <f t="shared" si="22"/>
        <v>2.0000000000010232E-2</v>
      </c>
      <c r="R82">
        <f t="shared" si="23"/>
        <v>1.1700000000000053</v>
      </c>
      <c r="S82">
        <f t="shared" si="24"/>
        <v>0.65400000000000058</v>
      </c>
      <c r="U82">
        <f t="shared" si="25"/>
        <v>64.144736842105345</v>
      </c>
      <c r="AH82">
        <f t="shared" si="26"/>
        <v>8.4279976142577286</v>
      </c>
      <c r="AI82">
        <f t="shared" si="27"/>
        <v>65.628866790175195</v>
      </c>
      <c r="AJ82">
        <f t="shared" si="28"/>
        <v>88.109133209824861</v>
      </c>
      <c r="AL82">
        <f t="shared" si="29"/>
        <v>93.724995228515482</v>
      </c>
      <c r="AM82">
        <f t="shared" si="30"/>
        <v>60.013004771484574</v>
      </c>
    </row>
    <row r="83" spans="1:39" ht="16.5" x14ac:dyDescent="0.25">
      <c r="A83" s="1">
        <v>45580</v>
      </c>
      <c r="B83" s="5">
        <v>75.28</v>
      </c>
      <c r="C83" s="4">
        <v>76.34</v>
      </c>
      <c r="D83" s="4">
        <v>76.400000000000006</v>
      </c>
      <c r="E83" s="4">
        <v>74.56</v>
      </c>
      <c r="F83" s="4" t="s">
        <v>169</v>
      </c>
      <c r="G83" s="2" t="s">
        <v>170</v>
      </c>
      <c r="I83">
        <f t="shared" si="17"/>
        <v>76.858000000000018</v>
      </c>
      <c r="J83">
        <f t="shared" si="18"/>
        <v>78.01900000000002</v>
      </c>
      <c r="L83">
        <f t="shared" si="19"/>
        <v>0</v>
      </c>
      <c r="M83">
        <f t="shared" si="20"/>
        <v>1</v>
      </c>
      <c r="O83">
        <f t="shared" si="21"/>
        <v>0</v>
      </c>
      <c r="P83">
        <f t="shared" si="22"/>
        <v>1.0600000000000023</v>
      </c>
      <c r="R83">
        <f t="shared" si="23"/>
        <v>1.2080000000000042</v>
      </c>
      <c r="S83">
        <f t="shared" si="24"/>
        <v>0.724444444444444</v>
      </c>
      <c r="U83">
        <f t="shared" si="25"/>
        <v>62.511499540018498</v>
      </c>
      <c r="AH83">
        <f t="shared" si="26"/>
        <v>8.3825503074308312</v>
      </c>
      <c r="AI83">
        <f t="shared" si="27"/>
        <v>65.617866790175185</v>
      </c>
      <c r="AJ83">
        <f t="shared" si="28"/>
        <v>88.098133209824852</v>
      </c>
      <c r="AL83">
        <f t="shared" si="29"/>
        <v>93.623100614861684</v>
      </c>
      <c r="AM83">
        <f t="shared" si="30"/>
        <v>60.092899385138352</v>
      </c>
    </row>
    <row r="84" spans="1:39" ht="16.5" x14ac:dyDescent="0.25">
      <c r="A84" s="1">
        <v>45579</v>
      </c>
      <c r="B84" s="5">
        <v>76.239999999999995</v>
      </c>
      <c r="C84" s="4">
        <v>76.38</v>
      </c>
      <c r="D84" s="4">
        <v>76.599999999999994</v>
      </c>
      <c r="E84" s="4">
        <v>75.5</v>
      </c>
      <c r="F84" s="4" t="s">
        <v>171</v>
      </c>
      <c r="G84" s="2" t="s">
        <v>104</v>
      </c>
      <c r="I84">
        <f t="shared" si="17"/>
        <v>76.740000000000009</v>
      </c>
      <c r="J84">
        <f t="shared" si="18"/>
        <v>78.203500000000005</v>
      </c>
      <c r="L84">
        <f t="shared" si="19"/>
        <v>0</v>
      </c>
      <c r="M84">
        <f t="shared" si="20"/>
        <v>1</v>
      </c>
      <c r="O84">
        <f t="shared" si="21"/>
        <v>0</v>
      </c>
      <c r="P84">
        <f t="shared" si="22"/>
        <v>0.14000000000000057</v>
      </c>
      <c r="R84">
        <f t="shared" si="23"/>
        <v>1.2080000000000042</v>
      </c>
      <c r="S84">
        <f t="shared" si="24"/>
        <v>0.86666666666666636</v>
      </c>
      <c r="U84">
        <f t="shared" si="25"/>
        <v>58.226221079691605</v>
      </c>
      <c r="AH84">
        <f t="shared" si="26"/>
        <v>8.3363436252898211</v>
      </c>
      <c r="AI84">
        <f t="shared" si="27"/>
        <v>65.499866790175176</v>
      </c>
      <c r="AJ84">
        <f t="shared" si="28"/>
        <v>87.980133209824842</v>
      </c>
      <c r="AL84">
        <f t="shared" si="29"/>
        <v>93.412687250579651</v>
      </c>
      <c r="AM84">
        <f t="shared" si="30"/>
        <v>60.067312749420367</v>
      </c>
    </row>
    <row r="85" spans="1:39" ht="16.5" x14ac:dyDescent="0.25">
      <c r="A85" s="1">
        <v>45576</v>
      </c>
      <c r="B85" s="5">
        <v>75.78</v>
      </c>
      <c r="C85" s="4">
        <v>76.36</v>
      </c>
      <c r="D85" s="4">
        <v>76.64</v>
      </c>
      <c r="E85" s="4">
        <v>75.540000000000006</v>
      </c>
      <c r="F85" s="4" t="s">
        <v>56</v>
      </c>
      <c r="G85" s="2" t="s">
        <v>172</v>
      </c>
      <c r="I85">
        <f t="shared" si="17"/>
        <v>76.554000000000016</v>
      </c>
      <c r="J85">
        <f t="shared" si="18"/>
        <v>78.365500000000011</v>
      </c>
      <c r="L85">
        <f t="shared" si="19"/>
        <v>0</v>
      </c>
      <c r="M85">
        <f t="shared" si="20"/>
        <v>1</v>
      </c>
      <c r="O85">
        <f t="shared" si="21"/>
        <v>0</v>
      </c>
      <c r="P85">
        <f t="shared" si="22"/>
        <v>0.57999999999999829</v>
      </c>
      <c r="R85">
        <f t="shared" si="23"/>
        <v>1.0766666666666704</v>
      </c>
      <c r="S85">
        <f t="shared" si="24"/>
        <v>0.95749999999999957</v>
      </c>
      <c r="U85">
        <f t="shared" si="25"/>
        <v>52.929127406800589</v>
      </c>
      <c r="AH85">
        <f t="shared" si="26"/>
        <v>8.2887662145143892</v>
      </c>
      <c r="AI85">
        <f t="shared" si="27"/>
        <v>65.313866790175183</v>
      </c>
      <c r="AJ85">
        <f t="shared" si="28"/>
        <v>87.794133209824849</v>
      </c>
      <c r="AL85">
        <f t="shared" si="29"/>
        <v>93.131532429028795</v>
      </c>
      <c r="AM85">
        <f t="shared" si="30"/>
        <v>59.976467570971238</v>
      </c>
    </row>
    <row r="86" spans="1:39" ht="16.5" x14ac:dyDescent="0.25">
      <c r="A86" s="1">
        <v>45575</v>
      </c>
      <c r="B86" s="5">
        <v>76.64</v>
      </c>
      <c r="C86" s="4">
        <v>77.22</v>
      </c>
      <c r="D86" s="4">
        <v>77.98</v>
      </c>
      <c r="E86" s="4">
        <v>76.64</v>
      </c>
      <c r="F86" s="4" t="s">
        <v>173</v>
      </c>
      <c r="G86" s="2" t="s">
        <v>174</v>
      </c>
      <c r="I86">
        <f t="shared" si="17"/>
        <v>76.431000000000012</v>
      </c>
      <c r="J86">
        <f t="shared" si="18"/>
        <v>78.514499999999998</v>
      </c>
      <c r="L86">
        <f t="shared" si="19"/>
        <v>0</v>
      </c>
      <c r="M86">
        <f t="shared" si="20"/>
        <v>1</v>
      </c>
      <c r="O86">
        <f t="shared" si="21"/>
        <v>0</v>
      </c>
      <c r="P86">
        <f t="shared" si="22"/>
        <v>0.57999999999999829</v>
      </c>
      <c r="R86">
        <f t="shared" si="23"/>
        <v>1.1542857142857181</v>
      </c>
      <c r="S86">
        <f t="shared" si="24"/>
        <v>1.0114285714285711</v>
      </c>
      <c r="U86">
        <f t="shared" si="25"/>
        <v>53.298153034300888</v>
      </c>
      <c r="AH86">
        <f t="shared" si="26"/>
        <v>8.2393921767530411</v>
      </c>
      <c r="AI86">
        <f t="shared" si="27"/>
        <v>65.190866790175178</v>
      </c>
      <c r="AJ86">
        <f t="shared" si="28"/>
        <v>87.671133209824845</v>
      </c>
      <c r="AL86">
        <f t="shared" si="29"/>
        <v>92.909784353506097</v>
      </c>
      <c r="AM86">
        <f t="shared" si="30"/>
        <v>59.952215646493926</v>
      </c>
    </row>
    <row r="87" spans="1:39" ht="16.5" x14ac:dyDescent="0.25">
      <c r="A87" s="1">
        <v>45574</v>
      </c>
      <c r="B87" s="5">
        <v>77.2</v>
      </c>
      <c r="C87" s="4">
        <v>76.599999999999994</v>
      </c>
      <c r="D87" s="4">
        <v>77.44</v>
      </c>
      <c r="E87" s="4">
        <v>75.98</v>
      </c>
      <c r="F87" s="4" t="s">
        <v>175</v>
      </c>
      <c r="G87" s="2" t="s">
        <v>176</v>
      </c>
      <c r="I87">
        <f t="shared" si="17"/>
        <v>76.167000000000002</v>
      </c>
      <c r="J87">
        <f t="shared" si="18"/>
        <v>78.635499999999993</v>
      </c>
      <c r="L87">
        <f t="shared" si="19"/>
        <v>1</v>
      </c>
      <c r="M87">
        <f t="shared" si="20"/>
        <v>0</v>
      </c>
      <c r="O87">
        <f t="shared" si="21"/>
        <v>0.60000000000000853</v>
      </c>
      <c r="P87">
        <f t="shared" si="22"/>
        <v>0</v>
      </c>
      <c r="R87">
        <f t="shared" si="23"/>
        <v>1.0525000000000038</v>
      </c>
      <c r="S87">
        <f t="shared" si="24"/>
        <v>1.0833333333333333</v>
      </c>
      <c r="U87">
        <f t="shared" si="25"/>
        <v>49.278189621537351</v>
      </c>
      <c r="AH87">
        <f t="shared" si="26"/>
        <v>8.1885238154346975</v>
      </c>
      <c r="AI87">
        <f t="shared" si="27"/>
        <v>64.926866790175168</v>
      </c>
      <c r="AJ87">
        <f t="shared" si="28"/>
        <v>87.407133209824835</v>
      </c>
      <c r="AL87">
        <f t="shared" si="29"/>
        <v>92.5440476308694</v>
      </c>
      <c r="AM87">
        <f t="shared" si="30"/>
        <v>59.789952369130603</v>
      </c>
    </row>
    <row r="88" spans="1:39" ht="16.5" x14ac:dyDescent="0.25">
      <c r="A88" s="1">
        <v>45573</v>
      </c>
      <c r="B88" s="5">
        <v>76.260000000000005</v>
      </c>
      <c r="C88" s="4">
        <v>76</v>
      </c>
      <c r="D88" s="4">
        <v>76.78</v>
      </c>
      <c r="E88" s="4">
        <v>75.040000000000006</v>
      </c>
      <c r="F88" s="4" t="s">
        <v>177</v>
      </c>
      <c r="G88" s="2" t="s">
        <v>178</v>
      </c>
      <c r="I88">
        <f t="shared" si="17"/>
        <v>75.86099999999999</v>
      </c>
      <c r="J88">
        <f t="shared" si="18"/>
        <v>78.706499999999991</v>
      </c>
      <c r="L88">
        <f t="shared" si="19"/>
        <v>1</v>
      </c>
      <c r="M88">
        <f t="shared" si="20"/>
        <v>0</v>
      </c>
      <c r="O88">
        <f t="shared" si="21"/>
        <v>0.26000000000000512</v>
      </c>
      <c r="P88">
        <f t="shared" si="22"/>
        <v>0</v>
      </c>
      <c r="R88">
        <f t="shared" si="23"/>
        <v>1.1171428571428603</v>
      </c>
      <c r="S88">
        <f t="shared" si="24"/>
        <v>0.95142857142857096</v>
      </c>
      <c r="U88">
        <f t="shared" si="25"/>
        <v>54.005524861878534</v>
      </c>
      <c r="AH88">
        <f t="shared" si="26"/>
        <v>8.1352852636932234</v>
      </c>
      <c r="AI88">
        <f t="shared" si="27"/>
        <v>64.620866790175157</v>
      </c>
      <c r="AJ88">
        <f t="shared" si="28"/>
        <v>87.101133209824823</v>
      </c>
      <c r="AL88">
        <f t="shared" si="29"/>
        <v>92.13157052738643</v>
      </c>
      <c r="AM88">
        <f t="shared" si="30"/>
        <v>59.590429472613543</v>
      </c>
    </row>
    <row r="89" spans="1:39" ht="16.5" x14ac:dyDescent="0.25">
      <c r="A89" s="1">
        <v>45572</v>
      </c>
      <c r="B89" s="5">
        <v>77.84</v>
      </c>
      <c r="C89" s="4">
        <v>78.28</v>
      </c>
      <c r="D89" s="4">
        <v>78.34</v>
      </c>
      <c r="E89" s="4">
        <v>77.08</v>
      </c>
      <c r="F89" s="4" t="s">
        <v>179</v>
      </c>
      <c r="G89" s="2" t="s">
        <v>180</v>
      </c>
      <c r="I89">
        <f t="shared" si="17"/>
        <v>75.496999999999986</v>
      </c>
      <c r="J89">
        <f t="shared" si="18"/>
        <v>78.782999999999987</v>
      </c>
      <c r="L89">
        <f t="shared" si="19"/>
        <v>0</v>
      </c>
      <c r="M89">
        <f t="shared" si="20"/>
        <v>1</v>
      </c>
      <c r="O89">
        <f t="shared" si="21"/>
        <v>0</v>
      </c>
      <c r="P89">
        <f t="shared" si="22"/>
        <v>0.43999999999999773</v>
      </c>
      <c r="R89">
        <f t="shared" si="23"/>
        <v>1.2628571428571453</v>
      </c>
      <c r="S89">
        <f t="shared" si="24"/>
        <v>0.95142857142857096</v>
      </c>
      <c r="U89">
        <f t="shared" si="25"/>
        <v>57.032258064516185</v>
      </c>
      <c r="AH89">
        <f t="shared" si="26"/>
        <v>8.0793297924864635</v>
      </c>
      <c r="AI89">
        <f t="shared" si="27"/>
        <v>64.256866790175152</v>
      </c>
      <c r="AJ89">
        <f t="shared" si="28"/>
        <v>86.737133209824819</v>
      </c>
      <c r="AL89">
        <f t="shared" si="29"/>
        <v>91.655659584972909</v>
      </c>
      <c r="AM89">
        <f t="shared" si="30"/>
        <v>59.338340415027062</v>
      </c>
    </row>
    <row r="90" spans="1:39" ht="16.5" x14ac:dyDescent="0.25">
      <c r="A90" s="1">
        <v>45569</v>
      </c>
      <c r="B90" s="5">
        <v>77.760000000000005</v>
      </c>
      <c r="C90" s="4">
        <v>76.42</v>
      </c>
      <c r="D90" s="4">
        <v>78.44</v>
      </c>
      <c r="E90" s="4">
        <v>76.34</v>
      </c>
      <c r="F90" s="4" t="s">
        <v>181</v>
      </c>
      <c r="G90" s="2" t="s">
        <v>182</v>
      </c>
      <c r="I90">
        <f t="shared" si="17"/>
        <v>75.486999999999995</v>
      </c>
      <c r="J90">
        <f t="shared" si="18"/>
        <v>78.811499999999995</v>
      </c>
      <c r="L90">
        <f t="shared" si="19"/>
        <v>1</v>
      </c>
      <c r="M90">
        <f t="shared" si="20"/>
        <v>0</v>
      </c>
      <c r="O90">
        <f t="shared" si="21"/>
        <v>1.3400000000000034</v>
      </c>
      <c r="P90">
        <f t="shared" si="22"/>
        <v>0</v>
      </c>
      <c r="R90">
        <f t="shared" si="23"/>
        <v>1.1475000000000026</v>
      </c>
      <c r="S90">
        <f t="shared" si="24"/>
        <v>1.0366666666666664</v>
      </c>
      <c r="U90">
        <f t="shared" si="25"/>
        <v>52.537199542159549</v>
      </c>
      <c r="AH90">
        <f t="shared" si="26"/>
        <v>8.0201826563875347</v>
      </c>
      <c r="AI90">
        <f t="shared" si="27"/>
        <v>64.246866790175162</v>
      </c>
      <c r="AJ90">
        <f t="shared" si="28"/>
        <v>86.727133209824828</v>
      </c>
      <c r="AL90">
        <f t="shared" si="29"/>
        <v>91.527365312775061</v>
      </c>
      <c r="AM90">
        <f t="shared" si="30"/>
        <v>59.446634687224929</v>
      </c>
    </row>
    <row r="91" spans="1:39" ht="16.5" x14ac:dyDescent="0.25">
      <c r="A91" s="1">
        <v>45568</v>
      </c>
      <c r="B91" s="5">
        <v>76.42</v>
      </c>
      <c r="C91" s="4">
        <v>77.36</v>
      </c>
      <c r="D91" s="4">
        <v>77.56</v>
      </c>
      <c r="E91" s="4">
        <v>75.84</v>
      </c>
      <c r="F91" s="4" t="s">
        <v>183</v>
      </c>
      <c r="G91" s="2" t="s">
        <v>184</v>
      </c>
      <c r="I91">
        <f t="shared" si="17"/>
        <v>75.509</v>
      </c>
      <c r="J91">
        <f t="shared" si="18"/>
        <v>78.859999999999985</v>
      </c>
      <c r="L91">
        <f t="shared" si="19"/>
        <v>0</v>
      </c>
      <c r="M91">
        <f t="shared" si="20"/>
        <v>1</v>
      </c>
      <c r="O91">
        <f t="shared" si="21"/>
        <v>0</v>
      </c>
      <c r="P91">
        <f t="shared" si="22"/>
        <v>0.93999999999999773</v>
      </c>
      <c r="R91">
        <f t="shared" si="23"/>
        <v>1.1200000000000025</v>
      </c>
      <c r="S91">
        <f t="shared" si="24"/>
        <v>0.97142857142857097</v>
      </c>
      <c r="U91">
        <f t="shared" si="25"/>
        <v>53.551912568306079</v>
      </c>
      <c r="AH91">
        <f t="shared" si="26"/>
        <v>7.9599484512563459</v>
      </c>
      <c r="AI91">
        <f t="shared" si="27"/>
        <v>64.268866790175167</v>
      </c>
      <c r="AJ91">
        <f t="shared" si="28"/>
        <v>86.749133209824834</v>
      </c>
      <c r="AL91">
        <f t="shared" si="29"/>
        <v>91.42889690251269</v>
      </c>
      <c r="AM91">
        <f t="shared" si="30"/>
        <v>59.58910309748731</v>
      </c>
    </row>
    <row r="92" spans="1:39" ht="16.5" x14ac:dyDescent="0.25">
      <c r="A92" s="1">
        <v>45567</v>
      </c>
      <c r="B92" s="5">
        <v>77.62</v>
      </c>
      <c r="C92" s="4">
        <v>77.64</v>
      </c>
      <c r="D92" s="4">
        <v>78.7</v>
      </c>
      <c r="E92" s="4">
        <v>77.34</v>
      </c>
      <c r="F92" s="4" t="s">
        <v>185</v>
      </c>
      <c r="G92" s="2" t="s">
        <v>186</v>
      </c>
      <c r="I92">
        <f t="shared" si="17"/>
        <v>75.703000000000003</v>
      </c>
      <c r="J92">
        <f t="shared" si="18"/>
        <v>78.944999999999979</v>
      </c>
      <c r="L92">
        <f t="shared" si="19"/>
        <v>0</v>
      </c>
      <c r="M92">
        <f t="shared" si="20"/>
        <v>1</v>
      </c>
      <c r="O92">
        <f t="shared" si="21"/>
        <v>0</v>
      </c>
      <c r="P92">
        <f t="shared" si="22"/>
        <v>1.9999999999996021E-2</v>
      </c>
      <c r="R92">
        <f t="shared" si="23"/>
        <v>1.2000000000000011</v>
      </c>
      <c r="S92">
        <f t="shared" si="24"/>
        <v>0.97666666666666657</v>
      </c>
      <c r="U92">
        <f t="shared" si="25"/>
        <v>55.130168453292526</v>
      </c>
      <c r="AH92">
        <f t="shared" si="26"/>
        <v>7.8987994479343442</v>
      </c>
      <c r="AI92">
        <f t="shared" si="27"/>
        <v>64.46286679017517</v>
      </c>
      <c r="AJ92">
        <f t="shared" si="28"/>
        <v>86.943133209824836</v>
      </c>
      <c r="AL92">
        <f t="shared" si="29"/>
        <v>91.500598895868691</v>
      </c>
      <c r="AM92">
        <f t="shared" si="30"/>
        <v>59.905401104131315</v>
      </c>
    </row>
    <row r="93" spans="1:39" ht="16.5" x14ac:dyDescent="0.25">
      <c r="A93" s="1">
        <v>45566</v>
      </c>
      <c r="B93" s="5">
        <v>77.739999999999995</v>
      </c>
      <c r="C93" s="4">
        <v>79.180000000000007</v>
      </c>
      <c r="D93" s="4">
        <v>79.680000000000007</v>
      </c>
      <c r="E93" s="4">
        <v>77.56</v>
      </c>
      <c r="F93" s="4" t="s">
        <v>187</v>
      </c>
      <c r="G93" s="2" t="s">
        <v>188</v>
      </c>
      <c r="I93">
        <f t="shared" si="17"/>
        <v>75.84899999999999</v>
      </c>
      <c r="J93">
        <f t="shared" si="18"/>
        <v>79.01449999999997</v>
      </c>
      <c r="L93">
        <f t="shared" si="19"/>
        <v>0</v>
      </c>
      <c r="M93">
        <f t="shared" si="20"/>
        <v>1</v>
      </c>
      <c r="O93">
        <f t="shared" si="21"/>
        <v>0</v>
      </c>
      <c r="P93">
        <f t="shared" si="22"/>
        <v>1.4400000000000119</v>
      </c>
      <c r="R93">
        <f t="shared" si="23"/>
        <v>1.2000000000000011</v>
      </c>
      <c r="S93">
        <f t="shared" si="24"/>
        <v>1.0599999999999998</v>
      </c>
      <c r="U93">
        <f t="shared" si="25"/>
        <v>53.097345132743385</v>
      </c>
      <c r="AH93">
        <f t="shared" si="26"/>
        <v>7.8378147575352646</v>
      </c>
      <c r="AI93">
        <f t="shared" si="27"/>
        <v>64.608866790175156</v>
      </c>
      <c r="AJ93">
        <f t="shared" si="28"/>
        <v>87.089133209824823</v>
      </c>
      <c r="AL93">
        <f t="shared" si="29"/>
        <v>91.524629515070515</v>
      </c>
      <c r="AM93">
        <f t="shared" si="30"/>
        <v>60.173370484929464</v>
      </c>
    </row>
    <row r="94" spans="1:39" ht="16.5" x14ac:dyDescent="0.25">
      <c r="A94" s="1">
        <v>45565</v>
      </c>
      <c r="B94" s="5">
        <v>79.180000000000007</v>
      </c>
      <c r="C94" s="4">
        <v>80.5</v>
      </c>
      <c r="D94" s="4">
        <v>80.64</v>
      </c>
      <c r="E94" s="4">
        <v>78.86</v>
      </c>
      <c r="F94" s="4" t="s">
        <v>189</v>
      </c>
      <c r="G94" s="2" t="s">
        <v>190</v>
      </c>
      <c r="I94">
        <f t="shared" si="17"/>
        <v>76.039999999999992</v>
      </c>
      <c r="J94">
        <f t="shared" si="18"/>
        <v>79.059499999999986</v>
      </c>
      <c r="L94">
        <f t="shared" si="19"/>
        <v>0</v>
      </c>
      <c r="M94">
        <f t="shared" si="20"/>
        <v>1</v>
      </c>
      <c r="O94">
        <f t="shared" si="21"/>
        <v>0</v>
      </c>
      <c r="P94">
        <f t="shared" si="22"/>
        <v>1.3199999999999932</v>
      </c>
      <c r="R94">
        <f t="shared" si="23"/>
        <v>1.3111111111111124</v>
      </c>
      <c r="S94">
        <f t="shared" si="24"/>
        <v>0.98399999999999754</v>
      </c>
      <c r="U94">
        <f t="shared" si="25"/>
        <v>57.126258714175144</v>
      </c>
      <c r="AH94">
        <f t="shared" si="26"/>
        <v>7.7766893811707369</v>
      </c>
      <c r="AI94">
        <f t="shared" si="27"/>
        <v>64.799866790175159</v>
      </c>
      <c r="AJ94">
        <f t="shared" si="28"/>
        <v>87.280133209824825</v>
      </c>
      <c r="AL94">
        <f t="shared" si="29"/>
        <v>91.593378762341473</v>
      </c>
      <c r="AM94">
        <f t="shared" si="30"/>
        <v>60.486621237658518</v>
      </c>
    </row>
    <row r="95" spans="1:39" ht="16.5" x14ac:dyDescent="0.25">
      <c r="A95" s="1">
        <v>45562</v>
      </c>
      <c r="B95" s="5">
        <v>81.14</v>
      </c>
      <c r="C95" s="4">
        <v>78.66</v>
      </c>
      <c r="D95" s="4">
        <v>81.28</v>
      </c>
      <c r="E95" s="4">
        <v>78.66</v>
      </c>
      <c r="F95" s="4" t="s">
        <v>191</v>
      </c>
      <c r="G95" s="2" t="s">
        <v>192</v>
      </c>
      <c r="I95">
        <f t="shared" si="17"/>
        <v>76.238000000000014</v>
      </c>
      <c r="J95">
        <f t="shared" si="18"/>
        <v>79.075499999999991</v>
      </c>
      <c r="L95">
        <f t="shared" si="19"/>
        <v>1</v>
      </c>
      <c r="M95">
        <f t="shared" si="20"/>
        <v>0</v>
      </c>
      <c r="O95">
        <f t="shared" si="21"/>
        <v>2.480000000000004</v>
      </c>
      <c r="P95">
        <f t="shared" si="22"/>
        <v>0</v>
      </c>
      <c r="R95">
        <f t="shared" si="23"/>
        <v>1.3111111111111124</v>
      </c>
      <c r="S95">
        <f t="shared" si="24"/>
        <v>2.3679999999999977</v>
      </c>
      <c r="U95">
        <f t="shared" si="25"/>
        <v>35.636627204638842</v>
      </c>
      <c r="AH95">
        <f t="shared" si="26"/>
        <v>7.7157112440267399</v>
      </c>
      <c r="AI95">
        <f t="shared" si="27"/>
        <v>64.997866790175181</v>
      </c>
      <c r="AJ95">
        <f t="shared" si="28"/>
        <v>87.478133209824847</v>
      </c>
      <c r="AL95">
        <f t="shared" si="29"/>
        <v>91.669422488053499</v>
      </c>
      <c r="AM95">
        <f t="shared" si="30"/>
        <v>60.806577511946536</v>
      </c>
    </row>
    <row r="96" spans="1:39" ht="16.5" x14ac:dyDescent="0.25">
      <c r="A96" s="1">
        <v>45561</v>
      </c>
      <c r="B96" s="5">
        <v>78.540000000000006</v>
      </c>
      <c r="C96" s="4">
        <v>77.180000000000007</v>
      </c>
      <c r="D96" s="4">
        <v>79.08</v>
      </c>
      <c r="E96" s="4">
        <v>77.02</v>
      </c>
      <c r="F96" s="4" t="s">
        <v>193</v>
      </c>
      <c r="G96" s="2" t="s">
        <v>194</v>
      </c>
      <c r="I96">
        <f t="shared" si="17"/>
        <v>76.372</v>
      </c>
      <c r="J96">
        <f t="shared" si="18"/>
        <v>79.098499999999987</v>
      </c>
      <c r="L96">
        <f t="shared" si="19"/>
        <v>1</v>
      </c>
      <c r="M96">
        <f t="shared" si="20"/>
        <v>0</v>
      </c>
      <c r="O96">
        <f t="shared" si="21"/>
        <v>1.3599999999999994</v>
      </c>
      <c r="P96">
        <f t="shared" si="22"/>
        <v>0</v>
      </c>
      <c r="R96">
        <f t="shared" si="23"/>
        <v>1.1650000000000009</v>
      </c>
      <c r="S96">
        <f t="shared" si="24"/>
        <v>2.0833333333333308</v>
      </c>
      <c r="U96">
        <f t="shared" si="25"/>
        <v>35.864545920985165</v>
      </c>
      <c r="AH96">
        <f t="shared" si="26"/>
        <v>7.6549289962320453</v>
      </c>
      <c r="AI96">
        <f t="shared" si="27"/>
        <v>65.131866790175167</v>
      </c>
      <c r="AJ96">
        <f t="shared" si="28"/>
        <v>87.612133209824833</v>
      </c>
      <c r="AL96">
        <f t="shared" si="29"/>
        <v>91.681857992464089</v>
      </c>
      <c r="AM96">
        <f t="shared" si="30"/>
        <v>61.062142007535911</v>
      </c>
    </row>
    <row r="97" spans="1:39" ht="16.5" x14ac:dyDescent="0.25">
      <c r="A97" s="1">
        <v>45560</v>
      </c>
      <c r="B97" s="5">
        <v>75.66</v>
      </c>
      <c r="C97" s="4">
        <v>78</v>
      </c>
      <c r="D97" s="4">
        <v>78.34</v>
      </c>
      <c r="E97" s="4">
        <v>75.66</v>
      </c>
      <c r="F97" s="4" t="s">
        <v>195</v>
      </c>
      <c r="G97" s="2" t="s">
        <v>196</v>
      </c>
      <c r="I97">
        <f t="shared" si="17"/>
        <v>76.637999999999991</v>
      </c>
      <c r="J97">
        <f t="shared" si="18"/>
        <v>79.214999999999989</v>
      </c>
      <c r="L97">
        <f t="shared" si="19"/>
        <v>0</v>
      </c>
      <c r="M97">
        <f t="shared" si="20"/>
        <v>1</v>
      </c>
      <c r="O97">
        <f t="shared" si="21"/>
        <v>0</v>
      </c>
      <c r="P97">
        <f t="shared" si="22"/>
        <v>2.3400000000000034</v>
      </c>
      <c r="R97">
        <f t="shared" si="23"/>
        <v>1.1371428571428583</v>
      </c>
      <c r="S97">
        <f t="shared" si="24"/>
        <v>2.0628571428571405</v>
      </c>
      <c r="U97">
        <f t="shared" si="25"/>
        <v>35.535714285714334</v>
      </c>
      <c r="AH97">
        <f t="shared" si="26"/>
        <v>7.5939300503466853</v>
      </c>
      <c r="AI97">
        <f t="shared" si="27"/>
        <v>65.397866790175158</v>
      </c>
      <c r="AJ97">
        <f t="shared" si="28"/>
        <v>87.878133209824824</v>
      </c>
      <c r="AL97">
        <f t="shared" si="29"/>
        <v>91.825860100693362</v>
      </c>
      <c r="AM97">
        <f t="shared" si="30"/>
        <v>61.45013989930662</v>
      </c>
    </row>
    <row r="98" spans="1:39" ht="16.5" x14ac:dyDescent="0.25">
      <c r="A98" s="1">
        <v>45559</v>
      </c>
      <c r="B98" s="5">
        <v>78.12</v>
      </c>
      <c r="C98" s="4">
        <v>77.7</v>
      </c>
      <c r="D98" s="4">
        <v>78.72</v>
      </c>
      <c r="E98" s="4">
        <v>77.64</v>
      </c>
      <c r="F98" s="4" t="s">
        <v>197</v>
      </c>
      <c r="G98" s="2" t="s">
        <v>198</v>
      </c>
      <c r="I98">
        <f t="shared" si="17"/>
        <v>77.031999999999996</v>
      </c>
      <c r="J98">
        <f t="shared" si="18"/>
        <v>79.468999999999994</v>
      </c>
      <c r="L98">
        <f t="shared" si="19"/>
        <v>1</v>
      </c>
      <c r="M98">
        <f t="shared" si="20"/>
        <v>0</v>
      </c>
      <c r="O98">
        <f t="shared" si="21"/>
        <v>0.42000000000000171</v>
      </c>
      <c r="P98">
        <f t="shared" si="22"/>
        <v>0</v>
      </c>
      <c r="R98">
        <f t="shared" si="23"/>
        <v>1.0099999999999998</v>
      </c>
      <c r="S98">
        <f t="shared" si="24"/>
        <v>2.0166666666666635</v>
      </c>
      <c r="U98">
        <f t="shared" si="25"/>
        <v>33.370044052863463</v>
      </c>
      <c r="AH98">
        <f t="shared" si="26"/>
        <v>7.5335732275008036</v>
      </c>
      <c r="AI98">
        <f t="shared" si="27"/>
        <v>65.791866790175163</v>
      </c>
      <c r="AJ98">
        <f t="shared" si="28"/>
        <v>88.27213320982483</v>
      </c>
      <c r="AL98">
        <f t="shared" si="29"/>
        <v>92.099146455001602</v>
      </c>
      <c r="AM98">
        <f t="shared" si="30"/>
        <v>61.964853544998391</v>
      </c>
    </row>
    <row r="99" spans="1:39" ht="16.5" x14ac:dyDescent="0.25">
      <c r="A99" s="1">
        <v>45558</v>
      </c>
      <c r="B99" s="5">
        <v>75.44</v>
      </c>
      <c r="C99" s="4">
        <v>73.819999999999993</v>
      </c>
      <c r="D99" s="4">
        <v>75.599999999999994</v>
      </c>
      <c r="E99" s="4">
        <v>73.16</v>
      </c>
      <c r="F99" s="4" t="s">
        <v>74</v>
      </c>
      <c r="G99" s="2" t="s">
        <v>199</v>
      </c>
      <c r="I99">
        <f t="shared" si="17"/>
        <v>77.364999999999995</v>
      </c>
      <c r="J99">
        <f t="shared" si="18"/>
        <v>79.685000000000002</v>
      </c>
      <c r="L99">
        <f t="shared" si="19"/>
        <v>1</v>
      </c>
      <c r="M99">
        <f t="shared" si="20"/>
        <v>0</v>
      </c>
      <c r="O99">
        <f t="shared" si="21"/>
        <v>1.6200000000000045</v>
      </c>
      <c r="P99">
        <f t="shared" si="22"/>
        <v>0</v>
      </c>
      <c r="R99">
        <f t="shared" si="23"/>
        <v>1.0024999999999995</v>
      </c>
      <c r="S99">
        <f t="shared" si="24"/>
        <v>2.0166666666666635</v>
      </c>
      <c r="U99">
        <f t="shared" si="25"/>
        <v>33.204526635385065</v>
      </c>
      <c r="AH99">
        <f t="shared" si="26"/>
        <v>7.4747024786534135</v>
      </c>
      <c r="AI99">
        <f t="shared" si="27"/>
        <v>66.124866790175162</v>
      </c>
      <c r="AJ99">
        <f t="shared" si="28"/>
        <v>88.605133209824828</v>
      </c>
      <c r="AL99">
        <f t="shared" si="29"/>
        <v>92.31440495730682</v>
      </c>
      <c r="AM99">
        <f t="shared" si="30"/>
        <v>62.41559504269317</v>
      </c>
    </row>
    <row r="100" spans="1:39" ht="16.5" x14ac:dyDescent="0.25">
      <c r="A100" s="1">
        <v>45555</v>
      </c>
      <c r="B100" s="5">
        <v>73.64</v>
      </c>
      <c r="C100" s="4">
        <v>73.3</v>
      </c>
      <c r="D100" s="4">
        <v>73.959999999999994</v>
      </c>
      <c r="E100" s="4">
        <v>72.78</v>
      </c>
      <c r="F100" s="4" t="s">
        <v>200</v>
      </c>
      <c r="G100" s="2" t="s">
        <v>201</v>
      </c>
      <c r="I100">
        <f t="shared" si="17"/>
        <v>77.832999999999998</v>
      </c>
      <c r="J100">
        <f t="shared" si="18"/>
        <v>79.96350000000001</v>
      </c>
      <c r="L100">
        <f t="shared" si="19"/>
        <v>1</v>
      </c>
      <c r="M100">
        <f t="shared" si="20"/>
        <v>0</v>
      </c>
      <c r="O100">
        <f t="shared" si="21"/>
        <v>0.34000000000000341</v>
      </c>
      <c r="P100">
        <f t="shared" si="22"/>
        <v>0</v>
      </c>
      <c r="R100">
        <f t="shared" si="23"/>
        <v>0.91428571428571304</v>
      </c>
      <c r="S100">
        <f t="shared" si="24"/>
        <v>1.9057142857142821</v>
      </c>
      <c r="U100">
        <f t="shared" si="25"/>
        <v>32.42147922998987</v>
      </c>
      <c r="AH100">
        <f t="shared" si="26"/>
        <v>7.4169406911211233</v>
      </c>
      <c r="AI100">
        <f t="shared" si="27"/>
        <v>66.592866790175165</v>
      </c>
      <c r="AJ100">
        <f t="shared" si="28"/>
        <v>89.073133209824832</v>
      </c>
      <c r="AL100">
        <f t="shared" si="29"/>
        <v>92.666881382242252</v>
      </c>
      <c r="AM100">
        <f t="shared" si="30"/>
        <v>62.999118617757752</v>
      </c>
    </row>
    <row r="101" spans="1:39" ht="16.5" x14ac:dyDescent="0.25">
      <c r="A101" s="1">
        <v>45554</v>
      </c>
      <c r="B101" s="5">
        <v>76.14</v>
      </c>
      <c r="C101" s="4">
        <v>76.3</v>
      </c>
      <c r="D101" s="4">
        <v>77.459999999999994</v>
      </c>
      <c r="E101" s="4">
        <v>75.92</v>
      </c>
      <c r="F101" s="4" t="s">
        <v>202</v>
      </c>
      <c r="G101" s="2" t="s">
        <v>203</v>
      </c>
      <c r="I101">
        <f t="shared" si="17"/>
        <v>78.373999999999995</v>
      </c>
      <c r="J101">
        <f t="shared" si="18"/>
        <v>80.311499999999995</v>
      </c>
      <c r="L101">
        <f t="shared" si="19"/>
        <v>0</v>
      </c>
      <c r="M101">
        <f t="shared" si="20"/>
        <v>1</v>
      </c>
      <c r="O101">
        <f t="shared" si="21"/>
        <v>0</v>
      </c>
      <c r="P101">
        <f t="shared" si="22"/>
        <v>0.15999999999999659</v>
      </c>
      <c r="R101">
        <f t="shared" si="23"/>
        <v>1.009999999999998</v>
      </c>
      <c r="S101">
        <f t="shared" si="24"/>
        <v>1.7799999999999976</v>
      </c>
      <c r="U101">
        <f t="shared" si="25"/>
        <v>36.200716845878127</v>
      </c>
      <c r="AH101">
        <f t="shared" si="26"/>
        <v>7.361168715498418</v>
      </c>
      <c r="AI101">
        <f t="shared" si="27"/>
        <v>67.133866790175162</v>
      </c>
      <c r="AJ101">
        <f t="shared" si="28"/>
        <v>89.614133209824828</v>
      </c>
      <c r="AL101">
        <f t="shared" si="29"/>
        <v>93.096337430996826</v>
      </c>
      <c r="AM101">
        <f t="shared" si="30"/>
        <v>63.651662569003157</v>
      </c>
    </row>
    <row r="102" spans="1:39" ht="16.5" x14ac:dyDescent="0.25">
      <c r="A102" s="1">
        <v>45553</v>
      </c>
      <c r="B102" s="5">
        <v>74.52</v>
      </c>
      <c r="C102" s="4">
        <v>73.239999999999995</v>
      </c>
      <c r="D102" s="4">
        <v>75</v>
      </c>
      <c r="E102" s="4">
        <v>73.02</v>
      </c>
      <c r="F102" s="4" t="s">
        <v>204</v>
      </c>
      <c r="G102" s="2" t="s">
        <v>205</v>
      </c>
      <c r="I102">
        <f t="shared" si="17"/>
        <v>78.727999999999994</v>
      </c>
      <c r="J102">
        <f t="shared" si="18"/>
        <v>80.613000000000014</v>
      </c>
      <c r="L102">
        <f t="shared" si="19"/>
        <v>1</v>
      </c>
      <c r="M102">
        <f t="shared" si="20"/>
        <v>0</v>
      </c>
      <c r="O102">
        <f t="shared" si="21"/>
        <v>1.2800000000000011</v>
      </c>
      <c r="P102">
        <f t="shared" si="22"/>
        <v>0</v>
      </c>
      <c r="R102">
        <f t="shared" si="23"/>
        <v>1.009999999999998</v>
      </c>
      <c r="S102">
        <f t="shared" si="24"/>
        <v>1.7849999999999984</v>
      </c>
      <c r="U102">
        <f t="shared" si="25"/>
        <v>36.135957066189597</v>
      </c>
      <c r="AH102">
        <f t="shared" si="26"/>
        <v>7.3078588387370376</v>
      </c>
      <c r="AI102">
        <f t="shared" si="27"/>
        <v>67.487866790175161</v>
      </c>
      <c r="AJ102">
        <f t="shared" si="28"/>
        <v>89.968133209824828</v>
      </c>
      <c r="AL102">
        <f t="shared" si="29"/>
        <v>93.343717677474075</v>
      </c>
      <c r="AM102">
        <f t="shared" si="30"/>
        <v>64.112282322525914</v>
      </c>
    </row>
    <row r="103" spans="1:39" ht="16.5" x14ac:dyDescent="0.25">
      <c r="A103" s="1">
        <v>45552</v>
      </c>
      <c r="B103" s="5">
        <v>72.92</v>
      </c>
      <c r="C103" s="4">
        <v>72.58</v>
      </c>
      <c r="D103" s="4">
        <v>73.72</v>
      </c>
      <c r="E103" s="4">
        <v>72.459999999999994</v>
      </c>
      <c r="F103" s="4" t="s">
        <v>206</v>
      </c>
      <c r="G103" s="2" t="s">
        <v>207</v>
      </c>
      <c r="I103">
        <f t="shared" si="17"/>
        <v>79.179999999999978</v>
      </c>
      <c r="J103">
        <f t="shared" si="18"/>
        <v>80.977499999999992</v>
      </c>
      <c r="L103">
        <f t="shared" si="19"/>
        <v>1</v>
      </c>
      <c r="M103">
        <f t="shared" si="20"/>
        <v>0</v>
      </c>
      <c r="O103">
        <f t="shared" si="21"/>
        <v>0.34000000000000341</v>
      </c>
      <c r="P103">
        <f t="shared" si="22"/>
        <v>0</v>
      </c>
      <c r="R103">
        <f t="shared" si="23"/>
        <v>0.8599999999999971</v>
      </c>
      <c r="S103">
        <f t="shared" si="24"/>
        <v>1.7849999999999984</v>
      </c>
      <c r="U103">
        <f t="shared" si="25"/>
        <v>32.514177693761752</v>
      </c>
      <c r="AH103">
        <f t="shared" si="26"/>
        <v>7.2558493184369199</v>
      </c>
      <c r="AI103">
        <f t="shared" si="27"/>
        <v>67.939866790175145</v>
      </c>
      <c r="AJ103">
        <f t="shared" si="28"/>
        <v>90.420133209824812</v>
      </c>
      <c r="AL103">
        <f t="shared" si="29"/>
        <v>93.691698636873824</v>
      </c>
      <c r="AM103">
        <f t="shared" si="30"/>
        <v>64.668301363126133</v>
      </c>
    </row>
    <row r="104" spans="1:39" ht="16.5" x14ac:dyDescent="0.25">
      <c r="A104" s="1">
        <v>45551</v>
      </c>
      <c r="B104" s="5">
        <v>72.52</v>
      </c>
      <c r="C104" s="4">
        <v>73.099999999999994</v>
      </c>
      <c r="D104" s="4">
        <v>73.260000000000005</v>
      </c>
      <c r="E104" s="4">
        <v>72.48</v>
      </c>
      <c r="F104" s="4" t="s">
        <v>208</v>
      </c>
      <c r="G104" s="2" t="s">
        <v>36</v>
      </c>
      <c r="I104">
        <f t="shared" si="17"/>
        <v>79.667000000000002</v>
      </c>
      <c r="J104">
        <f t="shared" si="18"/>
        <v>81.405000000000001</v>
      </c>
      <c r="L104">
        <f t="shared" si="19"/>
        <v>0</v>
      </c>
      <c r="M104">
        <f t="shared" si="20"/>
        <v>1</v>
      </c>
      <c r="O104">
        <f t="shared" si="21"/>
        <v>0</v>
      </c>
      <c r="P104">
        <f t="shared" si="22"/>
        <v>0.57999999999999829</v>
      </c>
      <c r="R104">
        <f t="shared" si="23"/>
        <v>0.96399999999999575</v>
      </c>
      <c r="S104">
        <f t="shared" si="24"/>
        <v>1.7422222222222199</v>
      </c>
      <c r="U104">
        <f t="shared" si="25"/>
        <v>35.621612744292918</v>
      </c>
      <c r="AH104">
        <f t="shared" si="26"/>
        <v>7.205760632256033</v>
      </c>
      <c r="AI104">
        <f t="shared" si="27"/>
        <v>68.426866790175168</v>
      </c>
      <c r="AJ104">
        <f t="shared" si="28"/>
        <v>90.907133209824835</v>
      </c>
      <c r="AL104">
        <f t="shared" si="29"/>
        <v>94.078521264512062</v>
      </c>
      <c r="AM104">
        <f t="shared" si="30"/>
        <v>65.255478735487941</v>
      </c>
    </row>
    <row r="105" spans="1:39" ht="16.5" x14ac:dyDescent="0.25">
      <c r="A105" s="1">
        <v>45548</v>
      </c>
      <c r="B105" s="5">
        <v>73.319999999999993</v>
      </c>
      <c r="C105" s="4">
        <v>71.56</v>
      </c>
      <c r="D105" s="4">
        <v>73.58</v>
      </c>
      <c r="E105" s="4">
        <v>71.52</v>
      </c>
      <c r="F105" s="4" t="s">
        <v>50</v>
      </c>
      <c r="G105" s="2" t="s">
        <v>209</v>
      </c>
      <c r="I105">
        <f t="shared" si="17"/>
        <v>80.177000000000007</v>
      </c>
      <c r="J105">
        <f t="shared" si="18"/>
        <v>81.865000000000009</v>
      </c>
      <c r="L105">
        <f t="shared" si="19"/>
        <v>1</v>
      </c>
      <c r="M105">
        <f t="shared" si="20"/>
        <v>0</v>
      </c>
      <c r="O105">
        <f t="shared" si="21"/>
        <v>1.7599999999999909</v>
      </c>
      <c r="P105">
        <f t="shared" si="22"/>
        <v>0</v>
      </c>
      <c r="R105">
        <f t="shared" si="23"/>
        <v>0.96399999999999575</v>
      </c>
      <c r="S105">
        <f t="shared" si="24"/>
        <v>1.7133333333333303</v>
      </c>
      <c r="U105">
        <f t="shared" si="25"/>
        <v>36.005976095617463</v>
      </c>
      <c r="AH105">
        <f t="shared" si="26"/>
        <v>7.1578137005479396</v>
      </c>
      <c r="AI105">
        <f t="shared" si="27"/>
        <v>68.936866790175173</v>
      </c>
      <c r="AJ105">
        <f t="shared" si="28"/>
        <v>91.41713320982484</v>
      </c>
      <c r="AL105">
        <f t="shared" si="29"/>
        <v>94.492627401095888</v>
      </c>
      <c r="AM105">
        <f t="shared" si="30"/>
        <v>65.861372598904126</v>
      </c>
    </row>
    <row r="106" spans="1:39" ht="16.5" x14ac:dyDescent="0.25">
      <c r="A106" s="1">
        <v>45547</v>
      </c>
      <c r="B106" s="5">
        <v>71.36</v>
      </c>
      <c r="C106" s="4">
        <v>71.88</v>
      </c>
      <c r="D106" s="4">
        <v>72.56</v>
      </c>
      <c r="E106" s="4">
        <v>70.78</v>
      </c>
      <c r="F106" s="4" t="s">
        <v>210</v>
      </c>
      <c r="G106" s="2" t="s">
        <v>90</v>
      </c>
      <c r="I106">
        <f t="shared" si="17"/>
        <v>80.598000000000013</v>
      </c>
      <c r="J106">
        <f t="shared" si="18"/>
        <v>82.269000000000005</v>
      </c>
      <c r="L106">
        <f t="shared" si="19"/>
        <v>0</v>
      </c>
      <c r="M106">
        <f t="shared" si="20"/>
        <v>1</v>
      </c>
      <c r="O106">
        <f t="shared" si="21"/>
        <v>0</v>
      </c>
      <c r="P106">
        <f t="shared" si="22"/>
        <v>0.51999999999999602</v>
      </c>
      <c r="R106">
        <f t="shared" si="23"/>
        <v>0.72399999999999809</v>
      </c>
      <c r="S106">
        <f t="shared" si="24"/>
        <v>1.7133333333333303</v>
      </c>
      <c r="U106">
        <f t="shared" si="25"/>
        <v>29.704595185995601</v>
      </c>
      <c r="AH106">
        <f t="shared" si="26"/>
        <v>7.112148197624923</v>
      </c>
      <c r="AI106">
        <f t="shared" si="27"/>
        <v>69.35786679017518</v>
      </c>
      <c r="AJ106">
        <f t="shared" si="28"/>
        <v>91.838133209824846</v>
      </c>
      <c r="AL106">
        <f t="shared" si="29"/>
        <v>94.822296395249865</v>
      </c>
      <c r="AM106">
        <f t="shared" si="30"/>
        <v>66.373703604750162</v>
      </c>
    </row>
    <row r="107" spans="1:39" ht="16.5" x14ac:dyDescent="0.25">
      <c r="A107" s="1">
        <v>45546</v>
      </c>
      <c r="B107" s="5">
        <v>71.08</v>
      </c>
      <c r="C107" s="4">
        <v>68.88</v>
      </c>
      <c r="D107" s="4">
        <v>71.34</v>
      </c>
      <c r="E107" s="4">
        <v>68.84</v>
      </c>
      <c r="F107" s="4" t="s">
        <v>211</v>
      </c>
      <c r="G107" s="2" t="s">
        <v>212</v>
      </c>
      <c r="I107">
        <f t="shared" si="17"/>
        <v>81.104000000000013</v>
      </c>
      <c r="J107">
        <f t="shared" si="18"/>
        <v>82.768000000000001</v>
      </c>
      <c r="L107">
        <f t="shared" si="19"/>
        <v>1</v>
      </c>
      <c r="M107">
        <f t="shared" si="20"/>
        <v>0</v>
      </c>
      <c r="O107">
        <f t="shared" si="21"/>
        <v>2.2000000000000028</v>
      </c>
      <c r="P107">
        <f t="shared" si="22"/>
        <v>0</v>
      </c>
      <c r="R107">
        <f t="shared" si="23"/>
        <v>0.75666666666666293</v>
      </c>
      <c r="S107">
        <f t="shared" si="24"/>
        <v>1.8624999999999972</v>
      </c>
      <c r="U107">
        <f t="shared" si="25"/>
        <v>28.889595927457762</v>
      </c>
      <c r="AH107">
        <f t="shared" si="26"/>
        <v>7.0682347610724596</v>
      </c>
      <c r="AI107">
        <f t="shared" si="27"/>
        <v>69.86386679017518</v>
      </c>
      <c r="AJ107">
        <f t="shared" si="28"/>
        <v>92.344133209824847</v>
      </c>
      <c r="AL107">
        <f t="shared" si="29"/>
        <v>95.240469522144934</v>
      </c>
      <c r="AM107">
        <f t="shared" si="30"/>
        <v>66.967530477855092</v>
      </c>
    </row>
    <row r="108" spans="1:39" ht="16.5" x14ac:dyDescent="0.25">
      <c r="A108" s="1">
        <v>45545</v>
      </c>
      <c r="B108" s="5">
        <v>68.98</v>
      </c>
      <c r="C108" s="4">
        <v>77.22</v>
      </c>
      <c r="D108" s="4">
        <v>77.28</v>
      </c>
      <c r="E108" s="4">
        <v>68.58</v>
      </c>
      <c r="F108" s="4" t="s">
        <v>213</v>
      </c>
      <c r="G108" s="2" t="s">
        <v>214</v>
      </c>
      <c r="I108">
        <f t="shared" si="17"/>
        <v>81.551999999999992</v>
      </c>
      <c r="J108">
        <f t="shared" si="18"/>
        <v>83.233500000000006</v>
      </c>
      <c r="L108">
        <f t="shared" si="19"/>
        <v>0</v>
      </c>
      <c r="M108">
        <f t="shared" si="20"/>
        <v>1</v>
      </c>
      <c r="O108">
        <f t="shared" si="21"/>
        <v>0</v>
      </c>
      <c r="P108">
        <f t="shared" si="22"/>
        <v>8.2399999999999949</v>
      </c>
      <c r="R108">
        <f t="shared" si="23"/>
        <v>0.46799999999999498</v>
      </c>
      <c r="S108">
        <f t="shared" si="24"/>
        <v>1.7022222222222199</v>
      </c>
      <c r="U108">
        <f t="shared" si="25"/>
        <v>21.564611918902145</v>
      </c>
      <c r="AH108">
        <f t="shared" si="26"/>
        <v>7.0265723243424292</v>
      </c>
      <c r="AI108">
        <f t="shared" si="27"/>
        <v>70.311866790175159</v>
      </c>
      <c r="AJ108">
        <f t="shared" si="28"/>
        <v>92.792133209824826</v>
      </c>
      <c r="AL108">
        <f t="shared" si="29"/>
        <v>95.605144648684856</v>
      </c>
      <c r="AM108">
        <f t="shared" si="30"/>
        <v>67.498855351315129</v>
      </c>
    </row>
    <row r="109" spans="1:39" ht="16.5" x14ac:dyDescent="0.25">
      <c r="A109" s="1">
        <v>45544</v>
      </c>
      <c r="B109" s="5">
        <v>77.64</v>
      </c>
      <c r="C109" s="4">
        <v>78.3</v>
      </c>
      <c r="D109" s="4">
        <v>78.64</v>
      </c>
      <c r="E109" s="4">
        <v>77.099999999999994</v>
      </c>
      <c r="F109" s="4" t="s">
        <v>215</v>
      </c>
      <c r="G109" s="2" t="s">
        <v>168</v>
      </c>
      <c r="I109">
        <f t="shared" si="17"/>
        <v>82.068999999999988</v>
      </c>
      <c r="J109">
        <f t="shared" si="18"/>
        <v>83.730999999999995</v>
      </c>
      <c r="L109">
        <f t="shared" si="19"/>
        <v>0</v>
      </c>
      <c r="M109">
        <f t="shared" si="20"/>
        <v>1</v>
      </c>
      <c r="O109">
        <f t="shared" si="21"/>
        <v>0</v>
      </c>
      <c r="P109">
        <f t="shared" si="22"/>
        <v>0.65999999999999659</v>
      </c>
      <c r="R109">
        <f t="shared" si="23"/>
        <v>0.58999999999999631</v>
      </c>
      <c r="S109">
        <f t="shared" si="24"/>
        <v>0.88499999999999801</v>
      </c>
      <c r="U109">
        <f t="shared" si="25"/>
        <v>39.999999999999901</v>
      </c>
      <c r="AH109">
        <f t="shared" si="26"/>
        <v>6.9868206048929249</v>
      </c>
      <c r="AI109">
        <f t="shared" si="27"/>
        <v>70.828866790175155</v>
      </c>
      <c r="AJ109">
        <f t="shared" si="28"/>
        <v>93.309133209824822</v>
      </c>
      <c r="AL109">
        <f t="shared" si="29"/>
        <v>96.042641209785842</v>
      </c>
      <c r="AM109">
        <f t="shared" si="30"/>
        <v>68.095358790214135</v>
      </c>
    </row>
    <row r="110" spans="1:39" ht="16.5" x14ac:dyDescent="0.25">
      <c r="A110" s="1">
        <v>45541</v>
      </c>
      <c r="B110" s="5">
        <v>78.2</v>
      </c>
      <c r="C110" s="4">
        <v>80.14</v>
      </c>
      <c r="D110" s="4">
        <v>80.16</v>
      </c>
      <c r="E110" s="4">
        <v>77.959999999999994</v>
      </c>
      <c r="F110" s="4" t="s">
        <v>216</v>
      </c>
      <c r="G110" s="2" t="s">
        <v>217</v>
      </c>
      <c r="I110">
        <f t="shared" si="17"/>
        <v>82.135999999999996</v>
      </c>
      <c r="J110">
        <f t="shared" si="18"/>
        <v>84.035499999999999</v>
      </c>
      <c r="L110">
        <f t="shared" si="19"/>
        <v>0</v>
      </c>
      <c r="M110">
        <f t="shared" si="20"/>
        <v>1</v>
      </c>
      <c r="O110">
        <f t="shared" si="21"/>
        <v>0</v>
      </c>
      <c r="P110">
        <f t="shared" si="22"/>
        <v>1.9399999999999977</v>
      </c>
      <c r="R110">
        <f t="shared" si="23"/>
        <v>0.58999999999999631</v>
      </c>
      <c r="S110">
        <f t="shared" si="24"/>
        <v>0.81999999999999851</v>
      </c>
      <c r="U110">
        <f t="shared" si="25"/>
        <v>41.843971631205562</v>
      </c>
      <c r="AH110">
        <f t="shared" si="26"/>
        <v>6.9493632408435282</v>
      </c>
      <c r="AI110">
        <f t="shared" si="27"/>
        <v>70.895866790175162</v>
      </c>
      <c r="AJ110">
        <f t="shared" si="28"/>
        <v>93.376133209824829</v>
      </c>
      <c r="AL110">
        <f t="shared" si="29"/>
        <v>96.034726481687045</v>
      </c>
      <c r="AM110">
        <f t="shared" si="30"/>
        <v>68.237273518312946</v>
      </c>
    </row>
    <row r="111" spans="1:39" ht="16.5" x14ac:dyDescent="0.25">
      <c r="A111" s="1">
        <v>45540</v>
      </c>
      <c r="B111" s="5">
        <v>80.3</v>
      </c>
      <c r="C111" s="4">
        <v>80.180000000000007</v>
      </c>
      <c r="D111" s="4">
        <v>81.92</v>
      </c>
      <c r="E111" s="4">
        <v>79.959999999999994</v>
      </c>
      <c r="F111" s="4" t="s">
        <v>218</v>
      </c>
      <c r="G111" s="2" t="s">
        <v>219</v>
      </c>
      <c r="I111">
        <f t="shared" si="17"/>
        <v>82.210999999999999</v>
      </c>
      <c r="J111">
        <f t="shared" si="18"/>
        <v>84.385000000000005</v>
      </c>
      <c r="L111">
        <f t="shared" si="19"/>
        <v>1</v>
      </c>
      <c r="M111">
        <f t="shared" si="20"/>
        <v>0</v>
      </c>
      <c r="O111">
        <f t="shared" si="21"/>
        <v>0.11999999999999034</v>
      </c>
      <c r="P111">
        <f t="shared" si="22"/>
        <v>0</v>
      </c>
      <c r="R111">
        <f t="shared" si="23"/>
        <v>0.61999999999999644</v>
      </c>
      <c r="S111">
        <f t="shared" si="24"/>
        <v>0.65999999999999859</v>
      </c>
      <c r="U111">
        <f t="shared" si="25"/>
        <v>48.437499999999908</v>
      </c>
      <c r="AH111">
        <f t="shared" si="26"/>
        <v>6.9116826239309814</v>
      </c>
      <c r="AI111">
        <f t="shared" si="27"/>
        <v>70.970866790175165</v>
      </c>
      <c r="AJ111">
        <f t="shared" si="28"/>
        <v>93.451133209824832</v>
      </c>
      <c r="AL111">
        <f t="shared" si="29"/>
        <v>96.034365247861956</v>
      </c>
      <c r="AM111">
        <f t="shared" si="30"/>
        <v>68.387634752138041</v>
      </c>
    </row>
    <row r="112" spans="1:39" ht="16.5" x14ac:dyDescent="0.25">
      <c r="A112" s="1">
        <v>45539</v>
      </c>
      <c r="B112" s="5">
        <v>80.540000000000006</v>
      </c>
      <c r="C112" s="4">
        <v>80.180000000000007</v>
      </c>
      <c r="D112" s="4">
        <v>81.099999999999994</v>
      </c>
      <c r="E112" s="4">
        <v>80.099999999999994</v>
      </c>
      <c r="F112" s="4" t="s">
        <v>220</v>
      </c>
      <c r="G112" s="2" t="s">
        <v>221</v>
      </c>
      <c r="I112">
        <f t="shared" si="17"/>
        <v>82.186999999999983</v>
      </c>
      <c r="J112">
        <f t="shared" si="18"/>
        <v>84.652500000000003</v>
      </c>
      <c r="L112">
        <f t="shared" si="19"/>
        <v>1</v>
      </c>
      <c r="M112">
        <f t="shared" si="20"/>
        <v>0</v>
      </c>
      <c r="O112">
        <f t="shared" si="21"/>
        <v>0.35999999999999943</v>
      </c>
      <c r="P112">
        <f t="shared" si="22"/>
        <v>0</v>
      </c>
      <c r="R112">
        <f t="shared" si="23"/>
        <v>0.70333333333333081</v>
      </c>
      <c r="S112">
        <f t="shared" si="24"/>
        <v>0.60999999999999943</v>
      </c>
      <c r="U112">
        <f t="shared" si="25"/>
        <v>53.553299492385712</v>
      </c>
      <c r="AH112">
        <f t="shared" si="26"/>
        <v>6.8738198632747194</v>
      </c>
      <c r="AI112">
        <f t="shared" si="27"/>
        <v>70.94686679017515</v>
      </c>
      <c r="AJ112">
        <f t="shared" si="28"/>
        <v>93.427133209824817</v>
      </c>
      <c r="AL112">
        <f t="shared" si="29"/>
        <v>95.93463972654942</v>
      </c>
      <c r="AM112">
        <f t="shared" si="30"/>
        <v>68.439360273450546</v>
      </c>
    </row>
    <row r="113" spans="1:39" ht="16.5" x14ac:dyDescent="0.25">
      <c r="A113" s="1">
        <v>45538</v>
      </c>
      <c r="B113" s="5">
        <v>81.56</v>
      </c>
      <c r="C113" s="4">
        <v>82.8</v>
      </c>
      <c r="D113" s="4">
        <v>83.02</v>
      </c>
      <c r="E113" s="4">
        <v>81.22</v>
      </c>
      <c r="F113" s="4" t="s">
        <v>222</v>
      </c>
      <c r="G113" s="2" t="s">
        <v>223</v>
      </c>
      <c r="I113">
        <f t="shared" si="17"/>
        <v>82.179999999999993</v>
      </c>
      <c r="J113">
        <f t="shared" si="18"/>
        <v>84.876499999999993</v>
      </c>
      <c r="L113">
        <f t="shared" si="19"/>
        <v>0</v>
      </c>
      <c r="M113">
        <f t="shared" si="20"/>
        <v>1</v>
      </c>
      <c r="O113">
        <f t="shared" si="21"/>
        <v>0</v>
      </c>
      <c r="P113">
        <f t="shared" si="22"/>
        <v>1.2399999999999949</v>
      </c>
      <c r="R113">
        <f t="shared" si="23"/>
        <v>0.82999999999999829</v>
      </c>
      <c r="S113">
        <f t="shared" si="24"/>
        <v>0.60999999999999943</v>
      </c>
      <c r="U113">
        <f t="shared" si="25"/>
        <v>57.638888888888857</v>
      </c>
      <c r="AH113">
        <f t="shared" si="26"/>
        <v>6.8352056727782742</v>
      </c>
      <c r="AI113">
        <f t="shared" si="27"/>
        <v>70.939866790175159</v>
      </c>
      <c r="AJ113">
        <f t="shared" si="28"/>
        <v>93.420133209824826</v>
      </c>
      <c r="AL113">
        <f t="shared" si="29"/>
        <v>95.850411345556537</v>
      </c>
      <c r="AM113">
        <f t="shared" si="30"/>
        <v>68.509588654443448</v>
      </c>
    </row>
    <row r="114" spans="1:39" ht="16.5" x14ac:dyDescent="0.25">
      <c r="A114" s="1">
        <v>45537</v>
      </c>
      <c r="B114" s="5">
        <v>83.14</v>
      </c>
      <c r="C114" s="4">
        <v>84.04</v>
      </c>
      <c r="D114" s="4">
        <v>84.04</v>
      </c>
      <c r="E114" s="4">
        <v>82.64</v>
      </c>
      <c r="F114" s="4" t="s">
        <v>224</v>
      </c>
      <c r="G114" s="2" t="s">
        <v>127</v>
      </c>
      <c r="I114">
        <f t="shared" si="17"/>
        <v>82.078999999999994</v>
      </c>
      <c r="J114">
        <f t="shared" si="18"/>
        <v>85.029999999999987</v>
      </c>
      <c r="L114">
        <f t="shared" si="19"/>
        <v>0</v>
      </c>
      <c r="M114">
        <f t="shared" si="20"/>
        <v>1</v>
      </c>
      <c r="O114">
        <f t="shared" si="21"/>
        <v>0</v>
      </c>
      <c r="P114">
        <f t="shared" si="22"/>
        <v>0.90000000000000568</v>
      </c>
      <c r="R114">
        <f t="shared" si="23"/>
        <v>0.74857142857142789</v>
      </c>
      <c r="S114">
        <f t="shared" si="24"/>
        <v>0.52000000000000013</v>
      </c>
      <c r="U114">
        <f t="shared" si="25"/>
        <v>59.009009009008984</v>
      </c>
      <c r="AH114">
        <f t="shared" si="26"/>
        <v>6.7959191413531839</v>
      </c>
      <c r="AI114">
        <f t="shared" si="27"/>
        <v>70.83886679017516</v>
      </c>
      <c r="AJ114">
        <f t="shared" si="28"/>
        <v>93.319133209824827</v>
      </c>
      <c r="AL114">
        <f t="shared" si="29"/>
        <v>95.670838282706356</v>
      </c>
      <c r="AM114">
        <f t="shared" si="30"/>
        <v>68.487161717293631</v>
      </c>
    </row>
    <row r="115" spans="1:39" ht="16.5" x14ac:dyDescent="0.25">
      <c r="A115" s="1">
        <v>45534</v>
      </c>
      <c r="B115" s="5">
        <v>83.82</v>
      </c>
      <c r="C115" s="4">
        <v>84.02</v>
      </c>
      <c r="D115" s="4">
        <v>84.26</v>
      </c>
      <c r="E115" s="4">
        <v>83.64</v>
      </c>
      <c r="F115" s="4" t="s">
        <v>225</v>
      </c>
      <c r="G115" s="2" t="s">
        <v>226</v>
      </c>
      <c r="I115">
        <f t="shared" si="17"/>
        <v>81.912999999999997</v>
      </c>
      <c r="J115">
        <f t="shared" si="18"/>
        <v>85.129499999999979</v>
      </c>
      <c r="L115">
        <f t="shared" si="19"/>
        <v>0</v>
      </c>
      <c r="M115">
        <f t="shared" si="20"/>
        <v>1</v>
      </c>
      <c r="O115">
        <f t="shared" si="21"/>
        <v>0</v>
      </c>
      <c r="P115">
        <f t="shared" si="22"/>
        <v>0.20000000000000284</v>
      </c>
      <c r="R115">
        <f t="shared" si="23"/>
        <v>0.65749999999999886</v>
      </c>
      <c r="S115">
        <f t="shared" si="24"/>
        <v>0.45666666666666583</v>
      </c>
      <c r="U115">
        <f t="shared" si="25"/>
        <v>59.01271503365745</v>
      </c>
      <c r="AH115">
        <f t="shared" si="26"/>
        <v>6.7553906799970997</v>
      </c>
      <c r="AI115">
        <f t="shared" si="27"/>
        <v>70.672866790175163</v>
      </c>
      <c r="AJ115">
        <f t="shared" si="28"/>
        <v>93.15313320982483</v>
      </c>
      <c r="AL115">
        <f t="shared" si="29"/>
        <v>95.423781359994194</v>
      </c>
      <c r="AM115">
        <f t="shared" si="30"/>
        <v>68.402218640005799</v>
      </c>
    </row>
    <row r="116" spans="1:39" ht="16.5" x14ac:dyDescent="0.25">
      <c r="A116" s="1">
        <v>45533</v>
      </c>
      <c r="B116" s="5">
        <v>83.86</v>
      </c>
      <c r="C116" s="4">
        <v>83.48</v>
      </c>
      <c r="D116" s="4">
        <v>84.36</v>
      </c>
      <c r="E116" s="4">
        <v>83.34</v>
      </c>
      <c r="F116" s="4" t="s">
        <v>227</v>
      </c>
      <c r="G116" s="2" t="s">
        <v>138</v>
      </c>
      <c r="I116">
        <f t="shared" si="17"/>
        <v>81.825000000000003</v>
      </c>
      <c r="J116">
        <f t="shared" si="18"/>
        <v>85.226499999999987</v>
      </c>
      <c r="L116">
        <f t="shared" si="19"/>
        <v>1</v>
      </c>
      <c r="M116">
        <f t="shared" si="20"/>
        <v>0</v>
      </c>
      <c r="O116">
        <f t="shared" si="21"/>
        <v>0.37999999999999545</v>
      </c>
      <c r="P116">
        <f t="shared" si="22"/>
        <v>0</v>
      </c>
      <c r="R116">
        <f t="shared" si="23"/>
        <v>0.65749999999999886</v>
      </c>
      <c r="S116">
        <f t="shared" si="24"/>
        <v>0.59333333333333138</v>
      </c>
      <c r="U116">
        <f t="shared" si="25"/>
        <v>52.564956695536353</v>
      </c>
      <c r="AH116">
        <f t="shared" si="26"/>
        <v>6.7131901905976603</v>
      </c>
      <c r="AI116">
        <f t="shared" si="27"/>
        <v>70.58486679017517</v>
      </c>
      <c r="AJ116">
        <f t="shared" si="28"/>
        <v>93.065133209824836</v>
      </c>
      <c r="AL116">
        <f t="shared" si="29"/>
        <v>95.251380381195318</v>
      </c>
      <c r="AM116">
        <f t="shared" si="30"/>
        <v>68.398619618804688</v>
      </c>
    </row>
    <row r="117" spans="1:39" ht="16.5" x14ac:dyDescent="0.25">
      <c r="A117" s="1">
        <v>45532</v>
      </c>
      <c r="B117" s="5">
        <v>83.54</v>
      </c>
      <c r="C117" s="4">
        <v>84.94</v>
      </c>
      <c r="D117" s="4">
        <v>85.16</v>
      </c>
      <c r="E117" s="4">
        <v>83.54</v>
      </c>
      <c r="F117" s="4" t="s">
        <v>228</v>
      </c>
      <c r="G117" s="2" t="s">
        <v>229</v>
      </c>
      <c r="I117">
        <f t="shared" si="17"/>
        <v>81.792000000000002</v>
      </c>
      <c r="J117">
        <f t="shared" si="18"/>
        <v>85.333999999999975</v>
      </c>
      <c r="L117">
        <f t="shared" si="19"/>
        <v>0</v>
      </c>
      <c r="M117">
        <f t="shared" si="20"/>
        <v>1</v>
      </c>
      <c r="O117">
        <f t="shared" si="21"/>
        <v>0</v>
      </c>
      <c r="P117">
        <f t="shared" si="22"/>
        <v>1.3999999999999915</v>
      </c>
      <c r="R117">
        <f t="shared" si="23"/>
        <v>0.69714285714285651</v>
      </c>
      <c r="S117">
        <f t="shared" si="24"/>
        <v>0.52285714285714036</v>
      </c>
      <c r="U117">
        <f t="shared" si="25"/>
        <v>57.142857142857238</v>
      </c>
      <c r="AH117">
        <f t="shared" si="26"/>
        <v>6.6697351958595483</v>
      </c>
      <c r="AI117">
        <f t="shared" si="27"/>
        <v>70.551866790175168</v>
      </c>
      <c r="AJ117">
        <f t="shared" si="28"/>
        <v>93.032133209824835</v>
      </c>
      <c r="AL117">
        <f t="shared" si="29"/>
        <v>95.131470391719091</v>
      </c>
      <c r="AM117">
        <f t="shared" si="30"/>
        <v>68.452529608280912</v>
      </c>
    </row>
    <row r="118" spans="1:39" ht="16.5" x14ac:dyDescent="0.25">
      <c r="A118" s="1">
        <v>45531</v>
      </c>
      <c r="B118" s="5">
        <v>84.78</v>
      </c>
      <c r="C118" s="4">
        <v>85.1</v>
      </c>
      <c r="D118" s="4">
        <v>86.06</v>
      </c>
      <c r="E118" s="4">
        <v>84.78</v>
      </c>
      <c r="F118" s="4" t="s">
        <v>230</v>
      </c>
      <c r="G118" s="2" t="s">
        <v>231</v>
      </c>
      <c r="I118">
        <f t="shared" si="17"/>
        <v>81.905999999999992</v>
      </c>
      <c r="J118">
        <f t="shared" si="18"/>
        <v>85.456499999999977</v>
      </c>
      <c r="L118">
        <f t="shared" si="19"/>
        <v>0</v>
      </c>
      <c r="M118">
        <f t="shared" si="20"/>
        <v>1</v>
      </c>
      <c r="O118">
        <f t="shared" si="21"/>
        <v>0</v>
      </c>
      <c r="P118">
        <f t="shared" si="22"/>
        <v>0.31999999999999318</v>
      </c>
      <c r="R118">
        <f t="shared" si="23"/>
        <v>0.69714285714285651</v>
      </c>
      <c r="S118">
        <f t="shared" si="24"/>
        <v>0.35142857142857054</v>
      </c>
      <c r="U118">
        <f t="shared" si="25"/>
        <v>66.485013623978233</v>
      </c>
      <c r="AH118">
        <f t="shared" si="26"/>
        <v>6.6253270680116412</v>
      </c>
      <c r="AI118">
        <f t="shared" si="27"/>
        <v>70.665866790175158</v>
      </c>
      <c r="AJ118">
        <f t="shared" si="28"/>
        <v>93.146133209824825</v>
      </c>
      <c r="AL118">
        <f t="shared" si="29"/>
        <v>95.156654136023278</v>
      </c>
      <c r="AM118">
        <f t="shared" si="30"/>
        <v>68.655345863976706</v>
      </c>
    </row>
    <row r="119" spans="1:39" ht="16.5" x14ac:dyDescent="0.25">
      <c r="A119" s="1">
        <v>45530</v>
      </c>
      <c r="B119" s="5">
        <v>84.8</v>
      </c>
      <c r="C119" s="4">
        <v>84.24</v>
      </c>
      <c r="D119" s="4">
        <v>85.22</v>
      </c>
      <c r="E119" s="4">
        <v>84</v>
      </c>
      <c r="F119" s="4" t="s">
        <v>232</v>
      </c>
      <c r="G119" s="2" t="s">
        <v>233</v>
      </c>
      <c r="I119">
        <f t="shared" si="17"/>
        <v>82.004999999999995</v>
      </c>
      <c r="J119">
        <f t="shared" si="18"/>
        <v>85.537499999999994</v>
      </c>
      <c r="L119">
        <f t="shared" si="19"/>
        <v>1</v>
      </c>
      <c r="M119">
        <f t="shared" si="20"/>
        <v>0</v>
      </c>
      <c r="O119">
        <f t="shared" si="21"/>
        <v>0.56000000000000227</v>
      </c>
      <c r="P119">
        <f t="shared" si="22"/>
        <v>0</v>
      </c>
      <c r="R119">
        <f t="shared" si="23"/>
        <v>0.68250000000000099</v>
      </c>
      <c r="S119">
        <f t="shared" si="24"/>
        <v>0.35666666666666674</v>
      </c>
      <c r="U119">
        <f t="shared" si="25"/>
        <v>65.677626303127539</v>
      </c>
      <c r="AH119">
        <f t="shared" si="26"/>
        <v>6.5808584080293517</v>
      </c>
      <c r="AI119">
        <f t="shared" si="27"/>
        <v>70.764866790175162</v>
      </c>
      <c r="AJ119">
        <f t="shared" si="28"/>
        <v>93.245133209824829</v>
      </c>
      <c r="AL119">
        <f t="shared" si="29"/>
        <v>95.166716816058695</v>
      </c>
      <c r="AM119">
        <f t="shared" si="30"/>
        <v>68.843283183941296</v>
      </c>
    </row>
    <row r="120" spans="1:39" ht="16.5" x14ac:dyDescent="0.25">
      <c r="A120" s="1">
        <v>45527</v>
      </c>
      <c r="B120" s="5">
        <v>84.46</v>
      </c>
      <c r="C120" s="4">
        <v>83.54</v>
      </c>
      <c r="D120" s="4">
        <v>84.52</v>
      </c>
      <c r="E120" s="4">
        <v>83.5</v>
      </c>
      <c r="F120" s="4" t="s">
        <v>234</v>
      </c>
      <c r="G120" s="2" t="s">
        <v>235</v>
      </c>
      <c r="I120">
        <f t="shared" si="17"/>
        <v>82.093999999999994</v>
      </c>
      <c r="J120">
        <f t="shared" si="18"/>
        <v>85.645999999999987</v>
      </c>
      <c r="L120">
        <f t="shared" si="19"/>
        <v>1</v>
      </c>
      <c r="M120">
        <f t="shared" si="20"/>
        <v>0</v>
      </c>
      <c r="O120">
        <f t="shared" si="21"/>
        <v>0.91999999999998749</v>
      </c>
      <c r="P120">
        <f t="shared" si="22"/>
        <v>0</v>
      </c>
      <c r="R120">
        <f t="shared" si="23"/>
        <v>0.70000000000000084</v>
      </c>
      <c r="S120">
        <f t="shared" si="24"/>
        <v>0.4057142857142842</v>
      </c>
      <c r="U120">
        <f t="shared" si="25"/>
        <v>63.307493540051794</v>
      </c>
      <c r="AH120">
        <f t="shared" si="26"/>
        <v>6.5362342177746733</v>
      </c>
      <c r="AI120">
        <f t="shared" si="27"/>
        <v>70.853866790175161</v>
      </c>
      <c r="AJ120">
        <f t="shared" si="28"/>
        <v>93.334133209824827</v>
      </c>
      <c r="AL120">
        <f t="shared" si="29"/>
        <v>95.166468435549348</v>
      </c>
      <c r="AM120">
        <f t="shared" si="30"/>
        <v>69.02153156445064</v>
      </c>
    </row>
    <row r="121" spans="1:39" ht="16.5" x14ac:dyDescent="0.25">
      <c r="A121" s="1">
        <v>45526</v>
      </c>
      <c r="B121" s="5">
        <v>83.22</v>
      </c>
      <c r="C121" s="4">
        <v>83.64</v>
      </c>
      <c r="D121" s="4">
        <v>83.64</v>
      </c>
      <c r="E121" s="4">
        <v>82.84</v>
      </c>
      <c r="F121" s="4" t="s">
        <v>236</v>
      </c>
      <c r="G121" s="2" t="s">
        <v>237</v>
      </c>
      <c r="I121">
        <f t="shared" si="17"/>
        <v>82.248999999999995</v>
      </c>
      <c r="J121">
        <f t="shared" si="18"/>
        <v>85.743999999999986</v>
      </c>
      <c r="L121">
        <f t="shared" si="19"/>
        <v>0</v>
      </c>
      <c r="M121">
        <f t="shared" si="20"/>
        <v>1</v>
      </c>
      <c r="O121">
        <f t="shared" si="21"/>
        <v>0</v>
      </c>
      <c r="P121">
        <f t="shared" si="22"/>
        <v>0.42000000000000171</v>
      </c>
      <c r="R121">
        <f t="shared" si="23"/>
        <v>0.66333333333333633</v>
      </c>
      <c r="S121">
        <f t="shared" si="24"/>
        <v>0.35499999999999865</v>
      </c>
      <c r="U121">
        <f t="shared" si="25"/>
        <v>65.139116202946184</v>
      </c>
      <c r="AH121">
        <f t="shared" si="26"/>
        <v>6.4913882724059055</v>
      </c>
      <c r="AI121">
        <f t="shared" si="27"/>
        <v>71.008866790175162</v>
      </c>
      <c r="AJ121">
        <f t="shared" si="28"/>
        <v>93.489133209824828</v>
      </c>
      <c r="AL121">
        <f t="shared" si="29"/>
        <v>95.231776544811808</v>
      </c>
      <c r="AM121">
        <f t="shared" si="30"/>
        <v>69.266223455188182</v>
      </c>
    </row>
    <row r="122" spans="1:39" ht="16.5" x14ac:dyDescent="0.25">
      <c r="A122" s="1">
        <v>45525</v>
      </c>
      <c r="B122" s="5">
        <v>83.56</v>
      </c>
      <c r="C122" s="4">
        <v>82.36</v>
      </c>
      <c r="D122" s="4">
        <v>83.92</v>
      </c>
      <c r="E122" s="4">
        <v>82.36</v>
      </c>
      <c r="F122" s="4" t="s">
        <v>238</v>
      </c>
      <c r="G122" s="2" t="s">
        <v>239</v>
      </c>
      <c r="I122">
        <f t="shared" si="17"/>
        <v>82.49799999999999</v>
      </c>
      <c r="J122">
        <f t="shared" si="18"/>
        <v>85.865999999999971</v>
      </c>
      <c r="L122">
        <f t="shared" si="19"/>
        <v>1</v>
      </c>
      <c r="M122">
        <f t="shared" si="20"/>
        <v>0</v>
      </c>
      <c r="O122">
        <f t="shared" si="21"/>
        <v>1.2000000000000028</v>
      </c>
      <c r="P122">
        <f t="shared" si="22"/>
        <v>0</v>
      </c>
      <c r="R122">
        <f t="shared" si="23"/>
        <v>0.66333333333333633</v>
      </c>
      <c r="S122">
        <f t="shared" si="24"/>
        <v>0.40249999999999808</v>
      </c>
      <c r="U122">
        <f t="shared" si="25"/>
        <v>62.236121970289503</v>
      </c>
      <c r="AH122">
        <f t="shared" si="26"/>
        <v>6.4467342431090362</v>
      </c>
      <c r="AI122">
        <f t="shared" si="27"/>
        <v>71.257866790175157</v>
      </c>
      <c r="AJ122">
        <f t="shared" si="28"/>
        <v>93.738133209824824</v>
      </c>
      <c r="AL122">
        <f t="shared" si="29"/>
        <v>95.391468486218059</v>
      </c>
      <c r="AM122">
        <f t="shared" si="30"/>
        <v>69.604531513781922</v>
      </c>
    </row>
    <row r="123" spans="1:39" ht="16.5" x14ac:dyDescent="0.25">
      <c r="A123" s="1">
        <v>45524</v>
      </c>
      <c r="B123" s="5">
        <v>82.66</v>
      </c>
      <c r="C123" s="4">
        <v>82.8</v>
      </c>
      <c r="D123" s="4">
        <v>83.08</v>
      </c>
      <c r="E123" s="4">
        <v>82.42</v>
      </c>
      <c r="F123" s="4" t="s">
        <v>240</v>
      </c>
      <c r="G123" s="2" t="s">
        <v>241</v>
      </c>
      <c r="I123">
        <f t="shared" si="17"/>
        <v>82.774999999999991</v>
      </c>
      <c r="J123">
        <f t="shared" si="18"/>
        <v>85.975999999999971</v>
      </c>
      <c r="L123">
        <f t="shared" si="19"/>
        <v>0</v>
      </c>
      <c r="M123">
        <f t="shared" si="20"/>
        <v>1</v>
      </c>
      <c r="O123">
        <f t="shared" si="21"/>
        <v>0</v>
      </c>
      <c r="P123">
        <f t="shared" si="22"/>
        <v>0.14000000000000057</v>
      </c>
      <c r="R123">
        <f t="shared" si="23"/>
        <v>0.59666666666666879</v>
      </c>
      <c r="S123">
        <f t="shared" si="24"/>
        <v>0.40249999999999808</v>
      </c>
      <c r="U123">
        <f t="shared" si="25"/>
        <v>59.716430358632394</v>
      </c>
      <c r="AH123">
        <f t="shared" si="26"/>
        <v>6.4028705361305276</v>
      </c>
      <c r="AI123">
        <f t="shared" si="27"/>
        <v>71.534866790175158</v>
      </c>
      <c r="AJ123">
        <f t="shared" si="28"/>
        <v>94.015133209824825</v>
      </c>
      <c r="AL123">
        <f t="shared" si="29"/>
        <v>95.580741072261048</v>
      </c>
      <c r="AM123">
        <f t="shared" si="30"/>
        <v>69.969258927738935</v>
      </c>
    </row>
    <row r="124" spans="1:39" ht="16.5" x14ac:dyDescent="0.25">
      <c r="A124" s="1">
        <v>45523</v>
      </c>
      <c r="B124" s="5">
        <v>82.72</v>
      </c>
      <c r="C124" s="4">
        <v>81.92</v>
      </c>
      <c r="D124" s="4">
        <v>83.18</v>
      </c>
      <c r="E124" s="4">
        <v>81.84</v>
      </c>
      <c r="F124" s="4" t="s">
        <v>242</v>
      </c>
      <c r="G124" s="2" t="s">
        <v>243</v>
      </c>
      <c r="I124">
        <f t="shared" si="17"/>
        <v>83.142999999999986</v>
      </c>
      <c r="J124">
        <f t="shared" si="18"/>
        <v>86.16549999999998</v>
      </c>
      <c r="L124">
        <f t="shared" si="19"/>
        <v>1</v>
      </c>
      <c r="M124">
        <f t="shared" si="20"/>
        <v>0</v>
      </c>
      <c r="O124">
        <f t="shared" si="21"/>
        <v>0.79999999999999716</v>
      </c>
      <c r="P124">
        <f t="shared" si="22"/>
        <v>0</v>
      </c>
      <c r="R124">
        <f t="shared" si="23"/>
        <v>0.59666666666666879</v>
      </c>
      <c r="S124">
        <f t="shared" si="24"/>
        <v>0.46499999999999808</v>
      </c>
      <c r="U124">
        <f t="shared" si="25"/>
        <v>56.200941915227823</v>
      </c>
      <c r="AH124">
        <f t="shared" si="26"/>
        <v>6.3599832662041678</v>
      </c>
      <c r="AI124">
        <f t="shared" si="27"/>
        <v>71.902866790175153</v>
      </c>
      <c r="AJ124">
        <f t="shared" si="28"/>
        <v>94.38313320982482</v>
      </c>
      <c r="AL124">
        <f t="shared" si="29"/>
        <v>95.862966532408322</v>
      </c>
      <c r="AM124">
        <f t="shared" si="30"/>
        <v>70.423033467591651</v>
      </c>
    </row>
    <row r="125" spans="1:39" ht="16.5" x14ac:dyDescent="0.25">
      <c r="A125" s="1">
        <v>45520</v>
      </c>
      <c r="B125" s="5">
        <v>81.739999999999995</v>
      </c>
      <c r="C125" s="4">
        <v>82</v>
      </c>
      <c r="D125" s="4">
        <v>82.22</v>
      </c>
      <c r="E125" s="4">
        <v>81.239999999999995</v>
      </c>
      <c r="F125" s="4" t="s">
        <v>244</v>
      </c>
      <c r="G125" s="2" t="s">
        <v>245</v>
      </c>
      <c r="I125">
        <f t="shared" si="17"/>
        <v>83.552999999999983</v>
      </c>
      <c r="J125">
        <f t="shared" si="18"/>
        <v>86.338499999999968</v>
      </c>
      <c r="L125">
        <f t="shared" si="19"/>
        <v>0</v>
      </c>
      <c r="M125">
        <f t="shared" si="20"/>
        <v>1</v>
      </c>
      <c r="O125">
        <f t="shared" si="21"/>
        <v>0</v>
      </c>
      <c r="P125">
        <f t="shared" si="22"/>
        <v>0.26000000000000512</v>
      </c>
      <c r="R125">
        <f t="shared" si="23"/>
        <v>0.47333333333333627</v>
      </c>
      <c r="S125">
        <f t="shared" si="24"/>
        <v>0.46499999999999808</v>
      </c>
      <c r="U125">
        <f t="shared" si="25"/>
        <v>50.444049733570417</v>
      </c>
      <c r="AH125">
        <f t="shared" si="26"/>
        <v>6.3186489520166385</v>
      </c>
      <c r="AI125">
        <f t="shared" si="27"/>
        <v>72.31286679017515</v>
      </c>
      <c r="AJ125">
        <f t="shared" si="28"/>
        <v>94.793133209824816</v>
      </c>
      <c r="AL125">
        <f t="shared" si="29"/>
        <v>96.190297904033258</v>
      </c>
      <c r="AM125">
        <f t="shared" si="30"/>
        <v>70.915702095966708</v>
      </c>
    </row>
    <row r="126" spans="1:39" ht="16.5" x14ac:dyDescent="0.25">
      <c r="A126" s="1">
        <v>45519</v>
      </c>
      <c r="B126" s="5">
        <v>81.48</v>
      </c>
      <c r="C126" s="4">
        <v>80.36</v>
      </c>
      <c r="D126" s="4">
        <v>81.94</v>
      </c>
      <c r="E126" s="4">
        <v>79.959999999999994</v>
      </c>
      <c r="F126" s="4" t="s">
        <v>246</v>
      </c>
      <c r="G126" s="2" t="s">
        <v>247</v>
      </c>
      <c r="I126">
        <f t="shared" si="17"/>
        <v>83.939999999999984</v>
      </c>
      <c r="J126">
        <f t="shared" si="18"/>
        <v>86.476499999999973</v>
      </c>
      <c r="L126">
        <f t="shared" si="19"/>
        <v>1</v>
      </c>
      <c r="M126">
        <f t="shared" si="20"/>
        <v>0</v>
      </c>
      <c r="O126">
        <f t="shared" si="21"/>
        <v>1.1200000000000045</v>
      </c>
      <c r="P126">
        <f t="shared" si="22"/>
        <v>0</v>
      </c>
      <c r="R126">
        <f t="shared" si="23"/>
        <v>0.47333333333333627</v>
      </c>
      <c r="S126">
        <f t="shared" si="24"/>
        <v>0.59999999999999787</v>
      </c>
      <c r="U126">
        <f t="shared" si="25"/>
        <v>44.099378881987825</v>
      </c>
      <c r="AH126">
        <f t="shared" si="26"/>
        <v>6.2791309303557084</v>
      </c>
      <c r="AI126">
        <f t="shared" si="27"/>
        <v>72.69986679017515</v>
      </c>
      <c r="AJ126">
        <f t="shared" si="28"/>
        <v>95.180133209824817</v>
      </c>
      <c r="AL126">
        <f t="shared" si="29"/>
        <v>96.498261860711395</v>
      </c>
      <c r="AM126">
        <f t="shared" si="30"/>
        <v>71.381738139288572</v>
      </c>
    </row>
    <row r="127" spans="1:39" ht="16.5" x14ac:dyDescent="0.25">
      <c r="A127" s="1">
        <v>45518</v>
      </c>
      <c r="B127" s="5">
        <v>80.040000000000006</v>
      </c>
      <c r="C127" s="4">
        <v>79.78</v>
      </c>
      <c r="D127" s="4">
        <v>80.72</v>
      </c>
      <c r="E127" s="4">
        <v>79.58</v>
      </c>
      <c r="F127" s="4" t="s">
        <v>248</v>
      </c>
      <c r="G127" s="2" t="s">
        <v>249</v>
      </c>
      <c r="I127">
        <f t="shared" si="17"/>
        <v>84.431999999999988</v>
      </c>
      <c r="J127">
        <f t="shared" si="18"/>
        <v>86.648999999999972</v>
      </c>
      <c r="L127">
        <f t="shared" si="19"/>
        <v>1</v>
      </c>
      <c r="M127">
        <f t="shared" si="20"/>
        <v>0</v>
      </c>
      <c r="O127">
        <f t="shared" si="21"/>
        <v>0.26000000000000512</v>
      </c>
      <c r="P127">
        <f t="shared" si="22"/>
        <v>0</v>
      </c>
      <c r="R127">
        <f t="shared" si="23"/>
        <v>0.36333333333333684</v>
      </c>
      <c r="S127">
        <f t="shared" si="24"/>
        <v>0.59999999999999787</v>
      </c>
      <c r="U127">
        <f t="shared" si="25"/>
        <v>37.716262975778861</v>
      </c>
      <c r="AH127">
        <f t="shared" si="26"/>
        <v>6.2412911591069582</v>
      </c>
      <c r="AI127">
        <f t="shared" si="27"/>
        <v>73.191866790175155</v>
      </c>
      <c r="AJ127">
        <f t="shared" si="28"/>
        <v>95.672133209824821</v>
      </c>
      <c r="AL127">
        <f t="shared" si="29"/>
        <v>96.914582318213903</v>
      </c>
      <c r="AM127">
        <f t="shared" si="30"/>
        <v>71.949417681786073</v>
      </c>
    </row>
    <row r="128" spans="1:39" ht="16.5" x14ac:dyDescent="0.25">
      <c r="A128" s="1">
        <v>45517</v>
      </c>
      <c r="B128" s="5">
        <v>79.319999999999993</v>
      </c>
      <c r="C128" s="4">
        <v>79.3</v>
      </c>
      <c r="D128" s="4">
        <v>79.540000000000006</v>
      </c>
      <c r="E128" s="4">
        <v>78.739999999999995</v>
      </c>
      <c r="F128" s="4" t="s">
        <v>250</v>
      </c>
      <c r="G128" s="2" t="s">
        <v>251</v>
      </c>
      <c r="I128">
        <f t="shared" si="17"/>
        <v>84.915000000000006</v>
      </c>
      <c r="J128">
        <f t="shared" si="18"/>
        <v>86.861499999999992</v>
      </c>
      <c r="L128">
        <f t="shared" si="19"/>
        <v>1</v>
      </c>
      <c r="M128">
        <f t="shared" si="20"/>
        <v>0</v>
      </c>
      <c r="O128">
        <f t="shared" si="21"/>
        <v>1.9999999999996021E-2</v>
      </c>
      <c r="P128">
        <f t="shared" si="22"/>
        <v>0</v>
      </c>
      <c r="R128">
        <f t="shared" si="23"/>
        <v>0.35333333333333644</v>
      </c>
      <c r="S128">
        <f t="shared" si="24"/>
        <v>0.59999999999999787</v>
      </c>
      <c r="U128">
        <f t="shared" si="25"/>
        <v>37.062937062937351</v>
      </c>
      <c r="AH128">
        <f t="shared" si="26"/>
        <v>6.2057515391754912</v>
      </c>
      <c r="AI128">
        <f t="shared" si="27"/>
        <v>73.674866790175173</v>
      </c>
      <c r="AJ128">
        <f t="shared" si="28"/>
        <v>96.155133209824839</v>
      </c>
      <c r="AL128">
        <f t="shared" si="29"/>
        <v>97.326503078350981</v>
      </c>
      <c r="AM128">
        <f t="shared" si="30"/>
        <v>72.503496921649031</v>
      </c>
    </row>
    <row r="129" spans="1:39" ht="16.5" x14ac:dyDescent="0.25">
      <c r="A129" s="1">
        <v>45516</v>
      </c>
      <c r="B129" s="5">
        <v>78.98</v>
      </c>
      <c r="C129" s="4">
        <v>80</v>
      </c>
      <c r="D129" s="4">
        <v>80.2</v>
      </c>
      <c r="E129" s="4">
        <v>78.739999999999995</v>
      </c>
      <c r="F129" s="4" t="s">
        <v>252</v>
      </c>
      <c r="G129" s="2" t="s">
        <v>253</v>
      </c>
      <c r="I129">
        <f t="shared" si="17"/>
        <v>85.393000000000001</v>
      </c>
      <c r="J129">
        <f t="shared" si="18"/>
        <v>87.067999999999984</v>
      </c>
      <c r="L129">
        <f t="shared" si="19"/>
        <v>0</v>
      </c>
      <c r="M129">
        <f t="shared" si="20"/>
        <v>1</v>
      </c>
      <c r="O129">
        <f t="shared" si="21"/>
        <v>0</v>
      </c>
      <c r="P129">
        <f t="shared" si="22"/>
        <v>1.019999999999996</v>
      </c>
      <c r="R129">
        <f t="shared" si="23"/>
        <v>0.36666666666666953</v>
      </c>
      <c r="S129">
        <f t="shared" si="24"/>
        <v>0.59999999999999787</v>
      </c>
      <c r="U129">
        <f t="shared" si="25"/>
        <v>37.931034482758889</v>
      </c>
      <c r="AH129">
        <f t="shared" si="26"/>
        <v>6.1724416105833972</v>
      </c>
      <c r="AI129">
        <f t="shared" si="27"/>
        <v>74.152866790175167</v>
      </c>
      <c r="AJ129">
        <f t="shared" si="28"/>
        <v>96.633133209824834</v>
      </c>
      <c r="AL129">
        <f t="shared" si="29"/>
        <v>97.737883221166797</v>
      </c>
      <c r="AM129">
        <f t="shared" si="30"/>
        <v>73.048116778833204</v>
      </c>
    </row>
    <row r="130" spans="1:39" ht="16.5" x14ac:dyDescent="0.25">
      <c r="A130" s="1">
        <v>45513</v>
      </c>
      <c r="B130" s="5">
        <v>79.7</v>
      </c>
      <c r="C130" s="4">
        <v>79.8</v>
      </c>
      <c r="D130" s="4">
        <v>80.8</v>
      </c>
      <c r="E130" s="4">
        <v>79.56</v>
      </c>
      <c r="F130" s="4" t="s">
        <v>254</v>
      </c>
      <c r="G130" s="2" t="s">
        <v>186</v>
      </c>
      <c r="I130">
        <f t="shared" si="17"/>
        <v>85.935000000000002</v>
      </c>
      <c r="J130">
        <f t="shared" si="18"/>
        <v>87.295499999999976</v>
      </c>
      <c r="L130">
        <f t="shared" si="19"/>
        <v>0</v>
      </c>
      <c r="M130">
        <f t="shared" si="20"/>
        <v>1</v>
      </c>
      <c r="O130">
        <f t="shared" si="21"/>
        <v>0</v>
      </c>
      <c r="P130">
        <f t="shared" si="22"/>
        <v>9.9999999999994316E-2</v>
      </c>
      <c r="R130">
        <f t="shared" si="23"/>
        <v>0.36666666666666953</v>
      </c>
      <c r="S130">
        <f t="shared" si="24"/>
        <v>0.52499999999999858</v>
      </c>
      <c r="U130">
        <f t="shared" si="25"/>
        <v>41.121495327103055</v>
      </c>
      <c r="AH130">
        <f t="shared" si="26"/>
        <v>6.1413125465551861</v>
      </c>
      <c r="AI130">
        <f t="shared" si="27"/>
        <v>74.694866790175169</v>
      </c>
      <c r="AJ130">
        <f t="shared" si="28"/>
        <v>97.175133209824835</v>
      </c>
      <c r="AL130">
        <f t="shared" si="29"/>
        <v>98.217625093110371</v>
      </c>
      <c r="AM130">
        <f t="shared" si="30"/>
        <v>73.652374906889634</v>
      </c>
    </row>
    <row r="131" spans="1:39" ht="16.5" x14ac:dyDescent="0.25">
      <c r="A131" s="1">
        <v>45512</v>
      </c>
      <c r="B131" s="5">
        <v>79.819999999999993</v>
      </c>
      <c r="C131" s="4">
        <v>80.02</v>
      </c>
      <c r="D131" s="4">
        <v>80.06</v>
      </c>
      <c r="E131" s="4">
        <v>79.319999999999993</v>
      </c>
      <c r="F131" s="4" t="s">
        <v>255</v>
      </c>
      <c r="G131" s="2" t="s">
        <v>168</v>
      </c>
      <c r="I131">
        <f t="shared" ref="I131:I194" si="31">AVERAGE(B131:B150)</f>
        <v>86.559000000000012</v>
      </c>
      <c r="J131">
        <f t="shared" ref="J131:J194" si="32">AVERAGE(B131:B170)</f>
        <v>87.475499999999997</v>
      </c>
      <c r="L131">
        <f t="shared" ref="L131:L194" si="33">IF($C131&lt;$B131,1,0)</f>
        <v>0</v>
      </c>
      <c r="M131">
        <f t="shared" ref="M131:M194" si="34">IF($C131&lt;$B131,0,1)</f>
        <v>1</v>
      </c>
      <c r="O131">
        <f t="shared" ref="O131:O194" si="35">IF($C131&lt;$B131,B131-C131,0)</f>
        <v>0</v>
      </c>
      <c r="P131">
        <f t="shared" ref="P131:P194" si="36">IF($B131&lt;$C131,C131-B131,0)</f>
        <v>0.20000000000000284</v>
      </c>
      <c r="R131">
        <f t="shared" ref="R131:R194" si="37">SUM(O131:O144)/SUM(L131:L144)</f>
        <v>0.41428571428571714</v>
      </c>
      <c r="S131">
        <f t="shared" ref="S131:S194" si="38">SUM(P131:P144)/SUM(M131:M144)</f>
        <v>0.58571428571428485</v>
      </c>
      <c r="U131">
        <f t="shared" ref="U131:U194" si="39">100-(100/(1+(R131/S131)))</f>
        <v>41.42857142857163</v>
      </c>
      <c r="AH131">
        <f t="shared" ref="AH131:AH194" si="40">_xlfn.STDEV.S(I131:I661)</f>
        <v>6.1126908321388562</v>
      </c>
      <c r="AI131">
        <f t="shared" ref="AI131:AI194" si="41">I131-$AH$2</f>
        <v>75.318866790175178</v>
      </c>
      <c r="AJ131">
        <f t="shared" ref="AJ131:AJ194" si="42">I131+$AH$2</f>
        <v>97.799133209824845</v>
      </c>
      <c r="AL131">
        <f t="shared" ref="AL131:AL194" si="43">I131+(AH131*2)</f>
        <v>98.784381664277731</v>
      </c>
      <c r="AM131">
        <f t="shared" ref="AM131:AM194" si="44">I131-(AH131*2)</f>
        <v>74.333618335722292</v>
      </c>
    </row>
    <row r="132" spans="1:39" ht="16.5" x14ac:dyDescent="0.25">
      <c r="A132" s="1">
        <v>45511</v>
      </c>
      <c r="B132" s="5">
        <v>80.400000000000006</v>
      </c>
      <c r="C132" s="4">
        <v>79.819999999999993</v>
      </c>
      <c r="D132" s="4">
        <v>81.48</v>
      </c>
      <c r="E132" s="4">
        <v>79.7</v>
      </c>
      <c r="F132" s="4" t="s">
        <v>256</v>
      </c>
      <c r="G132" s="2" t="s">
        <v>257</v>
      </c>
      <c r="I132">
        <f t="shared" si="31"/>
        <v>87.118000000000009</v>
      </c>
      <c r="J132">
        <f t="shared" si="32"/>
        <v>87.686499999999995</v>
      </c>
      <c r="L132">
        <f t="shared" si="33"/>
        <v>1</v>
      </c>
      <c r="M132">
        <f t="shared" si="34"/>
        <v>0</v>
      </c>
      <c r="O132">
        <f t="shared" si="35"/>
        <v>0.58000000000001251</v>
      </c>
      <c r="P132">
        <f t="shared" si="36"/>
        <v>0</v>
      </c>
      <c r="R132">
        <f t="shared" si="37"/>
        <v>0.41428571428571714</v>
      </c>
      <c r="S132">
        <f t="shared" si="38"/>
        <v>0.71714285714285453</v>
      </c>
      <c r="U132">
        <f t="shared" si="39"/>
        <v>36.616161616161861</v>
      </c>
      <c r="AH132">
        <f t="shared" si="40"/>
        <v>6.0869638509959003</v>
      </c>
      <c r="AI132">
        <f t="shared" si="41"/>
        <v>75.877866790175176</v>
      </c>
      <c r="AJ132">
        <f t="shared" si="42"/>
        <v>98.358133209824842</v>
      </c>
      <c r="AL132">
        <f t="shared" si="43"/>
        <v>99.29192770199181</v>
      </c>
      <c r="AM132">
        <f t="shared" si="44"/>
        <v>74.944072298008209</v>
      </c>
    </row>
    <row r="133" spans="1:39" ht="16.5" x14ac:dyDescent="0.25">
      <c r="A133" s="1">
        <v>45510</v>
      </c>
      <c r="B133" s="5">
        <v>79.540000000000006</v>
      </c>
      <c r="C133" s="4">
        <v>80.239999999999995</v>
      </c>
      <c r="D133" s="4">
        <v>81.02</v>
      </c>
      <c r="E133" s="4">
        <v>79.099999999999994</v>
      </c>
      <c r="F133" s="4" t="s">
        <v>101</v>
      </c>
      <c r="G133" s="2" t="s">
        <v>258</v>
      </c>
      <c r="I133">
        <f t="shared" si="31"/>
        <v>87.573000000000008</v>
      </c>
      <c r="J133">
        <f t="shared" si="32"/>
        <v>87.933000000000021</v>
      </c>
      <c r="L133">
        <f t="shared" si="33"/>
        <v>0</v>
      </c>
      <c r="M133">
        <f t="shared" si="34"/>
        <v>1</v>
      </c>
      <c r="O133">
        <f t="shared" si="35"/>
        <v>0</v>
      </c>
      <c r="P133">
        <f t="shared" si="36"/>
        <v>0.69999999999998863</v>
      </c>
      <c r="R133">
        <f t="shared" si="37"/>
        <v>0.49428571428571338</v>
      </c>
      <c r="S133">
        <f t="shared" si="38"/>
        <v>0.71714285714285453</v>
      </c>
      <c r="U133">
        <f t="shared" si="39"/>
        <v>40.801886792452869</v>
      </c>
      <c r="AH133">
        <f t="shared" si="40"/>
        <v>6.0637254664238736</v>
      </c>
      <c r="AI133">
        <f t="shared" si="41"/>
        <v>76.332866790175174</v>
      </c>
      <c r="AJ133">
        <f t="shared" si="42"/>
        <v>98.813133209824841</v>
      </c>
      <c r="AL133">
        <f t="shared" si="43"/>
        <v>99.700450932847758</v>
      </c>
      <c r="AM133">
        <f t="shared" si="44"/>
        <v>75.445549067152257</v>
      </c>
    </row>
    <row r="134" spans="1:39" ht="16.5" x14ac:dyDescent="0.25">
      <c r="A134" s="1">
        <v>45509</v>
      </c>
      <c r="B134" s="5">
        <v>79.819999999999993</v>
      </c>
      <c r="C134" s="4">
        <v>79.819999999999993</v>
      </c>
      <c r="D134" s="4">
        <v>80.8</v>
      </c>
      <c r="E134" s="4">
        <v>77.98</v>
      </c>
      <c r="F134" s="4" t="s">
        <v>259</v>
      </c>
      <c r="G134" s="2" t="s">
        <v>260</v>
      </c>
      <c r="I134">
        <f t="shared" si="31"/>
        <v>87.981000000000009</v>
      </c>
      <c r="J134">
        <f t="shared" si="32"/>
        <v>88.222500000000011</v>
      </c>
      <c r="L134">
        <f t="shared" si="33"/>
        <v>0</v>
      </c>
      <c r="M134">
        <f t="shared" si="34"/>
        <v>1</v>
      </c>
      <c r="O134">
        <f t="shared" si="35"/>
        <v>0</v>
      </c>
      <c r="P134">
        <f t="shared" si="36"/>
        <v>0</v>
      </c>
      <c r="R134">
        <f t="shared" si="37"/>
        <v>0.52749999999999986</v>
      </c>
      <c r="S134">
        <f t="shared" si="38"/>
        <v>0.71999999999999886</v>
      </c>
      <c r="U134">
        <f t="shared" si="39"/>
        <v>42.284569138276581</v>
      </c>
      <c r="AH134">
        <f t="shared" si="40"/>
        <v>6.0424051176454592</v>
      </c>
      <c r="AI134">
        <f t="shared" si="41"/>
        <v>76.740866790175176</v>
      </c>
      <c r="AJ134">
        <f t="shared" si="42"/>
        <v>99.221133209824842</v>
      </c>
      <c r="AL134">
        <f t="shared" si="43"/>
        <v>100.06581023529093</v>
      </c>
      <c r="AM134">
        <f t="shared" si="44"/>
        <v>75.896189764709092</v>
      </c>
    </row>
    <row r="135" spans="1:39" ht="16.5" x14ac:dyDescent="0.25">
      <c r="A135" s="1">
        <v>45506</v>
      </c>
      <c r="B135" s="5">
        <v>82.06</v>
      </c>
      <c r="C135" s="4">
        <v>82.86</v>
      </c>
      <c r="D135" s="4">
        <v>83.24</v>
      </c>
      <c r="E135" s="4">
        <v>81.84</v>
      </c>
      <c r="F135" s="4" t="s">
        <v>116</v>
      </c>
      <c r="G135" s="2" t="s">
        <v>261</v>
      </c>
      <c r="I135">
        <f t="shared" si="31"/>
        <v>88.346000000000004</v>
      </c>
      <c r="J135">
        <f t="shared" si="32"/>
        <v>88.509500000000017</v>
      </c>
      <c r="L135">
        <f t="shared" si="33"/>
        <v>0</v>
      </c>
      <c r="M135">
        <f t="shared" si="34"/>
        <v>1</v>
      </c>
      <c r="O135">
        <f t="shared" si="35"/>
        <v>0</v>
      </c>
      <c r="P135">
        <f t="shared" si="36"/>
        <v>0.79999999999999716</v>
      </c>
      <c r="R135">
        <f t="shared" si="37"/>
        <v>0.52749999999999986</v>
      </c>
      <c r="S135">
        <f t="shared" si="38"/>
        <v>0.76000000000000034</v>
      </c>
      <c r="U135">
        <f t="shared" si="39"/>
        <v>40.970873786407751</v>
      </c>
      <c r="AH135">
        <f t="shared" si="40"/>
        <v>6.0227430580067463</v>
      </c>
      <c r="AI135">
        <f t="shared" si="41"/>
        <v>77.10586679017517</v>
      </c>
      <c r="AJ135">
        <f t="shared" si="42"/>
        <v>99.586133209824837</v>
      </c>
      <c r="AL135">
        <f t="shared" si="43"/>
        <v>100.3914861160135</v>
      </c>
      <c r="AM135">
        <f t="shared" si="44"/>
        <v>76.300513883986511</v>
      </c>
    </row>
    <row r="136" spans="1:39" ht="16.5" x14ac:dyDescent="0.25">
      <c r="A136" s="1">
        <v>45505</v>
      </c>
      <c r="B136" s="5">
        <v>83.2</v>
      </c>
      <c r="C136" s="4">
        <v>82.4</v>
      </c>
      <c r="D136" s="4">
        <v>84.5</v>
      </c>
      <c r="E136" s="4">
        <v>81.36</v>
      </c>
      <c r="F136" s="4" t="s">
        <v>262</v>
      </c>
      <c r="G136" s="2" t="s">
        <v>263</v>
      </c>
      <c r="I136">
        <f t="shared" si="31"/>
        <v>88.628000000000014</v>
      </c>
      <c r="J136">
        <f t="shared" si="32"/>
        <v>88.737500000000011</v>
      </c>
      <c r="L136">
        <f t="shared" si="33"/>
        <v>1</v>
      </c>
      <c r="M136">
        <f t="shared" si="34"/>
        <v>0</v>
      </c>
      <c r="O136">
        <f t="shared" si="35"/>
        <v>0.79999999999999716</v>
      </c>
      <c r="P136">
        <f t="shared" si="36"/>
        <v>0</v>
      </c>
      <c r="R136">
        <f t="shared" si="37"/>
        <v>0.52749999999999986</v>
      </c>
      <c r="S136">
        <f t="shared" si="38"/>
        <v>0.9400000000000025</v>
      </c>
      <c r="U136">
        <f t="shared" si="39"/>
        <v>35.945485519591074</v>
      </c>
      <c r="AH136">
        <f t="shared" si="40"/>
        <v>6.0045119658998383</v>
      </c>
      <c r="AI136">
        <f t="shared" si="41"/>
        <v>77.387866790175181</v>
      </c>
      <c r="AJ136">
        <f t="shared" si="42"/>
        <v>99.868133209824848</v>
      </c>
      <c r="AL136">
        <f t="shared" si="43"/>
        <v>100.63702393179969</v>
      </c>
      <c r="AM136">
        <f t="shared" si="44"/>
        <v>76.61897606820034</v>
      </c>
    </row>
    <row r="137" spans="1:39" ht="16.5" x14ac:dyDescent="0.25">
      <c r="A137" s="1">
        <v>45504</v>
      </c>
      <c r="B137" s="5">
        <v>85.82</v>
      </c>
      <c r="C137" s="4">
        <v>86.46</v>
      </c>
      <c r="D137" s="4">
        <v>86.84</v>
      </c>
      <c r="E137" s="4">
        <v>85.5</v>
      </c>
      <c r="F137" s="4" t="s">
        <v>56</v>
      </c>
      <c r="G137" s="2" t="s">
        <v>264</v>
      </c>
      <c r="I137">
        <f t="shared" si="31"/>
        <v>88.876000000000019</v>
      </c>
      <c r="J137">
        <f t="shared" si="32"/>
        <v>88.945000000000022</v>
      </c>
      <c r="L137">
        <f t="shared" si="33"/>
        <v>0</v>
      </c>
      <c r="M137">
        <f t="shared" si="34"/>
        <v>1</v>
      </c>
      <c r="O137">
        <f t="shared" si="35"/>
        <v>0</v>
      </c>
      <c r="P137">
        <f t="shared" si="36"/>
        <v>0.64000000000000057</v>
      </c>
      <c r="R137">
        <f t="shared" si="37"/>
        <v>0.53500000000000192</v>
      </c>
      <c r="S137">
        <f t="shared" si="38"/>
        <v>0.9400000000000025</v>
      </c>
      <c r="U137">
        <f t="shared" si="39"/>
        <v>36.271186440677987</v>
      </c>
      <c r="AH137">
        <f t="shared" si="40"/>
        <v>5.9873124339859061</v>
      </c>
      <c r="AI137">
        <f t="shared" si="41"/>
        <v>77.635866790175186</v>
      </c>
      <c r="AJ137">
        <f t="shared" si="42"/>
        <v>100.11613320982485</v>
      </c>
      <c r="AL137">
        <f t="shared" si="43"/>
        <v>100.85062486797183</v>
      </c>
      <c r="AM137">
        <f t="shared" si="44"/>
        <v>76.901375132028207</v>
      </c>
    </row>
    <row r="138" spans="1:39" ht="16.5" x14ac:dyDescent="0.25">
      <c r="A138" s="1">
        <v>45503</v>
      </c>
      <c r="B138" s="5">
        <v>86.76</v>
      </c>
      <c r="C138" s="4">
        <v>86.7</v>
      </c>
      <c r="D138" s="4">
        <v>87.28</v>
      </c>
      <c r="E138" s="4">
        <v>86.16</v>
      </c>
      <c r="F138" s="4" t="s">
        <v>265</v>
      </c>
      <c r="G138" s="2" t="s">
        <v>266</v>
      </c>
      <c r="I138">
        <f t="shared" si="31"/>
        <v>89.007000000000019</v>
      </c>
      <c r="J138">
        <f t="shared" si="32"/>
        <v>89.085000000000008</v>
      </c>
      <c r="L138">
        <f t="shared" si="33"/>
        <v>1</v>
      </c>
      <c r="M138">
        <f t="shared" si="34"/>
        <v>0</v>
      </c>
      <c r="O138">
        <f t="shared" si="35"/>
        <v>6.0000000000002274E-2</v>
      </c>
      <c r="P138">
        <f t="shared" si="36"/>
        <v>0</v>
      </c>
      <c r="R138">
        <f t="shared" si="37"/>
        <v>0.58666666666666833</v>
      </c>
      <c r="S138">
        <f t="shared" si="38"/>
        <v>1.0000000000000029</v>
      </c>
      <c r="U138">
        <f t="shared" si="39"/>
        <v>36.97478991596639</v>
      </c>
      <c r="AH138">
        <f t="shared" si="40"/>
        <v>5.9709833227915183</v>
      </c>
      <c r="AI138">
        <f t="shared" si="41"/>
        <v>77.766866790175186</v>
      </c>
      <c r="AJ138">
        <f t="shared" si="42"/>
        <v>100.24713320982485</v>
      </c>
      <c r="AL138">
        <f t="shared" si="43"/>
        <v>100.94896664558306</v>
      </c>
      <c r="AM138">
        <f t="shared" si="44"/>
        <v>77.065033354416983</v>
      </c>
    </row>
    <row r="139" spans="1:39" ht="16.5" x14ac:dyDescent="0.25">
      <c r="A139" s="1">
        <v>45502</v>
      </c>
      <c r="B139" s="5">
        <v>86.58</v>
      </c>
      <c r="C139" s="4">
        <v>87.92</v>
      </c>
      <c r="D139" s="4">
        <v>88.16</v>
      </c>
      <c r="E139" s="4">
        <v>86.24</v>
      </c>
      <c r="F139" s="4" t="s">
        <v>267</v>
      </c>
      <c r="G139" s="2" t="s">
        <v>172</v>
      </c>
      <c r="I139">
        <f t="shared" si="31"/>
        <v>89.070000000000007</v>
      </c>
      <c r="J139">
        <f t="shared" si="32"/>
        <v>89.217000000000013</v>
      </c>
      <c r="L139">
        <f t="shared" si="33"/>
        <v>0</v>
      </c>
      <c r="M139">
        <f t="shared" si="34"/>
        <v>1</v>
      </c>
      <c r="O139">
        <f t="shared" si="35"/>
        <v>0</v>
      </c>
      <c r="P139">
        <f t="shared" si="36"/>
        <v>1.3400000000000034</v>
      </c>
      <c r="R139">
        <f t="shared" si="37"/>
        <v>0.74888888888888994</v>
      </c>
      <c r="S139">
        <f t="shared" si="38"/>
        <v>1.0000000000000029</v>
      </c>
      <c r="U139">
        <f t="shared" si="39"/>
        <v>42.820838627700091</v>
      </c>
      <c r="AH139">
        <f t="shared" si="40"/>
        <v>5.9549967386501832</v>
      </c>
      <c r="AI139">
        <f t="shared" si="41"/>
        <v>77.829866790175174</v>
      </c>
      <c r="AJ139">
        <f t="shared" si="42"/>
        <v>100.31013320982484</v>
      </c>
      <c r="AL139">
        <f t="shared" si="43"/>
        <v>100.97999347730037</v>
      </c>
      <c r="AM139">
        <f t="shared" si="44"/>
        <v>77.160006522699646</v>
      </c>
    </row>
    <row r="140" spans="1:39" ht="16.5" x14ac:dyDescent="0.25">
      <c r="A140" s="1">
        <v>45499</v>
      </c>
      <c r="B140" s="5">
        <v>87.56</v>
      </c>
      <c r="C140" s="4">
        <v>87.1</v>
      </c>
      <c r="D140" s="4">
        <v>88.5</v>
      </c>
      <c r="E140" s="4">
        <v>86.78</v>
      </c>
      <c r="F140" s="4" t="s">
        <v>268</v>
      </c>
      <c r="G140" s="2" t="s">
        <v>174</v>
      </c>
      <c r="I140">
        <f t="shared" si="31"/>
        <v>89.198000000000008</v>
      </c>
      <c r="J140">
        <f t="shared" si="32"/>
        <v>89.384000000000015</v>
      </c>
      <c r="L140">
        <f t="shared" si="33"/>
        <v>1</v>
      </c>
      <c r="M140">
        <f t="shared" si="34"/>
        <v>0</v>
      </c>
      <c r="O140">
        <f t="shared" si="35"/>
        <v>0.46000000000000796</v>
      </c>
      <c r="P140">
        <f t="shared" si="36"/>
        <v>0</v>
      </c>
      <c r="R140">
        <f t="shared" si="37"/>
        <v>0.70200000000000107</v>
      </c>
      <c r="S140">
        <f t="shared" si="38"/>
        <v>0.9150000000000027</v>
      </c>
      <c r="U140">
        <f t="shared" si="39"/>
        <v>43.413729128014808</v>
      </c>
      <c r="AH140">
        <f t="shared" si="40"/>
        <v>5.9390491624617257</v>
      </c>
      <c r="AI140">
        <f t="shared" si="41"/>
        <v>77.957866790175174</v>
      </c>
      <c r="AJ140">
        <f t="shared" si="42"/>
        <v>100.43813320982484</v>
      </c>
      <c r="AL140">
        <f t="shared" si="43"/>
        <v>101.07609832492346</v>
      </c>
      <c r="AM140">
        <f t="shared" si="44"/>
        <v>77.319901675076551</v>
      </c>
    </row>
    <row r="141" spans="1:39" ht="16.5" x14ac:dyDescent="0.25">
      <c r="A141" s="1">
        <v>45498</v>
      </c>
      <c r="B141" s="5">
        <v>88.2</v>
      </c>
      <c r="C141" s="4">
        <v>88</v>
      </c>
      <c r="D141" s="4">
        <v>88.26</v>
      </c>
      <c r="E141" s="4">
        <v>86.9</v>
      </c>
      <c r="F141" s="4" t="s">
        <v>269</v>
      </c>
      <c r="G141" s="2" t="s">
        <v>270</v>
      </c>
      <c r="I141">
        <f t="shared" si="31"/>
        <v>89.239000000000004</v>
      </c>
      <c r="J141">
        <f t="shared" si="32"/>
        <v>89.524500000000018</v>
      </c>
      <c r="L141">
        <f t="shared" si="33"/>
        <v>1</v>
      </c>
      <c r="M141">
        <f t="shared" si="34"/>
        <v>0</v>
      </c>
      <c r="O141">
        <f t="shared" si="35"/>
        <v>0.20000000000000284</v>
      </c>
      <c r="P141">
        <f t="shared" si="36"/>
        <v>0</v>
      </c>
      <c r="R141">
        <f t="shared" si="37"/>
        <v>0.72888888888888914</v>
      </c>
      <c r="S141">
        <f t="shared" si="38"/>
        <v>0.82400000000000095</v>
      </c>
      <c r="U141">
        <f t="shared" si="39"/>
        <v>46.937607326846006</v>
      </c>
      <c r="AH141">
        <f t="shared" si="40"/>
        <v>5.9234336285956211</v>
      </c>
      <c r="AI141">
        <f t="shared" si="41"/>
        <v>77.998866790175171</v>
      </c>
      <c r="AJ141">
        <f t="shared" si="42"/>
        <v>100.47913320982484</v>
      </c>
      <c r="AL141">
        <f t="shared" si="43"/>
        <v>101.08586725719124</v>
      </c>
      <c r="AM141">
        <f t="shared" si="44"/>
        <v>77.392132742808769</v>
      </c>
    </row>
    <row r="142" spans="1:39" ht="16.5" x14ac:dyDescent="0.25">
      <c r="A142" s="1">
        <v>45497</v>
      </c>
      <c r="B142" s="5">
        <v>89.1</v>
      </c>
      <c r="C142" s="4">
        <v>89</v>
      </c>
      <c r="D142" s="4">
        <v>89.86</v>
      </c>
      <c r="E142" s="4">
        <v>88.46</v>
      </c>
      <c r="F142" s="4" t="s">
        <v>271</v>
      </c>
      <c r="G142" s="2" t="s">
        <v>272</v>
      </c>
      <c r="I142">
        <f t="shared" si="31"/>
        <v>89.234000000000009</v>
      </c>
      <c r="J142">
        <f t="shared" si="32"/>
        <v>89.634500000000031</v>
      </c>
      <c r="L142">
        <f t="shared" si="33"/>
        <v>1</v>
      </c>
      <c r="M142">
        <f t="shared" si="34"/>
        <v>0</v>
      </c>
      <c r="O142">
        <f t="shared" si="35"/>
        <v>9.9999999999994316E-2</v>
      </c>
      <c r="P142">
        <f t="shared" si="36"/>
        <v>0</v>
      </c>
      <c r="R142">
        <f t="shared" si="37"/>
        <v>0.79499999999999993</v>
      </c>
      <c r="S142">
        <f t="shared" si="38"/>
        <v>0.78999999999999915</v>
      </c>
      <c r="U142">
        <f t="shared" si="39"/>
        <v>50.157728706624631</v>
      </c>
      <c r="AH142">
        <f t="shared" si="40"/>
        <v>5.9077618869412145</v>
      </c>
      <c r="AI142">
        <f t="shared" si="41"/>
        <v>77.993866790175176</v>
      </c>
      <c r="AJ142">
        <f t="shared" si="42"/>
        <v>100.47413320982484</v>
      </c>
      <c r="AL142">
        <f t="shared" si="43"/>
        <v>101.04952377388244</v>
      </c>
      <c r="AM142">
        <f t="shared" si="44"/>
        <v>77.418476226117576</v>
      </c>
    </row>
    <row r="143" spans="1:39" ht="16.5" x14ac:dyDescent="0.25">
      <c r="A143" s="1">
        <v>45496</v>
      </c>
      <c r="B143" s="5">
        <v>90.02</v>
      </c>
      <c r="C143" s="4">
        <v>90.44</v>
      </c>
      <c r="D143" s="4">
        <v>91.46</v>
      </c>
      <c r="E143" s="4">
        <v>89.52</v>
      </c>
      <c r="F143" s="4" t="s">
        <v>273</v>
      </c>
      <c r="G143" s="2" t="s">
        <v>274</v>
      </c>
      <c r="I143">
        <f t="shared" si="31"/>
        <v>89.176999999999992</v>
      </c>
      <c r="J143">
        <f t="shared" si="32"/>
        <v>89.702500000000015</v>
      </c>
      <c r="L143">
        <f t="shared" si="33"/>
        <v>0</v>
      </c>
      <c r="M143">
        <f t="shared" si="34"/>
        <v>1</v>
      </c>
      <c r="O143">
        <f t="shared" si="35"/>
        <v>0</v>
      </c>
      <c r="P143">
        <f t="shared" si="36"/>
        <v>0.42000000000000171</v>
      </c>
      <c r="R143">
        <f t="shared" si="37"/>
        <v>0.89428571428571502</v>
      </c>
      <c r="S143">
        <f t="shared" si="38"/>
        <v>0.69714285714285651</v>
      </c>
      <c r="U143">
        <f t="shared" si="39"/>
        <v>56.193895870736128</v>
      </c>
      <c r="AH143">
        <f t="shared" si="40"/>
        <v>5.8918247117779003</v>
      </c>
      <c r="AI143">
        <f t="shared" si="41"/>
        <v>77.936866790175159</v>
      </c>
      <c r="AJ143">
        <f t="shared" si="42"/>
        <v>100.41713320982483</v>
      </c>
      <c r="AL143">
        <f t="shared" si="43"/>
        <v>100.96064942355579</v>
      </c>
      <c r="AM143">
        <f t="shared" si="44"/>
        <v>77.393350576444192</v>
      </c>
    </row>
    <row r="144" spans="1:39" ht="16.5" x14ac:dyDescent="0.25">
      <c r="A144" s="1">
        <v>45495</v>
      </c>
      <c r="B144" s="5">
        <v>90.92</v>
      </c>
      <c r="C144" s="4">
        <v>90.22</v>
      </c>
      <c r="D144" s="4">
        <v>91.56</v>
      </c>
      <c r="E144" s="4">
        <v>89.98</v>
      </c>
      <c r="F144" s="4" t="s">
        <v>275</v>
      </c>
      <c r="G144" s="2" t="s">
        <v>276</v>
      </c>
      <c r="I144">
        <f t="shared" si="31"/>
        <v>89.188000000000002</v>
      </c>
      <c r="J144">
        <f t="shared" si="32"/>
        <v>89.797000000000011</v>
      </c>
      <c r="L144">
        <f t="shared" si="33"/>
        <v>1</v>
      </c>
      <c r="M144">
        <f t="shared" si="34"/>
        <v>0</v>
      </c>
      <c r="O144">
        <f t="shared" si="35"/>
        <v>0.70000000000000284</v>
      </c>
      <c r="P144">
        <f t="shared" si="36"/>
        <v>0</v>
      </c>
      <c r="R144">
        <f t="shared" si="37"/>
        <v>0.80000000000000071</v>
      </c>
      <c r="S144">
        <f t="shared" si="38"/>
        <v>0.74333333333333229</v>
      </c>
      <c r="U144">
        <f t="shared" si="39"/>
        <v>51.835853131749509</v>
      </c>
      <c r="AH144">
        <f t="shared" si="40"/>
        <v>5.8753783581969703</v>
      </c>
      <c r="AI144">
        <f t="shared" si="41"/>
        <v>77.947866790175169</v>
      </c>
      <c r="AJ144">
        <f t="shared" si="42"/>
        <v>100.42813320982484</v>
      </c>
      <c r="AL144">
        <f t="shared" si="43"/>
        <v>100.93875671639394</v>
      </c>
      <c r="AM144">
        <f t="shared" si="44"/>
        <v>77.437243283606065</v>
      </c>
    </row>
    <row r="145" spans="1:39" ht="16.5" x14ac:dyDescent="0.25">
      <c r="A145" s="1">
        <v>45492</v>
      </c>
      <c r="B145" s="5">
        <v>89.48</v>
      </c>
      <c r="C145" s="4">
        <v>90.6</v>
      </c>
      <c r="D145" s="4">
        <v>91.06</v>
      </c>
      <c r="E145" s="4">
        <v>89.12</v>
      </c>
      <c r="F145" s="4" t="s">
        <v>103</v>
      </c>
      <c r="G145" s="2" t="s">
        <v>277</v>
      </c>
      <c r="I145">
        <f t="shared" si="31"/>
        <v>89.124000000000024</v>
      </c>
      <c r="J145">
        <f t="shared" si="32"/>
        <v>89.866500000000016</v>
      </c>
      <c r="L145">
        <f t="shared" si="33"/>
        <v>0</v>
      </c>
      <c r="M145">
        <f t="shared" si="34"/>
        <v>1</v>
      </c>
      <c r="O145">
        <f t="shared" si="35"/>
        <v>0</v>
      </c>
      <c r="P145">
        <f t="shared" si="36"/>
        <v>1.1199999999999903</v>
      </c>
      <c r="R145">
        <f t="shared" si="37"/>
        <v>0.81428571428571472</v>
      </c>
      <c r="S145">
        <f t="shared" si="38"/>
        <v>0.7228571428571432</v>
      </c>
      <c r="U145">
        <f t="shared" si="39"/>
        <v>52.973977695167292</v>
      </c>
      <c r="AH145">
        <f t="shared" si="40"/>
        <v>5.8587266784193979</v>
      </c>
      <c r="AI145">
        <f t="shared" si="41"/>
        <v>77.88386679017519</v>
      </c>
      <c r="AJ145">
        <f t="shared" si="42"/>
        <v>100.36413320982486</v>
      </c>
      <c r="AL145">
        <f t="shared" si="43"/>
        <v>100.84145335683883</v>
      </c>
      <c r="AM145">
        <f t="shared" si="44"/>
        <v>77.406546643161221</v>
      </c>
    </row>
    <row r="146" spans="1:39" ht="16.5" x14ac:dyDescent="0.25">
      <c r="A146" s="1">
        <v>45491</v>
      </c>
      <c r="B146" s="5">
        <v>91.32</v>
      </c>
      <c r="C146" s="4">
        <v>90.18</v>
      </c>
      <c r="D146" s="4">
        <v>91.78</v>
      </c>
      <c r="E146" s="4">
        <v>90</v>
      </c>
      <c r="F146" s="4" t="s">
        <v>278</v>
      </c>
      <c r="G146" s="2" t="s">
        <v>279</v>
      </c>
      <c r="I146">
        <f t="shared" si="31"/>
        <v>89.013000000000005</v>
      </c>
      <c r="J146">
        <f t="shared" si="32"/>
        <v>89.950500000000005</v>
      </c>
      <c r="L146">
        <f t="shared" si="33"/>
        <v>1</v>
      </c>
      <c r="M146">
        <f t="shared" si="34"/>
        <v>0</v>
      </c>
      <c r="O146">
        <f t="shared" si="35"/>
        <v>1.1399999999999864</v>
      </c>
      <c r="P146">
        <f t="shared" si="36"/>
        <v>0</v>
      </c>
      <c r="R146">
        <f t="shared" si="37"/>
        <v>0.81428571428571472</v>
      </c>
      <c r="S146">
        <f t="shared" si="38"/>
        <v>0.6514285714285738</v>
      </c>
      <c r="U146">
        <f t="shared" si="39"/>
        <v>55.555555555555486</v>
      </c>
      <c r="AH146">
        <f t="shared" si="40"/>
        <v>5.8415147490023314</v>
      </c>
      <c r="AI146">
        <f t="shared" si="41"/>
        <v>77.772866790175172</v>
      </c>
      <c r="AJ146">
        <f t="shared" si="42"/>
        <v>100.25313320982484</v>
      </c>
      <c r="AL146">
        <f t="shared" si="43"/>
        <v>100.69602949800466</v>
      </c>
      <c r="AM146">
        <f t="shared" si="44"/>
        <v>77.329970501995348</v>
      </c>
    </row>
    <row r="147" spans="1:39" ht="16.5" x14ac:dyDescent="0.25">
      <c r="A147" s="1">
        <v>45490</v>
      </c>
      <c r="B147" s="5">
        <v>89.7</v>
      </c>
      <c r="C147" s="4">
        <v>88.94</v>
      </c>
      <c r="D147" s="4">
        <v>89.84</v>
      </c>
      <c r="E147" s="4">
        <v>88.18</v>
      </c>
      <c r="F147" s="4" t="s">
        <v>280</v>
      </c>
      <c r="G147" s="2" t="s">
        <v>281</v>
      </c>
      <c r="I147">
        <f t="shared" si="31"/>
        <v>88.866000000000014</v>
      </c>
      <c r="J147">
        <f t="shared" si="32"/>
        <v>89.985500000000016</v>
      </c>
      <c r="L147">
        <f t="shared" si="33"/>
        <v>1</v>
      </c>
      <c r="M147">
        <f t="shared" si="34"/>
        <v>0</v>
      </c>
      <c r="O147">
        <f t="shared" si="35"/>
        <v>0.76000000000000512</v>
      </c>
      <c r="P147">
        <f t="shared" si="36"/>
        <v>0</v>
      </c>
      <c r="R147">
        <f t="shared" si="37"/>
        <v>0.76000000000000278</v>
      </c>
      <c r="S147">
        <f t="shared" si="38"/>
        <v>0.65250000000000341</v>
      </c>
      <c r="U147">
        <f t="shared" si="39"/>
        <v>53.805309734513237</v>
      </c>
      <c r="AH147">
        <f t="shared" si="40"/>
        <v>5.8235038234019623</v>
      </c>
      <c r="AI147">
        <f t="shared" si="41"/>
        <v>77.625866790175181</v>
      </c>
      <c r="AJ147">
        <f t="shared" si="42"/>
        <v>100.10613320982485</v>
      </c>
      <c r="AL147">
        <f t="shared" si="43"/>
        <v>100.51300764680394</v>
      </c>
      <c r="AM147">
        <f t="shared" si="44"/>
        <v>77.218992353196086</v>
      </c>
    </row>
    <row r="148" spans="1:39" ht="16.5" x14ac:dyDescent="0.25">
      <c r="A148" s="1">
        <v>45489</v>
      </c>
      <c r="B148" s="5">
        <v>88.88</v>
      </c>
      <c r="C148" s="4">
        <v>89.12</v>
      </c>
      <c r="D148" s="4">
        <v>89.96</v>
      </c>
      <c r="E148" s="4">
        <v>88.4</v>
      </c>
      <c r="F148" s="4" t="s">
        <v>282</v>
      </c>
      <c r="G148" s="2" t="s">
        <v>283</v>
      </c>
      <c r="I148">
        <f t="shared" si="31"/>
        <v>88.807999999999993</v>
      </c>
      <c r="J148">
        <f t="shared" si="32"/>
        <v>90.073000000000008</v>
      </c>
      <c r="L148">
        <f t="shared" si="33"/>
        <v>0</v>
      </c>
      <c r="M148">
        <f t="shared" si="34"/>
        <v>1</v>
      </c>
      <c r="O148">
        <f t="shared" si="35"/>
        <v>0</v>
      </c>
      <c r="P148">
        <f t="shared" si="36"/>
        <v>0.24000000000000909</v>
      </c>
      <c r="R148">
        <f t="shared" si="37"/>
        <v>0.66000000000000136</v>
      </c>
      <c r="S148">
        <f t="shared" si="38"/>
        <v>0.65250000000000341</v>
      </c>
      <c r="U148">
        <f t="shared" si="39"/>
        <v>50.285714285714214</v>
      </c>
      <c r="AH148">
        <f t="shared" si="40"/>
        <v>5.8044939184661741</v>
      </c>
      <c r="AI148">
        <f t="shared" si="41"/>
        <v>77.56786679017516</v>
      </c>
      <c r="AJ148">
        <f t="shared" si="42"/>
        <v>100.04813320982483</v>
      </c>
      <c r="AL148">
        <f t="shared" si="43"/>
        <v>100.41698783693234</v>
      </c>
      <c r="AM148">
        <f t="shared" si="44"/>
        <v>77.19901216306765</v>
      </c>
    </row>
    <row r="149" spans="1:39" ht="16.5" x14ac:dyDescent="0.25">
      <c r="A149" s="1">
        <v>45488</v>
      </c>
      <c r="B149" s="5">
        <v>89.82</v>
      </c>
      <c r="C149" s="4">
        <v>91.7</v>
      </c>
      <c r="D149" s="4">
        <v>91.7</v>
      </c>
      <c r="E149" s="4">
        <v>89.82</v>
      </c>
      <c r="F149" s="4" t="s">
        <v>124</v>
      </c>
      <c r="G149" s="2" t="s">
        <v>284</v>
      </c>
      <c r="I149">
        <f t="shared" si="31"/>
        <v>88.742999999999981</v>
      </c>
      <c r="J149">
        <f t="shared" si="32"/>
        <v>90.221499999999992</v>
      </c>
      <c r="L149">
        <f t="shared" si="33"/>
        <v>0</v>
      </c>
      <c r="M149">
        <f t="shared" si="34"/>
        <v>1</v>
      </c>
      <c r="O149">
        <f t="shared" si="35"/>
        <v>0</v>
      </c>
      <c r="P149">
        <f t="shared" si="36"/>
        <v>1.8800000000000097</v>
      </c>
      <c r="R149">
        <f t="shared" si="37"/>
        <v>0.66000000000000136</v>
      </c>
      <c r="S149">
        <f t="shared" si="38"/>
        <v>0.88500000000000334</v>
      </c>
      <c r="U149">
        <f t="shared" si="39"/>
        <v>42.718446601941707</v>
      </c>
      <c r="AH149">
        <f t="shared" si="40"/>
        <v>5.7848949821042117</v>
      </c>
      <c r="AI149">
        <f t="shared" si="41"/>
        <v>77.502866790175148</v>
      </c>
      <c r="AJ149">
        <f t="shared" si="42"/>
        <v>99.983133209824814</v>
      </c>
      <c r="AL149">
        <f t="shared" si="43"/>
        <v>100.31278996420841</v>
      </c>
      <c r="AM149">
        <f t="shared" si="44"/>
        <v>77.173210035791556</v>
      </c>
    </row>
    <row r="150" spans="1:39" ht="16.5" x14ac:dyDescent="0.25">
      <c r="A150" s="1">
        <v>45485</v>
      </c>
      <c r="B150" s="5">
        <v>92.18</v>
      </c>
      <c r="C150" s="4">
        <v>91.32</v>
      </c>
      <c r="D150" s="4">
        <v>92.38</v>
      </c>
      <c r="E150" s="4">
        <v>90.98</v>
      </c>
      <c r="F150" s="4" t="s">
        <v>62</v>
      </c>
      <c r="G150" s="2" t="s">
        <v>285</v>
      </c>
      <c r="I150">
        <f t="shared" si="31"/>
        <v>88.655999999999992</v>
      </c>
      <c r="J150">
        <f t="shared" si="32"/>
        <v>90.350999999999999</v>
      </c>
      <c r="L150">
        <f t="shared" si="33"/>
        <v>1</v>
      </c>
      <c r="M150">
        <f t="shared" si="34"/>
        <v>0</v>
      </c>
      <c r="O150">
        <f t="shared" si="35"/>
        <v>0.86000000000001364</v>
      </c>
      <c r="P150">
        <f t="shared" si="36"/>
        <v>0</v>
      </c>
      <c r="R150">
        <f t="shared" si="37"/>
        <v>0.68857142857142961</v>
      </c>
      <c r="S150">
        <f t="shared" si="38"/>
        <v>0.74285714285714533</v>
      </c>
      <c r="U150">
        <f t="shared" si="39"/>
        <v>48.103792415169622</v>
      </c>
      <c r="AH150">
        <f t="shared" si="40"/>
        <v>5.7646567051386084</v>
      </c>
      <c r="AI150">
        <f t="shared" si="41"/>
        <v>77.415866790175158</v>
      </c>
      <c r="AJ150">
        <f t="shared" si="42"/>
        <v>99.896133209824825</v>
      </c>
      <c r="AL150">
        <f t="shared" si="43"/>
        <v>100.1853134102772</v>
      </c>
      <c r="AM150">
        <f t="shared" si="44"/>
        <v>77.12668658972278</v>
      </c>
    </row>
    <row r="151" spans="1:39" ht="16.5" x14ac:dyDescent="0.25">
      <c r="A151" s="1">
        <v>45484</v>
      </c>
      <c r="B151" s="5">
        <v>91</v>
      </c>
      <c r="C151" s="4">
        <v>90</v>
      </c>
      <c r="D151" s="4">
        <v>91.3</v>
      </c>
      <c r="E151" s="4">
        <v>89.58</v>
      </c>
      <c r="F151" s="4" t="s">
        <v>286</v>
      </c>
      <c r="G151" s="2" t="s">
        <v>287</v>
      </c>
      <c r="I151">
        <f t="shared" si="31"/>
        <v>88.391999999999982</v>
      </c>
      <c r="J151">
        <f t="shared" si="32"/>
        <v>90.446999999999989</v>
      </c>
      <c r="L151">
        <f t="shared" si="33"/>
        <v>1</v>
      </c>
      <c r="M151">
        <f t="shared" si="34"/>
        <v>0</v>
      </c>
      <c r="O151">
        <f t="shared" si="35"/>
        <v>1</v>
      </c>
      <c r="P151">
        <f t="shared" si="36"/>
        <v>0</v>
      </c>
      <c r="R151">
        <f t="shared" si="37"/>
        <v>0.79999999999999916</v>
      </c>
      <c r="S151">
        <f t="shared" si="38"/>
        <v>0.74285714285714533</v>
      </c>
      <c r="U151">
        <f t="shared" si="39"/>
        <v>51.851851851851741</v>
      </c>
      <c r="AH151">
        <f t="shared" si="40"/>
        <v>5.7436495660713058</v>
      </c>
      <c r="AI151">
        <f t="shared" si="41"/>
        <v>77.151866790175148</v>
      </c>
      <c r="AJ151">
        <f t="shared" si="42"/>
        <v>99.632133209824815</v>
      </c>
      <c r="AL151">
        <f t="shared" si="43"/>
        <v>99.879299132142592</v>
      </c>
      <c r="AM151">
        <f t="shared" si="44"/>
        <v>76.904700867857372</v>
      </c>
    </row>
    <row r="152" spans="1:39" ht="16.5" x14ac:dyDescent="0.25">
      <c r="A152" s="1">
        <v>45483</v>
      </c>
      <c r="B152" s="5">
        <v>89.5</v>
      </c>
      <c r="C152" s="4">
        <v>87.98</v>
      </c>
      <c r="D152" s="4">
        <v>90.1</v>
      </c>
      <c r="E152" s="4">
        <v>86.94</v>
      </c>
      <c r="F152" s="4" t="s">
        <v>288</v>
      </c>
      <c r="G152" s="2" t="s">
        <v>289</v>
      </c>
      <c r="I152">
        <f t="shared" si="31"/>
        <v>88.254999999999981</v>
      </c>
      <c r="J152">
        <f t="shared" si="32"/>
        <v>90.583499999999987</v>
      </c>
      <c r="L152">
        <f t="shared" si="33"/>
        <v>1</v>
      </c>
      <c r="M152">
        <f t="shared" si="34"/>
        <v>0</v>
      </c>
      <c r="O152">
        <f t="shared" si="35"/>
        <v>1.519999999999996</v>
      </c>
      <c r="P152">
        <f t="shared" si="36"/>
        <v>0</v>
      </c>
      <c r="R152">
        <f t="shared" si="37"/>
        <v>0.76666666666666572</v>
      </c>
      <c r="S152">
        <f t="shared" si="38"/>
        <v>0.79750000000000121</v>
      </c>
      <c r="U152">
        <f t="shared" si="39"/>
        <v>49.014384656366474</v>
      </c>
      <c r="AH152">
        <f t="shared" si="40"/>
        <v>5.7209220258942217</v>
      </c>
      <c r="AI152">
        <f t="shared" si="41"/>
        <v>77.014866790175148</v>
      </c>
      <c r="AJ152">
        <f t="shared" si="42"/>
        <v>99.495133209824814</v>
      </c>
      <c r="AL152">
        <f t="shared" si="43"/>
        <v>99.696844051788418</v>
      </c>
      <c r="AM152">
        <f t="shared" si="44"/>
        <v>76.813155948211545</v>
      </c>
    </row>
    <row r="153" spans="1:39" ht="16.5" x14ac:dyDescent="0.25">
      <c r="A153" s="1">
        <v>45482</v>
      </c>
      <c r="B153" s="5">
        <v>87.7</v>
      </c>
      <c r="C153" s="4">
        <v>87.42</v>
      </c>
      <c r="D153" s="4">
        <v>88.56</v>
      </c>
      <c r="E153" s="4">
        <v>86.92</v>
      </c>
      <c r="F153" s="4" t="s">
        <v>103</v>
      </c>
      <c r="G153" s="2" t="s">
        <v>290</v>
      </c>
      <c r="I153">
        <f t="shared" si="31"/>
        <v>88.293000000000006</v>
      </c>
      <c r="J153">
        <f t="shared" si="32"/>
        <v>90.918500000000009</v>
      </c>
      <c r="L153">
        <f t="shared" si="33"/>
        <v>1</v>
      </c>
      <c r="M153">
        <f t="shared" si="34"/>
        <v>0</v>
      </c>
      <c r="O153">
        <f t="shared" si="35"/>
        <v>0.28000000000000114</v>
      </c>
      <c r="P153">
        <f t="shared" si="36"/>
        <v>0</v>
      </c>
      <c r="R153">
        <f t="shared" si="37"/>
        <v>0.61599999999999966</v>
      </c>
      <c r="S153">
        <f t="shared" si="38"/>
        <v>0.73111111111111249</v>
      </c>
      <c r="U153">
        <f t="shared" si="39"/>
        <v>45.727482678983769</v>
      </c>
      <c r="AH153">
        <f t="shared" si="40"/>
        <v>5.697086146008008</v>
      </c>
      <c r="AI153">
        <f t="shared" si="41"/>
        <v>77.052866790175173</v>
      </c>
      <c r="AJ153">
        <f t="shared" si="42"/>
        <v>99.53313320982484</v>
      </c>
      <c r="AL153">
        <f t="shared" si="43"/>
        <v>99.687172292016015</v>
      </c>
      <c r="AM153">
        <f t="shared" si="44"/>
        <v>76.898827707983997</v>
      </c>
    </row>
    <row r="154" spans="1:39" ht="16.5" x14ac:dyDescent="0.25">
      <c r="A154" s="1">
        <v>45481</v>
      </c>
      <c r="B154" s="5">
        <v>87.12</v>
      </c>
      <c r="C154" s="4">
        <v>87.58</v>
      </c>
      <c r="D154" s="4">
        <v>88.18</v>
      </c>
      <c r="E154" s="4">
        <v>87.04</v>
      </c>
      <c r="F154" s="4" t="s">
        <v>291</v>
      </c>
      <c r="G154" s="2" t="s">
        <v>292</v>
      </c>
      <c r="I154">
        <f t="shared" si="31"/>
        <v>88.463999999999984</v>
      </c>
      <c r="J154">
        <f t="shared" si="32"/>
        <v>91.319749999999999</v>
      </c>
      <c r="L154">
        <f t="shared" si="33"/>
        <v>0</v>
      </c>
      <c r="M154">
        <f t="shared" si="34"/>
        <v>1</v>
      </c>
      <c r="O154">
        <f t="shared" si="35"/>
        <v>0</v>
      </c>
      <c r="P154">
        <f t="shared" si="36"/>
        <v>0.45999999999999375</v>
      </c>
      <c r="R154">
        <f t="shared" si="37"/>
        <v>0.72800000000000009</v>
      </c>
      <c r="S154">
        <f t="shared" si="38"/>
        <v>0.73111111111111249</v>
      </c>
      <c r="U154">
        <f t="shared" si="39"/>
        <v>49.893390191897609</v>
      </c>
      <c r="AH154">
        <f t="shared" si="40"/>
        <v>5.6730630611140036</v>
      </c>
      <c r="AI154">
        <f t="shared" si="41"/>
        <v>77.223866790175151</v>
      </c>
      <c r="AJ154">
        <f t="shared" si="42"/>
        <v>99.704133209824818</v>
      </c>
      <c r="AL154">
        <f t="shared" si="43"/>
        <v>99.810126122227985</v>
      </c>
      <c r="AM154">
        <f t="shared" si="44"/>
        <v>77.117873877771984</v>
      </c>
    </row>
    <row r="155" spans="1:39" ht="16.5" x14ac:dyDescent="0.25">
      <c r="A155" s="1">
        <v>45478</v>
      </c>
      <c r="B155" s="5">
        <v>87.7</v>
      </c>
      <c r="C155" s="4">
        <v>88.32</v>
      </c>
      <c r="D155" s="4">
        <v>89.06</v>
      </c>
      <c r="E155" s="4">
        <v>87.36</v>
      </c>
      <c r="F155" s="4" t="s">
        <v>293</v>
      </c>
      <c r="G155" s="2" t="s">
        <v>294</v>
      </c>
      <c r="I155">
        <f t="shared" si="31"/>
        <v>88.672999999999988</v>
      </c>
      <c r="J155">
        <f t="shared" si="32"/>
        <v>91.715499999999992</v>
      </c>
      <c r="L155">
        <f t="shared" si="33"/>
        <v>0</v>
      </c>
      <c r="M155">
        <f t="shared" si="34"/>
        <v>1</v>
      </c>
      <c r="O155">
        <f t="shared" si="35"/>
        <v>0</v>
      </c>
      <c r="P155">
        <f t="shared" si="36"/>
        <v>0.61999999999999034</v>
      </c>
      <c r="R155">
        <f t="shared" si="37"/>
        <v>0.72800000000000009</v>
      </c>
      <c r="S155">
        <f t="shared" si="38"/>
        <v>0.81555555555555748</v>
      </c>
      <c r="U155">
        <f t="shared" si="39"/>
        <v>47.163835300892544</v>
      </c>
      <c r="AH155">
        <f t="shared" si="40"/>
        <v>5.6495731494637074</v>
      </c>
      <c r="AI155">
        <f t="shared" si="41"/>
        <v>77.432866790175154</v>
      </c>
      <c r="AJ155">
        <f t="shared" si="42"/>
        <v>99.913133209824821</v>
      </c>
      <c r="AL155">
        <f t="shared" si="43"/>
        <v>99.972146298927399</v>
      </c>
      <c r="AM155">
        <f t="shared" si="44"/>
        <v>77.373853701072576</v>
      </c>
    </row>
    <row r="156" spans="1:39" ht="16.5" x14ac:dyDescent="0.25">
      <c r="A156" s="1">
        <v>45477</v>
      </c>
      <c r="B156" s="5">
        <v>88.16</v>
      </c>
      <c r="C156" s="4">
        <v>88.3</v>
      </c>
      <c r="D156" s="4">
        <v>89.1</v>
      </c>
      <c r="E156" s="4">
        <v>87.4</v>
      </c>
      <c r="F156" s="4" t="s">
        <v>295</v>
      </c>
      <c r="G156" s="2" t="s">
        <v>296</v>
      </c>
      <c r="I156">
        <f t="shared" si="31"/>
        <v>88.847000000000008</v>
      </c>
      <c r="J156">
        <f t="shared" si="32"/>
        <v>92.063000000000002</v>
      </c>
      <c r="L156">
        <f t="shared" si="33"/>
        <v>0</v>
      </c>
      <c r="M156">
        <f t="shared" si="34"/>
        <v>1</v>
      </c>
      <c r="O156">
        <f t="shared" si="35"/>
        <v>0</v>
      </c>
      <c r="P156">
        <f t="shared" si="36"/>
        <v>0.14000000000000057</v>
      </c>
      <c r="R156">
        <f t="shared" si="37"/>
        <v>0.73999999999999966</v>
      </c>
      <c r="S156">
        <f t="shared" si="38"/>
        <v>0.84000000000000341</v>
      </c>
      <c r="U156">
        <f t="shared" si="39"/>
        <v>46.835443037974571</v>
      </c>
      <c r="AH156">
        <f t="shared" si="40"/>
        <v>5.626824534211937</v>
      </c>
      <c r="AI156">
        <f t="shared" si="41"/>
        <v>77.606866790175175</v>
      </c>
      <c r="AJ156">
        <f t="shared" si="42"/>
        <v>100.08713320982484</v>
      </c>
      <c r="AL156">
        <f t="shared" si="43"/>
        <v>100.10064906842388</v>
      </c>
      <c r="AM156">
        <f t="shared" si="44"/>
        <v>77.59335093157614</v>
      </c>
    </row>
    <row r="157" spans="1:39" ht="16.5" x14ac:dyDescent="0.25">
      <c r="A157" s="1">
        <v>45476</v>
      </c>
      <c r="B157" s="5">
        <v>88.44</v>
      </c>
      <c r="C157" s="4">
        <v>88.3</v>
      </c>
      <c r="D157" s="4">
        <v>89.24</v>
      </c>
      <c r="E157" s="4">
        <v>88.26</v>
      </c>
      <c r="F157" s="4" t="s">
        <v>297</v>
      </c>
      <c r="G157" s="2" t="s">
        <v>298</v>
      </c>
      <c r="I157">
        <f t="shared" si="31"/>
        <v>89.013999999999982</v>
      </c>
      <c r="J157">
        <f t="shared" si="32"/>
        <v>92.40025</v>
      </c>
      <c r="L157">
        <f t="shared" si="33"/>
        <v>1</v>
      </c>
      <c r="M157">
        <f t="shared" si="34"/>
        <v>0</v>
      </c>
      <c r="O157">
        <f t="shared" si="35"/>
        <v>0.14000000000000057</v>
      </c>
      <c r="P157">
        <f t="shared" si="36"/>
        <v>0</v>
      </c>
      <c r="R157">
        <f t="shared" si="37"/>
        <v>0.73999999999999966</v>
      </c>
      <c r="S157">
        <f t="shared" si="38"/>
        <v>1.0000000000000018</v>
      </c>
      <c r="U157">
        <f t="shared" si="39"/>
        <v>42.528735632183853</v>
      </c>
      <c r="AH157">
        <f t="shared" si="40"/>
        <v>5.6046336373686874</v>
      </c>
      <c r="AI157">
        <f t="shared" si="41"/>
        <v>77.773866790175148</v>
      </c>
      <c r="AJ157">
        <f t="shared" si="42"/>
        <v>100.25413320982481</v>
      </c>
      <c r="AL157">
        <f t="shared" si="43"/>
        <v>100.22326727473735</v>
      </c>
      <c r="AM157">
        <f t="shared" si="44"/>
        <v>77.80473272526261</v>
      </c>
    </row>
    <row r="158" spans="1:39" ht="16.5" x14ac:dyDescent="0.25">
      <c r="A158" s="1">
        <v>45475</v>
      </c>
      <c r="B158" s="5">
        <v>88.02</v>
      </c>
      <c r="C158" s="4">
        <v>88.62</v>
      </c>
      <c r="D158" s="4">
        <v>88.74</v>
      </c>
      <c r="E158" s="4">
        <v>87.1</v>
      </c>
      <c r="F158" s="4" t="s">
        <v>124</v>
      </c>
      <c r="G158" s="2" t="s">
        <v>170</v>
      </c>
      <c r="I158">
        <f t="shared" si="31"/>
        <v>89.163000000000011</v>
      </c>
      <c r="J158">
        <f t="shared" si="32"/>
        <v>92.718000000000004</v>
      </c>
      <c r="L158">
        <f t="shared" si="33"/>
        <v>0</v>
      </c>
      <c r="M158">
        <f t="shared" si="34"/>
        <v>1</v>
      </c>
      <c r="O158">
        <f t="shared" si="35"/>
        <v>0</v>
      </c>
      <c r="P158">
        <f t="shared" si="36"/>
        <v>0.60000000000000853</v>
      </c>
      <c r="R158">
        <f t="shared" si="37"/>
        <v>0.85999999999999943</v>
      </c>
      <c r="S158">
        <f t="shared" si="38"/>
        <v>1.0000000000000016</v>
      </c>
      <c r="U158">
        <f t="shared" si="39"/>
        <v>46.236559139784895</v>
      </c>
      <c r="AH158">
        <f t="shared" si="40"/>
        <v>5.5829669261287549</v>
      </c>
      <c r="AI158">
        <f t="shared" si="41"/>
        <v>77.922866790175178</v>
      </c>
      <c r="AJ158">
        <f t="shared" si="42"/>
        <v>100.40313320982484</v>
      </c>
      <c r="AL158">
        <f t="shared" si="43"/>
        <v>100.32893385225752</v>
      </c>
      <c r="AM158">
        <f t="shared" si="44"/>
        <v>77.997066147742501</v>
      </c>
    </row>
    <row r="159" spans="1:39" ht="16.5" x14ac:dyDescent="0.25">
      <c r="A159" s="1">
        <v>45474</v>
      </c>
      <c r="B159" s="5">
        <v>89.14</v>
      </c>
      <c r="C159" s="4">
        <v>89.76</v>
      </c>
      <c r="D159" s="4">
        <v>90.12</v>
      </c>
      <c r="E159" s="4">
        <v>88.86</v>
      </c>
      <c r="F159" s="4" t="s">
        <v>299</v>
      </c>
      <c r="G159" s="2" t="s">
        <v>30</v>
      </c>
      <c r="I159">
        <f t="shared" si="31"/>
        <v>89.364000000000004</v>
      </c>
      <c r="J159">
        <f t="shared" si="32"/>
        <v>93.122500000000002</v>
      </c>
      <c r="L159">
        <f t="shared" si="33"/>
        <v>0</v>
      </c>
      <c r="M159">
        <f t="shared" si="34"/>
        <v>1</v>
      </c>
      <c r="O159">
        <f t="shared" si="35"/>
        <v>0</v>
      </c>
      <c r="P159">
        <f t="shared" si="36"/>
        <v>0.62000000000000455</v>
      </c>
      <c r="R159">
        <f t="shared" si="37"/>
        <v>0.85999999999999943</v>
      </c>
      <c r="S159">
        <f t="shared" si="38"/>
        <v>0.94888888888888956</v>
      </c>
      <c r="U159">
        <f t="shared" si="39"/>
        <v>47.542997542997512</v>
      </c>
      <c r="AH159">
        <f t="shared" si="40"/>
        <v>5.5617330076660298</v>
      </c>
      <c r="AI159">
        <f t="shared" si="41"/>
        <v>78.123866790175171</v>
      </c>
      <c r="AJ159">
        <f t="shared" si="42"/>
        <v>100.60413320982484</v>
      </c>
      <c r="AL159">
        <f t="shared" si="43"/>
        <v>100.48746601533206</v>
      </c>
      <c r="AM159">
        <f t="shared" si="44"/>
        <v>78.240533984667948</v>
      </c>
    </row>
    <row r="160" spans="1:39" ht="16.5" x14ac:dyDescent="0.25">
      <c r="A160" s="1">
        <v>45471</v>
      </c>
      <c r="B160" s="5">
        <v>88.38</v>
      </c>
      <c r="C160" s="4">
        <v>89.04</v>
      </c>
      <c r="D160" s="4">
        <v>89.06</v>
      </c>
      <c r="E160" s="4">
        <v>88</v>
      </c>
      <c r="F160" s="4" t="s">
        <v>125</v>
      </c>
      <c r="G160" s="2" t="s">
        <v>245</v>
      </c>
      <c r="I160">
        <f t="shared" si="31"/>
        <v>89.570000000000022</v>
      </c>
      <c r="J160">
        <f t="shared" si="32"/>
        <v>93.470250000000007</v>
      </c>
      <c r="L160">
        <f t="shared" si="33"/>
        <v>0</v>
      </c>
      <c r="M160">
        <f t="shared" si="34"/>
        <v>1</v>
      </c>
      <c r="O160">
        <f t="shared" si="35"/>
        <v>0</v>
      </c>
      <c r="P160">
        <f t="shared" si="36"/>
        <v>0.6600000000000108</v>
      </c>
      <c r="R160">
        <f t="shared" si="37"/>
        <v>0.85999999999999943</v>
      </c>
      <c r="S160">
        <f t="shared" si="38"/>
        <v>0.9044444444444445</v>
      </c>
      <c r="U160">
        <f t="shared" si="39"/>
        <v>48.740554156171271</v>
      </c>
      <c r="AH160">
        <f t="shared" si="40"/>
        <v>5.5412077453596478</v>
      </c>
      <c r="AI160">
        <f t="shared" si="41"/>
        <v>78.329866790175188</v>
      </c>
      <c r="AJ160">
        <f t="shared" si="42"/>
        <v>100.81013320982485</v>
      </c>
      <c r="AL160">
        <f t="shared" si="43"/>
        <v>100.65241549071932</v>
      </c>
      <c r="AM160">
        <f t="shared" si="44"/>
        <v>78.487584509280723</v>
      </c>
    </row>
    <row r="161" spans="1:39" ht="16.5" x14ac:dyDescent="0.25">
      <c r="A161" s="1">
        <v>45470</v>
      </c>
      <c r="B161" s="5">
        <v>88.1</v>
      </c>
      <c r="C161" s="4">
        <v>87.94</v>
      </c>
      <c r="D161" s="4">
        <v>88.94</v>
      </c>
      <c r="E161" s="4">
        <v>87.7</v>
      </c>
      <c r="F161" s="4" t="s">
        <v>300</v>
      </c>
      <c r="G161" s="2" t="s">
        <v>301</v>
      </c>
      <c r="I161">
        <f t="shared" si="31"/>
        <v>89.810000000000016</v>
      </c>
      <c r="J161">
        <f t="shared" si="32"/>
        <v>93.823250000000002</v>
      </c>
      <c r="L161">
        <f t="shared" si="33"/>
        <v>1</v>
      </c>
      <c r="M161">
        <f t="shared" si="34"/>
        <v>0</v>
      </c>
      <c r="O161">
        <f t="shared" si="35"/>
        <v>0.15999999999999659</v>
      </c>
      <c r="P161">
        <f t="shared" si="36"/>
        <v>0</v>
      </c>
      <c r="R161">
        <f t="shared" si="37"/>
        <v>0.83333333333333337</v>
      </c>
      <c r="S161">
        <f t="shared" si="38"/>
        <v>0.93499999999999872</v>
      </c>
      <c r="U161">
        <f t="shared" si="39"/>
        <v>47.125353440150832</v>
      </c>
      <c r="AH161">
        <f t="shared" si="40"/>
        <v>5.5214188571674763</v>
      </c>
      <c r="AI161">
        <f t="shared" si="41"/>
        <v>78.569866790175183</v>
      </c>
      <c r="AJ161">
        <f t="shared" si="42"/>
        <v>101.05013320982485</v>
      </c>
      <c r="AL161">
        <f t="shared" si="43"/>
        <v>100.85283771433497</v>
      </c>
      <c r="AM161">
        <f t="shared" si="44"/>
        <v>78.767162285665066</v>
      </c>
    </row>
    <row r="162" spans="1:39" ht="16.5" x14ac:dyDescent="0.25">
      <c r="A162" s="1">
        <v>45469</v>
      </c>
      <c r="B162" s="5">
        <v>87.96</v>
      </c>
      <c r="C162" s="4">
        <v>90.06</v>
      </c>
      <c r="D162" s="4">
        <v>90.1</v>
      </c>
      <c r="E162" s="4">
        <v>87.44</v>
      </c>
      <c r="F162" s="4" t="s">
        <v>302</v>
      </c>
      <c r="G162" s="2" t="s">
        <v>303</v>
      </c>
      <c r="I162">
        <f t="shared" si="31"/>
        <v>90.034999999999997</v>
      </c>
      <c r="J162">
        <f t="shared" si="32"/>
        <v>94.169499999999999</v>
      </c>
      <c r="L162">
        <f t="shared" si="33"/>
        <v>0</v>
      </c>
      <c r="M162">
        <f t="shared" si="34"/>
        <v>1</v>
      </c>
      <c r="O162">
        <f t="shared" si="35"/>
        <v>0</v>
      </c>
      <c r="P162">
        <f t="shared" si="36"/>
        <v>2.1000000000000085</v>
      </c>
      <c r="R162">
        <f t="shared" si="37"/>
        <v>0.96800000000000064</v>
      </c>
      <c r="S162">
        <f t="shared" si="38"/>
        <v>0.84444444444444222</v>
      </c>
      <c r="U162">
        <f t="shared" si="39"/>
        <v>53.408533594899538</v>
      </c>
      <c r="AH162">
        <f t="shared" si="40"/>
        <v>5.5025411454948348</v>
      </c>
      <c r="AI162">
        <f t="shared" si="41"/>
        <v>78.794866790175163</v>
      </c>
      <c r="AJ162">
        <f t="shared" si="42"/>
        <v>101.27513320982483</v>
      </c>
      <c r="AL162">
        <f t="shared" si="43"/>
        <v>101.04008229098966</v>
      </c>
      <c r="AM162">
        <f t="shared" si="44"/>
        <v>79.029917709010334</v>
      </c>
    </row>
    <row r="163" spans="1:39" ht="16.5" x14ac:dyDescent="0.25">
      <c r="A163" s="1">
        <v>45468</v>
      </c>
      <c r="B163" s="5">
        <v>90.24</v>
      </c>
      <c r="C163" s="4">
        <v>89.38</v>
      </c>
      <c r="D163" s="4">
        <v>90.24</v>
      </c>
      <c r="E163" s="4">
        <v>89.1</v>
      </c>
      <c r="F163" s="4" t="s">
        <v>304</v>
      </c>
      <c r="G163" s="2" t="s">
        <v>290</v>
      </c>
      <c r="I163">
        <f t="shared" si="31"/>
        <v>90.227999999999994</v>
      </c>
      <c r="J163">
        <f t="shared" si="32"/>
        <v>94.531749999999988</v>
      </c>
      <c r="L163">
        <f t="shared" si="33"/>
        <v>1</v>
      </c>
      <c r="M163">
        <f t="shared" si="34"/>
        <v>0</v>
      </c>
      <c r="O163">
        <f t="shared" si="35"/>
        <v>0.85999999999999943</v>
      </c>
      <c r="P163">
        <f t="shared" si="36"/>
        <v>0</v>
      </c>
      <c r="R163">
        <f t="shared" si="37"/>
        <v>0.96800000000000064</v>
      </c>
      <c r="S163">
        <f t="shared" si="38"/>
        <v>0.63999999999999746</v>
      </c>
      <c r="U163">
        <f t="shared" si="39"/>
        <v>60.199004975124495</v>
      </c>
      <c r="AH163">
        <f t="shared" si="40"/>
        <v>5.4844969178289436</v>
      </c>
      <c r="AI163">
        <f t="shared" si="41"/>
        <v>78.987866790175161</v>
      </c>
      <c r="AJ163">
        <f t="shared" si="42"/>
        <v>101.46813320982483</v>
      </c>
      <c r="AL163">
        <f t="shared" si="43"/>
        <v>101.19699383565788</v>
      </c>
      <c r="AM163">
        <f t="shared" si="44"/>
        <v>79.259006164342111</v>
      </c>
    </row>
    <row r="164" spans="1:39" ht="16.5" x14ac:dyDescent="0.25">
      <c r="A164" s="1">
        <v>45467</v>
      </c>
      <c r="B164" s="5">
        <v>89.64</v>
      </c>
      <c r="C164" s="4">
        <v>88</v>
      </c>
      <c r="D164" s="4">
        <v>90.64</v>
      </c>
      <c r="E164" s="4">
        <v>87.9</v>
      </c>
      <c r="F164" s="4" t="s">
        <v>305</v>
      </c>
      <c r="G164" s="2" t="s">
        <v>306</v>
      </c>
      <c r="I164">
        <f t="shared" si="31"/>
        <v>90.405999999999992</v>
      </c>
      <c r="J164">
        <f t="shared" si="32"/>
        <v>94.94574999999999</v>
      </c>
      <c r="L164">
        <f t="shared" si="33"/>
        <v>1</v>
      </c>
      <c r="M164">
        <f t="shared" si="34"/>
        <v>0</v>
      </c>
      <c r="O164">
        <f t="shared" si="35"/>
        <v>1.6400000000000006</v>
      </c>
      <c r="P164">
        <f t="shared" si="36"/>
        <v>0</v>
      </c>
      <c r="R164">
        <f t="shared" si="37"/>
        <v>0.99500000000000099</v>
      </c>
      <c r="S164">
        <f t="shared" si="38"/>
        <v>0.66999999999999749</v>
      </c>
      <c r="U164">
        <f t="shared" si="39"/>
        <v>59.759759759759874</v>
      </c>
      <c r="AH164">
        <f t="shared" si="40"/>
        <v>5.4671256146177205</v>
      </c>
      <c r="AI164">
        <f t="shared" si="41"/>
        <v>79.165866790175158</v>
      </c>
      <c r="AJ164">
        <f t="shared" si="42"/>
        <v>101.64613320982482</v>
      </c>
      <c r="AL164">
        <f t="shared" si="43"/>
        <v>101.34025122923543</v>
      </c>
      <c r="AM164">
        <f t="shared" si="44"/>
        <v>79.471748770764549</v>
      </c>
    </row>
    <row r="165" spans="1:39" ht="16.5" x14ac:dyDescent="0.25">
      <c r="A165" s="1">
        <v>45464</v>
      </c>
      <c r="B165" s="5">
        <v>87.26</v>
      </c>
      <c r="C165" s="4">
        <v>88.44</v>
      </c>
      <c r="D165" s="4">
        <v>88.44</v>
      </c>
      <c r="E165" s="4">
        <v>87.16</v>
      </c>
      <c r="F165" s="4" t="s">
        <v>307</v>
      </c>
      <c r="G165" s="2" t="s">
        <v>308</v>
      </c>
      <c r="I165">
        <f t="shared" si="31"/>
        <v>90.608999999999995</v>
      </c>
      <c r="J165">
        <f t="shared" si="32"/>
        <v>95.364749999999987</v>
      </c>
      <c r="L165">
        <f t="shared" si="33"/>
        <v>0</v>
      </c>
      <c r="M165">
        <f t="shared" si="34"/>
        <v>1</v>
      </c>
      <c r="O165">
        <f t="shared" si="35"/>
        <v>0</v>
      </c>
      <c r="P165">
        <f t="shared" si="36"/>
        <v>1.1799999999999926</v>
      </c>
      <c r="R165">
        <f t="shared" si="37"/>
        <v>0.78000000000000114</v>
      </c>
      <c r="S165">
        <f t="shared" si="38"/>
        <v>0.70909090909090622</v>
      </c>
      <c r="U165">
        <f t="shared" si="39"/>
        <v>52.380952380952515</v>
      </c>
      <c r="AH165">
        <f t="shared" si="40"/>
        <v>5.450353858112627</v>
      </c>
      <c r="AI165">
        <f t="shared" si="41"/>
        <v>79.368866790175161</v>
      </c>
      <c r="AJ165">
        <f t="shared" si="42"/>
        <v>101.84913320982483</v>
      </c>
      <c r="AL165">
        <f t="shared" si="43"/>
        <v>101.50970771622525</v>
      </c>
      <c r="AM165">
        <f t="shared" si="44"/>
        <v>79.708292283774739</v>
      </c>
    </row>
    <row r="166" spans="1:39" ht="16.5" x14ac:dyDescent="0.25">
      <c r="A166" s="1">
        <v>45463</v>
      </c>
      <c r="B166" s="5">
        <v>88.38</v>
      </c>
      <c r="C166" s="4">
        <v>88.58</v>
      </c>
      <c r="D166" s="4">
        <v>89.1</v>
      </c>
      <c r="E166" s="4">
        <v>87.58</v>
      </c>
      <c r="F166" s="4" t="s">
        <v>309</v>
      </c>
      <c r="G166" s="2" t="s">
        <v>310</v>
      </c>
      <c r="I166">
        <f t="shared" si="31"/>
        <v>90.887999999999991</v>
      </c>
      <c r="J166">
        <f t="shared" si="32"/>
        <v>95.8095</v>
      </c>
      <c r="L166">
        <f t="shared" si="33"/>
        <v>0</v>
      </c>
      <c r="M166">
        <f t="shared" si="34"/>
        <v>1</v>
      </c>
      <c r="O166">
        <f t="shared" si="35"/>
        <v>0</v>
      </c>
      <c r="P166">
        <f t="shared" si="36"/>
        <v>0.20000000000000284</v>
      </c>
      <c r="R166">
        <f t="shared" si="37"/>
        <v>0.78000000000000114</v>
      </c>
      <c r="S166">
        <f t="shared" si="38"/>
        <v>0.6436363636363609</v>
      </c>
      <c r="U166">
        <f t="shared" si="39"/>
        <v>54.789272030651482</v>
      </c>
      <c r="AH166">
        <f t="shared" si="40"/>
        <v>5.4343047113267033</v>
      </c>
      <c r="AI166">
        <f t="shared" si="41"/>
        <v>79.647866790175158</v>
      </c>
      <c r="AJ166">
        <f t="shared" si="42"/>
        <v>102.12813320982482</v>
      </c>
      <c r="AL166">
        <f t="shared" si="43"/>
        <v>101.7566094226534</v>
      </c>
      <c r="AM166">
        <f t="shared" si="44"/>
        <v>80.019390577346584</v>
      </c>
    </row>
    <row r="167" spans="1:39" ht="16.5" x14ac:dyDescent="0.25">
      <c r="A167" s="1">
        <v>45462</v>
      </c>
      <c r="B167" s="5">
        <v>88.54</v>
      </c>
      <c r="C167" s="4">
        <v>87.7</v>
      </c>
      <c r="D167" s="4">
        <v>89.14</v>
      </c>
      <c r="E167" s="4">
        <v>87.34</v>
      </c>
      <c r="F167" s="4" t="s">
        <v>70</v>
      </c>
      <c r="G167" s="2" t="s">
        <v>311</v>
      </c>
      <c r="I167">
        <f t="shared" si="31"/>
        <v>91.10499999999999</v>
      </c>
      <c r="J167">
        <f t="shared" si="32"/>
        <v>96.263750000000002</v>
      </c>
      <c r="L167">
        <f t="shared" si="33"/>
        <v>1</v>
      </c>
      <c r="M167">
        <f t="shared" si="34"/>
        <v>0</v>
      </c>
      <c r="O167">
        <f t="shared" si="35"/>
        <v>0.84000000000000341</v>
      </c>
      <c r="P167">
        <f t="shared" si="36"/>
        <v>0</v>
      </c>
      <c r="R167">
        <f t="shared" si="37"/>
        <v>0.72000000000000242</v>
      </c>
      <c r="S167">
        <f t="shared" si="38"/>
        <v>0.68799999999999673</v>
      </c>
      <c r="U167">
        <f t="shared" si="39"/>
        <v>51.136363636363839</v>
      </c>
      <c r="AH167">
        <f t="shared" si="40"/>
        <v>5.4193412505591994</v>
      </c>
      <c r="AI167">
        <f t="shared" si="41"/>
        <v>79.864866790175157</v>
      </c>
      <c r="AJ167">
        <f t="shared" si="42"/>
        <v>102.34513320982482</v>
      </c>
      <c r="AL167">
        <f t="shared" si="43"/>
        <v>101.94368250111839</v>
      </c>
      <c r="AM167">
        <f t="shared" si="44"/>
        <v>80.266317498881591</v>
      </c>
    </row>
    <row r="168" spans="1:39" ht="16.5" x14ac:dyDescent="0.25">
      <c r="A168" s="1">
        <v>45461</v>
      </c>
      <c r="B168" s="5">
        <v>87.58</v>
      </c>
      <c r="C168" s="4">
        <v>88.8</v>
      </c>
      <c r="D168" s="4">
        <v>88.8</v>
      </c>
      <c r="E168" s="4">
        <v>87.54</v>
      </c>
      <c r="F168" s="4" t="s">
        <v>312</v>
      </c>
      <c r="G168" s="2" t="s">
        <v>313</v>
      </c>
      <c r="I168">
        <f t="shared" si="31"/>
        <v>91.337999999999994</v>
      </c>
      <c r="J168">
        <f t="shared" si="32"/>
        <v>96.711500000000001</v>
      </c>
      <c r="L168">
        <f t="shared" si="33"/>
        <v>0</v>
      </c>
      <c r="M168">
        <f t="shared" si="34"/>
        <v>1</v>
      </c>
      <c r="O168">
        <f t="shared" si="35"/>
        <v>0</v>
      </c>
      <c r="P168">
        <f t="shared" si="36"/>
        <v>1.2199999999999989</v>
      </c>
      <c r="R168">
        <f t="shared" si="37"/>
        <v>0.78500000000000014</v>
      </c>
      <c r="S168">
        <f t="shared" si="38"/>
        <v>0.68799999999999673</v>
      </c>
      <c r="U168">
        <f t="shared" si="39"/>
        <v>53.292600135777448</v>
      </c>
      <c r="AH168">
        <f t="shared" si="40"/>
        <v>5.4051618761881572</v>
      </c>
      <c r="AI168">
        <f t="shared" si="41"/>
        <v>80.097866790175161</v>
      </c>
      <c r="AJ168">
        <f t="shared" si="42"/>
        <v>102.57813320982483</v>
      </c>
      <c r="AL168">
        <f t="shared" si="43"/>
        <v>102.14832375237631</v>
      </c>
      <c r="AM168">
        <f t="shared" si="44"/>
        <v>80.527676247623674</v>
      </c>
    </row>
    <row r="169" spans="1:39" ht="16.5" x14ac:dyDescent="0.25">
      <c r="A169" s="1">
        <v>45460</v>
      </c>
      <c r="B169" s="5">
        <v>88.08</v>
      </c>
      <c r="C169" s="4">
        <v>87.28</v>
      </c>
      <c r="D169" s="4">
        <v>88.08</v>
      </c>
      <c r="E169" s="4">
        <v>86.54</v>
      </c>
      <c r="F169" s="4" t="s">
        <v>314</v>
      </c>
      <c r="G169" s="2" t="s">
        <v>315</v>
      </c>
      <c r="I169">
        <f t="shared" si="31"/>
        <v>91.699999999999974</v>
      </c>
      <c r="J169">
        <f t="shared" si="32"/>
        <v>97.168249999999986</v>
      </c>
      <c r="L169">
        <f t="shared" si="33"/>
        <v>1</v>
      </c>
      <c r="M169">
        <f t="shared" si="34"/>
        <v>0</v>
      </c>
      <c r="O169">
        <f t="shared" si="35"/>
        <v>0.79999999999999716</v>
      </c>
      <c r="P169">
        <f t="shared" si="36"/>
        <v>0</v>
      </c>
      <c r="R169">
        <f t="shared" si="37"/>
        <v>0.78500000000000014</v>
      </c>
      <c r="S169">
        <f t="shared" si="38"/>
        <v>0.70999999999999797</v>
      </c>
      <c r="U169">
        <f t="shared" si="39"/>
        <v>52.508361204013447</v>
      </c>
      <c r="AH169">
        <f t="shared" si="40"/>
        <v>5.3918369177234453</v>
      </c>
      <c r="AI169">
        <f t="shared" si="41"/>
        <v>80.459866790175141</v>
      </c>
      <c r="AJ169">
        <f t="shared" si="42"/>
        <v>102.94013320982481</v>
      </c>
      <c r="AL169">
        <f t="shared" si="43"/>
        <v>102.48367383544687</v>
      </c>
      <c r="AM169">
        <f t="shared" si="44"/>
        <v>80.916326164553084</v>
      </c>
    </row>
    <row r="170" spans="1:39" ht="16.5" x14ac:dyDescent="0.25">
      <c r="A170" s="1">
        <v>45457</v>
      </c>
      <c r="B170" s="5">
        <v>86.9</v>
      </c>
      <c r="C170" s="4">
        <v>88.32</v>
      </c>
      <c r="D170" s="4">
        <v>88.5</v>
      </c>
      <c r="E170" s="4">
        <v>86.64</v>
      </c>
      <c r="F170" s="4" t="s">
        <v>316</v>
      </c>
      <c r="G170" s="2" t="s">
        <v>317</v>
      </c>
      <c r="I170">
        <f t="shared" si="31"/>
        <v>92.045999999999978</v>
      </c>
      <c r="J170">
        <f t="shared" si="32"/>
        <v>97.612499999999983</v>
      </c>
      <c r="L170">
        <f t="shared" si="33"/>
        <v>0</v>
      </c>
      <c r="M170">
        <f t="shared" si="34"/>
        <v>1</v>
      </c>
      <c r="O170">
        <f t="shared" si="35"/>
        <v>0</v>
      </c>
      <c r="P170">
        <f t="shared" si="36"/>
        <v>1.4199999999999875</v>
      </c>
      <c r="R170">
        <f t="shared" si="37"/>
        <v>0.78000000000000114</v>
      </c>
      <c r="S170">
        <f t="shared" si="38"/>
        <v>0.65090909090908933</v>
      </c>
      <c r="U170">
        <f t="shared" si="39"/>
        <v>54.510800508259301</v>
      </c>
      <c r="AH170">
        <f t="shared" si="40"/>
        <v>5.3799406912463485</v>
      </c>
      <c r="AI170">
        <f t="shared" si="41"/>
        <v>80.805866790175145</v>
      </c>
      <c r="AJ170">
        <f t="shared" si="42"/>
        <v>103.28613320982481</v>
      </c>
      <c r="AL170">
        <f t="shared" si="43"/>
        <v>102.80588138249267</v>
      </c>
      <c r="AM170">
        <f t="shared" si="44"/>
        <v>81.286118617507285</v>
      </c>
    </row>
    <row r="171" spans="1:39" ht="16.5" x14ac:dyDescent="0.25">
      <c r="A171" s="1">
        <v>45456</v>
      </c>
      <c r="B171" s="5">
        <v>88.26</v>
      </c>
      <c r="C171" s="4">
        <v>89.26</v>
      </c>
      <c r="D171" s="4">
        <v>89.44</v>
      </c>
      <c r="E171" s="4">
        <v>87.94</v>
      </c>
      <c r="F171" s="4" t="s">
        <v>157</v>
      </c>
      <c r="G171" s="2" t="s">
        <v>318</v>
      </c>
      <c r="I171">
        <f t="shared" si="31"/>
        <v>92.501999999999995</v>
      </c>
      <c r="J171">
        <f t="shared" si="32"/>
        <v>98.113749999999996</v>
      </c>
      <c r="L171">
        <f t="shared" si="33"/>
        <v>0</v>
      </c>
      <c r="M171">
        <f t="shared" si="34"/>
        <v>1</v>
      </c>
      <c r="O171">
        <f t="shared" si="35"/>
        <v>0</v>
      </c>
      <c r="P171">
        <f t="shared" si="36"/>
        <v>1</v>
      </c>
      <c r="R171">
        <f t="shared" si="37"/>
        <v>0.73500000000000298</v>
      </c>
      <c r="S171">
        <f t="shared" si="38"/>
        <v>0.57399999999999951</v>
      </c>
      <c r="U171">
        <f t="shared" si="39"/>
        <v>56.149732620320968</v>
      </c>
      <c r="AH171">
        <f t="shared" si="40"/>
        <v>5.3693706907559582</v>
      </c>
      <c r="AI171">
        <f t="shared" si="41"/>
        <v>81.261866790175162</v>
      </c>
      <c r="AJ171">
        <f t="shared" si="42"/>
        <v>103.74213320982483</v>
      </c>
      <c r="AL171">
        <f t="shared" si="43"/>
        <v>103.24074138151191</v>
      </c>
      <c r="AM171">
        <f t="shared" si="44"/>
        <v>81.763258618488081</v>
      </c>
    </row>
    <row r="172" spans="1:39" ht="16.5" x14ac:dyDescent="0.25">
      <c r="A172" s="1">
        <v>45455</v>
      </c>
      <c r="B172" s="5">
        <v>90.26</v>
      </c>
      <c r="C172" s="4">
        <v>90.4</v>
      </c>
      <c r="D172" s="4">
        <v>90.86</v>
      </c>
      <c r="E172" s="4">
        <v>88.66</v>
      </c>
      <c r="F172" s="4" t="s">
        <v>70</v>
      </c>
      <c r="G172" s="2" t="s">
        <v>319</v>
      </c>
      <c r="I172">
        <f t="shared" si="31"/>
        <v>92.912000000000006</v>
      </c>
      <c r="J172">
        <f t="shared" si="32"/>
        <v>98.555999999999997</v>
      </c>
      <c r="L172">
        <f t="shared" si="33"/>
        <v>0</v>
      </c>
      <c r="M172">
        <f t="shared" si="34"/>
        <v>1</v>
      </c>
      <c r="O172">
        <f t="shared" si="35"/>
        <v>0</v>
      </c>
      <c r="P172">
        <f t="shared" si="36"/>
        <v>0.14000000000000057</v>
      </c>
      <c r="R172">
        <f t="shared" si="37"/>
        <v>0.68800000000000239</v>
      </c>
      <c r="S172">
        <f t="shared" si="38"/>
        <v>0.52666666666666606</v>
      </c>
      <c r="U172">
        <f t="shared" si="39"/>
        <v>56.641053787047312</v>
      </c>
      <c r="AH172">
        <f t="shared" si="40"/>
        <v>5.3605514428225085</v>
      </c>
      <c r="AI172">
        <f t="shared" si="41"/>
        <v>81.671866790175173</v>
      </c>
      <c r="AJ172">
        <f t="shared" si="42"/>
        <v>104.15213320982484</v>
      </c>
      <c r="AL172">
        <f t="shared" si="43"/>
        <v>103.63310288564503</v>
      </c>
      <c r="AM172">
        <f t="shared" si="44"/>
        <v>82.190897114354982</v>
      </c>
    </row>
    <row r="173" spans="1:39" ht="16.5" x14ac:dyDescent="0.25">
      <c r="A173" s="1">
        <v>45454</v>
      </c>
      <c r="B173" s="5">
        <v>91.12</v>
      </c>
      <c r="C173" s="4">
        <v>91.34</v>
      </c>
      <c r="D173" s="4">
        <v>91.36</v>
      </c>
      <c r="E173" s="4">
        <v>90.44</v>
      </c>
      <c r="F173" s="4" t="s">
        <v>320</v>
      </c>
      <c r="G173" s="2" t="s">
        <v>321</v>
      </c>
      <c r="I173">
        <f t="shared" si="31"/>
        <v>93.544000000000011</v>
      </c>
      <c r="J173">
        <f t="shared" si="32"/>
        <v>98.96074999999999</v>
      </c>
      <c r="L173">
        <f t="shared" si="33"/>
        <v>0</v>
      </c>
      <c r="M173">
        <f t="shared" si="34"/>
        <v>1</v>
      </c>
      <c r="O173">
        <f t="shared" si="35"/>
        <v>0</v>
      </c>
      <c r="P173">
        <f t="shared" si="36"/>
        <v>0.21999999999999886</v>
      </c>
      <c r="R173">
        <f t="shared" si="37"/>
        <v>0.68800000000000239</v>
      </c>
      <c r="S173">
        <f t="shared" si="38"/>
        <v>0.56666666666666599</v>
      </c>
      <c r="U173">
        <f t="shared" si="39"/>
        <v>54.835281615302989</v>
      </c>
      <c r="AH173">
        <f t="shared" si="40"/>
        <v>5.3532328681155521</v>
      </c>
      <c r="AI173">
        <f t="shared" si="41"/>
        <v>82.303866790175178</v>
      </c>
      <c r="AJ173">
        <f t="shared" si="42"/>
        <v>104.78413320982484</v>
      </c>
      <c r="AL173">
        <f t="shared" si="43"/>
        <v>104.25046573623112</v>
      </c>
      <c r="AM173">
        <f t="shared" si="44"/>
        <v>82.837534263768902</v>
      </c>
    </row>
    <row r="174" spans="1:39" ht="16.5" x14ac:dyDescent="0.25">
      <c r="A174" s="1">
        <v>45453</v>
      </c>
      <c r="B174" s="5">
        <v>91.3</v>
      </c>
      <c r="C174" s="4">
        <v>90.6</v>
      </c>
      <c r="D174" s="4">
        <v>91.3</v>
      </c>
      <c r="E174" s="4">
        <v>89.8</v>
      </c>
      <c r="F174" s="4" t="s">
        <v>322</v>
      </c>
      <c r="G174" s="2" t="s">
        <v>323</v>
      </c>
      <c r="I174">
        <f t="shared" si="31"/>
        <v>94.175500000000014</v>
      </c>
      <c r="J174">
        <f t="shared" si="32"/>
        <v>99.425249999999991</v>
      </c>
      <c r="L174">
        <f t="shared" si="33"/>
        <v>1</v>
      </c>
      <c r="M174">
        <f t="shared" si="34"/>
        <v>0</v>
      </c>
      <c r="O174">
        <f t="shared" si="35"/>
        <v>0.70000000000000284</v>
      </c>
      <c r="P174">
        <f t="shared" si="36"/>
        <v>0</v>
      </c>
      <c r="R174">
        <f t="shared" si="37"/>
        <v>0.59000000000000341</v>
      </c>
      <c r="S174">
        <f t="shared" si="38"/>
        <v>0.60999999999999943</v>
      </c>
      <c r="U174">
        <f t="shared" si="39"/>
        <v>49.166666666666835</v>
      </c>
      <c r="AH174">
        <f t="shared" si="40"/>
        <v>5.3481764248444223</v>
      </c>
      <c r="AI174">
        <f t="shared" si="41"/>
        <v>82.935366790175181</v>
      </c>
      <c r="AJ174">
        <f t="shared" si="42"/>
        <v>105.41563320982485</v>
      </c>
      <c r="AL174">
        <f t="shared" si="43"/>
        <v>104.87185284968886</v>
      </c>
      <c r="AM174">
        <f t="shared" si="44"/>
        <v>83.479147150311164</v>
      </c>
    </row>
    <row r="175" spans="1:39" ht="16.5" x14ac:dyDescent="0.25">
      <c r="A175" s="1">
        <v>45450</v>
      </c>
      <c r="B175" s="5">
        <v>91.18</v>
      </c>
      <c r="C175" s="4">
        <v>91.3</v>
      </c>
      <c r="D175" s="4">
        <v>91.54</v>
      </c>
      <c r="E175" s="4">
        <v>90.2</v>
      </c>
      <c r="F175" s="4" t="s">
        <v>324</v>
      </c>
      <c r="G175" s="2" t="s">
        <v>258</v>
      </c>
      <c r="I175">
        <f t="shared" si="31"/>
        <v>94.75800000000001</v>
      </c>
      <c r="J175">
        <f t="shared" si="32"/>
        <v>99.880249999999975</v>
      </c>
      <c r="L175">
        <f t="shared" si="33"/>
        <v>0</v>
      </c>
      <c r="M175">
        <f t="shared" si="34"/>
        <v>1</v>
      </c>
      <c r="O175">
        <f t="shared" si="35"/>
        <v>0</v>
      </c>
      <c r="P175">
        <f t="shared" si="36"/>
        <v>0.11999999999999034</v>
      </c>
      <c r="R175">
        <f t="shared" si="37"/>
        <v>0.57000000000000262</v>
      </c>
      <c r="S175">
        <f t="shared" si="38"/>
        <v>0.60999999999999943</v>
      </c>
      <c r="U175">
        <f t="shared" si="39"/>
        <v>48.305084745762855</v>
      </c>
      <c r="AH175">
        <f t="shared" si="40"/>
        <v>5.3452152304489342</v>
      </c>
      <c r="AI175">
        <f t="shared" si="41"/>
        <v>83.517866790175177</v>
      </c>
      <c r="AJ175">
        <f t="shared" si="42"/>
        <v>105.99813320982484</v>
      </c>
      <c r="AL175">
        <f t="shared" si="43"/>
        <v>105.44843046089788</v>
      </c>
      <c r="AM175">
        <f t="shared" si="44"/>
        <v>84.067569539102138</v>
      </c>
    </row>
    <row r="176" spans="1:39" ht="16.5" x14ac:dyDescent="0.25">
      <c r="A176" s="1">
        <v>45449</v>
      </c>
      <c r="B176" s="5">
        <v>91.5</v>
      </c>
      <c r="C176" s="4">
        <v>91.76</v>
      </c>
      <c r="D176" s="4">
        <v>92.32</v>
      </c>
      <c r="E176" s="4">
        <v>91.22</v>
      </c>
      <c r="F176" s="4" t="s">
        <v>325</v>
      </c>
      <c r="G176" s="2" t="s">
        <v>326</v>
      </c>
      <c r="I176">
        <f t="shared" si="31"/>
        <v>95.278999999999996</v>
      </c>
      <c r="J176">
        <f t="shared" si="32"/>
        <v>100.39824999999999</v>
      </c>
      <c r="L176">
        <f t="shared" si="33"/>
        <v>0</v>
      </c>
      <c r="M176">
        <f t="shared" si="34"/>
        <v>1</v>
      </c>
      <c r="O176">
        <f t="shared" si="35"/>
        <v>0</v>
      </c>
      <c r="P176">
        <f t="shared" si="36"/>
        <v>0.26000000000000512</v>
      </c>
      <c r="R176">
        <f t="shared" si="37"/>
        <v>0.57000000000000262</v>
      </c>
      <c r="S176">
        <f t="shared" si="38"/>
        <v>0.76250000000000107</v>
      </c>
      <c r="U176">
        <f t="shared" si="39"/>
        <v>42.776735459662362</v>
      </c>
      <c r="AH176">
        <f t="shared" si="40"/>
        <v>5.344030200718219</v>
      </c>
      <c r="AI176">
        <f t="shared" si="41"/>
        <v>84.038866790175163</v>
      </c>
      <c r="AJ176">
        <f t="shared" si="42"/>
        <v>106.51913320982483</v>
      </c>
      <c r="AL176">
        <f t="shared" si="43"/>
        <v>105.96706040143644</v>
      </c>
      <c r="AM176">
        <f t="shared" si="44"/>
        <v>84.590939598563551</v>
      </c>
    </row>
    <row r="177" spans="1:39" ht="16.5" x14ac:dyDescent="0.25">
      <c r="A177" s="1">
        <v>45448</v>
      </c>
      <c r="B177" s="5">
        <v>91.42</v>
      </c>
      <c r="C177" s="4">
        <v>92.36</v>
      </c>
      <c r="D177" s="4">
        <v>92.62</v>
      </c>
      <c r="E177" s="4">
        <v>91.42</v>
      </c>
      <c r="F177" s="4" t="s">
        <v>62</v>
      </c>
      <c r="G177" s="2" t="s">
        <v>327</v>
      </c>
      <c r="I177">
        <f t="shared" si="31"/>
        <v>95.786500000000018</v>
      </c>
      <c r="J177">
        <f t="shared" si="32"/>
        <v>100.89824999999999</v>
      </c>
      <c r="L177">
        <f t="shared" si="33"/>
        <v>0</v>
      </c>
      <c r="M177">
        <f t="shared" si="34"/>
        <v>1</v>
      </c>
      <c r="O177">
        <f t="shared" si="35"/>
        <v>0</v>
      </c>
      <c r="P177">
        <f t="shared" si="36"/>
        <v>0.93999999999999773</v>
      </c>
      <c r="R177">
        <f t="shared" si="37"/>
        <v>0.57000000000000262</v>
      </c>
      <c r="S177">
        <f t="shared" si="38"/>
        <v>0.77500000000000036</v>
      </c>
      <c r="U177">
        <f t="shared" si="39"/>
        <v>42.379182156133929</v>
      </c>
      <c r="AH177">
        <f t="shared" si="40"/>
        <v>5.3443038196887285</v>
      </c>
      <c r="AI177">
        <f t="shared" si="41"/>
        <v>84.546366790175185</v>
      </c>
      <c r="AJ177">
        <f t="shared" si="42"/>
        <v>107.02663320982485</v>
      </c>
      <c r="AL177">
        <f t="shared" si="43"/>
        <v>106.47510763937747</v>
      </c>
      <c r="AM177">
        <f t="shared" si="44"/>
        <v>85.097892360622566</v>
      </c>
    </row>
    <row r="178" spans="1:39" ht="16.5" x14ac:dyDescent="0.25">
      <c r="A178" s="1">
        <v>45447</v>
      </c>
      <c r="B178" s="5">
        <v>92.04</v>
      </c>
      <c r="C178" s="4">
        <v>93.14</v>
      </c>
      <c r="D178" s="4">
        <v>93.14</v>
      </c>
      <c r="E178" s="4">
        <v>91.4</v>
      </c>
      <c r="F178" s="4" t="s">
        <v>328</v>
      </c>
      <c r="G178" s="2" t="s">
        <v>329</v>
      </c>
      <c r="I178">
        <f t="shared" si="31"/>
        <v>96.273000000000025</v>
      </c>
      <c r="J178">
        <f t="shared" si="32"/>
        <v>101.45899999999999</v>
      </c>
      <c r="L178">
        <f t="shared" si="33"/>
        <v>0</v>
      </c>
      <c r="M178">
        <f t="shared" si="34"/>
        <v>1</v>
      </c>
      <c r="O178">
        <f t="shared" si="35"/>
        <v>0</v>
      </c>
      <c r="P178">
        <f t="shared" si="36"/>
        <v>1.0999999999999943</v>
      </c>
      <c r="R178">
        <f t="shared" si="37"/>
        <v>0.57000000000000262</v>
      </c>
      <c r="S178">
        <f t="shared" si="38"/>
        <v>0.72500000000000142</v>
      </c>
      <c r="U178">
        <f t="shared" si="39"/>
        <v>44.015444015444082</v>
      </c>
      <c r="AH178">
        <f t="shared" si="40"/>
        <v>5.3458826962109258</v>
      </c>
      <c r="AI178">
        <f t="shared" si="41"/>
        <v>85.032866790175191</v>
      </c>
      <c r="AJ178">
        <f t="shared" si="42"/>
        <v>107.51313320982486</v>
      </c>
      <c r="AL178">
        <f t="shared" si="43"/>
        <v>106.96476539242188</v>
      </c>
      <c r="AM178">
        <f t="shared" si="44"/>
        <v>85.581234607578168</v>
      </c>
    </row>
    <row r="179" spans="1:39" ht="16.5" x14ac:dyDescent="0.25">
      <c r="A179" s="1">
        <v>45446</v>
      </c>
      <c r="B179" s="5">
        <v>93.26</v>
      </c>
      <c r="C179" s="4">
        <v>93.72</v>
      </c>
      <c r="D179" s="4">
        <v>94.44</v>
      </c>
      <c r="E179" s="4">
        <v>93.24</v>
      </c>
      <c r="F179" s="4" t="s">
        <v>330</v>
      </c>
      <c r="G179" s="2" t="s">
        <v>326</v>
      </c>
      <c r="I179">
        <f t="shared" si="31"/>
        <v>96.881000000000014</v>
      </c>
      <c r="J179">
        <f t="shared" si="32"/>
        <v>102.02674999999998</v>
      </c>
      <c r="L179">
        <f t="shared" si="33"/>
        <v>0</v>
      </c>
      <c r="M179">
        <f t="shared" si="34"/>
        <v>1</v>
      </c>
      <c r="O179">
        <f t="shared" si="35"/>
        <v>0</v>
      </c>
      <c r="P179">
        <f t="shared" si="36"/>
        <v>0.45999999999999375</v>
      </c>
      <c r="R179">
        <f t="shared" si="37"/>
        <v>0.57000000000000262</v>
      </c>
      <c r="S179">
        <f t="shared" si="38"/>
        <v>0.76875000000000071</v>
      </c>
      <c r="U179">
        <f t="shared" si="39"/>
        <v>42.577030812325027</v>
      </c>
      <c r="AH179">
        <f t="shared" si="40"/>
        <v>5.3486033035473239</v>
      </c>
      <c r="AI179">
        <f t="shared" si="41"/>
        <v>85.640866790175181</v>
      </c>
      <c r="AJ179">
        <f t="shared" si="42"/>
        <v>108.12113320982485</v>
      </c>
      <c r="AL179">
        <f t="shared" si="43"/>
        <v>107.57820660709466</v>
      </c>
      <c r="AM179">
        <f t="shared" si="44"/>
        <v>86.183793392905372</v>
      </c>
    </row>
    <row r="180" spans="1:39" ht="16.5" x14ac:dyDescent="0.25">
      <c r="A180" s="1">
        <v>45443</v>
      </c>
      <c r="B180" s="5">
        <v>93.18</v>
      </c>
      <c r="C180" s="4">
        <v>92.64</v>
      </c>
      <c r="D180" s="4">
        <v>93.2</v>
      </c>
      <c r="E180" s="4">
        <v>92.3</v>
      </c>
      <c r="F180" s="4" t="s">
        <v>331</v>
      </c>
      <c r="G180" s="2" t="s">
        <v>45</v>
      </c>
      <c r="I180">
        <f t="shared" si="31"/>
        <v>97.370500000000021</v>
      </c>
      <c r="J180">
        <f t="shared" si="32"/>
        <v>102.50774999999999</v>
      </c>
      <c r="L180">
        <f t="shared" si="33"/>
        <v>1</v>
      </c>
      <c r="M180">
        <f t="shared" si="34"/>
        <v>0</v>
      </c>
      <c r="O180">
        <f t="shared" si="35"/>
        <v>0.54000000000000625</v>
      </c>
      <c r="P180">
        <f t="shared" si="36"/>
        <v>0</v>
      </c>
      <c r="R180">
        <f t="shared" si="37"/>
        <v>0.53857142857143003</v>
      </c>
      <c r="S180">
        <f t="shared" si="38"/>
        <v>0.81285714285714461</v>
      </c>
      <c r="U180">
        <f t="shared" si="39"/>
        <v>39.852008456659625</v>
      </c>
      <c r="AH180">
        <f t="shared" si="40"/>
        <v>5.3525988293041253</v>
      </c>
      <c r="AI180">
        <f t="shared" si="41"/>
        <v>86.130366790175188</v>
      </c>
      <c r="AJ180">
        <f t="shared" si="42"/>
        <v>108.61063320982485</v>
      </c>
      <c r="AL180">
        <f t="shared" si="43"/>
        <v>108.07569765860828</v>
      </c>
      <c r="AM180">
        <f t="shared" si="44"/>
        <v>86.665302341391765</v>
      </c>
    </row>
    <row r="181" spans="1:39" ht="16.5" x14ac:dyDescent="0.25">
      <c r="A181" s="1">
        <v>45442</v>
      </c>
      <c r="B181" s="5">
        <v>92.6</v>
      </c>
      <c r="C181" s="4">
        <v>91.5</v>
      </c>
      <c r="D181" s="4">
        <v>93.06</v>
      </c>
      <c r="E181" s="4">
        <v>91.32</v>
      </c>
      <c r="F181" s="4" t="s">
        <v>332</v>
      </c>
      <c r="G181" s="2" t="s">
        <v>333</v>
      </c>
      <c r="I181">
        <f t="shared" si="31"/>
        <v>97.836500000000015</v>
      </c>
      <c r="J181">
        <f t="shared" si="32"/>
        <v>103.04575</v>
      </c>
      <c r="L181">
        <f t="shared" si="33"/>
        <v>1</v>
      </c>
      <c r="M181">
        <f t="shared" si="34"/>
        <v>0</v>
      </c>
      <c r="O181">
        <f t="shared" si="35"/>
        <v>1.0999999999999943</v>
      </c>
      <c r="P181">
        <f t="shared" si="36"/>
        <v>0</v>
      </c>
      <c r="R181">
        <f t="shared" si="37"/>
        <v>0.57571428571428584</v>
      </c>
      <c r="S181">
        <f t="shared" si="38"/>
        <v>0.81285714285714461</v>
      </c>
      <c r="U181">
        <f t="shared" si="39"/>
        <v>41.460905349794196</v>
      </c>
      <c r="AH181">
        <f t="shared" si="40"/>
        <v>5.3574923451425516</v>
      </c>
      <c r="AI181">
        <f t="shared" si="41"/>
        <v>86.596366790175182</v>
      </c>
      <c r="AJ181">
        <f t="shared" si="42"/>
        <v>109.07663320982485</v>
      </c>
      <c r="AL181">
        <f t="shared" si="43"/>
        <v>108.55148469028512</v>
      </c>
      <c r="AM181">
        <f t="shared" si="44"/>
        <v>87.121515309714908</v>
      </c>
    </row>
    <row r="182" spans="1:39" ht="16.5" x14ac:dyDescent="0.25">
      <c r="A182" s="1">
        <v>45441</v>
      </c>
      <c r="B182" s="5">
        <v>91.82</v>
      </c>
      <c r="C182" s="4">
        <v>93.26</v>
      </c>
      <c r="D182" s="4">
        <v>93.56</v>
      </c>
      <c r="E182" s="4">
        <v>91.56</v>
      </c>
      <c r="F182" s="4" t="s">
        <v>101</v>
      </c>
      <c r="G182" s="2" t="s">
        <v>334</v>
      </c>
      <c r="I182">
        <f t="shared" si="31"/>
        <v>98.304000000000016</v>
      </c>
      <c r="J182">
        <f t="shared" si="32"/>
        <v>103.527</v>
      </c>
      <c r="L182">
        <f t="shared" si="33"/>
        <v>0</v>
      </c>
      <c r="M182">
        <f t="shared" si="34"/>
        <v>1</v>
      </c>
      <c r="O182">
        <f t="shared" si="35"/>
        <v>0</v>
      </c>
      <c r="P182">
        <f t="shared" si="36"/>
        <v>1.4400000000000119</v>
      </c>
      <c r="R182">
        <f t="shared" si="37"/>
        <v>0.48833333333333445</v>
      </c>
      <c r="S182">
        <f t="shared" si="38"/>
        <v>0.81125000000000291</v>
      </c>
      <c r="U182">
        <f t="shared" si="39"/>
        <v>37.576146200705324</v>
      </c>
      <c r="AH182">
        <f t="shared" si="40"/>
        <v>5.3631341700068171</v>
      </c>
      <c r="AI182">
        <f t="shared" si="41"/>
        <v>87.063866790175183</v>
      </c>
      <c r="AJ182">
        <f t="shared" si="42"/>
        <v>109.54413320982485</v>
      </c>
      <c r="AL182">
        <f t="shared" si="43"/>
        <v>109.03026834001365</v>
      </c>
      <c r="AM182">
        <f t="shared" si="44"/>
        <v>87.577731659986384</v>
      </c>
    </row>
    <row r="183" spans="1:39" ht="16.5" x14ac:dyDescent="0.25">
      <c r="A183" s="1">
        <v>45440</v>
      </c>
      <c r="B183" s="5">
        <v>93.8</v>
      </c>
      <c r="C183" s="4">
        <v>93.86</v>
      </c>
      <c r="D183" s="4">
        <v>94.12</v>
      </c>
      <c r="E183" s="4">
        <v>93.36</v>
      </c>
      <c r="F183" s="4" t="s">
        <v>335</v>
      </c>
      <c r="G183" s="2" t="s">
        <v>336</v>
      </c>
      <c r="I183">
        <f t="shared" si="31"/>
        <v>98.83550000000001</v>
      </c>
      <c r="J183">
        <f t="shared" si="32"/>
        <v>103.89774999999997</v>
      </c>
      <c r="L183">
        <f t="shared" si="33"/>
        <v>0</v>
      </c>
      <c r="M183">
        <f t="shared" si="34"/>
        <v>1</v>
      </c>
      <c r="O183">
        <f t="shared" si="35"/>
        <v>0</v>
      </c>
      <c r="P183">
        <f t="shared" si="36"/>
        <v>6.0000000000002274E-2</v>
      </c>
      <c r="R183">
        <f t="shared" si="37"/>
        <v>0.51142857142857323</v>
      </c>
      <c r="S183">
        <f t="shared" si="38"/>
        <v>0.72142857142857308</v>
      </c>
      <c r="U183">
        <f t="shared" si="39"/>
        <v>41.483198146002344</v>
      </c>
      <c r="AH183">
        <f t="shared" si="40"/>
        <v>5.3694200842857418</v>
      </c>
      <c r="AI183">
        <f t="shared" si="41"/>
        <v>87.595366790175177</v>
      </c>
      <c r="AJ183">
        <f t="shared" si="42"/>
        <v>110.07563320982484</v>
      </c>
      <c r="AL183">
        <f t="shared" si="43"/>
        <v>109.5743401685715</v>
      </c>
      <c r="AM183">
        <f t="shared" si="44"/>
        <v>88.096659831428525</v>
      </c>
    </row>
    <row r="184" spans="1:39" ht="16.5" x14ac:dyDescent="0.25">
      <c r="A184" s="1">
        <v>45439</v>
      </c>
      <c r="B184" s="5">
        <v>93.7</v>
      </c>
      <c r="C184" s="4">
        <v>93.1</v>
      </c>
      <c r="D184" s="4">
        <v>93.84</v>
      </c>
      <c r="E184" s="4">
        <v>92.82</v>
      </c>
      <c r="F184" s="4" t="s">
        <v>337</v>
      </c>
      <c r="G184" s="2" t="s">
        <v>338</v>
      </c>
      <c r="I184">
        <f t="shared" si="31"/>
        <v>99.485500000000002</v>
      </c>
      <c r="J184">
        <f t="shared" si="32"/>
        <v>104.22674999999997</v>
      </c>
      <c r="L184">
        <f t="shared" si="33"/>
        <v>1</v>
      </c>
      <c r="M184">
        <f t="shared" si="34"/>
        <v>0</v>
      </c>
      <c r="O184">
        <f t="shared" si="35"/>
        <v>0.60000000000000853</v>
      </c>
      <c r="P184">
        <f t="shared" si="36"/>
        <v>0</v>
      </c>
      <c r="R184">
        <f t="shared" si="37"/>
        <v>0.51142857142857323</v>
      </c>
      <c r="S184">
        <f t="shared" si="38"/>
        <v>0.7771428571428568</v>
      </c>
      <c r="U184">
        <f t="shared" si="39"/>
        <v>39.689578713969055</v>
      </c>
      <c r="AH184">
        <f t="shared" si="40"/>
        <v>5.3763027675888546</v>
      </c>
      <c r="AI184">
        <f t="shared" si="41"/>
        <v>88.245366790175169</v>
      </c>
      <c r="AJ184">
        <f t="shared" si="42"/>
        <v>110.72563320982484</v>
      </c>
      <c r="AL184">
        <f t="shared" si="43"/>
        <v>110.23810553517771</v>
      </c>
      <c r="AM184">
        <f t="shared" si="44"/>
        <v>88.732894464822294</v>
      </c>
    </row>
    <row r="185" spans="1:39" ht="16.5" x14ac:dyDescent="0.25">
      <c r="A185" s="1">
        <v>45436</v>
      </c>
      <c r="B185" s="5">
        <v>92.84</v>
      </c>
      <c r="C185" s="4">
        <v>92.34</v>
      </c>
      <c r="D185" s="4">
        <v>93.18</v>
      </c>
      <c r="E185" s="4">
        <v>91.96</v>
      </c>
      <c r="F185" s="4" t="s">
        <v>339</v>
      </c>
      <c r="G185" s="2" t="s">
        <v>323</v>
      </c>
      <c r="I185">
        <f t="shared" si="31"/>
        <v>100.12050000000002</v>
      </c>
      <c r="J185">
        <f t="shared" si="32"/>
        <v>104.53824999999999</v>
      </c>
      <c r="L185">
        <f t="shared" si="33"/>
        <v>1</v>
      </c>
      <c r="M185">
        <f t="shared" si="34"/>
        <v>0</v>
      </c>
      <c r="O185">
        <f t="shared" si="35"/>
        <v>0.5</v>
      </c>
      <c r="P185">
        <f t="shared" si="36"/>
        <v>0</v>
      </c>
      <c r="R185">
        <f t="shared" si="37"/>
        <v>0.5185714285714299</v>
      </c>
      <c r="S185">
        <f t="shared" si="38"/>
        <v>0.7771428571428568</v>
      </c>
      <c r="U185">
        <f t="shared" si="39"/>
        <v>40.022050716648359</v>
      </c>
      <c r="AH185">
        <f t="shared" si="40"/>
        <v>5.3837126383803788</v>
      </c>
      <c r="AI185">
        <f t="shared" si="41"/>
        <v>88.880366790175188</v>
      </c>
      <c r="AJ185">
        <f t="shared" si="42"/>
        <v>111.36063320982485</v>
      </c>
      <c r="AL185">
        <f t="shared" si="43"/>
        <v>110.88792527676078</v>
      </c>
      <c r="AM185">
        <f t="shared" si="44"/>
        <v>89.35307472323926</v>
      </c>
    </row>
    <row r="186" spans="1:39" ht="16.5" x14ac:dyDescent="0.25">
      <c r="A186" s="1">
        <v>45435</v>
      </c>
      <c r="B186" s="5">
        <v>92.72</v>
      </c>
      <c r="C186" s="4">
        <v>93.22</v>
      </c>
      <c r="D186" s="4">
        <v>94.04</v>
      </c>
      <c r="E186" s="4">
        <v>92.64</v>
      </c>
      <c r="F186" s="4" t="s">
        <v>340</v>
      </c>
      <c r="G186" s="2" t="s">
        <v>294</v>
      </c>
      <c r="I186">
        <f t="shared" si="31"/>
        <v>100.73100000000002</v>
      </c>
      <c r="J186">
        <f t="shared" si="32"/>
        <v>104.88124999999998</v>
      </c>
      <c r="L186">
        <f t="shared" si="33"/>
        <v>0</v>
      </c>
      <c r="M186">
        <f t="shared" si="34"/>
        <v>1</v>
      </c>
      <c r="O186">
        <f t="shared" si="35"/>
        <v>0</v>
      </c>
      <c r="P186">
        <f t="shared" si="36"/>
        <v>0.5</v>
      </c>
      <c r="R186">
        <f t="shared" si="37"/>
        <v>0.46857142857142875</v>
      </c>
      <c r="S186">
        <f t="shared" si="38"/>
        <v>0.7771428571428568</v>
      </c>
      <c r="U186">
        <f t="shared" si="39"/>
        <v>37.614678899082591</v>
      </c>
      <c r="AH186">
        <f t="shared" si="40"/>
        <v>5.3914251926371222</v>
      </c>
      <c r="AI186">
        <f t="shared" si="41"/>
        <v>89.49086679017519</v>
      </c>
      <c r="AJ186">
        <f t="shared" si="42"/>
        <v>111.97113320982486</v>
      </c>
      <c r="AL186">
        <f t="shared" si="43"/>
        <v>111.51385038527427</v>
      </c>
      <c r="AM186">
        <f t="shared" si="44"/>
        <v>89.948149614725779</v>
      </c>
    </row>
    <row r="187" spans="1:39" ht="16.5" x14ac:dyDescent="0.25">
      <c r="A187" s="1">
        <v>45434</v>
      </c>
      <c r="B187" s="5">
        <v>93.2</v>
      </c>
      <c r="C187" s="4">
        <v>93.1</v>
      </c>
      <c r="D187" s="4">
        <v>93.42</v>
      </c>
      <c r="E187" s="4">
        <v>92.06</v>
      </c>
      <c r="F187" s="4" t="s">
        <v>113</v>
      </c>
      <c r="G187" s="2" t="s">
        <v>341</v>
      </c>
      <c r="I187">
        <f t="shared" si="31"/>
        <v>101.4225</v>
      </c>
      <c r="J187">
        <f t="shared" si="32"/>
        <v>105.21924999999996</v>
      </c>
      <c r="L187">
        <f t="shared" si="33"/>
        <v>1</v>
      </c>
      <c r="M187">
        <f t="shared" si="34"/>
        <v>0</v>
      </c>
      <c r="O187">
        <f t="shared" si="35"/>
        <v>0.10000000000000853</v>
      </c>
      <c r="P187">
        <f t="shared" si="36"/>
        <v>0</v>
      </c>
      <c r="R187">
        <f t="shared" si="37"/>
        <v>0.46857142857142875</v>
      </c>
      <c r="S187">
        <f t="shared" si="38"/>
        <v>0.71285714285714208</v>
      </c>
      <c r="U187">
        <f t="shared" si="39"/>
        <v>39.661426844014549</v>
      </c>
      <c r="AH187">
        <f t="shared" si="40"/>
        <v>5.3992286649096854</v>
      </c>
      <c r="AI187">
        <f t="shared" si="41"/>
        <v>90.182366790175166</v>
      </c>
      <c r="AJ187">
        <f t="shared" si="42"/>
        <v>112.66263320982483</v>
      </c>
      <c r="AL187">
        <f t="shared" si="43"/>
        <v>112.22095732981937</v>
      </c>
      <c r="AM187">
        <f t="shared" si="44"/>
        <v>90.624042670180629</v>
      </c>
    </row>
    <row r="188" spans="1:39" ht="16.5" x14ac:dyDescent="0.25">
      <c r="A188" s="1">
        <v>45433</v>
      </c>
      <c r="B188" s="5">
        <v>94.82</v>
      </c>
      <c r="C188" s="4">
        <v>94.24</v>
      </c>
      <c r="D188" s="4">
        <v>94.98</v>
      </c>
      <c r="E188" s="4">
        <v>94</v>
      </c>
      <c r="F188" s="4" t="s">
        <v>103</v>
      </c>
      <c r="G188" s="2" t="s">
        <v>342</v>
      </c>
      <c r="I188">
        <f t="shared" si="31"/>
        <v>102.08500000000001</v>
      </c>
      <c r="J188">
        <f t="shared" si="32"/>
        <v>105.49224999999997</v>
      </c>
      <c r="L188">
        <f t="shared" si="33"/>
        <v>1</v>
      </c>
      <c r="M188">
        <f t="shared" si="34"/>
        <v>0</v>
      </c>
      <c r="O188">
        <f t="shared" si="35"/>
        <v>0.57999999999999829</v>
      </c>
      <c r="P188">
        <f t="shared" si="36"/>
        <v>0</v>
      </c>
      <c r="R188">
        <f t="shared" si="37"/>
        <v>0.52999999999999881</v>
      </c>
      <c r="S188">
        <f t="shared" si="38"/>
        <v>0.67374999999999829</v>
      </c>
      <c r="U188">
        <f t="shared" si="39"/>
        <v>44.029075804776745</v>
      </c>
      <c r="AH188">
        <f t="shared" si="40"/>
        <v>5.4068886802735241</v>
      </c>
      <c r="AI188">
        <f t="shared" si="41"/>
        <v>90.844866790175175</v>
      </c>
      <c r="AJ188">
        <f t="shared" si="42"/>
        <v>113.32513320982484</v>
      </c>
      <c r="AL188">
        <f t="shared" si="43"/>
        <v>112.89877736054706</v>
      </c>
      <c r="AM188">
        <f t="shared" si="44"/>
        <v>91.271222639452958</v>
      </c>
    </row>
    <row r="189" spans="1:39" ht="16.5" x14ac:dyDescent="0.25">
      <c r="A189" s="1">
        <v>45432</v>
      </c>
      <c r="B189" s="5">
        <v>95</v>
      </c>
      <c r="C189" s="4">
        <v>96.34</v>
      </c>
      <c r="D189" s="4">
        <v>96.34</v>
      </c>
      <c r="E189" s="4">
        <v>94.58</v>
      </c>
      <c r="F189" s="4" t="s">
        <v>129</v>
      </c>
      <c r="G189" s="2" t="s">
        <v>28</v>
      </c>
      <c r="I189">
        <f t="shared" si="31"/>
        <v>102.6365</v>
      </c>
      <c r="J189">
        <f t="shared" si="32"/>
        <v>105.74174999999998</v>
      </c>
      <c r="L189">
        <f t="shared" si="33"/>
        <v>0</v>
      </c>
      <c r="M189">
        <f t="shared" si="34"/>
        <v>1</v>
      </c>
      <c r="O189">
        <f t="shared" si="35"/>
        <v>0</v>
      </c>
      <c r="P189">
        <f t="shared" si="36"/>
        <v>1.3400000000000034</v>
      </c>
      <c r="R189">
        <f t="shared" si="37"/>
        <v>0.51999999999999891</v>
      </c>
      <c r="S189">
        <f t="shared" si="38"/>
        <v>1.0266666666666646</v>
      </c>
      <c r="U189">
        <f t="shared" si="39"/>
        <v>33.620689655172413</v>
      </c>
      <c r="AH189">
        <f t="shared" si="40"/>
        <v>5.4141680446823131</v>
      </c>
      <c r="AI189">
        <f t="shared" si="41"/>
        <v>91.396366790175165</v>
      </c>
      <c r="AJ189">
        <f t="shared" si="42"/>
        <v>113.87663320982483</v>
      </c>
      <c r="AL189">
        <f t="shared" si="43"/>
        <v>113.46483608936462</v>
      </c>
      <c r="AM189">
        <f t="shared" si="44"/>
        <v>91.808163910635372</v>
      </c>
    </row>
    <row r="190" spans="1:39" ht="16.5" x14ac:dyDescent="0.25">
      <c r="A190" s="1">
        <v>45429</v>
      </c>
      <c r="B190" s="5">
        <v>96.02</v>
      </c>
      <c r="C190" s="4">
        <v>96.38</v>
      </c>
      <c r="D190" s="4">
        <v>96.68</v>
      </c>
      <c r="E190" s="4">
        <v>95.96</v>
      </c>
      <c r="F190" s="4" t="s">
        <v>70</v>
      </c>
      <c r="G190" s="2" t="s">
        <v>93</v>
      </c>
      <c r="I190">
        <f t="shared" si="31"/>
        <v>103.179</v>
      </c>
      <c r="J190">
        <f t="shared" si="32"/>
        <v>106.02574999999995</v>
      </c>
      <c r="L190">
        <f t="shared" si="33"/>
        <v>0</v>
      </c>
      <c r="M190">
        <f t="shared" si="34"/>
        <v>1</v>
      </c>
      <c r="O190">
        <f t="shared" si="35"/>
        <v>0</v>
      </c>
      <c r="P190">
        <f t="shared" si="36"/>
        <v>0.35999999999999943</v>
      </c>
      <c r="R190">
        <f t="shared" si="37"/>
        <v>0.51999999999999891</v>
      </c>
      <c r="S190">
        <f t="shared" si="38"/>
        <v>0.8999999999999978</v>
      </c>
      <c r="U190">
        <f t="shared" si="39"/>
        <v>36.619718309859159</v>
      </c>
      <c r="AH190">
        <f t="shared" si="40"/>
        <v>5.4209496157344583</v>
      </c>
      <c r="AI190">
        <f t="shared" si="41"/>
        <v>91.938866790175169</v>
      </c>
      <c r="AJ190">
        <f t="shared" si="42"/>
        <v>114.41913320982484</v>
      </c>
      <c r="AL190">
        <f t="shared" si="43"/>
        <v>114.02089923146892</v>
      </c>
      <c r="AM190">
        <f t="shared" si="44"/>
        <v>92.337100768531087</v>
      </c>
    </row>
    <row r="191" spans="1:39" ht="16.5" x14ac:dyDescent="0.25">
      <c r="A191" s="1">
        <v>45428</v>
      </c>
      <c r="B191" s="5">
        <v>96.46</v>
      </c>
      <c r="C191" s="4">
        <v>97</v>
      </c>
      <c r="D191" s="4">
        <v>97.84</v>
      </c>
      <c r="E191" s="4">
        <v>96.46</v>
      </c>
      <c r="F191" s="4" t="s">
        <v>343</v>
      </c>
      <c r="G191" s="2" t="s">
        <v>344</v>
      </c>
      <c r="I191">
        <f t="shared" si="31"/>
        <v>103.72549999999998</v>
      </c>
      <c r="J191">
        <f t="shared" si="32"/>
        <v>106.30324999999996</v>
      </c>
      <c r="L191">
        <f t="shared" si="33"/>
        <v>0</v>
      </c>
      <c r="M191">
        <f t="shared" si="34"/>
        <v>1</v>
      </c>
      <c r="O191">
        <f t="shared" si="35"/>
        <v>0</v>
      </c>
      <c r="P191">
        <f t="shared" si="36"/>
        <v>0.54000000000000625</v>
      </c>
      <c r="R191">
        <f t="shared" si="37"/>
        <v>0.53333333333333377</v>
      </c>
      <c r="S191">
        <f t="shared" si="38"/>
        <v>0.96749999999999758</v>
      </c>
      <c r="U191">
        <f t="shared" si="39"/>
        <v>35.535813436979538</v>
      </c>
      <c r="AH191">
        <f t="shared" si="40"/>
        <v>5.4270738980634814</v>
      </c>
      <c r="AI191">
        <f t="shared" si="41"/>
        <v>92.485366790175149</v>
      </c>
      <c r="AJ191">
        <f t="shared" si="42"/>
        <v>114.96563320982482</v>
      </c>
      <c r="AL191">
        <f t="shared" si="43"/>
        <v>114.57964779612695</v>
      </c>
      <c r="AM191">
        <f t="shared" si="44"/>
        <v>92.871352203873016</v>
      </c>
    </row>
    <row r="192" spans="1:39" ht="16.5" x14ac:dyDescent="0.25">
      <c r="A192" s="1">
        <v>45427</v>
      </c>
      <c r="B192" s="5">
        <v>102.9</v>
      </c>
      <c r="C192" s="4">
        <v>104.35</v>
      </c>
      <c r="D192" s="4">
        <v>104.5</v>
      </c>
      <c r="E192" s="4">
        <v>102.35</v>
      </c>
      <c r="F192" s="4" t="s">
        <v>111</v>
      </c>
      <c r="G192" s="2" t="s">
        <v>88</v>
      </c>
      <c r="I192">
        <f t="shared" si="31"/>
        <v>104.2</v>
      </c>
      <c r="J192">
        <f t="shared" si="32"/>
        <v>106.54124999999996</v>
      </c>
      <c r="L192">
        <f t="shared" si="33"/>
        <v>0</v>
      </c>
      <c r="M192">
        <f t="shared" si="34"/>
        <v>1</v>
      </c>
      <c r="O192">
        <f t="shared" si="35"/>
        <v>0</v>
      </c>
      <c r="P192">
        <f t="shared" si="36"/>
        <v>1.4499999999999886</v>
      </c>
      <c r="R192">
        <f t="shared" si="37"/>
        <v>0.53333333333333377</v>
      </c>
      <c r="S192">
        <f t="shared" si="38"/>
        <v>1.1124999999999972</v>
      </c>
      <c r="U192">
        <f t="shared" si="39"/>
        <v>32.405063291139314</v>
      </c>
      <c r="AH192">
        <f t="shared" si="40"/>
        <v>5.4323644585043347</v>
      </c>
      <c r="AI192">
        <f t="shared" si="41"/>
        <v>92.95986679017517</v>
      </c>
      <c r="AJ192">
        <f t="shared" si="42"/>
        <v>115.44013320982484</v>
      </c>
      <c r="AL192">
        <f t="shared" si="43"/>
        <v>115.06472891700867</v>
      </c>
      <c r="AM192">
        <f t="shared" si="44"/>
        <v>93.335271082991341</v>
      </c>
    </row>
    <row r="193" spans="1:39" ht="16.5" x14ac:dyDescent="0.25">
      <c r="A193" s="1">
        <v>45426</v>
      </c>
      <c r="B193" s="5">
        <v>103.75</v>
      </c>
      <c r="C193" s="4">
        <v>103.4</v>
      </c>
      <c r="D193" s="4">
        <v>104.65</v>
      </c>
      <c r="E193" s="4">
        <v>103.4</v>
      </c>
      <c r="F193" s="4" t="s">
        <v>62</v>
      </c>
      <c r="G193" s="2" t="s">
        <v>345</v>
      </c>
      <c r="I193">
        <f t="shared" si="31"/>
        <v>104.37749999999998</v>
      </c>
      <c r="J193">
        <f t="shared" si="32"/>
        <v>106.61074999999998</v>
      </c>
      <c r="L193">
        <f t="shared" si="33"/>
        <v>1</v>
      </c>
      <c r="M193">
        <f t="shared" si="34"/>
        <v>0</v>
      </c>
      <c r="O193">
        <f t="shared" si="35"/>
        <v>0.34999999999999432</v>
      </c>
      <c r="P193">
        <f t="shared" si="36"/>
        <v>0</v>
      </c>
      <c r="R193">
        <f t="shared" si="37"/>
        <v>0.47857142857142776</v>
      </c>
      <c r="S193">
        <f t="shared" si="38"/>
        <v>1.0642857142857127</v>
      </c>
      <c r="U193">
        <f t="shared" si="39"/>
        <v>31.018518518518519</v>
      </c>
      <c r="AH193">
        <f t="shared" si="40"/>
        <v>5.4367896085648555</v>
      </c>
      <c r="AI193">
        <f t="shared" si="41"/>
        <v>93.13736679017515</v>
      </c>
      <c r="AJ193">
        <f t="shared" si="42"/>
        <v>115.61763320982482</v>
      </c>
      <c r="AL193">
        <f t="shared" si="43"/>
        <v>115.2510792171297</v>
      </c>
      <c r="AM193">
        <f t="shared" si="44"/>
        <v>93.503920782870267</v>
      </c>
    </row>
    <row r="194" spans="1:39" ht="16.5" x14ac:dyDescent="0.25">
      <c r="A194" s="1">
        <v>45425</v>
      </c>
      <c r="B194" s="5">
        <v>102.95</v>
      </c>
      <c r="C194" s="4">
        <v>102.15</v>
      </c>
      <c r="D194" s="4">
        <v>103.3</v>
      </c>
      <c r="E194" s="4">
        <v>101.3</v>
      </c>
      <c r="F194" s="4" t="s">
        <v>346</v>
      </c>
      <c r="G194" s="2" t="s">
        <v>347</v>
      </c>
      <c r="I194">
        <f t="shared" si="31"/>
        <v>104.675</v>
      </c>
      <c r="J194">
        <f t="shared" si="32"/>
        <v>106.64699999999998</v>
      </c>
      <c r="L194">
        <f t="shared" si="33"/>
        <v>1</v>
      </c>
      <c r="M194">
        <f t="shared" si="34"/>
        <v>0</v>
      </c>
      <c r="O194">
        <f t="shared" si="35"/>
        <v>0.79999999999999716</v>
      </c>
      <c r="P194">
        <f t="shared" si="36"/>
        <v>0</v>
      </c>
      <c r="R194">
        <f t="shared" si="37"/>
        <v>0.44285714285714406</v>
      </c>
      <c r="S194">
        <f t="shared" si="38"/>
        <v>1.0642857142857127</v>
      </c>
      <c r="U194">
        <f t="shared" si="39"/>
        <v>29.383886255924267</v>
      </c>
      <c r="AH194">
        <f t="shared" si="40"/>
        <v>5.4408552552793852</v>
      </c>
      <c r="AI194">
        <f t="shared" si="41"/>
        <v>93.434866790175164</v>
      </c>
      <c r="AJ194">
        <f t="shared" si="42"/>
        <v>115.91513320982483</v>
      </c>
      <c r="AL194">
        <f t="shared" si="43"/>
        <v>115.55671051055877</v>
      </c>
      <c r="AM194">
        <f t="shared" si="44"/>
        <v>93.793289489441221</v>
      </c>
    </row>
    <row r="195" spans="1:39" ht="16.5" x14ac:dyDescent="0.25">
      <c r="A195" s="1">
        <v>45422</v>
      </c>
      <c r="B195" s="5">
        <v>101.6</v>
      </c>
      <c r="C195" s="4">
        <v>102.4</v>
      </c>
      <c r="D195" s="4">
        <v>102.65</v>
      </c>
      <c r="E195" s="4">
        <v>100.85</v>
      </c>
      <c r="F195" s="4" t="s">
        <v>74</v>
      </c>
      <c r="G195" s="2" t="s">
        <v>226</v>
      </c>
      <c r="I195">
        <f t="shared" ref="I195:I258" si="45">AVERAGE(B195:B214)</f>
        <v>105.00250000000001</v>
      </c>
      <c r="J195">
        <f t="shared" ref="J195:J258" si="46">AVERAGE(B195:B234)</f>
        <v>106.78574999999998</v>
      </c>
      <c r="L195">
        <f t="shared" ref="L195:L258" si="47">IF($C195&lt;$B195,1,0)</f>
        <v>0</v>
      </c>
      <c r="M195">
        <f t="shared" ref="M195:M258" si="48">IF($C195&lt;$B195,0,1)</f>
        <v>1</v>
      </c>
      <c r="O195">
        <f t="shared" ref="O195:O258" si="49">IF($C195&lt;$B195,B195-C195,0)</f>
        <v>0</v>
      </c>
      <c r="P195">
        <f t="shared" ref="P195:P258" si="50">IF($B195&lt;$C195,C195-B195,0)</f>
        <v>0.80000000000001137</v>
      </c>
      <c r="R195">
        <f t="shared" ref="R195:R258" si="51">SUM(O195:O208)/SUM(L195:L208)</f>
        <v>0.38333333333333525</v>
      </c>
      <c r="S195">
        <f t="shared" ref="S195:S258" si="52">SUM(P195:P208)/SUM(M195:M208)</f>
        <v>1.0249999999999986</v>
      </c>
      <c r="U195">
        <f t="shared" ref="U195:U258" si="53">100-(100/(1+(R195/S195)))</f>
        <v>27.218934911242727</v>
      </c>
      <c r="AH195">
        <f t="shared" ref="AH195:AH258" si="54">_xlfn.STDEV.S(I195:I725)</f>
        <v>5.4442717044832811</v>
      </c>
      <c r="AI195">
        <f t="shared" ref="AI195:AI258" si="55">I195-$AH$2</f>
        <v>93.762366790175179</v>
      </c>
      <c r="AJ195">
        <f t="shared" ref="AJ195:AJ258" si="56">I195+$AH$2</f>
        <v>116.24263320982485</v>
      </c>
      <c r="AL195">
        <f t="shared" ref="AL195:AL258" si="57">I195+(AH195*2)</f>
        <v>115.89104340896657</v>
      </c>
      <c r="AM195">
        <f t="shared" ref="AM195:AM258" si="58">I195-(AH195*2)</f>
        <v>94.113956591033457</v>
      </c>
    </row>
    <row r="196" spans="1:39" ht="16.5" x14ac:dyDescent="0.25">
      <c r="A196" s="1">
        <v>45421</v>
      </c>
      <c r="B196" s="5">
        <v>101.65</v>
      </c>
      <c r="C196" s="4">
        <v>101</v>
      </c>
      <c r="D196" s="4">
        <v>101.95</v>
      </c>
      <c r="E196" s="4">
        <v>100.1</v>
      </c>
      <c r="F196" s="4" t="s">
        <v>348</v>
      </c>
      <c r="G196" s="2" t="s">
        <v>55</v>
      </c>
      <c r="I196">
        <f t="shared" si="45"/>
        <v>105.5175</v>
      </c>
      <c r="J196">
        <f t="shared" si="46"/>
        <v>106.99024999999997</v>
      </c>
      <c r="L196">
        <f t="shared" si="47"/>
        <v>1</v>
      </c>
      <c r="M196">
        <f t="shared" si="48"/>
        <v>0</v>
      </c>
      <c r="O196">
        <f t="shared" si="49"/>
        <v>0.65000000000000568</v>
      </c>
      <c r="P196">
        <f t="shared" si="50"/>
        <v>0</v>
      </c>
      <c r="R196">
        <f t="shared" si="51"/>
        <v>0.40714285714285836</v>
      </c>
      <c r="S196">
        <f t="shared" si="52"/>
        <v>1.0571428571428538</v>
      </c>
      <c r="U196">
        <f t="shared" si="53"/>
        <v>27.804878048780608</v>
      </c>
      <c r="AH196">
        <f t="shared" si="54"/>
        <v>5.446906690658647</v>
      </c>
      <c r="AI196">
        <f t="shared" si="55"/>
        <v>94.277366790175165</v>
      </c>
      <c r="AJ196">
        <f t="shared" si="56"/>
        <v>116.75763320982483</v>
      </c>
      <c r="AL196">
        <f t="shared" si="57"/>
        <v>116.41131338131729</v>
      </c>
      <c r="AM196">
        <f t="shared" si="58"/>
        <v>94.623686618682711</v>
      </c>
    </row>
    <row r="197" spans="1:39" ht="16.5" x14ac:dyDescent="0.25">
      <c r="A197" s="1">
        <v>45420</v>
      </c>
      <c r="B197" s="5">
        <v>101.15</v>
      </c>
      <c r="C197" s="4">
        <v>101.6</v>
      </c>
      <c r="D197" s="4">
        <v>101.9</v>
      </c>
      <c r="E197" s="4">
        <v>98.56</v>
      </c>
      <c r="F197" s="4" t="s">
        <v>349</v>
      </c>
      <c r="G197" s="2" t="s">
        <v>350</v>
      </c>
      <c r="I197">
        <f t="shared" si="45"/>
        <v>106.00999999999999</v>
      </c>
      <c r="J197">
        <f t="shared" si="46"/>
        <v>107.12099999999998</v>
      </c>
      <c r="L197">
        <f t="shared" si="47"/>
        <v>0</v>
      </c>
      <c r="M197">
        <f t="shared" si="48"/>
        <v>1</v>
      </c>
      <c r="O197">
        <f t="shared" si="49"/>
        <v>0</v>
      </c>
      <c r="P197">
        <f t="shared" si="50"/>
        <v>0.44999999999998863</v>
      </c>
      <c r="R197">
        <f t="shared" si="51"/>
        <v>0.44285714285714406</v>
      </c>
      <c r="S197">
        <f t="shared" si="52"/>
        <v>1.0571428571428538</v>
      </c>
      <c r="U197">
        <f t="shared" si="53"/>
        <v>29.523809523809646</v>
      </c>
      <c r="AH197">
        <f t="shared" si="54"/>
        <v>5.4481833552100856</v>
      </c>
      <c r="AI197">
        <f t="shared" si="55"/>
        <v>94.769866790175158</v>
      </c>
      <c r="AJ197">
        <f t="shared" si="56"/>
        <v>117.25013320982482</v>
      </c>
      <c r="AL197">
        <f t="shared" si="57"/>
        <v>116.90636671042016</v>
      </c>
      <c r="AM197">
        <f t="shared" si="58"/>
        <v>95.113633289579823</v>
      </c>
    </row>
    <row r="198" spans="1:39" ht="16.5" x14ac:dyDescent="0.25">
      <c r="A198" s="1">
        <v>45419</v>
      </c>
      <c r="B198" s="5">
        <v>104.2</v>
      </c>
      <c r="C198" s="4">
        <v>103.55</v>
      </c>
      <c r="D198" s="4">
        <v>104.2</v>
      </c>
      <c r="E198" s="4">
        <v>102.65</v>
      </c>
      <c r="F198" s="4" t="s">
        <v>62</v>
      </c>
      <c r="G198" s="2" t="s">
        <v>351</v>
      </c>
      <c r="I198">
        <f t="shared" si="45"/>
        <v>106.64500000000001</v>
      </c>
      <c r="J198">
        <f t="shared" si="46"/>
        <v>107.27074999999999</v>
      </c>
      <c r="L198">
        <f t="shared" si="47"/>
        <v>1</v>
      </c>
      <c r="M198">
        <f t="shared" si="48"/>
        <v>0</v>
      </c>
      <c r="O198">
        <f t="shared" si="49"/>
        <v>0.65000000000000568</v>
      </c>
      <c r="P198">
        <f t="shared" si="50"/>
        <v>0</v>
      </c>
      <c r="R198">
        <f t="shared" si="51"/>
        <v>0.44285714285714406</v>
      </c>
      <c r="S198">
        <f t="shared" si="52"/>
        <v>1.0571428571428558</v>
      </c>
      <c r="U198">
        <f t="shared" si="53"/>
        <v>29.523809523809604</v>
      </c>
      <c r="AH198">
        <f t="shared" si="54"/>
        <v>5.4480000820160495</v>
      </c>
      <c r="AI198">
        <f t="shared" si="55"/>
        <v>95.404866790175177</v>
      </c>
      <c r="AJ198">
        <f t="shared" si="56"/>
        <v>117.88513320982484</v>
      </c>
      <c r="AL198">
        <f t="shared" si="57"/>
        <v>117.54100016403211</v>
      </c>
      <c r="AM198">
        <f t="shared" si="58"/>
        <v>95.748999835967908</v>
      </c>
    </row>
    <row r="199" spans="1:39" ht="16.5" x14ac:dyDescent="0.25">
      <c r="A199" s="1">
        <v>45418</v>
      </c>
      <c r="B199" s="5">
        <v>103.05</v>
      </c>
      <c r="C199" s="4">
        <v>102.9</v>
      </c>
      <c r="D199" s="4">
        <v>103.8</v>
      </c>
      <c r="E199" s="4">
        <v>102.6</v>
      </c>
      <c r="F199" s="4" t="s">
        <v>352</v>
      </c>
      <c r="G199" s="2" t="s">
        <v>26</v>
      </c>
      <c r="I199">
        <f t="shared" si="45"/>
        <v>107.17249999999999</v>
      </c>
      <c r="J199">
        <f t="shared" si="46"/>
        <v>107.33974999999998</v>
      </c>
      <c r="L199">
        <f t="shared" si="47"/>
        <v>1</v>
      </c>
      <c r="M199">
        <f t="shared" si="48"/>
        <v>0</v>
      </c>
      <c r="O199">
        <f t="shared" si="49"/>
        <v>0.14999999999999147</v>
      </c>
      <c r="P199">
        <f t="shared" si="50"/>
        <v>0</v>
      </c>
      <c r="R199">
        <f t="shared" si="51"/>
        <v>0.40833333333333383</v>
      </c>
      <c r="S199">
        <f t="shared" si="52"/>
        <v>1.1062499999999993</v>
      </c>
      <c r="U199">
        <f t="shared" si="53"/>
        <v>26.960110041265509</v>
      </c>
      <c r="AH199">
        <f t="shared" si="54"/>
        <v>5.4457167400789546</v>
      </c>
      <c r="AI199">
        <f t="shared" si="55"/>
        <v>95.932366790175152</v>
      </c>
      <c r="AJ199">
        <f t="shared" si="56"/>
        <v>118.41263320982482</v>
      </c>
      <c r="AL199">
        <f t="shared" si="57"/>
        <v>118.0639334801579</v>
      </c>
      <c r="AM199">
        <f t="shared" si="58"/>
        <v>96.281066519842071</v>
      </c>
    </row>
    <row r="200" spans="1:39" ht="16.5" x14ac:dyDescent="0.25">
      <c r="A200" s="1">
        <v>45415</v>
      </c>
      <c r="B200" s="5">
        <v>102.5</v>
      </c>
      <c r="C200" s="4">
        <v>102.55</v>
      </c>
      <c r="D200" s="4">
        <v>103.25</v>
      </c>
      <c r="E200" s="4">
        <v>101.85</v>
      </c>
      <c r="F200" s="4" t="s">
        <v>353</v>
      </c>
      <c r="G200" s="2" t="s">
        <v>26</v>
      </c>
      <c r="I200">
        <f t="shared" si="45"/>
        <v>107.64500000000001</v>
      </c>
      <c r="J200">
        <f t="shared" si="46"/>
        <v>107.45599999999997</v>
      </c>
      <c r="L200">
        <f t="shared" si="47"/>
        <v>0</v>
      </c>
      <c r="M200">
        <f t="shared" si="48"/>
        <v>1</v>
      </c>
      <c r="O200">
        <f t="shared" si="49"/>
        <v>0</v>
      </c>
      <c r="P200">
        <f t="shared" si="50"/>
        <v>4.9999999999997158E-2</v>
      </c>
      <c r="R200">
        <f t="shared" si="51"/>
        <v>0.4600000000000023</v>
      </c>
      <c r="S200">
        <f t="shared" si="52"/>
        <v>1.0055555555555553</v>
      </c>
      <c r="U200">
        <f t="shared" si="53"/>
        <v>31.387414708112317</v>
      </c>
      <c r="AH200">
        <f t="shared" si="54"/>
        <v>5.4414714841119807</v>
      </c>
      <c r="AI200">
        <f t="shared" si="55"/>
        <v>96.404866790175177</v>
      </c>
      <c r="AJ200">
        <f t="shared" si="56"/>
        <v>118.88513320982484</v>
      </c>
      <c r="AL200">
        <f t="shared" si="57"/>
        <v>118.52794296822397</v>
      </c>
      <c r="AM200">
        <f t="shared" si="58"/>
        <v>96.762057031776052</v>
      </c>
    </row>
    <row r="201" spans="1:39" ht="16.5" x14ac:dyDescent="0.25">
      <c r="A201" s="1">
        <v>45414</v>
      </c>
      <c r="B201" s="5">
        <v>101.95</v>
      </c>
      <c r="C201" s="4">
        <v>102.35</v>
      </c>
      <c r="D201" s="4">
        <v>103</v>
      </c>
      <c r="E201" s="4">
        <v>101.05</v>
      </c>
      <c r="F201" s="4" t="s">
        <v>72</v>
      </c>
      <c r="G201" s="2" t="s">
        <v>354</v>
      </c>
      <c r="I201">
        <f t="shared" si="45"/>
        <v>108.255</v>
      </c>
      <c r="J201">
        <f t="shared" si="46"/>
        <v>107.62749999999998</v>
      </c>
      <c r="L201">
        <f t="shared" si="47"/>
        <v>0</v>
      </c>
      <c r="M201">
        <f t="shared" si="48"/>
        <v>1</v>
      </c>
      <c r="O201">
        <f t="shared" si="49"/>
        <v>0</v>
      </c>
      <c r="P201">
        <f t="shared" si="50"/>
        <v>0.39999999999999147</v>
      </c>
      <c r="R201">
        <f t="shared" si="51"/>
        <v>0.4600000000000023</v>
      </c>
      <c r="S201">
        <f t="shared" si="52"/>
        <v>1.3333333333333333</v>
      </c>
      <c r="U201">
        <f t="shared" si="53"/>
        <v>25.650557620817935</v>
      </c>
      <c r="AH201">
        <f t="shared" si="54"/>
        <v>5.435290221297481</v>
      </c>
      <c r="AI201">
        <f t="shared" si="55"/>
        <v>97.014866790175162</v>
      </c>
      <c r="AJ201">
        <f t="shared" si="56"/>
        <v>119.49513320982483</v>
      </c>
      <c r="AL201">
        <f t="shared" si="57"/>
        <v>119.12558044259495</v>
      </c>
      <c r="AM201">
        <f t="shared" si="58"/>
        <v>97.384419557405039</v>
      </c>
    </row>
    <row r="202" spans="1:39" ht="16.5" x14ac:dyDescent="0.25">
      <c r="A202" s="1">
        <v>45412</v>
      </c>
      <c r="B202" s="5">
        <v>102.45</v>
      </c>
      <c r="C202" s="4">
        <v>106.3</v>
      </c>
      <c r="D202" s="4">
        <v>106.6</v>
      </c>
      <c r="E202" s="4">
        <v>101.75</v>
      </c>
      <c r="F202" s="4" t="s">
        <v>355</v>
      </c>
      <c r="G202" s="2" t="s">
        <v>356</v>
      </c>
      <c r="I202">
        <f t="shared" si="45"/>
        <v>108.75</v>
      </c>
      <c r="J202">
        <f t="shared" si="46"/>
        <v>107.82724999999998</v>
      </c>
      <c r="L202">
        <f t="shared" si="47"/>
        <v>0</v>
      </c>
      <c r="M202">
        <f t="shared" si="48"/>
        <v>1</v>
      </c>
      <c r="O202">
        <f t="shared" si="49"/>
        <v>0</v>
      </c>
      <c r="P202">
        <f t="shared" si="50"/>
        <v>3.8499999999999943</v>
      </c>
      <c r="R202">
        <f t="shared" si="51"/>
        <v>0.45000000000000284</v>
      </c>
      <c r="S202">
        <f t="shared" si="52"/>
        <v>1.4500000000000011</v>
      </c>
      <c r="U202">
        <f t="shared" si="53"/>
        <v>23.684210526315894</v>
      </c>
      <c r="AH202">
        <f t="shared" si="54"/>
        <v>5.4264090128637408</v>
      </c>
      <c r="AI202">
        <f t="shared" si="55"/>
        <v>97.509866790175167</v>
      </c>
      <c r="AJ202">
        <f t="shared" si="56"/>
        <v>119.99013320982483</v>
      </c>
      <c r="AL202">
        <f t="shared" si="57"/>
        <v>119.60281802572749</v>
      </c>
      <c r="AM202">
        <f t="shared" si="58"/>
        <v>97.897181974272513</v>
      </c>
    </row>
    <row r="203" spans="1:39" ht="16.5" x14ac:dyDescent="0.25">
      <c r="A203" s="1">
        <v>45411</v>
      </c>
      <c r="B203" s="5">
        <v>106.8</v>
      </c>
      <c r="C203" s="4">
        <v>107</v>
      </c>
      <c r="D203" s="4">
        <v>107.8</v>
      </c>
      <c r="E203" s="4">
        <v>106.65</v>
      </c>
      <c r="F203" s="4" t="s">
        <v>357</v>
      </c>
      <c r="G203" s="2" t="s">
        <v>138</v>
      </c>
      <c r="I203">
        <f t="shared" si="45"/>
        <v>108.96000000000001</v>
      </c>
      <c r="J203">
        <f t="shared" si="46"/>
        <v>108.011</v>
      </c>
      <c r="L203">
        <f t="shared" si="47"/>
        <v>0</v>
      </c>
      <c r="M203">
        <f t="shared" si="48"/>
        <v>1</v>
      </c>
      <c r="O203">
        <f t="shared" si="49"/>
        <v>0</v>
      </c>
      <c r="P203">
        <f t="shared" si="50"/>
        <v>0.20000000000000284</v>
      </c>
      <c r="R203">
        <f t="shared" si="51"/>
        <v>0.45000000000000284</v>
      </c>
      <c r="S203">
        <f t="shared" si="52"/>
        <v>1.3625000000000025</v>
      </c>
      <c r="U203">
        <f t="shared" si="53"/>
        <v>24.82758620689664</v>
      </c>
      <c r="AH203">
        <f t="shared" si="54"/>
        <v>5.4150996597839773</v>
      </c>
      <c r="AI203">
        <f t="shared" si="55"/>
        <v>97.719866790175175</v>
      </c>
      <c r="AJ203">
        <f t="shared" si="56"/>
        <v>120.20013320982484</v>
      </c>
      <c r="AL203">
        <f t="shared" si="57"/>
        <v>119.79019931956796</v>
      </c>
      <c r="AM203">
        <f t="shared" si="58"/>
        <v>98.129800680432055</v>
      </c>
    </row>
    <row r="204" spans="1:39" ht="16.5" x14ac:dyDescent="0.25">
      <c r="A204" s="1">
        <v>45408</v>
      </c>
      <c r="B204" s="5">
        <v>106.4</v>
      </c>
      <c r="C204" s="4">
        <v>105.8</v>
      </c>
      <c r="D204" s="4">
        <v>107.1</v>
      </c>
      <c r="E204" s="4">
        <v>105.35</v>
      </c>
      <c r="F204" s="4" t="s">
        <v>358</v>
      </c>
      <c r="G204" s="2" t="s">
        <v>359</v>
      </c>
      <c r="I204">
        <f t="shared" si="45"/>
        <v>108.968</v>
      </c>
      <c r="J204">
        <f t="shared" si="46"/>
        <v>108.07149999999999</v>
      </c>
      <c r="L204">
        <f t="shared" si="47"/>
        <v>1</v>
      </c>
      <c r="M204">
        <f t="shared" si="48"/>
        <v>0</v>
      </c>
      <c r="O204">
        <f t="shared" si="49"/>
        <v>0.60000000000000853</v>
      </c>
      <c r="P204">
        <f t="shared" si="50"/>
        <v>0</v>
      </c>
      <c r="R204">
        <f t="shared" si="51"/>
        <v>0.45000000000000284</v>
      </c>
      <c r="S204">
        <f t="shared" si="52"/>
        <v>1.3750000000000036</v>
      </c>
      <c r="U204">
        <f t="shared" si="53"/>
        <v>24.657534246575409</v>
      </c>
      <c r="AH204">
        <f t="shared" si="54"/>
        <v>5.4025709087740346</v>
      </c>
      <c r="AI204">
        <f t="shared" si="55"/>
        <v>97.72786679017517</v>
      </c>
      <c r="AJ204">
        <f t="shared" si="56"/>
        <v>120.20813320982484</v>
      </c>
      <c r="AL204">
        <f t="shared" si="57"/>
        <v>119.77314181754807</v>
      </c>
      <c r="AM204">
        <f t="shared" si="58"/>
        <v>98.162858182451942</v>
      </c>
    </row>
    <row r="205" spans="1:39" ht="16.5" x14ac:dyDescent="0.25">
      <c r="A205" s="1">
        <v>45407</v>
      </c>
      <c r="B205" s="5">
        <v>105.05</v>
      </c>
      <c r="C205" s="4">
        <v>106.75</v>
      </c>
      <c r="D205" s="4">
        <v>107</v>
      </c>
      <c r="E205" s="4">
        <v>104.3</v>
      </c>
      <c r="F205" s="4" t="s">
        <v>360</v>
      </c>
      <c r="G205" s="2" t="s">
        <v>361</v>
      </c>
      <c r="I205">
        <f t="shared" si="45"/>
        <v>108.95599999999999</v>
      </c>
      <c r="J205">
        <f t="shared" si="46"/>
        <v>108.1405</v>
      </c>
      <c r="L205">
        <f t="shared" si="47"/>
        <v>0</v>
      </c>
      <c r="M205">
        <f t="shared" si="48"/>
        <v>1</v>
      </c>
      <c r="O205">
        <f t="shared" si="49"/>
        <v>0</v>
      </c>
      <c r="P205">
        <f t="shared" si="50"/>
        <v>1.7000000000000028</v>
      </c>
      <c r="R205">
        <f t="shared" si="51"/>
        <v>0.60833333333333428</v>
      </c>
      <c r="S205">
        <f t="shared" si="52"/>
        <v>1.3750000000000036</v>
      </c>
      <c r="U205">
        <f t="shared" si="53"/>
        <v>30.672268907563009</v>
      </c>
      <c r="AH205">
        <f t="shared" si="54"/>
        <v>5.3897693323132758</v>
      </c>
      <c r="AI205">
        <f t="shared" si="55"/>
        <v>97.715866790175156</v>
      </c>
      <c r="AJ205">
        <f t="shared" si="56"/>
        <v>120.19613320982482</v>
      </c>
      <c r="AL205">
        <f t="shared" si="57"/>
        <v>119.73553866462655</v>
      </c>
      <c r="AM205">
        <f t="shared" si="58"/>
        <v>98.176461335373432</v>
      </c>
    </row>
    <row r="206" spans="1:39" ht="16.5" x14ac:dyDescent="0.25">
      <c r="A206" s="1">
        <v>45406</v>
      </c>
      <c r="B206" s="5">
        <v>106.55</v>
      </c>
      <c r="C206" s="4">
        <v>106.4</v>
      </c>
      <c r="D206" s="4">
        <v>107.3</v>
      </c>
      <c r="E206" s="4">
        <v>105.75</v>
      </c>
      <c r="F206" s="4" t="s">
        <v>362</v>
      </c>
      <c r="G206" s="2" t="s">
        <v>326</v>
      </c>
      <c r="I206">
        <f t="shared" si="45"/>
        <v>109.03150000000001</v>
      </c>
      <c r="J206">
        <f t="shared" si="46"/>
        <v>108.20625</v>
      </c>
      <c r="L206">
        <f t="shared" si="47"/>
        <v>1</v>
      </c>
      <c r="M206">
        <f t="shared" si="48"/>
        <v>0</v>
      </c>
      <c r="O206">
        <f t="shared" si="49"/>
        <v>0.14999999999999147</v>
      </c>
      <c r="P206">
        <f t="shared" si="50"/>
        <v>0</v>
      </c>
      <c r="R206">
        <f t="shared" si="51"/>
        <v>0.60833333333333428</v>
      </c>
      <c r="S206">
        <f t="shared" si="52"/>
        <v>1.2000000000000028</v>
      </c>
      <c r="U206">
        <f t="shared" si="53"/>
        <v>33.640552995391701</v>
      </c>
      <c r="AH206">
        <f t="shared" si="54"/>
        <v>5.3767879829462952</v>
      </c>
      <c r="AI206">
        <f t="shared" si="55"/>
        <v>97.791366790175175</v>
      </c>
      <c r="AJ206">
        <f t="shared" si="56"/>
        <v>120.27163320982484</v>
      </c>
      <c r="AL206">
        <f t="shared" si="57"/>
        <v>119.7850759658926</v>
      </c>
      <c r="AM206">
        <f t="shared" si="58"/>
        <v>98.277924034107414</v>
      </c>
    </row>
    <row r="207" spans="1:39" ht="16.5" x14ac:dyDescent="0.25">
      <c r="A207" s="1">
        <v>45405</v>
      </c>
      <c r="B207" s="5">
        <v>106.45</v>
      </c>
      <c r="C207" s="4">
        <v>106.35</v>
      </c>
      <c r="D207" s="4">
        <v>106.9</v>
      </c>
      <c r="E207" s="4">
        <v>105.05</v>
      </c>
      <c r="F207" s="4" t="s">
        <v>363</v>
      </c>
      <c r="G207" s="2" t="s">
        <v>38</v>
      </c>
      <c r="I207">
        <f t="shared" si="45"/>
        <v>109.01599999999999</v>
      </c>
      <c r="J207">
        <f t="shared" si="46"/>
        <v>108.22949999999999</v>
      </c>
      <c r="L207">
        <f t="shared" si="47"/>
        <v>1</v>
      </c>
      <c r="M207">
        <f t="shared" si="48"/>
        <v>0</v>
      </c>
      <c r="O207">
        <f t="shared" si="49"/>
        <v>0.10000000000000853</v>
      </c>
      <c r="P207">
        <f t="shared" si="50"/>
        <v>0</v>
      </c>
      <c r="R207">
        <f t="shared" si="51"/>
        <v>1.0500000000000018</v>
      </c>
      <c r="S207">
        <f t="shared" si="52"/>
        <v>1.2000000000000028</v>
      </c>
      <c r="U207">
        <f t="shared" si="53"/>
        <v>46.666666666666657</v>
      </c>
      <c r="AH207">
        <f t="shared" si="54"/>
        <v>5.3631862439168101</v>
      </c>
      <c r="AI207">
        <f t="shared" si="55"/>
        <v>97.775866790175158</v>
      </c>
      <c r="AJ207">
        <f t="shared" si="56"/>
        <v>120.25613320982482</v>
      </c>
      <c r="AL207">
        <f t="shared" si="57"/>
        <v>119.74237248783361</v>
      </c>
      <c r="AM207">
        <f t="shared" si="58"/>
        <v>98.289627512166376</v>
      </c>
    </row>
    <row r="208" spans="1:39" ht="16.5" x14ac:dyDescent="0.25">
      <c r="A208" s="1">
        <v>45404</v>
      </c>
      <c r="B208" s="5">
        <v>105.85</v>
      </c>
      <c r="C208" s="4">
        <v>106.6</v>
      </c>
      <c r="D208" s="4">
        <v>107.3</v>
      </c>
      <c r="E208" s="4">
        <v>105.5</v>
      </c>
      <c r="F208" s="4" t="s">
        <v>364</v>
      </c>
      <c r="G208" s="2" t="s">
        <v>365</v>
      </c>
      <c r="I208">
        <f t="shared" si="45"/>
        <v>108.89949999999999</v>
      </c>
      <c r="J208">
        <f t="shared" si="46"/>
        <v>108.23625</v>
      </c>
      <c r="L208">
        <f t="shared" si="47"/>
        <v>0</v>
      </c>
      <c r="M208">
        <f t="shared" si="48"/>
        <v>1</v>
      </c>
      <c r="O208">
        <f t="shared" si="49"/>
        <v>0</v>
      </c>
      <c r="P208">
        <f t="shared" si="50"/>
        <v>0.75</v>
      </c>
      <c r="R208">
        <f t="shared" si="51"/>
        <v>1.849999999999999</v>
      </c>
      <c r="S208">
        <f t="shared" si="52"/>
        <v>1.2000000000000028</v>
      </c>
      <c r="U208">
        <f t="shared" si="53"/>
        <v>60.655737704917961</v>
      </c>
      <c r="AH208">
        <f t="shared" si="54"/>
        <v>5.3494084835355427</v>
      </c>
      <c r="AI208">
        <f t="shared" si="55"/>
        <v>97.659366790175156</v>
      </c>
      <c r="AJ208">
        <f t="shared" si="56"/>
        <v>120.13963320982482</v>
      </c>
      <c r="AL208">
        <f t="shared" si="57"/>
        <v>119.59831696707107</v>
      </c>
      <c r="AM208">
        <f t="shared" si="58"/>
        <v>98.200683032928907</v>
      </c>
    </row>
    <row r="209" spans="1:39" ht="16.5" x14ac:dyDescent="0.25">
      <c r="A209" s="1">
        <v>45401</v>
      </c>
      <c r="B209" s="5">
        <v>105.85</v>
      </c>
      <c r="C209" s="4">
        <v>105.3</v>
      </c>
      <c r="D209" s="4">
        <v>106.5</v>
      </c>
      <c r="E209" s="4">
        <v>104.6</v>
      </c>
      <c r="F209" s="4" t="s">
        <v>31</v>
      </c>
      <c r="G209" s="2" t="s">
        <v>366</v>
      </c>
      <c r="I209">
        <f t="shared" si="45"/>
        <v>108.84700000000002</v>
      </c>
      <c r="J209">
        <f t="shared" si="46"/>
        <v>108.21700000000001</v>
      </c>
      <c r="L209">
        <f t="shared" si="47"/>
        <v>1</v>
      </c>
      <c r="M209">
        <f t="shared" si="48"/>
        <v>0</v>
      </c>
      <c r="O209">
        <f t="shared" si="49"/>
        <v>0.54999999999999716</v>
      </c>
      <c r="P209">
        <f t="shared" si="50"/>
        <v>0</v>
      </c>
      <c r="R209">
        <f t="shared" si="51"/>
        <v>1.849999999999999</v>
      </c>
      <c r="S209">
        <f t="shared" si="52"/>
        <v>1.1750000000000025</v>
      </c>
      <c r="U209">
        <f t="shared" si="53"/>
        <v>61.157024793388366</v>
      </c>
      <c r="AH209">
        <f t="shared" si="54"/>
        <v>5.3359627016911846</v>
      </c>
      <c r="AI209">
        <f t="shared" si="55"/>
        <v>97.606866790175189</v>
      </c>
      <c r="AJ209">
        <f t="shared" si="56"/>
        <v>120.08713320982486</v>
      </c>
      <c r="AL209">
        <f t="shared" si="57"/>
        <v>119.5189254033824</v>
      </c>
      <c r="AM209">
        <f t="shared" si="58"/>
        <v>98.175074596617648</v>
      </c>
    </row>
    <row r="210" spans="1:39" ht="16.5" x14ac:dyDescent="0.25">
      <c r="A210" s="1">
        <v>45400</v>
      </c>
      <c r="B210" s="5">
        <v>106.95</v>
      </c>
      <c r="C210" s="4">
        <v>106.05</v>
      </c>
      <c r="D210" s="4">
        <v>107.45</v>
      </c>
      <c r="E210" s="4">
        <v>105.95</v>
      </c>
      <c r="F210" s="4" t="s">
        <v>367</v>
      </c>
      <c r="G210" s="2" t="s">
        <v>368</v>
      </c>
      <c r="I210">
        <f t="shared" si="45"/>
        <v>108.87250000000002</v>
      </c>
      <c r="J210">
        <f t="shared" si="46"/>
        <v>108.17825000000001</v>
      </c>
      <c r="L210">
        <f t="shared" si="47"/>
        <v>1</v>
      </c>
      <c r="M210">
        <f t="shared" si="48"/>
        <v>0</v>
      </c>
      <c r="O210">
        <f t="shared" si="49"/>
        <v>0.90000000000000568</v>
      </c>
      <c r="P210">
        <f t="shared" si="50"/>
        <v>0</v>
      </c>
      <c r="R210">
        <f t="shared" si="51"/>
        <v>1.8616666666666646</v>
      </c>
      <c r="S210">
        <f t="shared" si="52"/>
        <v>1.1750000000000025</v>
      </c>
      <c r="U210">
        <f t="shared" si="53"/>
        <v>61.306256860592683</v>
      </c>
      <c r="AH210">
        <f t="shared" si="54"/>
        <v>5.3225293510819309</v>
      </c>
      <c r="AI210">
        <f t="shared" si="55"/>
        <v>97.632366790175183</v>
      </c>
      <c r="AJ210">
        <f t="shared" si="56"/>
        <v>120.11263320982485</v>
      </c>
      <c r="AL210">
        <f t="shared" si="57"/>
        <v>119.51755870216388</v>
      </c>
      <c r="AM210">
        <f t="shared" si="58"/>
        <v>98.227441297836151</v>
      </c>
    </row>
    <row r="211" spans="1:39" ht="16.5" x14ac:dyDescent="0.25">
      <c r="A211" s="1">
        <v>45399</v>
      </c>
      <c r="B211" s="5">
        <v>105.95</v>
      </c>
      <c r="C211" s="4">
        <v>106.4</v>
      </c>
      <c r="D211" s="4">
        <v>107.25</v>
      </c>
      <c r="E211" s="4">
        <v>105.7</v>
      </c>
      <c r="F211" s="4" t="s">
        <v>369</v>
      </c>
      <c r="G211" s="2" t="s">
        <v>370</v>
      </c>
      <c r="I211">
        <f t="shared" si="45"/>
        <v>108.881</v>
      </c>
      <c r="J211">
        <f t="shared" si="46"/>
        <v>108.04999999999998</v>
      </c>
      <c r="L211">
        <f t="shared" si="47"/>
        <v>0</v>
      </c>
      <c r="M211">
        <f t="shared" si="48"/>
        <v>1</v>
      </c>
      <c r="O211">
        <f t="shared" si="49"/>
        <v>0</v>
      </c>
      <c r="P211">
        <f t="shared" si="50"/>
        <v>0.45000000000000284</v>
      </c>
      <c r="R211">
        <f t="shared" si="51"/>
        <v>1.821666666666663</v>
      </c>
      <c r="S211">
        <f t="shared" si="52"/>
        <v>1.1750000000000025</v>
      </c>
      <c r="U211">
        <f t="shared" si="53"/>
        <v>60.789766407118925</v>
      </c>
      <c r="AH211">
        <f t="shared" si="54"/>
        <v>5.3087120737671576</v>
      </c>
      <c r="AI211">
        <f t="shared" si="55"/>
        <v>97.640866790175167</v>
      </c>
      <c r="AJ211">
        <f t="shared" si="56"/>
        <v>120.12113320982483</v>
      </c>
      <c r="AL211">
        <f t="shared" si="57"/>
        <v>119.49842414753431</v>
      </c>
      <c r="AM211">
        <f t="shared" si="58"/>
        <v>98.263575852465692</v>
      </c>
    </row>
    <row r="212" spans="1:39" ht="16.5" x14ac:dyDescent="0.25">
      <c r="A212" s="1">
        <v>45398</v>
      </c>
      <c r="B212" s="5">
        <v>106.45</v>
      </c>
      <c r="C212" s="4">
        <v>107.9</v>
      </c>
      <c r="D212" s="4">
        <v>108</v>
      </c>
      <c r="E212" s="4">
        <v>105.6</v>
      </c>
      <c r="F212" s="4" t="s">
        <v>48</v>
      </c>
      <c r="G212" s="2" t="s">
        <v>371</v>
      </c>
      <c r="I212">
        <f t="shared" si="45"/>
        <v>108.88250000000001</v>
      </c>
      <c r="J212">
        <f t="shared" si="46"/>
        <v>107.97174999999997</v>
      </c>
      <c r="L212">
        <f t="shared" si="47"/>
        <v>0</v>
      </c>
      <c r="M212">
        <f t="shared" si="48"/>
        <v>1</v>
      </c>
      <c r="O212">
        <f t="shared" si="49"/>
        <v>0</v>
      </c>
      <c r="P212">
        <f t="shared" si="50"/>
        <v>1.4500000000000028</v>
      </c>
      <c r="R212">
        <f t="shared" si="51"/>
        <v>1.821666666666663</v>
      </c>
      <c r="S212">
        <f t="shared" si="52"/>
        <v>1.1237500000000011</v>
      </c>
      <c r="U212">
        <f t="shared" si="53"/>
        <v>61.847503182911225</v>
      </c>
      <c r="AH212">
        <f t="shared" si="54"/>
        <v>5.2945894426605102</v>
      </c>
      <c r="AI212">
        <f t="shared" si="55"/>
        <v>97.642366790175174</v>
      </c>
      <c r="AJ212">
        <f t="shared" si="56"/>
        <v>120.12263320982484</v>
      </c>
      <c r="AL212">
        <f t="shared" si="57"/>
        <v>119.47167888532103</v>
      </c>
      <c r="AM212">
        <f t="shared" si="58"/>
        <v>98.293321114678989</v>
      </c>
    </row>
    <row r="213" spans="1:39" ht="16.5" x14ac:dyDescent="0.25">
      <c r="A213" s="1">
        <v>45397</v>
      </c>
      <c r="B213" s="5">
        <v>109.7</v>
      </c>
      <c r="C213" s="4">
        <v>109.9</v>
      </c>
      <c r="D213" s="4">
        <v>111.75</v>
      </c>
      <c r="E213" s="4">
        <v>109.55</v>
      </c>
      <c r="F213" s="4" t="s">
        <v>62</v>
      </c>
      <c r="G213" s="2" t="s">
        <v>372</v>
      </c>
      <c r="I213">
        <f t="shared" si="45"/>
        <v>108.84399999999998</v>
      </c>
      <c r="J213">
        <f t="shared" si="46"/>
        <v>107.91299999999998</v>
      </c>
      <c r="L213">
        <f t="shared" si="47"/>
        <v>0</v>
      </c>
      <c r="M213">
        <f t="shared" si="48"/>
        <v>1</v>
      </c>
      <c r="O213">
        <f t="shared" si="49"/>
        <v>0</v>
      </c>
      <c r="P213">
        <f t="shared" si="50"/>
        <v>0.20000000000000284</v>
      </c>
      <c r="R213">
        <f t="shared" si="51"/>
        <v>1.8242857142857096</v>
      </c>
      <c r="S213">
        <f t="shared" si="52"/>
        <v>1.0771428571428581</v>
      </c>
      <c r="U213">
        <f t="shared" si="53"/>
        <v>62.87543082225497</v>
      </c>
      <c r="AH213">
        <f t="shared" si="54"/>
        <v>5.2801911476804424</v>
      </c>
      <c r="AI213">
        <f t="shared" si="55"/>
        <v>97.603866790175147</v>
      </c>
      <c r="AJ213">
        <f t="shared" si="56"/>
        <v>120.08413320982481</v>
      </c>
      <c r="AL213">
        <f t="shared" si="57"/>
        <v>119.40438229536086</v>
      </c>
      <c r="AM213">
        <f t="shared" si="58"/>
        <v>98.283617704639099</v>
      </c>
    </row>
    <row r="214" spans="1:39" ht="16.5" x14ac:dyDescent="0.25">
      <c r="A214" s="1">
        <v>45394</v>
      </c>
      <c r="B214" s="5">
        <v>109.5</v>
      </c>
      <c r="C214" s="4">
        <v>112.5</v>
      </c>
      <c r="D214" s="4">
        <v>112.6</v>
      </c>
      <c r="E214" s="4">
        <v>108.65</v>
      </c>
      <c r="F214" s="4" t="s">
        <v>373</v>
      </c>
      <c r="G214" s="2" t="s">
        <v>374</v>
      </c>
      <c r="I214">
        <f t="shared" si="45"/>
        <v>108.61899999999999</v>
      </c>
      <c r="J214">
        <f t="shared" si="46"/>
        <v>107.73599999999999</v>
      </c>
      <c r="L214">
        <f t="shared" si="47"/>
        <v>0</v>
      </c>
      <c r="M214">
        <f t="shared" si="48"/>
        <v>1</v>
      </c>
      <c r="O214">
        <f t="shared" si="49"/>
        <v>0</v>
      </c>
      <c r="P214">
        <f t="shared" si="50"/>
        <v>3</v>
      </c>
      <c r="R214">
        <f t="shared" si="51"/>
        <v>1.6212499999999963</v>
      </c>
      <c r="S214">
        <f t="shared" si="52"/>
        <v>1.2233333333333338</v>
      </c>
      <c r="U214">
        <f t="shared" si="53"/>
        <v>56.994287388311058</v>
      </c>
      <c r="AH214">
        <f t="shared" si="54"/>
        <v>5.265720883023044</v>
      </c>
      <c r="AI214">
        <f t="shared" si="55"/>
        <v>97.378866790175152</v>
      </c>
      <c r="AJ214">
        <f t="shared" si="56"/>
        <v>119.85913320982482</v>
      </c>
      <c r="AL214">
        <f t="shared" si="57"/>
        <v>119.15044176604607</v>
      </c>
      <c r="AM214">
        <f t="shared" si="58"/>
        <v>98.087558233953899</v>
      </c>
    </row>
    <row r="215" spans="1:39" ht="16.5" x14ac:dyDescent="0.25">
      <c r="A215" s="1">
        <v>45393</v>
      </c>
      <c r="B215" s="5">
        <v>111.9</v>
      </c>
      <c r="C215" s="4">
        <v>111.5</v>
      </c>
      <c r="D215" s="4">
        <v>112.45</v>
      </c>
      <c r="E215" s="4">
        <v>110.6</v>
      </c>
      <c r="F215" s="4" t="s">
        <v>150</v>
      </c>
      <c r="G215" s="2" t="s">
        <v>375</v>
      </c>
      <c r="I215">
        <f t="shared" si="45"/>
        <v>108.569</v>
      </c>
      <c r="J215">
        <f t="shared" si="46"/>
        <v>107.5275</v>
      </c>
      <c r="L215">
        <f t="shared" si="47"/>
        <v>1</v>
      </c>
      <c r="M215">
        <f t="shared" si="48"/>
        <v>0</v>
      </c>
      <c r="O215">
        <f t="shared" si="49"/>
        <v>0.40000000000000568</v>
      </c>
      <c r="P215">
        <f t="shared" si="50"/>
        <v>0</v>
      </c>
      <c r="R215">
        <f t="shared" si="51"/>
        <v>1.6212499999999963</v>
      </c>
      <c r="S215">
        <f t="shared" si="52"/>
        <v>1.090000000000001</v>
      </c>
      <c r="U215">
        <f t="shared" si="53"/>
        <v>59.797141539880052</v>
      </c>
      <c r="AH215">
        <f t="shared" si="54"/>
        <v>5.252146461443191</v>
      </c>
      <c r="AI215">
        <f t="shared" si="55"/>
        <v>97.328866790175169</v>
      </c>
      <c r="AJ215">
        <f t="shared" si="56"/>
        <v>119.80913320982484</v>
      </c>
      <c r="AL215">
        <f t="shared" si="57"/>
        <v>119.07329292288638</v>
      </c>
      <c r="AM215">
        <f t="shared" si="58"/>
        <v>98.064707077113624</v>
      </c>
    </row>
    <row r="216" spans="1:39" ht="16.5" x14ac:dyDescent="0.25">
      <c r="A216" s="1">
        <v>45392</v>
      </c>
      <c r="B216" s="5">
        <v>111.5</v>
      </c>
      <c r="C216" s="4">
        <v>114.65</v>
      </c>
      <c r="D216" s="4">
        <v>115.35</v>
      </c>
      <c r="E216" s="4">
        <v>111.35</v>
      </c>
      <c r="F216" s="4" t="s">
        <v>376</v>
      </c>
      <c r="G216" s="2" t="s">
        <v>377</v>
      </c>
      <c r="I216">
        <f t="shared" si="45"/>
        <v>108.46300000000001</v>
      </c>
      <c r="J216">
        <f t="shared" si="46"/>
        <v>107.252</v>
      </c>
      <c r="L216">
        <f t="shared" si="47"/>
        <v>0</v>
      </c>
      <c r="M216">
        <f t="shared" si="48"/>
        <v>1</v>
      </c>
      <c r="O216">
        <f t="shared" si="49"/>
        <v>0</v>
      </c>
      <c r="P216">
        <f t="shared" si="50"/>
        <v>3.1500000000000057</v>
      </c>
      <c r="R216">
        <f t="shared" si="51"/>
        <v>1.7957142857142807</v>
      </c>
      <c r="S216">
        <f t="shared" si="52"/>
        <v>1.0371428571428578</v>
      </c>
      <c r="U216">
        <f t="shared" si="53"/>
        <v>63.388804841149692</v>
      </c>
      <c r="AH216">
        <f t="shared" si="54"/>
        <v>5.2385700369070447</v>
      </c>
      <c r="AI216">
        <f t="shared" si="55"/>
        <v>97.222866790175175</v>
      </c>
      <c r="AJ216">
        <f t="shared" si="56"/>
        <v>119.70313320982484</v>
      </c>
      <c r="AL216">
        <f t="shared" si="57"/>
        <v>118.94014007381409</v>
      </c>
      <c r="AM216">
        <f t="shared" si="58"/>
        <v>97.985859926185924</v>
      </c>
    </row>
    <row r="217" spans="1:39" ht="16.5" x14ac:dyDescent="0.25">
      <c r="A217" s="1">
        <v>45391</v>
      </c>
      <c r="B217" s="5">
        <v>113.85</v>
      </c>
      <c r="C217" s="4">
        <v>114.15</v>
      </c>
      <c r="D217" s="4">
        <v>114.8</v>
      </c>
      <c r="E217" s="4">
        <v>113.45</v>
      </c>
      <c r="F217" s="4" t="s">
        <v>378</v>
      </c>
      <c r="G217" s="2" t="s">
        <v>379</v>
      </c>
      <c r="I217">
        <f t="shared" si="45"/>
        <v>108.23200000000001</v>
      </c>
      <c r="J217">
        <f t="shared" si="46"/>
        <v>107.018</v>
      </c>
      <c r="L217">
        <f t="shared" si="47"/>
        <v>0</v>
      </c>
      <c r="M217">
        <f t="shared" si="48"/>
        <v>1</v>
      </c>
      <c r="O217">
        <f t="shared" si="49"/>
        <v>0</v>
      </c>
      <c r="P217">
        <f t="shared" si="50"/>
        <v>0.30000000000001137</v>
      </c>
      <c r="R217">
        <f t="shared" si="51"/>
        <v>1.6862499999999958</v>
      </c>
      <c r="S217">
        <f t="shared" si="52"/>
        <v>0.68499999999999994</v>
      </c>
      <c r="U217">
        <f t="shared" si="53"/>
        <v>71.112282551396902</v>
      </c>
      <c r="AH217">
        <f t="shared" si="54"/>
        <v>5.225280121700238</v>
      </c>
      <c r="AI217">
        <f t="shared" si="55"/>
        <v>96.99186679017518</v>
      </c>
      <c r="AJ217">
        <f t="shared" si="56"/>
        <v>119.47213320982485</v>
      </c>
      <c r="AL217">
        <f t="shared" si="57"/>
        <v>118.68256024340049</v>
      </c>
      <c r="AM217">
        <f t="shared" si="58"/>
        <v>97.781439756599539</v>
      </c>
    </row>
    <row r="218" spans="1:39" ht="16.5" x14ac:dyDescent="0.25">
      <c r="A218" s="1">
        <v>45390</v>
      </c>
      <c r="B218" s="5">
        <v>114.75</v>
      </c>
      <c r="C218" s="4">
        <v>113.2</v>
      </c>
      <c r="D218" s="4">
        <v>114.75</v>
      </c>
      <c r="E218" s="4">
        <v>112.75</v>
      </c>
      <c r="F218" s="4" t="s">
        <v>380</v>
      </c>
      <c r="G218" s="2" t="s">
        <v>381</v>
      </c>
      <c r="I218">
        <f t="shared" si="45"/>
        <v>107.89649999999997</v>
      </c>
      <c r="J218">
        <f t="shared" si="46"/>
        <v>106.72174999999997</v>
      </c>
      <c r="L218">
        <f t="shared" si="47"/>
        <v>1</v>
      </c>
      <c r="M218">
        <f t="shared" si="48"/>
        <v>0</v>
      </c>
      <c r="O218">
        <f t="shared" si="49"/>
        <v>1.5499999999999972</v>
      </c>
      <c r="P218">
        <f t="shared" si="50"/>
        <v>0</v>
      </c>
      <c r="R218">
        <f t="shared" si="51"/>
        <v>1.6862499999999958</v>
      </c>
      <c r="S218">
        <f t="shared" si="52"/>
        <v>0.65499999999999636</v>
      </c>
      <c r="U218">
        <f t="shared" si="53"/>
        <v>72.023491724506201</v>
      </c>
      <c r="AH218">
        <f t="shared" si="54"/>
        <v>5.2129137933928478</v>
      </c>
      <c r="AI218">
        <f t="shared" si="55"/>
        <v>96.656366790175142</v>
      </c>
      <c r="AJ218">
        <f t="shared" si="56"/>
        <v>119.13663320982481</v>
      </c>
      <c r="AL218">
        <f t="shared" si="57"/>
        <v>118.32232758678568</v>
      </c>
      <c r="AM218">
        <f t="shared" si="58"/>
        <v>97.470672413214274</v>
      </c>
    </row>
    <row r="219" spans="1:39" ht="16.5" x14ac:dyDescent="0.25">
      <c r="A219" s="1">
        <v>45387</v>
      </c>
      <c r="B219" s="5">
        <v>112.5</v>
      </c>
      <c r="C219" s="4">
        <v>112.8</v>
      </c>
      <c r="D219" s="4">
        <v>113.55</v>
      </c>
      <c r="E219" s="4">
        <v>111.9</v>
      </c>
      <c r="F219" s="4" t="s">
        <v>81</v>
      </c>
      <c r="G219" s="2" t="s">
        <v>382</v>
      </c>
      <c r="I219">
        <f t="shared" si="45"/>
        <v>107.50699999999999</v>
      </c>
      <c r="J219">
        <f t="shared" si="46"/>
        <v>106.40199999999997</v>
      </c>
      <c r="L219">
        <f t="shared" si="47"/>
        <v>0</v>
      </c>
      <c r="M219">
        <f t="shared" si="48"/>
        <v>1</v>
      </c>
      <c r="O219">
        <f t="shared" si="49"/>
        <v>0</v>
      </c>
      <c r="P219">
        <f t="shared" si="50"/>
        <v>0.29999999999999716</v>
      </c>
      <c r="R219">
        <f t="shared" si="51"/>
        <v>1.5274999999999963</v>
      </c>
      <c r="S219">
        <f t="shared" si="52"/>
        <v>0.65499999999999636</v>
      </c>
      <c r="U219">
        <f t="shared" si="53"/>
        <v>69.988545246277269</v>
      </c>
      <c r="AH219">
        <f t="shared" si="54"/>
        <v>5.2019768340163006</v>
      </c>
      <c r="AI219">
        <f t="shared" si="55"/>
        <v>96.266866790175158</v>
      </c>
      <c r="AJ219">
        <f t="shared" si="56"/>
        <v>118.74713320982482</v>
      </c>
      <c r="AL219">
        <f t="shared" si="57"/>
        <v>117.91095366803259</v>
      </c>
      <c r="AM219">
        <f t="shared" si="58"/>
        <v>97.103046331967391</v>
      </c>
    </row>
    <row r="220" spans="1:39" ht="16.5" x14ac:dyDescent="0.25">
      <c r="A220" s="1">
        <v>45386</v>
      </c>
      <c r="B220" s="5">
        <v>114.7</v>
      </c>
      <c r="C220" s="4">
        <v>111.9</v>
      </c>
      <c r="D220" s="4">
        <v>115.25</v>
      </c>
      <c r="E220" s="4">
        <v>111.75</v>
      </c>
      <c r="F220" s="4" t="s">
        <v>77</v>
      </c>
      <c r="G220" s="2" t="s">
        <v>133</v>
      </c>
      <c r="I220">
        <f t="shared" si="45"/>
        <v>107.26700000000001</v>
      </c>
      <c r="J220">
        <f t="shared" si="46"/>
        <v>106.06800000000001</v>
      </c>
      <c r="L220">
        <f t="shared" si="47"/>
        <v>1</v>
      </c>
      <c r="M220">
        <f t="shared" si="48"/>
        <v>0</v>
      </c>
      <c r="O220">
        <f t="shared" si="49"/>
        <v>2.7999999999999972</v>
      </c>
      <c r="P220">
        <f t="shared" si="50"/>
        <v>0</v>
      </c>
      <c r="R220">
        <f t="shared" si="51"/>
        <v>1.5274999999999963</v>
      </c>
      <c r="S220">
        <f t="shared" si="52"/>
        <v>1.1483333333333288</v>
      </c>
      <c r="U220">
        <f t="shared" si="53"/>
        <v>57.085020242915014</v>
      </c>
      <c r="AH220">
        <f t="shared" si="54"/>
        <v>5.1926906715372754</v>
      </c>
      <c r="AI220">
        <f t="shared" si="55"/>
        <v>96.026866790175177</v>
      </c>
      <c r="AJ220">
        <f t="shared" si="56"/>
        <v>118.50713320982484</v>
      </c>
      <c r="AL220">
        <f t="shared" si="57"/>
        <v>117.65238134307457</v>
      </c>
      <c r="AM220">
        <f t="shared" si="58"/>
        <v>96.881618656925454</v>
      </c>
    </row>
    <row r="221" spans="1:39" ht="16.5" x14ac:dyDescent="0.25">
      <c r="A221" s="1">
        <v>45385</v>
      </c>
      <c r="B221" s="5">
        <v>111.85</v>
      </c>
      <c r="C221" s="4">
        <v>106.95</v>
      </c>
      <c r="D221" s="4">
        <v>111.95</v>
      </c>
      <c r="E221" s="4">
        <v>106.6</v>
      </c>
      <c r="F221" s="4" t="s">
        <v>383</v>
      </c>
      <c r="G221" s="2" t="s">
        <v>384</v>
      </c>
      <c r="I221">
        <f t="shared" si="45"/>
        <v>107.00000000000003</v>
      </c>
      <c r="J221">
        <f t="shared" si="46"/>
        <v>105.63950000000003</v>
      </c>
      <c r="L221">
        <f t="shared" si="47"/>
        <v>1</v>
      </c>
      <c r="M221">
        <f t="shared" si="48"/>
        <v>0</v>
      </c>
      <c r="O221">
        <f t="shared" si="49"/>
        <v>4.8999999999999915</v>
      </c>
      <c r="P221">
        <f t="shared" si="50"/>
        <v>0</v>
      </c>
      <c r="R221">
        <f t="shared" si="51"/>
        <v>1.3457142857142819</v>
      </c>
      <c r="S221">
        <f t="shared" si="52"/>
        <v>1.1985714285714246</v>
      </c>
      <c r="U221">
        <f t="shared" si="53"/>
        <v>52.891633913531741</v>
      </c>
      <c r="AH221">
        <f t="shared" si="54"/>
        <v>5.1843274785899069</v>
      </c>
      <c r="AI221">
        <f t="shared" si="55"/>
        <v>95.759866790175195</v>
      </c>
      <c r="AJ221">
        <f t="shared" si="56"/>
        <v>118.24013320982486</v>
      </c>
      <c r="AL221">
        <f t="shared" si="57"/>
        <v>117.36865495717984</v>
      </c>
      <c r="AM221">
        <f t="shared" si="58"/>
        <v>96.631345042820215</v>
      </c>
    </row>
    <row r="222" spans="1:39" ht="16.5" x14ac:dyDescent="0.25">
      <c r="A222" s="1">
        <v>45384</v>
      </c>
      <c r="B222" s="5">
        <v>106.65</v>
      </c>
      <c r="C222" s="4">
        <v>107.2</v>
      </c>
      <c r="D222" s="4">
        <v>107.8</v>
      </c>
      <c r="E222" s="4">
        <v>105.8</v>
      </c>
      <c r="F222" s="4" t="s">
        <v>72</v>
      </c>
      <c r="G222" s="2" t="s">
        <v>163</v>
      </c>
      <c r="I222">
        <f t="shared" si="45"/>
        <v>106.90449999999998</v>
      </c>
      <c r="J222">
        <f t="shared" si="46"/>
        <v>105.25749999999998</v>
      </c>
      <c r="L222">
        <f t="shared" si="47"/>
        <v>0</v>
      </c>
      <c r="M222">
        <f t="shared" si="48"/>
        <v>1</v>
      </c>
      <c r="O222">
        <f t="shared" si="49"/>
        <v>0</v>
      </c>
      <c r="P222">
        <f t="shared" si="50"/>
        <v>0.54999999999999716</v>
      </c>
      <c r="R222">
        <f t="shared" si="51"/>
        <v>1.0571428571428538</v>
      </c>
      <c r="S222">
        <f t="shared" si="52"/>
        <v>1.1985714285714246</v>
      </c>
      <c r="U222">
        <f t="shared" si="53"/>
        <v>46.865104496516786</v>
      </c>
      <c r="AH222">
        <f t="shared" si="54"/>
        <v>5.1769943497469599</v>
      </c>
      <c r="AI222">
        <f t="shared" si="55"/>
        <v>95.664366790175151</v>
      </c>
      <c r="AJ222">
        <f t="shared" si="56"/>
        <v>118.14463320982482</v>
      </c>
      <c r="AL222">
        <f t="shared" si="57"/>
        <v>117.25848869949391</v>
      </c>
      <c r="AM222">
        <f t="shared" si="58"/>
        <v>96.550511300506059</v>
      </c>
    </row>
    <row r="223" spans="1:39" ht="16.5" x14ac:dyDescent="0.25">
      <c r="A223" s="1">
        <v>45379</v>
      </c>
      <c r="B223" s="5">
        <v>106.96</v>
      </c>
      <c r="C223" s="4">
        <v>106.34</v>
      </c>
      <c r="D223" s="4">
        <v>107.18</v>
      </c>
      <c r="E223" s="4">
        <v>106.34</v>
      </c>
      <c r="F223" s="4" t="s">
        <v>385</v>
      </c>
      <c r="G223" s="2" t="s">
        <v>386</v>
      </c>
      <c r="I223">
        <f t="shared" si="45"/>
        <v>107.06200000000001</v>
      </c>
      <c r="J223">
        <f t="shared" si="46"/>
        <v>105.04074999999997</v>
      </c>
      <c r="L223">
        <f t="shared" si="47"/>
        <v>1</v>
      </c>
      <c r="M223">
        <f t="shared" si="48"/>
        <v>0</v>
      </c>
      <c r="O223">
        <f t="shared" si="49"/>
        <v>0.61999999999999034</v>
      </c>
      <c r="P223">
        <f t="shared" si="50"/>
        <v>0</v>
      </c>
      <c r="R223">
        <f t="shared" si="51"/>
        <v>0.95749999999999602</v>
      </c>
      <c r="S223">
        <f t="shared" si="52"/>
        <v>1.3066666666666624</v>
      </c>
      <c r="U223">
        <f t="shared" si="53"/>
        <v>42.28928965771069</v>
      </c>
      <c r="AH223">
        <f t="shared" si="54"/>
        <v>5.1699251515702755</v>
      </c>
      <c r="AI223">
        <f t="shared" si="55"/>
        <v>95.821866790175179</v>
      </c>
      <c r="AJ223">
        <f t="shared" si="56"/>
        <v>118.30213320982485</v>
      </c>
      <c r="AL223">
        <f t="shared" si="57"/>
        <v>117.40185030314056</v>
      </c>
      <c r="AM223">
        <f t="shared" si="58"/>
        <v>96.722149696859461</v>
      </c>
    </row>
    <row r="224" spans="1:39" ht="16.5" x14ac:dyDescent="0.25">
      <c r="A224" s="1">
        <v>45378</v>
      </c>
      <c r="B224" s="5">
        <v>106.16</v>
      </c>
      <c r="C224" s="4">
        <v>105.5</v>
      </c>
      <c r="D224" s="4">
        <v>106.52</v>
      </c>
      <c r="E224" s="4">
        <v>104.66</v>
      </c>
      <c r="F224" s="4" t="s">
        <v>387</v>
      </c>
      <c r="G224" s="2" t="s">
        <v>388</v>
      </c>
      <c r="I224">
        <f t="shared" si="45"/>
        <v>107.175</v>
      </c>
      <c r="J224">
        <f t="shared" si="46"/>
        <v>104.79249999999999</v>
      </c>
      <c r="L224">
        <f t="shared" si="47"/>
        <v>1</v>
      </c>
      <c r="M224">
        <f t="shared" si="48"/>
        <v>0</v>
      </c>
      <c r="O224">
        <f t="shared" si="49"/>
        <v>0.65999999999999659</v>
      </c>
      <c r="P224">
        <f t="shared" si="50"/>
        <v>0</v>
      </c>
      <c r="R224">
        <f t="shared" si="51"/>
        <v>1.0057142857142825</v>
      </c>
      <c r="S224">
        <f t="shared" si="52"/>
        <v>1.1199999999999963</v>
      </c>
      <c r="U224">
        <f t="shared" si="53"/>
        <v>47.311827956989248</v>
      </c>
      <c r="AH224">
        <f t="shared" si="54"/>
        <v>5.1619922853101983</v>
      </c>
      <c r="AI224">
        <f t="shared" si="55"/>
        <v>95.934866790175164</v>
      </c>
      <c r="AJ224">
        <f t="shared" si="56"/>
        <v>118.41513320982483</v>
      </c>
      <c r="AL224">
        <f t="shared" si="57"/>
        <v>117.49898457062039</v>
      </c>
      <c r="AM224">
        <f t="shared" si="58"/>
        <v>96.851015429379601</v>
      </c>
    </row>
    <row r="225" spans="1:39" ht="16.5" x14ac:dyDescent="0.25">
      <c r="A225" s="1">
        <v>45377</v>
      </c>
      <c r="B225" s="5">
        <v>106.56</v>
      </c>
      <c r="C225" s="4">
        <v>106.6</v>
      </c>
      <c r="D225" s="4">
        <v>106.76</v>
      </c>
      <c r="E225" s="4">
        <v>105.54</v>
      </c>
      <c r="F225" s="4" t="s">
        <v>389</v>
      </c>
      <c r="G225" s="2" t="s">
        <v>390</v>
      </c>
      <c r="I225">
        <f t="shared" si="45"/>
        <v>107.32500000000002</v>
      </c>
      <c r="J225">
        <f t="shared" si="46"/>
        <v>104.55800000000002</v>
      </c>
      <c r="L225">
        <f t="shared" si="47"/>
        <v>0</v>
      </c>
      <c r="M225">
        <f t="shared" si="48"/>
        <v>1</v>
      </c>
      <c r="O225">
        <f t="shared" si="49"/>
        <v>0</v>
      </c>
      <c r="P225">
        <f t="shared" si="50"/>
        <v>3.9999999999992042E-2</v>
      </c>
      <c r="R225">
        <f t="shared" si="51"/>
        <v>1.0633333333333301</v>
      </c>
      <c r="S225">
        <f t="shared" si="52"/>
        <v>0.98999999999999844</v>
      </c>
      <c r="U225">
        <f t="shared" si="53"/>
        <v>51.785714285714249</v>
      </c>
      <c r="AH225">
        <f t="shared" si="54"/>
        <v>5.1533673200950556</v>
      </c>
      <c r="AI225">
        <f t="shared" si="55"/>
        <v>96.084866790175184</v>
      </c>
      <c r="AJ225">
        <f t="shared" si="56"/>
        <v>118.56513320982485</v>
      </c>
      <c r="AL225">
        <f t="shared" si="57"/>
        <v>117.63173464019013</v>
      </c>
      <c r="AM225">
        <f t="shared" si="58"/>
        <v>97.018265359809902</v>
      </c>
    </row>
    <row r="226" spans="1:39" ht="16.5" x14ac:dyDescent="0.25">
      <c r="A226" s="1">
        <v>45376</v>
      </c>
      <c r="B226" s="5">
        <v>106.24</v>
      </c>
      <c r="C226" s="4">
        <v>104.4</v>
      </c>
      <c r="D226" s="4">
        <v>106.24</v>
      </c>
      <c r="E226" s="4">
        <v>104.4</v>
      </c>
      <c r="F226" s="4" t="s">
        <v>129</v>
      </c>
      <c r="G226" s="2" t="s">
        <v>391</v>
      </c>
      <c r="I226">
        <f t="shared" si="45"/>
        <v>107.38100000000001</v>
      </c>
      <c r="J226">
        <f t="shared" si="46"/>
        <v>104.26900000000001</v>
      </c>
      <c r="L226">
        <f t="shared" si="47"/>
        <v>1</v>
      </c>
      <c r="M226">
        <f t="shared" si="48"/>
        <v>0</v>
      </c>
      <c r="O226">
        <f t="shared" si="49"/>
        <v>1.8399999999999892</v>
      </c>
      <c r="P226">
        <f t="shared" si="50"/>
        <v>0</v>
      </c>
      <c r="R226">
        <f t="shared" si="51"/>
        <v>1.0633333333333301</v>
      </c>
      <c r="S226">
        <f t="shared" si="52"/>
        <v>1.1849999999999987</v>
      </c>
      <c r="U226">
        <f t="shared" si="53"/>
        <v>47.294292068198615</v>
      </c>
      <c r="AH226">
        <f t="shared" si="54"/>
        <v>5.143849159723465</v>
      </c>
      <c r="AI226">
        <f t="shared" si="55"/>
        <v>96.140866790175181</v>
      </c>
      <c r="AJ226">
        <f t="shared" si="56"/>
        <v>118.62113320982485</v>
      </c>
      <c r="AL226">
        <f t="shared" si="57"/>
        <v>117.66869831944695</v>
      </c>
      <c r="AM226">
        <f t="shared" si="58"/>
        <v>97.093301680553083</v>
      </c>
    </row>
    <row r="227" spans="1:39" ht="16.5" x14ac:dyDescent="0.25">
      <c r="A227" s="1">
        <v>45373</v>
      </c>
      <c r="B227" s="5">
        <v>104.12</v>
      </c>
      <c r="C227" s="4">
        <v>103.92</v>
      </c>
      <c r="D227" s="4">
        <v>104.62</v>
      </c>
      <c r="E227" s="4">
        <v>102.84</v>
      </c>
      <c r="F227" s="4" t="s">
        <v>91</v>
      </c>
      <c r="G227" s="2" t="s">
        <v>392</v>
      </c>
      <c r="I227">
        <f t="shared" si="45"/>
        <v>107.44300000000001</v>
      </c>
      <c r="J227">
        <f t="shared" si="46"/>
        <v>103.98575000000001</v>
      </c>
      <c r="L227">
        <f t="shared" si="47"/>
        <v>1</v>
      </c>
      <c r="M227">
        <f t="shared" si="48"/>
        <v>0</v>
      </c>
      <c r="O227">
        <f t="shared" si="49"/>
        <v>0.20000000000000284</v>
      </c>
      <c r="P227">
        <f t="shared" si="50"/>
        <v>0</v>
      </c>
      <c r="R227">
        <f t="shared" si="51"/>
        <v>0.90799999999999836</v>
      </c>
      <c r="S227">
        <f t="shared" si="52"/>
        <v>1.0933333333333322</v>
      </c>
      <c r="U227">
        <f t="shared" si="53"/>
        <v>45.369753497668206</v>
      </c>
      <c r="AH227">
        <f t="shared" si="54"/>
        <v>5.1338614989263451</v>
      </c>
      <c r="AI227">
        <f t="shared" si="55"/>
        <v>96.202866790175179</v>
      </c>
      <c r="AJ227">
        <f t="shared" si="56"/>
        <v>118.68313320982485</v>
      </c>
      <c r="AL227">
        <f t="shared" si="57"/>
        <v>117.7107229978527</v>
      </c>
      <c r="AM227">
        <f t="shared" si="58"/>
        <v>97.175277002147325</v>
      </c>
    </row>
    <row r="228" spans="1:39" ht="16.5" x14ac:dyDescent="0.25">
      <c r="A228" s="1">
        <v>45372</v>
      </c>
      <c r="B228" s="5">
        <v>104.8</v>
      </c>
      <c r="C228" s="4">
        <v>107</v>
      </c>
      <c r="D228" s="4">
        <v>107.1</v>
      </c>
      <c r="E228" s="4">
        <v>104.38</v>
      </c>
      <c r="F228" s="4" t="s">
        <v>393</v>
      </c>
      <c r="G228" s="2" t="s">
        <v>394</v>
      </c>
      <c r="I228">
        <f t="shared" si="45"/>
        <v>107.57300000000001</v>
      </c>
      <c r="J228">
        <f t="shared" si="46"/>
        <v>103.75200000000002</v>
      </c>
      <c r="L228">
        <f t="shared" si="47"/>
        <v>0</v>
      </c>
      <c r="M228">
        <f t="shared" si="48"/>
        <v>1</v>
      </c>
      <c r="O228">
        <f t="shared" si="49"/>
        <v>0</v>
      </c>
      <c r="P228">
        <f t="shared" si="50"/>
        <v>2.2000000000000028</v>
      </c>
      <c r="R228">
        <f t="shared" si="51"/>
        <v>0.96799999999999786</v>
      </c>
      <c r="S228">
        <f t="shared" si="52"/>
        <v>1.0933333333333322</v>
      </c>
      <c r="U228">
        <f t="shared" si="53"/>
        <v>46.959896507115111</v>
      </c>
      <c r="AH228">
        <f t="shared" si="54"/>
        <v>5.1233615992633714</v>
      </c>
      <c r="AI228">
        <f t="shared" si="55"/>
        <v>96.332866790175174</v>
      </c>
      <c r="AJ228">
        <f t="shared" si="56"/>
        <v>118.81313320982484</v>
      </c>
      <c r="AL228">
        <f t="shared" si="57"/>
        <v>117.81972319852675</v>
      </c>
      <c r="AM228">
        <f t="shared" si="58"/>
        <v>97.32627680147327</v>
      </c>
    </row>
    <row r="229" spans="1:39" ht="16.5" x14ac:dyDescent="0.25">
      <c r="A229" s="1">
        <v>45371</v>
      </c>
      <c r="B229" s="5">
        <v>106.36</v>
      </c>
      <c r="C229" s="4">
        <v>107.08</v>
      </c>
      <c r="D229" s="4">
        <v>107.34</v>
      </c>
      <c r="E229" s="4">
        <v>105.68</v>
      </c>
      <c r="F229" s="4" t="s">
        <v>395</v>
      </c>
      <c r="G229" s="2" t="s">
        <v>396</v>
      </c>
      <c r="I229">
        <f t="shared" si="45"/>
        <v>107.58700000000002</v>
      </c>
      <c r="J229">
        <f t="shared" si="46"/>
        <v>103.47425000000001</v>
      </c>
      <c r="L229">
        <f t="shared" si="47"/>
        <v>0</v>
      </c>
      <c r="M229">
        <f t="shared" si="48"/>
        <v>1</v>
      </c>
      <c r="O229">
        <f t="shared" si="49"/>
        <v>0</v>
      </c>
      <c r="P229">
        <f t="shared" si="50"/>
        <v>0.71999999999999886</v>
      </c>
      <c r="R229">
        <f t="shared" si="51"/>
        <v>0.96799999999999786</v>
      </c>
      <c r="S229">
        <f t="shared" si="52"/>
        <v>0.86888888888888816</v>
      </c>
      <c r="U229">
        <f t="shared" si="53"/>
        <v>52.697798209532984</v>
      </c>
      <c r="AH229">
        <f t="shared" si="54"/>
        <v>5.1119913145502842</v>
      </c>
      <c r="AI229">
        <f t="shared" si="55"/>
        <v>96.346866790175184</v>
      </c>
      <c r="AJ229">
        <f t="shared" si="56"/>
        <v>118.82713320982485</v>
      </c>
      <c r="AL229">
        <f t="shared" si="57"/>
        <v>117.81098262910058</v>
      </c>
      <c r="AM229">
        <f t="shared" si="58"/>
        <v>97.363017370899456</v>
      </c>
    </row>
    <row r="230" spans="1:39" ht="16.5" x14ac:dyDescent="0.25">
      <c r="A230" s="1">
        <v>45370</v>
      </c>
      <c r="B230" s="5">
        <v>107.12</v>
      </c>
      <c r="C230" s="4">
        <v>106.2</v>
      </c>
      <c r="D230" s="4">
        <v>107.4</v>
      </c>
      <c r="E230" s="4">
        <v>105.98</v>
      </c>
      <c r="F230" s="4" t="s">
        <v>397</v>
      </c>
      <c r="G230" s="2" t="s">
        <v>257</v>
      </c>
      <c r="I230">
        <f t="shared" si="45"/>
        <v>107.48400000000001</v>
      </c>
      <c r="J230">
        <f t="shared" si="46"/>
        <v>103.15400000000002</v>
      </c>
      <c r="L230">
        <f t="shared" si="47"/>
        <v>1</v>
      </c>
      <c r="M230">
        <f t="shared" si="48"/>
        <v>0</v>
      </c>
      <c r="O230">
        <f t="shared" si="49"/>
        <v>0.92000000000000171</v>
      </c>
      <c r="P230">
        <f t="shared" si="50"/>
        <v>0</v>
      </c>
      <c r="R230">
        <f t="shared" si="51"/>
        <v>0.96799999999999786</v>
      </c>
      <c r="S230">
        <f t="shared" si="52"/>
        <v>0.81999999999999951</v>
      </c>
      <c r="U230">
        <f t="shared" si="53"/>
        <v>54.138702460850077</v>
      </c>
      <c r="AH230">
        <f t="shared" si="54"/>
        <v>5.1003166337277488</v>
      </c>
      <c r="AI230">
        <f t="shared" si="55"/>
        <v>96.243866790175176</v>
      </c>
      <c r="AJ230">
        <f t="shared" si="56"/>
        <v>118.72413320982484</v>
      </c>
      <c r="AL230">
        <f t="shared" si="57"/>
        <v>117.68463326745551</v>
      </c>
      <c r="AM230">
        <f t="shared" si="58"/>
        <v>97.283366732544508</v>
      </c>
    </row>
    <row r="231" spans="1:39" ht="16.5" x14ac:dyDescent="0.25">
      <c r="A231" s="1">
        <v>45369</v>
      </c>
      <c r="B231" s="5">
        <v>105.98</v>
      </c>
      <c r="C231" s="4">
        <v>106.1</v>
      </c>
      <c r="D231" s="4">
        <v>107.22</v>
      </c>
      <c r="E231" s="4">
        <v>104.86</v>
      </c>
      <c r="F231" s="4" t="s">
        <v>398</v>
      </c>
      <c r="G231" s="2" t="s">
        <v>399</v>
      </c>
      <c r="I231">
        <f t="shared" si="45"/>
        <v>107.21900000000001</v>
      </c>
      <c r="J231">
        <f t="shared" si="46"/>
        <v>102.81500000000001</v>
      </c>
      <c r="L231">
        <f t="shared" si="47"/>
        <v>0</v>
      </c>
      <c r="M231">
        <f t="shared" si="48"/>
        <v>1</v>
      </c>
      <c r="O231">
        <f t="shared" si="49"/>
        <v>0</v>
      </c>
      <c r="P231">
        <f t="shared" si="50"/>
        <v>0.11999999999999034</v>
      </c>
      <c r="R231">
        <f t="shared" si="51"/>
        <v>1.0159999999999969</v>
      </c>
      <c r="S231">
        <f t="shared" si="52"/>
        <v>0.81999999999999951</v>
      </c>
      <c r="U231">
        <f t="shared" si="53"/>
        <v>55.337690631808215</v>
      </c>
      <c r="AH231">
        <f t="shared" si="54"/>
        <v>5.0889322335274239</v>
      </c>
      <c r="AI231">
        <f t="shared" si="55"/>
        <v>95.978866790175175</v>
      </c>
      <c r="AJ231">
        <f t="shared" si="56"/>
        <v>118.45913320982484</v>
      </c>
      <c r="AL231">
        <f t="shared" si="57"/>
        <v>117.39686446705485</v>
      </c>
      <c r="AM231">
        <f t="shared" si="58"/>
        <v>97.041135532945162</v>
      </c>
    </row>
    <row r="232" spans="1:39" ht="16.5" x14ac:dyDescent="0.25">
      <c r="A232" s="1">
        <v>45366</v>
      </c>
      <c r="B232" s="5">
        <v>105.68</v>
      </c>
      <c r="C232" s="4">
        <v>105.4</v>
      </c>
      <c r="D232" s="4">
        <v>107.3</v>
      </c>
      <c r="E232" s="4">
        <v>104.88</v>
      </c>
      <c r="F232" s="4" t="s">
        <v>400</v>
      </c>
      <c r="G232" s="2" t="s">
        <v>401</v>
      </c>
      <c r="I232">
        <f t="shared" si="45"/>
        <v>107.06100000000001</v>
      </c>
      <c r="J232">
        <f t="shared" si="46"/>
        <v>102.49825000000001</v>
      </c>
      <c r="L232">
        <f t="shared" si="47"/>
        <v>1</v>
      </c>
      <c r="M232">
        <f t="shared" si="48"/>
        <v>0</v>
      </c>
      <c r="O232">
        <f t="shared" si="49"/>
        <v>0.28000000000000114</v>
      </c>
      <c r="P232">
        <f t="shared" si="50"/>
        <v>0</v>
      </c>
      <c r="R232">
        <f t="shared" si="51"/>
        <v>0.85333333333333172</v>
      </c>
      <c r="S232">
        <f t="shared" si="52"/>
        <v>0.90750000000000064</v>
      </c>
      <c r="U232">
        <f t="shared" si="53"/>
        <v>48.461902508282002</v>
      </c>
      <c r="AH232">
        <f t="shared" si="54"/>
        <v>5.078654731707327</v>
      </c>
      <c r="AI232">
        <f t="shared" si="55"/>
        <v>95.820866790175174</v>
      </c>
      <c r="AJ232">
        <f t="shared" si="56"/>
        <v>118.30113320982484</v>
      </c>
      <c r="AL232">
        <f t="shared" si="57"/>
        <v>117.21830946341466</v>
      </c>
      <c r="AM232">
        <f t="shared" si="58"/>
        <v>96.903690536585358</v>
      </c>
    </row>
    <row r="233" spans="1:39" ht="16.5" x14ac:dyDescent="0.25">
      <c r="A233" s="1">
        <v>45365</v>
      </c>
      <c r="B233" s="5">
        <v>105.2</v>
      </c>
      <c r="C233" s="4">
        <v>108.46</v>
      </c>
      <c r="D233" s="4">
        <v>110.42</v>
      </c>
      <c r="E233" s="4">
        <v>104.9</v>
      </c>
      <c r="F233" s="4" t="s">
        <v>355</v>
      </c>
      <c r="G233" s="2" t="s">
        <v>402</v>
      </c>
      <c r="I233">
        <f t="shared" si="45"/>
        <v>106.982</v>
      </c>
      <c r="J233">
        <f t="shared" si="46"/>
        <v>102.16375000000001</v>
      </c>
      <c r="L233">
        <f t="shared" si="47"/>
        <v>0</v>
      </c>
      <c r="M233">
        <f t="shared" si="48"/>
        <v>1</v>
      </c>
      <c r="O233">
        <f t="shared" si="49"/>
        <v>0</v>
      </c>
      <c r="P233">
        <f t="shared" si="50"/>
        <v>3.2599999999999909</v>
      </c>
      <c r="R233">
        <f t="shared" si="51"/>
        <v>0.88666666666666549</v>
      </c>
      <c r="S233">
        <f t="shared" si="52"/>
        <v>0.90750000000000064</v>
      </c>
      <c r="U233">
        <f t="shared" si="53"/>
        <v>49.419414770088203</v>
      </c>
      <c r="AH233">
        <f t="shared" si="54"/>
        <v>5.0689460081829347</v>
      </c>
      <c r="AI233">
        <f t="shared" si="55"/>
        <v>95.741866790175166</v>
      </c>
      <c r="AJ233">
        <f t="shared" si="56"/>
        <v>118.22213320982483</v>
      </c>
      <c r="AL233">
        <f t="shared" si="57"/>
        <v>117.11989201636587</v>
      </c>
      <c r="AM233">
        <f t="shared" si="58"/>
        <v>96.844107983634132</v>
      </c>
    </row>
    <row r="234" spans="1:39" ht="16.5" x14ac:dyDescent="0.25">
      <c r="A234" s="1">
        <v>45364</v>
      </c>
      <c r="B234" s="5">
        <v>108.5</v>
      </c>
      <c r="C234" s="4">
        <v>110</v>
      </c>
      <c r="D234" s="4">
        <v>110.36</v>
      </c>
      <c r="E234" s="4">
        <v>108.5</v>
      </c>
      <c r="F234" s="4" t="s">
        <v>403</v>
      </c>
      <c r="G234" s="2" t="s">
        <v>404</v>
      </c>
      <c r="I234">
        <f t="shared" si="45"/>
        <v>106.85299999999999</v>
      </c>
      <c r="J234">
        <f t="shared" si="46"/>
        <v>101.86025000000001</v>
      </c>
      <c r="L234">
        <f t="shared" si="47"/>
        <v>0</v>
      </c>
      <c r="M234">
        <f t="shared" si="48"/>
        <v>1</v>
      </c>
      <c r="O234">
        <f t="shared" si="49"/>
        <v>0</v>
      </c>
      <c r="P234">
        <f t="shared" si="50"/>
        <v>1.5</v>
      </c>
      <c r="R234">
        <f t="shared" si="51"/>
        <v>0.96285714285714208</v>
      </c>
      <c r="S234">
        <f t="shared" si="52"/>
        <v>0.57142857142857351</v>
      </c>
      <c r="U234">
        <f t="shared" si="53"/>
        <v>62.756052141526901</v>
      </c>
      <c r="AH234">
        <f t="shared" si="54"/>
        <v>5.0594201034805897</v>
      </c>
      <c r="AI234">
        <f t="shared" si="55"/>
        <v>95.612866790175161</v>
      </c>
      <c r="AJ234">
        <f t="shared" si="56"/>
        <v>118.09313320982483</v>
      </c>
      <c r="AL234">
        <f t="shared" si="57"/>
        <v>116.97184020696118</v>
      </c>
      <c r="AM234">
        <f t="shared" si="58"/>
        <v>96.734159793038813</v>
      </c>
    </row>
    <row r="235" spans="1:39" ht="16.5" x14ac:dyDescent="0.25">
      <c r="A235" s="1">
        <v>45363</v>
      </c>
      <c r="B235" s="5">
        <v>109.78</v>
      </c>
      <c r="C235" s="4">
        <v>106.9</v>
      </c>
      <c r="D235" s="4">
        <v>110.22</v>
      </c>
      <c r="E235" s="4">
        <v>106.64</v>
      </c>
      <c r="F235" s="4" t="s">
        <v>48</v>
      </c>
      <c r="G235" s="2" t="s">
        <v>108</v>
      </c>
      <c r="I235">
        <f t="shared" si="45"/>
        <v>106.48599999999999</v>
      </c>
      <c r="J235">
        <f t="shared" si="46"/>
        <v>101.46725000000001</v>
      </c>
      <c r="L235">
        <f t="shared" si="47"/>
        <v>1</v>
      </c>
      <c r="M235">
        <f t="shared" si="48"/>
        <v>0</v>
      </c>
      <c r="O235">
        <f t="shared" si="49"/>
        <v>2.8799999999999955</v>
      </c>
      <c r="P235">
        <f t="shared" si="50"/>
        <v>0</v>
      </c>
      <c r="R235">
        <f t="shared" si="51"/>
        <v>0.85249999999999915</v>
      </c>
      <c r="S235">
        <f t="shared" si="52"/>
        <v>0.41666666666666902</v>
      </c>
      <c r="U235">
        <f t="shared" si="53"/>
        <v>67.170059093893485</v>
      </c>
      <c r="AH235">
        <f t="shared" si="54"/>
        <v>5.0503223406942981</v>
      </c>
      <c r="AI235">
        <f t="shared" si="55"/>
        <v>95.245866790175157</v>
      </c>
      <c r="AJ235">
        <f t="shared" si="56"/>
        <v>117.72613320982482</v>
      </c>
      <c r="AL235">
        <f t="shared" si="57"/>
        <v>116.58664468138859</v>
      </c>
      <c r="AM235">
        <f t="shared" si="58"/>
        <v>96.385355318611388</v>
      </c>
    </row>
    <row r="236" spans="1:39" ht="16.5" x14ac:dyDescent="0.25">
      <c r="A236" s="1">
        <v>45362</v>
      </c>
      <c r="B236" s="5">
        <v>106.88</v>
      </c>
      <c r="C236" s="4">
        <v>106.62</v>
      </c>
      <c r="D236" s="4">
        <v>107.3</v>
      </c>
      <c r="E236" s="4">
        <v>106.12</v>
      </c>
      <c r="F236" s="4" t="s">
        <v>405</v>
      </c>
      <c r="G236" s="2" t="s">
        <v>406</v>
      </c>
      <c r="I236">
        <f t="shared" si="45"/>
        <v>106.04099999999998</v>
      </c>
      <c r="J236">
        <f t="shared" si="46"/>
        <v>101.11675000000001</v>
      </c>
      <c r="L236">
        <f t="shared" si="47"/>
        <v>1</v>
      </c>
      <c r="M236">
        <f t="shared" si="48"/>
        <v>0</v>
      </c>
      <c r="O236">
        <f t="shared" si="49"/>
        <v>0.25999999999999091</v>
      </c>
      <c r="P236">
        <f t="shared" si="50"/>
        <v>0</v>
      </c>
      <c r="R236">
        <f t="shared" si="51"/>
        <v>0.73749999999999893</v>
      </c>
      <c r="S236">
        <f t="shared" si="52"/>
        <v>0.41666666666666902</v>
      </c>
      <c r="U236">
        <f t="shared" si="53"/>
        <v>63.89891696750886</v>
      </c>
      <c r="AH236">
        <f t="shared" si="54"/>
        <v>5.0427797006312192</v>
      </c>
      <c r="AI236">
        <f t="shared" si="55"/>
        <v>94.800866790175149</v>
      </c>
      <c r="AJ236">
        <f t="shared" si="56"/>
        <v>117.28113320982482</v>
      </c>
      <c r="AL236">
        <f t="shared" si="57"/>
        <v>116.12655940126243</v>
      </c>
      <c r="AM236">
        <f t="shared" si="58"/>
        <v>95.955440598737539</v>
      </c>
    </row>
    <row r="237" spans="1:39" ht="16.5" x14ac:dyDescent="0.25">
      <c r="A237" s="1">
        <v>45359</v>
      </c>
      <c r="B237" s="5">
        <v>107.14</v>
      </c>
      <c r="C237" s="4">
        <v>107.14</v>
      </c>
      <c r="D237" s="4">
        <v>107.84</v>
      </c>
      <c r="E237" s="4">
        <v>106.48</v>
      </c>
      <c r="F237" s="4" t="s">
        <v>407</v>
      </c>
      <c r="G237" s="2" t="s">
        <v>408</v>
      </c>
      <c r="I237">
        <f t="shared" si="45"/>
        <v>105.80399999999997</v>
      </c>
      <c r="J237">
        <f t="shared" si="46"/>
        <v>100.83275</v>
      </c>
      <c r="L237">
        <f t="shared" si="47"/>
        <v>0</v>
      </c>
      <c r="M237">
        <f t="shared" si="48"/>
        <v>1</v>
      </c>
      <c r="O237">
        <f t="shared" si="49"/>
        <v>0</v>
      </c>
      <c r="P237">
        <f t="shared" si="50"/>
        <v>0</v>
      </c>
      <c r="R237">
        <f t="shared" si="51"/>
        <v>0.80571428571428583</v>
      </c>
      <c r="S237">
        <f t="shared" si="52"/>
        <v>0.47714285714285964</v>
      </c>
      <c r="U237">
        <f t="shared" si="53"/>
        <v>62.806236080178053</v>
      </c>
      <c r="AH237">
        <f t="shared" si="54"/>
        <v>5.0370849839495726</v>
      </c>
      <c r="AI237">
        <f t="shared" si="55"/>
        <v>94.56386679017514</v>
      </c>
      <c r="AJ237">
        <f t="shared" si="56"/>
        <v>117.04413320982481</v>
      </c>
      <c r="AL237">
        <f t="shared" si="57"/>
        <v>115.87816996789911</v>
      </c>
      <c r="AM237">
        <f t="shared" si="58"/>
        <v>95.729830032100836</v>
      </c>
    </row>
    <row r="238" spans="1:39" ht="16.5" x14ac:dyDescent="0.25">
      <c r="A238" s="1">
        <v>45358</v>
      </c>
      <c r="B238" s="5">
        <v>106.96</v>
      </c>
      <c r="C238" s="4">
        <v>107.04</v>
      </c>
      <c r="D238" s="4">
        <v>107.48</v>
      </c>
      <c r="E238" s="4">
        <v>106.06</v>
      </c>
      <c r="F238" s="4" t="s">
        <v>409</v>
      </c>
      <c r="G238" s="2" t="s">
        <v>410</v>
      </c>
      <c r="I238">
        <f t="shared" si="45"/>
        <v>105.54699999999998</v>
      </c>
      <c r="J238">
        <f t="shared" si="46"/>
        <v>100.57550000000001</v>
      </c>
      <c r="L238">
        <f t="shared" si="47"/>
        <v>0</v>
      </c>
      <c r="M238">
        <f t="shared" si="48"/>
        <v>1</v>
      </c>
      <c r="O238">
        <f t="shared" si="49"/>
        <v>0</v>
      </c>
      <c r="P238">
        <f t="shared" si="50"/>
        <v>8.0000000000012506E-2</v>
      </c>
      <c r="R238">
        <f t="shared" si="51"/>
        <v>0.80571428571428583</v>
      </c>
      <c r="S238">
        <f t="shared" si="52"/>
        <v>0.66285714285714703</v>
      </c>
      <c r="U238">
        <f t="shared" si="53"/>
        <v>54.863813229571832</v>
      </c>
      <c r="AH238">
        <f t="shared" si="54"/>
        <v>5.0322769240173724</v>
      </c>
      <c r="AI238">
        <f t="shared" si="55"/>
        <v>94.30686679017515</v>
      </c>
      <c r="AJ238">
        <f t="shared" si="56"/>
        <v>116.78713320982482</v>
      </c>
      <c r="AL238">
        <f t="shared" si="57"/>
        <v>115.61155384803473</v>
      </c>
      <c r="AM238">
        <f t="shared" si="58"/>
        <v>95.482446151965235</v>
      </c>
    </row>
    <row r="239" spans="1:39" ht="16.5" x14ac:dyDescent="0.25">
      <c r="A239" s="1">
        <v>45357</v>
      </c>
      <c r="B239" s="5">
        <v>107.7</v>
      </c>
      <c r="C239" s="4">
        <v>109.3</v>
      </c>
      <c r="D239" s="4">
        <v>109.5</v>
      </c>
      <c r="E239" s="4">
        <v>107.38</v>
      </c>
      <c r="F239" s="4" t="s">
        <v>125</v>
      </c>
      <c r="G239" s="2" t="s">
        <v>411</v>
      </c>
      <c r="I239">
        <f t="shared" si="45"/>
        <v>105.29699999999998</v>
      </c>
      <c r="J239">
        <f t="shared" si="46"/>
        <v>100.36300000000001</v>
      </c>
      <c r="L239">
        <f t="shared" si="47"/>
        <v>0</v>
      </c>
      <c r="M239">
        <f t="shared" si="48"/>
        <v>1</v>
      </c>
      <c r="O239">
        <f t="shared" si="49"/>
        <v>0</v>
      </c>
      <c r="P239">
        <f t="shared" si="50"/>
        <v>1.5999999999999943</v>
      </c>
      <c r="R239">
        <f t="shared" si="51"/>
        <v>0.80999999999999872</v>
      </c>
      <c r="S239">
        <f t="shared" si="52"/>
        <v>0.76000000000000278</v>
      </c>
      <c r="U239">
        <f t="shared" si="53"/>
        <v>51.592356687897954</v>
      </c>
      <c r="AH239">
        <f t="shared" si="54"/>
        <v>5.0284209465007779</v>
      </c>
      <c r="AI239">
        <f t="shared" si="55"/>
        <v>94.05686679017515</v>
      </c>
      <c r="AJ239">
        <f t="shared" si="56"/>
        <v>116.53713320982482</v>
      </c>
      <c r="AL239">
        <f t="shared" si="57"/>
        <v>115.35384189300154</v>
      </c>
      <c r="AM239">
        <f t="shared" si="58"/>
        <v>95.240158106998422</v>
      </c>
    </row>
    <row r="240" spans="1:39" ht="16.5" x14ac:dyDescent="0.25">
      <c r="A240" s="1">
        <v>45356</v>
      </c>
      <c r="B240" s="5">
        <v>109.36</v>
      </c>
      <c r="C240" s="4">
        <v>109.72</v>
      </c>
      <c r="D240" s="4">
        <v>109.72</v>
      </c>
      <c r="E240" s="4">
        <v>107.84</v>
      </c>
      <c r="F240" s="4" t="s">
        <v>412</v>
      </c>
      <c r="G240" s="2" t="s">
        <v>413</v>
      </c>
      <c r="I240">
        <f t="shared" si="45"/>
        <v>104.869</v>
      </c>
      <c r="J240">
        <f t="shared" si="46"/>
        <v>100.16800000000003</v>
      </c>
      <c r="L240">
        <f t="shared" si="47"/>
        <v>0</v>
      </c>
      <c r="M240">
        <f t="shared" si="48"/>
        <v>1</v>
      </c>
      <c r="O240">
        <f t="shared" si="49"/>
        <v>0</v>
      </c>
      <c r="P240">
        <f t="shared" si="50"/>
        <v>0.35999999999999943</v>
      </c>
      <c r="R240">
        <f t="shared" si="51"/>
        <v>0.77555555555555444</v>
      </c>
      <c r="S240">
        <f t="shared" si="52"/>
        <v>0.59200000000000441</v>
      </c>
      <c r="U240">
        <f t="shared" si="53"/>
        <v>56.711082222944206</v>
      </c>
      <c r="AH240">
        <f t="shared" si="54"/>
        <v>5.0254661793171573</v>
      </c>
      <c r="AI240">
        <f t="shared" si="55"/>
        <v>93.628866790175167</v>
      </c>
      <c r="AJ240">
        <f t="shared" si="56"/>
        <v>116.10913320982483</v>
      </c>
      <c r="AL240">
        <f t="shared" si="57"/>
        <v>114.91993235863431</v>
      </c>
      <c r="AM240">
        <f t="shared" si="58"/>
        <v>94.818067641365687</v>
      </c>
    </row>
    <row r="241" spans="1:39" ht="16.5" x14ac:dyDescent="0.25">
      <c r="A241" s="1">
        <v>45355</v>
      </c>
      <c r="B241" s="5">
        <v>109.94</v>
      </c>
      <c r="C241" s="4">
        <v>109.44</v>
      </c>
      <c r="D241" s="4">
        <v>109.98</v>
      </c>
      <c r="E241" s="4">
        <v>109</v>
      </c>
      <c r="F241" s="4" t="s">
        <v>414</v>
      </c>
      <c r="G241" s="2" t="s">
        <v>323</v>
      </c>
      <c r="I241">
        <f t="shared" si="45"/>
        <v>104.279</v>
      </c>
      <c r="J241">
        <f t="shared" si="46"/>
        <v>99.954500000000024</v>
      </c>
      <c r="L241">
        <f t="shared" si="47"/>
        <v>1</v>
      </c>
      <c r="M241">
        <f t="shared" si="48"/>
        <v>0</v>
      </c>
      <c r="O241">
        <f t="shared" si="49"/>
        <v>0.5</v>
      </c>
      <c r="P241">
        <f t="shared" si="50"/>
        <v>0</v>
      </c>
      <c r="R241">
        <f t="shared" si="51"/>
        <v>0.78599999999999848</v>
      </c>
      <c r="S241">
        <f t="shared" si="52"/>
        <v>0.65000000000000568</v>
      </c>
      <c r="U241">
        <f t="shared" si="53"/>
        <v>54.735376044567978</v>
      </c>
      <c r="AH241">
        <f t="shared" si="54"/>
        <v>5.0240619326000369</v>
      </c>
      <c r="AI241">
        <f t="shared" si="55"/>
        <v>93.038866790175163</v>
      </c>
      <c r="AJ241">
        <f t="shared" si="56"/>
        <v>115.51913320982483</v>
      </c>
      <c r="AL241">
        <f t="shared" si="57"/>
        <v>114.32712386520006</v>
      </c>
      <c r="AM241">
        <f t="shared" si="58"/>
        <v>94.230876134799928</v>
      </c>
    </row>
    <row r="242" spans="1:39" ht="16.5" x14ac:dyDescent="0.25">
      <c r="A242" s="1">
        <v>45352</v>
      </c>
      <c r="B242" s="5">
        <v>109.8</v>
      </c>
      <c r="C242" s="4">
        <v>109.98</v>
      </c>
      <c r="D242" s="4">
        <v>110.96</v>
      </c>
      <c r="E242" s="4">
        <v>107.68</v>
      </c>
      <c r="F242" s="4" t="s">
        <v>415</v>
      </c>
      <c r="G242" s="2" t="s">
        <v>416</v>
      </c>
      <c r="I242">
        <f t="shared" si="45"/>
        <v>103.6105</v>
      </c>
      <c r="J242">
        <f t="shared" si="46"/>
        <v>99.736000000000018</v>
      </c>
      <c r="L242">
        <f t="shared" si="47"/>
        <v>0</v>
      </c>
      <c r="M242">
        <f t="shared" si="48"/>
        <v>1</v>
      </c>
      <c r="O242">
        <f t="shared" si="49"/>
        <v>0</v>
      </c>
      <c r="P242">
        <f t="shared" si="50"/>
        <v>0.18000000000000682</v>
      </c>
      <c r="R242">
        <f t="shared" si="51"/>
        <v>0.81777777777777616</v>
      </c>
      <c r="S242">
        <f t="shared" si="52"/>
        <v>0.80800000000000405</v>
      </c>
      <c r="U242">
        <f t="shared" si="53"/>
        <v>50.300710770912893</v>
      </c>
      <c r="AH242">
        <f t="shared" si="54"/>
        <v>5.0246642276658013</v>
      </c>
      <c r="AI242">
        <f t="shared" si="55"/>
        <v>92.370366790175169</v>
      </c>
      <c r="AJ242">
        <f t="shared" si="56"/>
        <v>114.85063320982484</v>
      </c>
      <c r="AL242">
        <f t="shared" si="57"/>
        <v>113.65982845533161</v>
      </c>
      <c r="AM242">
        <f t="shared" si="58"/>
        <v>93.561171544668397</v>
      </c>
    </row>
    <row r="243" spans="1:39" ht="16.5" x14ac:dyDescent="0.25">
      <c r="A243" s="1">
        <v>45351</v>
      </c>
      <c r="B243" s="5">
        <v>109.22</v>
      </c>
      <c r="C243" s="4">
        <v>109.5</v>
      </c>
      <c r="D243" s="4">
        <v>110.32</v>
      </c>
      <c r="E243" s="4">
        <v>109</v>
      </c>
      <c r="F243" s="4" t="s">
        <v>417</v>
      </c>
      <c r="G243" s="2" t="s">
        <v>418</v>
      </c>
      <c r="I243">
        <f t="shared" si="45"/>
        <v>103.01949999999999</v>
      </c>
      <c r="J243">
        <f t="shared" si="46"/>
        <v>99.507500000000022</v>
      </c>
      <c r="L243">
        <f t="shared" si="47"/>
        <v>0</v>
      </c>
      <c r="M243">
        <f t="shared" si="48"/>
        <v>1</v>
      </c>
      <c r="O243">
        <f t="shared" si="49"/>
        <v>0</v>
      </c>
      <c r="P243">
        <f t="shared" si="50"/>
        <v>0.28000000000000114</v>
      </c>
      <c r="R243">
        <f t="shared" si="51"/>
        <v>0.81777777777777616</v>
      </c>
      <c r="S243">
        <f t="shared" si="52"/>
        <v>0.82400000000000373</v>
      </c>
      <c r="U243">
        <f t="shared" si="53"/>
        <v>49.810503519220191</v>
      </c>
      <c r="AH243">
        <f t="shared" si="54"/>
        <v>5.0273023311547478</v>
      </c>
      <c r="AI243">
        <f t="shared" si="55"/>
        <v>91.77936679017516</v>
      </c>
      <c r="AJ243">
        <f t="shared" si="56"/>
        <v>114.25963320982483</v>
      </c>
      <c r="AL243">
        <f t="shared" si="57"/>
        <v>113.07410466230949</v>
      </c>
      <c r="AM243">
        <f t="shared" si="58"/>
        <v>92.964895337690493</v>
      </c>
    </row>
    <row r="244" spans="1:39" ht="16.5" x14ac:dyDescent="0.25">
      <c r="A244" s="1">
        <v>45350</v>
      </c>
      <c r="B244" s="5">
        <v>109.16</v>
      </c>
      <c r="C244" s="4">
        <v>108</v>
      </c>
      <c r="D244" s="4">
        <v>109.16</v>
      </c>
      <c r="E244" s="4">
        <v>107.62</v>
      </c>
      <c r="F244" s="4" t="s">
        <v>419</v>
      </c>
      <c r="G244" s="2" t="s">
        <v>420</v>
      </c>
      <c r="I244">
        <f t="shared" si="45"/>
        <v>102.41000000000001</v>
      </c>
      <c r="J244">
        <f t="shared" si="46"/>
        <v>99.302000000000021</v>
      </c>
      <c r="L244">
        <f t="shared" si="47"/>
        <v>1</v>
      </c>
      <c r="M244">
        <f t="shared" si="48"/>
        <v>0</v>
      </c>
      <c r="O244">
        <f t="shared" si="49"/>
        <v>1.1599999999999966</v>
      </c>
      <c r="P244">
        <f t="shared" si="50"/>
        <v>0</v>
      </c>
      <c r="R244">
        <f t="shared" si="51"/>
        <v>0.81777777777777616</v>
      </c>
      <c r="S244">
        <f t="shared" si="52"/>
        <v>0.84400000000000264</v>
      </c>
      <c r="U244">
        <f t="shared" si="53"/>
        <v>49.211018989034372</v>
      </c>
      <c r="AH244">
        <f t="shared" si="54"/>
        <v>5.0315137574984021</v>
      </c>
      <c r="AI244">
        <f t="shared" si="55"/>
        <v>91.169866790175178</v>
      </c>
      <c r="AJ244">
        <f t="shared" si="56"/>
        <v>113.65013320982484</v>
      </c>
      <c r="AL244">
        <f t="shared" si="57"/>
        <v>112.47302751499682</v>
      </c>
      <c r="AM244">
        <f t="shared" si="58"/>
        <v>92.346972485003207</v>
      </c>
    </row>
    <row r="245" spans="1:39" ht="16.5" x14ac:dyDescent="0.25">
      <c r="A245" s="1">
        <v>45349</v>
      </c>
      <c r="B245" s="5">
        <v>107.68</v>
      </c>
      <c r="C245" s="4">
        <v>107.64</v>
      </c>
      <c r="D245" s="4">
        <v>108.82</v>
      </c>
      <c r="E245" s="4">
        <v>107.42</v>
      </c>
      <c r="F245" s="4" t="s">
        <v>421</v>
      </c>
      <c r="G245" s="2" t="s">
        <v>422</v>
      </c>
      <c r="I245">
        <f t="shared" si="45"/>
        <v>101.791</v>
      </c>
      <c r="J245">
        <f t="shared" si="46"/>
        <v>99.060750000000013</v>
      </c>
      <c r="L245">
        <f t="shared" si="47"/>
        <v>1</v>
      </c>
      <c r="M245">
        <f t="shared" si="48"/>
        <v>0</v>
      </c>
      <c r="O245">
        <f t="shared" si="49"/>
        <v>4.0000000000006253E-2</v>
      </c>
      <c r="P245">
        <f t="shared" si="50"/>
        <v>0</v>
      </c>
      <c r="R245">
        <f t="shared" si="51"/>
        <v>0.94777777777777628</v>
      </c>
      <c r="S245">
        <f t="shared" si="52"/>
        <v>0.84400000000000264</v>
      </c>
      <c r="U245">
        <f t="shared" si="53"/>
        <v>52.895944437554142</v>
      </c>
      <c r="AH245">
        <f t="shared" si="54"/>
        <v>5.0371231886821652</v>
      </c>
      <c r="AI245">
        <f t="shared" si="55"/>
        <v>90.550866790175164</v>
      </c>
      <c r="AJ245">
        <f t="shared" si="56"/>
        <v>113.03113320982483</v>
      </c>
      <c r="AL245">
        <f t="shared" si="57"/>
        <v>111.86524637736433</v>
      </c>
      <c r="AM245">
        <f t="shared" si="58"/>
        <v>91.716753622635665</v>
      </c>
    </row>
    <row r="246" spans="1:39" ht="16.5" x14ac:dyDescent="0.25">
      <c r="A246" s="1">
        <v>45348</v>
      </c>
      <c r="B246" s="5">
        <v>107.48</v>
      </c>
      <c r="C246" s="4">
        <v>107</v>
      </c>
      <c r="D246" s="4">
        <v>107.74</v>
      </c>
      <c r="E246" s="4">
        <v>106.22</v>
      </c>
      <c r="F246" s="4" t="s">
        <v>423</v>
      </c>
      <c r="G246" s="2" t="s">
        <v>424</v>
      </c>
      <c r="I246">
        <f t="shared" si="45"/>
        <v>101.15700000000001</v>
      </c>
      <c r="J246">
        <f t="shared" si="46"/>
        <v>98.913250000000033</v>
      </c>
      <c r="L246">
        <f t="shared" si="47"/>
        <v>1</v>
      </c>
      <c r="M246">
        <f t="shared" si="48"/>
        <v>0</v>
      </c>
      <c r="O246">
        <f t="shared" si="49"/>
        <v>0.48000000000000398</v>
      </c>
      <c r="P246">
        <f t="shared" si="50"/>
        <v>0</v>
      </c>
      <c r="R246">
        <f t="shared" si="51"/>
        <v>1.0588888888888874</v>
      </c>
      <c r="S246">
        <f t="shared" si="52"/>
        <v>0.84400000000000264</v>
      </c>
      <c r="U246">
        <f t="shared" si="53"/>
        <v>55.646385612518863</v>
      </c>
      <c r="AH246">
        <f t="shared" si="54"/>
        <v>5.0439120673435154</v>
      </c>
      <c r="AI246">
        <f t="shared" si="55"/>
        <v>89.916866790175177</v>
      </c>
      <c r="AJ246">
        <f t="shared" si="56"/>
        <v>112.39713320982484</v>
      </c>
      <c r="AL246">
        <f t="shared" si="57"/>
        <v>111.24482413468704</v>
      </c>
      <c r="AM246">
        <f t="shared" si="58"/>
        <v>91.069175865312985</v>
      </c>
    </row>
    <row r="247" spans="1:39" ht="16.5" x14ac:dyDescent="0.25">
      <c r="A247" s="1">
        <v>45345</v>
      </c>
      <c r="B247" s="5">
        <v>106.72</v>
      </c>
      <c r="C247" s="4">
        <v>105.3</v>
      </c>
      <c r="D247" s="4">
        <v>107.36</v>
      </c>
      <c r="E247" s="4">
        <v>105.18</v>
      </c>
      <c r="F247" s="4" t="s">
        <v>425</v>
      </c>
      <c r="G247" s="2" t="s">
        <v>426</v>
      </c>
      <c r="I247">
        <f t="shared" si="45"/>
        <v>100.52850000000001</v>
      </c>
      <c r="J247">
        <f t="shared" si="46"/>
        <v>98.745750000000029</v>
      </c>
      <c r="L247">
        <f t="shared" si="47"/>
        <v>1</v>
      </c>
      <c r="M247">
        <f t="shared" si="48"/>
        <v>0</v>
      </c>
      <c r="O247">
        <f t="shared" si="49"/>
        <v>1.4200000000000017</v>
      </c>
      <c r="P247">
        <f t="shared" si="50"/>
        <v>0</v>
      </c>
      <c r="R247">
        <f t="shared" si="51"/>
        <v>1.0211111111111093</v>
      </c>
      <c r="S247">
        <f t="shared" si="52"/>
        <v>0.84400000000000264</v>
      </c>
      <c r="U247">
        <f t="shared" si="53"/>
        <v>54.748004289288573</v>
      </c>
      <c r="AH247">
        <f t="shared" si="54"/>
        <v>5.0516512921623438</v>
      </c>
      <c r="AI247">
        <f t="shared" si="55"/>
        <v>89.288366790175175</v>
      </c>
      <c r="AJ247">
        <f t="shared" si="56"/>
        <v>111.76863320982484</v>
      </c>
      <c r="AL247">
        <f t="shared" si="57"/>
        <v>110.6318025843247</v>
      </c>
      <c r="AM247">
        <f t="shared" si="58"/>
        <v>90.425197415675314</v>
      </c>
    </row>
    <row r="248" spans="1:39" ht="16.5" x14ac:dyDescent="0.25">
      <c r="A248" s="1">
        <v>45344</v>
      </c>
      <c r="B248" s="5">
        <v>105.08</v>
      </c>
      <c r="C248" s="4">
        <v>105</v>
      </c>
      <c r="D248" s="4">
        <v>107.08</v>
      </c>
      <c r="E248" s="4">
        <v>104.98</v>
      </c>
      <c r="F248" s="4" t="s">
        <v>129</v>
      </c>
      <c r="G248" s="2" t="s">
        <v>386</v>
      </c>
      <c r="I248">
        <f t="shared" si="45"/>
        <v>99.931000000000012</v>
      </c>
      <c r="J248">
        <f t="shared" si="46"/>
        <v>98.588750000000033</v>
      </c>
      <c r="L248">
        <f t="shared" si="47"/>
        <v>1</v>
      </c>
      <c r="M248">
        <f t="shared" si="48"/>
        <v>0</v>
      </c>
      <c r="O248">
        <f t="shared" si="49"/>
        <v>7.9999999999998295E-2</v>
      </c>
      <c r="P248">
        <f t="shared" si="50"/>
        <v>0</v>
      </c>
      <c r="R248">
        <f t="shared" si="51"/>
        <v>0.97124999999999773</v>
      </c>
      <c r="S248">
        <f t="shared" si="52"/>
        <v>1.0033333333333374</v>
      </c>
      <c r="U248">
        <f t="shared" si="53"/>
        <v>49.187592319054495</v>
      </c>
      <c r="AH248">
        <f t="shared" si="54"/>
        <v>5.0600706346167543</v>
      </c>
      <c r="AI248">
        <f t="shared" si="55"/>
        <v>88.690866790175178</v>
      </c>
      <c r="AJ248">
        <f t="shared" si="56"/>
        <v>111.17113320982484</v>
      </c>
      <c r="AL248">
        <f t="shared" si="57"/>
        <v>110.05114126923353</v>
      </c>
      <c r="AM248">
        <f t="shared" si="58"/>
        <v>89.810858730766498</v>
      </c>
    </row>
    <row r="249" spans="1:39" ht="16.5" x14ac:dyDescent="0.25">
      <c r="A249" s="1">
        <v>45343</v>
      </c>
      <c r="B249" s="5">
        <v>104.3</v>
      </c>
      <c r="C249" s="4">
        <v>102.34</v>
      </c>
      <c r="D249" s="4">
        <v>104.38</v>
      </c>
      <c r="E249" s="4">
        <v>101.88</v>
      </c>
      <c r="F249" s="4" t="s">
        <v>427</v>
      </c>
      <c r="G249" s="2" t="s">
        <v>199</v>
      </c>
      <c r="I249">
        <f t="shared" si="45"/>
        <v>99.361500000000007</v>
      </c>
      <c r="J249">
        <f t="shared" si="46"/>
        <v>98.471750000000029</v>
      </c>
      <c r="L249">
        <f t="shared" si="47"/>
        <v>1</v>
      </c>
      <c r="M249">
        <f t="shared" si="48"/>
        <v>0</v>
      </c>
      <c r="O249">
        <f t="shared" si="49"/>
        <v>1.9599999999999937</v>
      </c>
      <c r="P249">
        <f t="shared" si="50"/>
        <v>0</v>
      </c>
      <c r="R249">
        <f t="shared" si="51"/>
        <v>0.96499999999999808</v>
      </c>
      <c r="S249">
        <f t="shared" si="52"/>
        <v>1.0033333333333374</v>
      </c>
      <c r="U249">
        <f t="shared" si="53"/>
        <v>49.026248941574778</v>
      </c>
      <c r="AH249">
        <f t="shared" si="54"/>
        <v>5.0688920965021458</v>
      </c>
      <c r="AI249">
        <f t="shared" si="55"/>
        <v>88.121366790175173</v>
      </c>
      <c r="AJ249">
        <f t="shared" si="56"/>
        <v>110.60163320982484</v>
      </c>
      <c r="AL249">
        <f t="shared" si="57"/>
        <v>109.4992841930043</v>
      </c>
      <c r="AM249">
        <f t="shared" si="58"/>
        <v>89.223715806995713</v>
      </c>
    </row>
    <row r="250" spans="1:39" ht="16.5" x14ac:dyDescent="0.25">
      <c r="A250" s="1">
        <v>45342</v>
      </c>
      <c r="B250" s="5">
        <v>101.82</v>
      </c>
      <c r="C250" s="4">
        <v>102.66</v>
      </c>
      <c r="D250" s="4">
        <v>103.16</v>
      </c>
      <c r="E250" s="4">
        <v>101.32</v>
      </c>
      <c r="F250" s="4" t="s">
        <v>428</v>
      </c>
      <c r="G250" s="2" t="s">
        <v>429</v>
      </c>
      <c r="I250">
        <f t="shared" si="45"/>
        <v>98.823999999999998</v>
      </c>
      <c r="J250">
        <f t="shared" si="46"/>
        <v>98.380250000000018</v>
      </c>
      <c r="L250">
        <f t="shared" si="47"/>
        <v>0</v>
      </c>
      <c r="M250">
        <f t="shared" si="48"/>
        <v>1</v>
      </c>
      <c r="O250">
        <f t="shared" si="49"/>
        <v>0</v>
      </c>
      <c r="P250">
        <f t="shared" si="50"/>
        <v>0.84000000000000341</v>
      </c>
      <c r="R250">
        <f t="shared" si="51"/>
        <v>0.82624999999999815</v>
      </c>
      <c r="S250">
        <f t="shared" si="52"/>
        <v>1.0033333333333374</v>
      </c>
      <c r="U250">
        <f t="shared" si="53"/>
        <v>45.160555682076819</v>
      </c>
      <c r="AH250">
        <f t="shared" si="54"/>
        <v>5.0778715318790919</v>
      </c>
      <c r="AI250">
        <f t="shared" si="55"/>
        <v>87.583866790175165</v>
      </c>
      <c r="AJ250">
        <f t="shared" si="56"/>
        <v>110.06413320982483</v>
      </c>
      <c r="AL250">
        <f t="shared" si="57"/>
        <v>108.97974306375818</v>
      </c>
      <c r="AM250">
        <f t="shared" si="58"/>
        <v>88.668256936241818</v>
      </c>
    </row>
    <row r="251" spans="1:39" ht="16.5" x14ac:dyDescent="0.25">
      <c r="A251" s="1">
        <v>45341</v>
      </c>
      <c r="B251" s="5">
        <v>102.82</v>
      </c>
      <c r="C251" s="4">
        <v>104.12</v>
      </c>
      <c r="D251" s="4">
        <v>104.38</v>
      </c>
      <c r="E251" s="4">
        <v>102.72</v>
      </c>
      <c r="F251" s="4" t="s">
        <v>430</v>
      </c>
      <c r="G251" s="2" t="s">
        <v>431</v>
      </c>
      <c r="I251">
        <f t="shared" si="45"/>
        <v>98.410999999999987</v>
      </c>
      <c r="J251">
        <f t="shared" si="46"/>
        <v>98.323500000000024</v>
      </c>
      <c r="L251">
        <f t="shared" si="47"/>
        <v>0</v>
      </c>
      <c r="M251">
        <f t="shared" si="48"/>
        <v>1</v>
      </c>
      <c r="O251">
        <f t="shared" si="49"/>
        <v>0</v>
      </c>
      <c r="P251">
        <f t="shared" si="50"/>
        <v>1.3000000000000114</v>
      </c>
      <c r="R251">
        <f t="shared" si="51"/>
        <v>0.92888888888888721</v>
      </c>
      <c r="S251">
        <f t="shared" si="52"/>
        <v>1.0360000000000043</v>
      </c>
      <c r="U251">
        <f t="shared" si="53"/>
        <v>47.274372313955972</v>
      </c>
      <c r="AH251">
        <f t="shared" si="54"/>
        <v>5.0867955755565077</v>
      </c>
      <c r="AI251">
        <f t="shared" si="55"/>
        <v>87.170866790175154</v>
      </c>
      <c r="AJ251">
        <f t="shared" si="56"/>
        <v>109.65113320982482</v>
      </c>
      <c r="AL251">
        <f t="shared" si="57"/>
        <v>108.584591151113</v>
      </c>
      <c r="AM251">
        <f t="shared" si="58"/>
        <v>88.237408848886972</v>
      </c>
    </row>
    <row r="252" spans="1:39" ht="16.5" x14ac:dyDescent="0.25">
      <c r="A252" s="1">
        <v>45338</v>
      </c>
      <c r="B252" s="5">
        <v>104.1</v>
      </c>
      <c r="C252" s="4">
        <v>103.26</v>
      </c>
      <c r="D252" s="4">
        <v>104.44</v>
      </c>
      <c r="E252" s="4">
        <v>103.14</v>
      </c>
      <c r="F252" s="4" t="s">
        <v>432</v>
      </c>
      <c r="G252" s="2" t="s">
        <v>433</v>
      </c>
      <c r="I252">
        <f t="shared" si="45"/>
        <v>97.93549999999999</v>
      </c>
      <c r="J252">
        <f t="shared" si="46"/>
        <v>98.263500000000022</v>
      </c>
      <c r="L252">
        <f t="shared" si="47"/>
        <v>1</v>
      </c>
      <c r="M252">
        <f t="shared" si="48"/>
        <v>0</v>
      </c>
      <c r="O252">
        <f t="shared" si="49"/>
        <v>0.8399999999999892</v>
      </c>
      <c r="P252">
        <f t="shared" si="50"/>
        <v>0</v>
      </c>
      <c r="R252">
        <f t="shared" si="51"/>
        <v>0.92888888888888721</v>
      </c>
      <c r="S252">
        <f t="shared" si="52"/>
        <v>0.87600000000000189</v>
      </c>
      <c r="U252">
        <f t="shared" si="53"/>
        <v>51.465156365427134</v>
      </c>
      <c r="AH252">
        <f t="shared" si="54"/>
        <v>5.0955487087311164</v>
      </c>
      <c r="AI252">
        <f t="shared" si="55"/>
        <v>86.695366790175157</v>
      </c>
      <c r="AJ252">
        <f t="shared" si="56"/>
        <v>109.17563320982482</v>
      </c>
      <c r="AL252">
        <f t="shared" si="57"/>
        <v>108.12659741746222</v>
      </c>
      <c r="AM252">
        <f t="shared" si="58"/>
        <v>87.744402582537759</v>
      </c>
    </row>
    <row r="253" spans="1:39" ht="16.5" x14ac:dyDescent="0.25">
      <c r="A253" s="1">
        <v>45337</v>
      </c>
      <c r="B253" s="5">
        <v>102.62</v>
      </c>
      <c r="C253" s="4">
        <v>102.12</v>
      </c>
      <c r="D253" s="4">
        <v>102.98</v>
      </c>
      <c r="E253" s="4">
        <v>101.82</v>
      </c>
      <c r="F253" s="4" t="s">
        <v>434</v>
      </c>
      <c r="G253" s="2" t="s">
        <v>433</v>
      </c>
      <c r="I253">
        <f t="shared" si="45"/>
        <v>97.345499999999987</v>
      </c>
      <c r="J253">
        <f t="shared" si="46"/>
        <v>98.183000000000021</v>
      </c>
      <c r="L253">
        <f t="shared" si="47"/>
        <v>1</v>
      </c>
      <c r="M253">
        <f t="shared" si="48"/>
        <v>0</v>
      </c>
      <c r="O253">
        <f t="shared" si="49"/>
        <v>0.5</v>
      </c>
      <c r="P253">
        <f t="shared" si="50"/>
        <v>0</v>
      </c>
      <c r="R253">
        <f t="shared" si="51"/>
        <v>0.89111111111111063</v>
      </c>
      <c r="S253">
        <f t="shared" si="52"/>
        <v>0.87600000000000189</v>
      </c>
      <c r="U253">
        <f t="shared" si="53"/>
        <v>50.427565392354055</v>
      </c>
      <c r="AH253">
        <f t="shared" si="54"/>
        <v>5.1039454870796055</v>
      </c>
      <c r="AI253">
        <f t="shared" si="55"/>
        <v>86.105366790175154</v>
      </c>
      <c r="AJ253">
        <f t="shared" si="56"/>
        <v>108.58563320982482</v>
      </c>
      <c r="AL253">
        <f t="shared" si="57"/>
        <v>107.5533909741592</v>
      </c>
      <c r="AM253">
        <f t="shared" si="58"/>
        <v>87.137609025840774</v>
      </c>
    </row>
    <row r="254" spans="1:39" ht="16.5" x14ac:dyDescent="0.25">
      <c r="A254" s="1">
        <v>45336</v>
      </c>
      <c r="B254" s="5">
        <v>101.16</v>
      </c>
      <c r="C254" s="4">
        <v>100.28</v>
      </c>
      <c r="D254" s="4">
        <v>101.48</v>
      </c>
      <c r="E254" s="4">
        <v>100.26</v>
      </c>
      <c r="F254" s="4" t="s">
        <v>435</v>
      </c>
      <c r="G254" s="2" t="s">
        <v>399</v>
      </c>
      <c r="I254">
        <f t="shared" si="45"/>
        <v>96.867499999999978</v>
      </c>
      <c r="J254">
        <f t="shared" si="46"/>
        <v>98.143000000000015</v>
      </c>
      <c r="L254">
        <f t="shared" si="47"/>
        <v>1</v>
      </c>
      <c r="M254">
        <f t="shared" si="48"/>
        <v>0</v>
      </c>
      <c r="O254">
        <f t="shared" si="49"/>
        <v>0.87999999999999545</v>
      </c>
      <c r="P254">
        <f t="shared" si="50"/>
        <v>0</v>
      </c>
      <c r="R254">
        <f t="shared" si="51"/>
        <v>0.95444444444444321</v>
      </c>
      <c r="S254">
        <f t="shared" si="52"/>
        <v>0.87600000000000189</v>
      </c>
      <c r="U254">
        <f t="shared" si="53"/>
        <v>52.142770426125935</v>
      </c>
      <c r="AH254">
        <f t="shared" si="54"/>
        <v>5.1116600452217398</v>
      </c>
      <c r="AI254">
        <f t="shared" si="55"/>
        <v>85.627366790175145</v>
      </c>
      <c r="AJ254">
        <f t="shared" si="56"/>
        <v>108.10763320982481</v>
      </c>
      <c r="AL254">
        <f t="shared" si="57"/>
        <v>107.09082009044346</v>
      </c>
      <c r="AM254">
        <f t="shared" si="58"/>
        <v>86.644179909556499</v>
      </c>
    </row>
    <row r="255" spans="1:39" ht="16.5" x14ac:dyDescent="0.25">
      <c r="A255" s="1">
        <v>45335</v>
      </c>
      <c r="B255" s="5">
        <v>100.88</v>
      </c>
      <c r="C255" s="4">
        <v>102.32</v>
      </c>
      <c r="D255" s="4">
        <v>102.58</v>
      </c>
      <c r="E255" s="4">
        <v>100.56</v>
      </c>
      <c r="F255" s="4" t="s">
        <v>436</v>
      </c>
      <c r="G255" s="2" t="s">
        <v>431</v>
      </c>
      <c r="I255">
        <f t="shared" si="45"/>
        <v>96.448499999999996</v>
      </c>
      <c r="J255">
        <f t="shared" si="46"/>
        <v>98.190500000000014</v>
      </c>
      <c r="L255">
        <f t="shared" si="47"/>
        <v>0</v>
      </c>
      <c r="M255">
        <f t="shared" si="48"/>
        <v>1</v>
      </c>
      <c r="O255">
        <f t="shared" si="49"/>
        <v>0</v>
      </c>
      <c r="P255">
        <f t="shared" si="50"/>
        <v>1.4399999999999977</v>
      </c>
      <c r="R255">
        <f t="shared" si="51"/>
        <v>0.91888888888888842</v>
      </c>
      <c r="S255">
        <f t="shared" si="52"/>
        <v>0.87600000000000189</v>
      </c>
      <c r="U255">
        <f t="shared" si="53"/>
        <v>51.194750526185395</v>
      </c>
      <c r="AH255">
        <f t="shared" si="54"/>
        <v>5.1186374742020133</v>
      </c>
      <c r="AI255">
        <f t="shared" si="55"/>
        <v>85.208366790175162</v>
      </c>
      <c r="AJ255">
        <f t="shared" si="56"/>
        <v>107.68863320982483</v>
      </c>
      <c r="AL255">
        <f t="shared" si="57"/>
        <v>106.68577494840402</v>
      </c>
      <c r="AM255">
        <f t="shared" si="58"/>
        <v>86.211225051595974</v>
      </c>
    </row>
    <row r="256" spans="1:39" ht="16.5" x14ac:dyDescent="0.25">
      <c r="A256" s="1">
        <v>45334</v>
      </c>
      <c r="B256" s="5">
        <v>102.14</v>
      </c>
      <c r="C256" s="4">
        <v>102.4</v>
      </c>
      <c r="D256" s="4">
        <v>103</v>
      </c>
      <c r="E256" s="4">
        <v>101.82</v>
      </c>
      <c r="F256" s="4" t="s">
        <v>437</v>
      </c>
      <c r="G256" s="2" t="s">
        <v>438</v>
      </c>
      <c r="I256">
        <f t="shared" si="45"/>
        <v>96.192499999999981</v>
      </c>
      <c r="J256">
        <f t="shared" si="46"/>
        <v>98.232000000000014</v>
      </c>
      <c r="L256">
        <f t="shared" si="47"/>
        <v>0</v>
      </c>
      <c r="M256">
        <f t="shared" si="48"/>
        <v>1</v>
      </c>
      <c r="O256">
        <f t="shared" si="49"/>
        <v>0</v>
      </c>
      <c r="P256">
        <f t="shared" si="50"/>
        <v>0.26000000000000512</v>
      </c>
      <c r="R256">
        <f t="shared" si="51"/>
        <v>0.91888888888888842</v>
      </c>
      <c r="S256">
        <f t="shared" si="52"/>
        <v>0.79000000000000337</v>
      </c>
      <c r="U256">
        <f t="shared" si="53"/>
        <v>53.771131339401698</v>
      </c>
      <c r="AH256">
        <f t="shared" si="54"/>
        <v>5.1248265277128855</v>
      </c>
      <c r="AI256">
        <f t="shared" si="55"/>
        <v>84.952366790175148</v>
      </c>
      <c r="AJ256">
        <f t="shared" si="56"/>
        <v>107.43263320982481</v>
      </c>
      <c r="AL256">
        <f t="shared" si="57"/>
        <v>106.44215305542575</v>
      </c>
      <c r="AM256">
        <f t="shared" si="58"/>
        <v>85.942846944574214</v>
      </c>
    </row>
    <row r="257" spans="1:39" ht="16.5" x14ac:dyDescent="0.25">
      <c r="A257" s="1">
        <v>45331</v>
      </c>
      <c r="B257" s="5">
        <v>102</v>
      </c>
      <c r="C257" s="4">
        <v>102.38</v>
      </c>
      <c r="D257" s="4">
        <v>103.26</v>
      </c>
      <c r="E257" s="4">
        <v>101.84</v>
      </c>
      <c r="F257" s="4" t="s">
        <v>439</v>
      </c>
      <c r="G257" s="2" t="s">
        <v>440</v>
      </c>
      <c r="I257">
        <f t="shared" si="45"/>
        <v>95.861499999999978</v>
      </c>
      <c r="J257">
        <f t="shared" si="46"/>
        <v>98.170750000000012</v>
      </c>
      <c r="L257">
        <f t="shared" si="47"/>
        <v>0</v>
      </c>
      <c r="M257">
        <f t="shared" si="48"/>
        <v>1</v>
      </c>
      <c r="O257">
        <f t="shared" si="49"/>
        <v>0</v>
      </c>
      <c r="P257">
        <f t="shared" si="50"/>
        <v>0.37999999999999545</v>
      </c>
      <c r="R257">
        <f t="shared" si="51"/>
        <v>0.91888888888888842</v>
      </c>
      <c r="S257">
        <f t="shared" si="52"/>
        <v>0.75000000000000289</v>
      </c>
      <c r="U257">
        <f t="shared" si="53"/>
        <v>55.059920106524523</v>
      </c>
      <c r="AH257">
        <f t="shared" si="54"/>
        <v>5.1304692344083369</v>
      </c>
      <c r="AI257">
        <f t="shared" si="55"/>
        <v>84.621366790175145</v>
      </c>
      <c r="AJ257">
        <f t="shared" si="56"/>
        <v>107.10163320982481</v>
      </c>
      <c r="AL257">
        <f t="shared" si="57"/>
        <v>106.12243846881665</v>
      </c>
      <c r="AM257">
        <f t="shared" si="58"/>
        <v>85.600561531183303</v>
      </c>
    </row>
    <row r="258" spans="1:39" ht="16.5" x14ac:dyDescent="0.25">
      <c r="A258" s="1">
        <v>45330</v>
      </c>
      <c r="B258" s="5">
        <v>101.96</v>
      </c>
      <c r="C258" s="4">
        <v>99.63</v>
      </c>
      <c r="D258" s="4">
        <v>102.36</v>
      </c>
      <c r="E258" s="4">
        <v>99.45</v>
      </c>
      <c r="F258" s="4" t="s">
        <v>269</v>
      </c>
      <c r="G258" s="2" t="s">
        <v>441</v>
      </c>
      <c r="I258">
        <f t="shared" si="45"/>
        <v>95.603999999999971</v>
      </c>
      <c r="J258">
        <f t="shared" si="46"/>
        <v>98.144250000000014</v>
      </c>
      <c r="L258">
        <f t="shared" si="47"/>
        <v>1</v>
      </c>
      <c r="M258">
        <f t="shared" si="48"/>
        <v>0</v>
      </c>
      <c r="O258">
        <f t="shared" si="49"/>
        <v>2.3299999999999983</v>
      </c>
      <c r="P258">
        <f t="shared" si="50"/>
        <v>0</v>
      </c>
      <c r="R258">
        <f t="shared" si="51"/>
        <v>0.86299999999999955</v>
      </c>
      <c r="S258">
        <f t="shared" si="52"/>
        <v>0.84250000000000469</v>
      </c>
      <c r="U258">
        <f t="shared" si="53"/>
        <v>50.600996775139102</v>
      </c>
      <c r="AH258">
        <f t="shared" si="54"/>
        <v>5.1353201716966481</v>
      </c>
      <c r="AI258">
        <f t="shared" si="55"/>
        <v>84.363866790175138</v>
      </c>
      <c r="AJ258">
        <f t="shared" si="56"/>
        <v>106.8441332098248</v>
      </c>
      <c r="AL258">
        <f t="shared" si="57"/>
        <v>105.87464034339327</v>
      </c>
      <c r="AM258">
        <f t="shared" si="58"/>
        <v>85.333359656606675</v>
      </c>
    </row>
    <row r="259" spans="1:39" ht="16.5" x14ac:dyDescent="0.25">
      <c r="A259" s="1">
        <v>45329</v>
      </c>
      <c r="B259" s="5">
        <v>99.14</v>
      </c>
      <c r="C259" s="4">
        <v>98.1</v>
      </c>
      <c r="D259" s="4">
        <v>99.97</v>
      </c>
      <c r="E259" s="4">
        <v>98.04</v>
      </c>
      <c r="F259" s="4" t="s">
        <v>215</v>
      </c>
      <c r="G259" s="2" t="s">
        <v>442</v>
      </c>
      <c r="I259">
        <f t="shared" ref="I259:I322" si="59">AVERAGE(B259:B278)</f>
        <v>95.428999999999974</v>
      </c>
      <c r="J259">
        <f t="shared" ref="J259:J322" si="60">AVERAGE(B259:B298)</f>
        <v>98.12775000000002</v>
      </c>
      <c r="L259">
        <f t="shared" ref="L259:L322" si="61">IF($C259&lt;$B259,1,0)</f>
        <v>1</v>
      </c>
      <c r="M259">
        <f t="shared" ref="M259:M322" si="62">IF($C259&lt;$B259,0,1)</f>
        <v>0</v>
      </c>
      <c r="O259">
        <f t="shared" ref="O259:O322" si="63">IF($C259&lt;$B259,B259-C259,0)</f>
        <v>1.0400000000000063</v>
      </c>
      <c r="P259">
        <f t="shared" ref="P259:P322" si="64">IF($B259&lt;$C259,C259-B259,0)</f>
        <v>0</v>
      </c>
      <c r="R259">
        <f t="shared" ref="R259:R322" si="65">SUM(O259:O272)/SUM(L259:L272)</f>
        <v>0.69999999999999973</v>
      </c>
      <c r="S259">
        <f t="shared" ref="S259:S322" si="66">SUM(P259:P272)/SUM(M259:M272)</f>
        <v>0.92600000000000482</v>
      </c>
      <c r="U259">
        <f t="shared" ref="U259:U322" si="67">100-(100/(1+(R259/S259)))</f>
        <v>43.050430504304906</v>
      </c>
      <c r="AH259">
        <f t="shared" ref="AH259:AH322" si="68">_xlfn.STDEV.S(I259:I789)</f>
        <v>5.1394883699509606</v>
      </c>
      <c r="AI259">
        <f t="shared" ref="AI259:AI322" si="69">I259-$AH$2</f>
        <v>84.18886679017514</v>
      </c>
      <c r="AJ259">
        <f t="shared" ref="AJ259:AJ322" si="70">I259+$AH$2</f>
        <v>106.66913320982481</v>
      </c>
      <c r="AL259">
        <f t="shared" ref="AL259:AL322" si="71">I259+(AH259*2)</f>
        <v>105.70797673990189</v>
      </c>
      <c r="AM259">
        <f t="shared" ref="AM259:AM322" si="72">I259-(AH259*2)</f>
        <v>85.150023260098052</v>
      </c>
    </row>
    <row r="260" spans="1:39" ht="16.5" x14ac:dyDescent="0.25">
      <c r="A260" s="1">
        <v>45328</v>
      </c>
      <c r="B260" s="5">
        <v>97.56</v>
      </c>
      <c r="C260" s="4">
        <v>97.42</v>
      </c>
      <c r="D260" s="4">
        <v>97.85</v>
      </c>
      <c r="E260" s="4">
        <v>96.5</v>
      </c>
      <c r="F260" s="4" t="s">
        <v>443</v>
      </c>
      <c r="G260" s="2" t="s">
        <v>444</v>
      </c>
      <c r="I260">
        <f t="shared" si="59"/>
        <v>95.466999999999985</v>
      </c>
      <c r="J260">
        <f t="shared" si="60"/>
        <v>98.17225000000002</v>
      </c>
      <c r="L260">
        <f t="shared" si="61"/>
        <v>1</v>
      </c>
      <c r="M260">
        <f t="shared" si="62"/>
        <v>0</v>
      </c>
      <c r="O260">
        <f t="shared" si="63"/>
        <v>0.14000000000000057</v>
      </c>
      <c r="P260">
        <f t="shared" si="64"/>
        <v>0</v>
      </c>
      <c r="R260">
        <f t="shared" si="65"/>
        <v>0.64555555555555422</v>
      </c>
      <c r="S260">
        <f t="shared" si="66"/>
        <v>0.92600000000000482</v>
      </c>
      <c r="U260">
        <f t="shared" si="67"/>
        <v>41.077488687782626</v>
      </c>
      <c r="AH260">
        <f t="shared" si="68"/>
        <v>5.1431524844638865</v>
      </c>
      <c r="AI260">
        <f t="shared" si="69"/>
        <v>84.226866790175151</v>
      </c>
      <c r="AJ260">
        <f t="shared" si="70"/>
        <v>106.70713320982482</v>
      </c>
      <c r="AL260">
        <f t="shared" si="71"/>
        <v>105.75330496892775</v>
      </c>
      <c r="AM260">
        <f t="shared" si="72"/>
        <v>85.180695031072219</v>
      </c>
    </row>
    <row r="261" spans="1:39" ht="16.5" x14ac:dyDescent="0.25">
      <c r="A261" s="1">
        <v>45327</v>
      </c>
      <c r="B261" s="5">
        <v>96.57</v>
      </c>
      <c r="C261" s="4">
        <v>98.37</v>
      </c>
      <c r="D261" s="4">
        <v>98.47</v>
      </c>
      <c r="E261" s="4">
        <v>96.06</v>
      </c>
      <c r="F261" s="4" t="s">
        <v>445</v>
      </c>
      <c r="G261" s="2" t="s">
        <v>446</v>
      </c>
      <c r="I261">
        <f t="shared" si="59"/>
        <v>95.629999999999981</v>
      </c>
      <c r="J261">
        <f t="shared" si="60"/>
        <v>98.198250000000016</v>
      </c>
      <c r="L261">
        <f t="shared" si="61"/>
        <v>0</v>
      </c>
      <c r="M261">
        <f t="shared" si="62"/>
        <v>1</v>
      </c>
      <c r="O261">
        <f t="shared" si="63"/>
        <v>0</v>
      </c>
      <c r="P261">
        <f t="shared" si="64"/>
        <v>1.8000000000000114</v>
      </c>
      <c r="R261">
        <f t="shared" si="65"/>
        <v>0.70874999999999844</v>
      </c>
      <c r="S261">
        <f t="shared" si="66"/>
        <v>0.92000000000000404</v>
      </c>
      <c r="U261">
        <f t="shared" si="67"/>
        <v>43.514965464312958</v>
      </c>
      <c r="AH261">
        <f t="shared" si="68"/>
        <v>5.1469080163907339</v>
      </c>
      <c r="AI261">
        <f t="shared" si="69"/>
        <v>84.389866790175148</v>
      </c>
      <c r="AJ261">
        <f t="shared" si="70"/>
        <v>106.87013320982481</v>
      </c>
      <c r="AL261">
        <f t="shared" si="71"/>
        <v>105.92381603278145</v>
      </c>
      <c r="AM261">
        <f t="shared" si="72"/>
        <v>85.336183967218517</v>
      </c>
    </row>
    <row r="262" spans="1:39" ht="16.5" x14ac:dyDescent="0.25">
      <c r="A262" s="1">
        <v>45324</v>
      </c>
      <c r="B262" s="5">
        <v>97.98</v>
      </c>
      <c r="C262" s="4">
        <v>97.95</v>
      </c>
      <c r="D262" s="4">
        <v>98.89</v>
      </c>
      <c r="E262" s="4">
        <v>97.64</v>
      </c>
      <c r="F262" s="4" t="s">
        <v>447</v>
      </c>
      <c r="G262" s="2" t="s">
        <v>448</v>
      </c>
      <c r="I262">
        <f t="shared" si="59"/>
        <v>95.861499999999978</v>
      </c>
      <c r="J262">
        <f t="shared" si="60"/>
        <v>98.267750000000007</v>
      </c>
      <c r="L262">
        <f t="shared" si="61"/>
        <v>1</v>
      </c>
      <c r="M262">
        <f t="shared" si="62"/>
        <v>0</v>
      </c>
      <c r="O262">
        <f t="shared" si="63"/>
        <v>3.0000000000001137E-2</v>
      </c>
      <c r="P262">
        <f t="shared" si="64"/>
        <v>0</v>
      </c>
      <c r="R262">
        <f t="shared" si="65"/>
        <v>0.67222222222222194</v>
      </c>
      <c r="S262">
        <f t="shared" si="66"/>
        <v>0.74400000000000266</v>
      </c>
      <c r="U262">
        <f t="shared" si="67"/>
        <v>47.465871646006491</v>
      </c>
      <c r="AH262">
        <f t="shared" si="68"/>
        <v>5.1511077169154289</v>
      </c>
      <c r="AI262">
        <f t="shared" si="69"/>
        <v>84.621366790175145</v>
      </c>
      <c r="AJ262">
        <f t="shared" si="70"/>
        <v>107.10163320982481</v>
      </c>
      <c r="AL262">
        <f t="shared" si="71"/>
        <v>106.16371543383083</v>
      </c>
      <c r="AM262">
        <f t="shared" si="72"/>
        <v>85.559284566169126</v>
      </c>
    </row>
    <row r="263" spans="1:39" ht="16.5" x14ac:dyDescent="0.25">
      <c r="A263" s="1">
        <v>45323</v>
      </c>
      <c r="B263" s="5">
        <v>97.03</v>
      </c>
      <c r="C263" s="4">
        <v>96.18</v>
      </c>
      <c r="D263" s="4">
        <v>98.02</v>
      </c>
      <c r="E263" s="4">
        <v>95.82</v>
      </c>
      <c r="F263" s="4" t="s">
        <v>449</v>
      </c>
      <c r="G263" s="2" t="s">
        <v>450</v>
      </c>
      <c r="I263">
        <f t="shared" si="59"/>
        <v>95.995499999999993</v>
      </c>
      <c r="J263">
        <f t="shared" si="60"/>
        <v>98.259750000000025</v>
      </c>
      <c r="L263">
        <f t="shared" si="61"/>
        <v>1</v>
      </c>
      <c r="M263">
        <f t="shared" si="62"/>
        <v>0</v>
      </c>
      <c r="O263">
        <f t="shared" si="63"/>
        <v>0.84999999999999432</v>
      </c>
      <c r="P263">
        <f t="shared" si="64"/>
        <v>0</v>
      </c>
      <c r="R263">
        <f t="shared" si="65"/>
        <v>0.7524999999999995</v>
      </c>
      <c r="S263">
        <f t="shared" si="66"/>
        <v>0.84833333333333627</v>
      </c>
      <c r="U263">
        <f t="shared" si="67"/>
        <v>47.006767308693284</v>
      </c>
      <c r="AH263">
        <f t="shared" si="68"/>
        <v>5.1559222579764414</v>
      </c>
      <c r="AI263">
        <f t="shared" si="69"/>
        <v>84.75536679017516</v>
      </c>
      <c r="AJ263">
        <f t="shared" si="70"/>
        <v>107.23563320982483</v>
      </c>
      <c r="AL263">
        <f t="shared" si="71"/>
        <v>106.30734451595288</v>
      </c>
      <c r="AM263">
        <f t="shared" si="72"/>
        <v>85.683655484047108</v>
      </c>
    </row>
    <row r="264" spans="1:39" ht="16.5" x14ac:dyDescent="0.25">
      <c r="A264" s="1">
        <v>45322</v>
      </c>
      <c r="B264" s="5">
        <v>96.78</v>
      </c>
      <c r="C264" s="4">
        <v>95.03</v>
      </c>
      <c r="D264" s="4">
        <v>96.85</v>
      </c>
      <c r="E264" s="4">
        <v>94.81</v>
      </c>
      <c r="F264" s="4" t="s">
        <v>269</v>
      </c>
      <c r="G264" s="2" t="s">
        <v>451</v>
      </c>
      <c r="I264">
        <f t="shared" si="59"/>
        <v>96.193999999999988</v>
      </c>
      <c r="J264">
        <f t="shared" si="60"/>
        <v>98.238000000000014</v>
      </c>
      <c r="L264">
        <f t="shared" si="61"/>
        <v>1</v>
      </c>
      <c r="M264">
        <f t="shared" si="62"/>
        <v>0</v>
      </c>
      <c r="O264">
        <f t="shared" si="63"/>
        <v>1.75</v>
      </c>
      <c r="P264">
        <f t="shared" si="64"/>
        <v>0</v>
      </c>
      <c r="R264">
        <f t="shared" si="65"/>
        <v>0.73857142857142877</v>
      </c>
      <c r="S264">
        <f t="shared" si="66"/>
        <v>1.0314285714285754</v>
      </c>
      <c r="U264">
        <f t="shared" si="67"/>
        <v>41.727199354317911</v>
      </c>
      <c r="AH264">
        <f t="shared" si="68"/>
        <v>5.1610799855956282</v>
      </c>
      <c r="AI264">
        <f t="shared" si="69"/>
        <v>84.953866790175155</v>
      </c>
      <c r="AJ264">
        <f t="shared" si="70"/>
        <v>107.43413320982482</v>
      </c>
      <c r="AL264">
        <f t="shared" si="71"/>
        <v>106.51615997119124</v>
      </c>
      <c r="AM264">
        <f t="shared" si="72"/>
        <v>85.871840028808734</v>
      </c>
    </row>
    <row r="265" spans="1:39" ht="16.5" x14ac:dyDescent="0.25">
      <c r="A265" s="1">
        <v>45321</v>
      </c>
      <c r="B265" s="5">
        <v>95</v>
      </c>
      <c r="C265" s="4">
        <v>95.5</v>
      </c>
      <c r="D265" s="4">
        <v>96.28</v>
      </c>
      <c r="E265" s="4">
        <v>94.48</v>
      </c>
      <c r="F265" s="4" t="s">
        <v>452</v>
      </c>
      <c r="G265" s="2" t="s">
        <v>326</v>
      </c>
      <c r="I265">
        <f t="shared" si="59"/>
        <v>96.330500000000001</v>
      </c>
      <c r="J265">
        <f t="shared" si="60"/>
        <v>98.223250000000007</v>
      </c>
      <c r="L265">
        <f t="shared" si="61"/>
        <v>0</v>
      </c>
      <c r="M265">
        <f t="shared" si="62"/>
        <v>1</v>
      </c>
      <c r="O265">
        <f t="shared" si="63"/>
        <v>0</v>
      </c>
      <c r="P265">
        <f t="shared" si="64"/>
        <v>0.5</v>
      </c>
      <c r="R265">
        <f t="shared" si="65"/>
        <v>0.57000000000000028</v>
      </c>
      <c r="S265">
        <f t="shared" si="66"/>
        <v>1.1950000000000038</v>
      </c>
      <c r="U265">
        <f t="shared" si="67"/>
        <v>32.294617563739322</v>
      </c>
      <c r="AH265">
        <f t="shared" si="68"/>
        <v>5.1667314316362543</v>
      </c>
      <c r="AI265">
        <f t="shared" si="69"/>
        <v>85.090366790175167</v>
      </c>
      <c r="AJ265">
        <f t="shared" si="70"/>
        <v>107.57063320982483</v>
      </c>
      <c r="AL265">
        <f t="shared" si="71"/>
        <v>106.6639628632725</v>
      </c>
      <c r="AM265">
        <f t="shared" si="72"/>
        <v>85.997037136727499</v>
      </c>
    </row>
    <row r="266" spans="1:39" ht="16.5" x14ac:dyDescent="0.25">
      <c r="A266" s="1">
        <v>45320</v>
      </c>
      <c r="B266" s="5">
        <v>94.91</v>
      </c>
      <c r="C266" s="4">
        <v>94.41</v>
      </c>
      <c r="D266" s="4">
        <v>94.91</v>
      </c>
      <c r="E266" s="4">
        <v>93.48</v>
      </c>
      <c r="F266" s="4" t="s">
        <v>453</v>
      </c>
      <c r="G266" s="2" t="s">
        <v>454</v>
      </c>
      <c r="I266">
        <f t="shared" si="59"/>
        <v>96.669499999999999</v>
      </c>
      <c r="J266">
        <f t="shared" si="60"/>
        <v>98.238</v>
      </c>
      <c r="L266">
        <f t="shared" si="61"/>
        <v>1</v>
      </c>
      <c r="M266">
        <f t="shared" si="62"/>
        <v>0</v>
      </c>
      <c r="O266">
        <f t="shared" si="63"/>
        <v>0.5</v>
      </c>
      <c r="P266">
        <f t="shared" si="64"/>
        <v>0</v>
      </c>
      <c r="R266">
        <f t="shared" si="65"/>
        <v>0.57000000000000028</v>
      </c>
      <c r="S266">
        <f t="shared" si="66"/>
        <v>1.2325000000000035</v>
      </c>
      <c r="U266">
        <f t="shared" si="67"/>
        <v>31.622746185852932</v>
      </c>
      <c r="AH266">
        <f t="shared" si="68"/>
        <v>5.1727139169411229</v>
      </c>
      <c r="AI266">
        <f t="shared" si="69"/>
        <v>85.429366790175166</v>
      </c>
      <c r="AJ266">
        <f t="shared" si="70"/>
        <v>107.90963320982483</v>
      </c>
      <c r="AL266">
        <f t="shared" si="71"/>
        <v>107.01492783388224</v>
      </c>
      <c r="AM266">
        <f t="shared" si="72"/>
        <v>86.324072166117759</v>
      </c>
    </row>
    <row r="267" spans="1:39" ht="16.5" x14ac:dyDescent="0.25">
      <c r="A267" s="1">
        <v>45317</v>
      </c>
      <c r="B267" s="5">
        <v>94.77</v>
      </c>
      <c r="C267" s="4">
        <v>93.7</v>
      </c>
      <c r="D267" s="4">
        <v>95.02</v>
      </c>
      <c r="E267" s="4">
        <v>93.53</v>
      </c>
      <c r="F267" s="4" t="s">
        <v>62</v>
      </c>
      <c r="G267" s="2" t="s">
        <v>455</v>
      </c>
      <c r="I267">
        <f t="shared" si="59"/>
        <v>96.962999999999994</v>
      </c>
      <c r="J267">
        <f t="shared" si="60"/>
        <v>98.26700000000001</v>
      </c>
      <c r="L267">
        <f t="shared" si="61"/>
        <v>1</v>
      </c>
      <c r="M267">
        <f t="shared" si="62"/>
        <v>0</v>
      </c>
      <c r="O267">
        <f t="shared" si="63"/>
        <v>1.0699999999999932</v>
      </c>
      <c r="P267">
        <f t="shared" si="64"/>
        <v>0</v>
      </c>
      <c r="R267">
        <f t="shared" si="65"/>
        <v>0.5840000000000003</v>
      </c>
      <c r="S267">
        <f t="shared" si="66"/>
        <v>1.1466666666666707</v>
      </c>
      <c r="U267">
        <f t="shared" si="67"/>
        <v>33.744221879815029</v>
      </c>
      <c r="AH267">
        <f t="shared" si="68"/>
        <v>5.1794594065339643</v>
      </c>
      <c r="AI267">
        <f t="shared" si="69"/>
        <v>85.722866790175161</v>
      </c>
      <c r="AJ267">
        <f t="shared" si="70"/>
        <v>108.20313320982483</v>
      </c>
      <c r="AL267">
        <f t="shared" si="71"/>
        <v>107.32191881306792</v>
      </c>
      <c r="AM267">
        <f t="shared" si="72"/>
        <v>86.604081186932063</v>
      </c>
    </row>
    <row r="268" spans="1:39" ht="16.5" x14ac:dyDescent="0.25">
      <c r="A268" s="1">
        <v>45316</v>
      </c>
      <c r="B268" s="5">
        <v>93.69</v>
      </c>
      <c r="C268" s="4">
        <v>93.13</v>
      </c>
      <c r="D268" s="4">
        <v>93.69</v>
      </c>
      <c r="E268" s="4">
        <v>92.46</v>
      </c>
      <c r="F268" s="4" t="s">
        <v>456</v>
      </c>
      <c r="G268" s="2" t="s">
        <v>454</v>
      </c>
      <c r="I268">
        <f t="shared" si="59"/>
        <v>97.246499999999997</v>
      </c>
      <c r="J268">
        <f t="shared" si="60"/>
        <v>98.22675000000001</v>
      </c>
      <c r="L268">
        <f t="shared" si="61"/>
        <v>1</v>
      </c>
      <c r="M268">
        <f t="shared" si="62"/>
        <v>0</v>
      </c>
      <c r="O268">
        <f t="shared" si="63"/>
        <v>0.56000000000000227</v>
      </c>
      <c r="P268">
        <f t="shared" si="64"/>
        <v>0</v>
      </c>
      <c r="R268">
        <f t="shared" si="65"/>
        <v>0.61000000000000232</v>
      </c>
      <c r="S268">
        <f t="shared" si="66"/>
        <v>1.1466666666666707</v>
      </c>
      <c r="U268">
        <f t="shared" si="67"/>
        <v>34.724857685009496</v>
      </c>
      <c r="AH268">
        <f t="shared" si="68"/>
        <v>5.1868120419487855</v>
      </c>
      <c r="AI268">
        <f t="shared" si="69"/>
        <v>86.006366790175164</v>
      </c>
      <c r="AJ268">
        <f t="shared" si="70"/>
        <v>108.48663320982483</v>
      </c>
      <c r="AL268">
        <f t="shared" si="71"/>
        <v>107.62012408389757</v>
      </c>
      <c r="AM268">
        <f t="shared" si="72"/>
        <v>86.87287591610243</v>
      </c>
    </row>
    <row r="269" spans="1:39" ht="16.5" x14ac:dyDescent="0.25">
      <c r="A269" s="1">
        <v>45315</v>
      </c>
      <c r="B269" s="5">
        <v>93.55</v>
      </c>
      <c r="C269" s="4">
        <v>94.56</v>
      </c>
      <c r="D269" s="4">
        <v>94.91</v>
      </c>
      <c r="E269" s="4">
        <v>92.55</v>
      </c>
      <c r="F269" s="4" t="s">
        <v>457</v>
      </c>
      <c r="G269" s="2" t="s">
        <v>458</v>
      </c>
      <c r="I269">
        <f t="shared" si="59"/>
        <v>97.582000000000022</v>
      </c>
      <c r="J269">
        <f t="shared" si="60"/>
        <v>98.220250000000007</v>
      </c>
      <c r="L269">
        <f t="shared" si="61"/>
        <v>0</v>
      </c>
      <c r="M269">
        <f t="shared" si="62"/>
        <v>1</v>
      </c>
      <c r="O269">
        <f t="shared" si="63"/>
        <v>0</v>
      </c>
      <c r="P269">
        <f t="shared" si="64"/>
        <v>1.0100000000000051</v>
      </c>
      <c r="R269">
        <f t="shared" si="65"/>
        <v>0.50600000000000023</v>
      </c>
      <c r="S269">
        <f t="shared" si="66"/>
        <v>1.1466666666666707</v>
      </c>
      <c r="U269">
        <f t="shared" si="67"/>
        <v>30.617184348527559</v>
      </c>
      <c r="AH269">
        <f t="shared" si="68"/>
        <v>5.1947023425652494</v>
      </c>
      <c r="AI269">
        <f t="shared" si="69"/>
        <v>86.341866790175189</v>
      </c>
      <c r="AJ269">
        <f t="shared" si="70"/>
        <v>108.82213320982486</v>
      </c>
      <c r="AL269">
        <f t="shared" si="71"/>
        <v>107.97140468513052</v>
      </c>
      <c r="AM269">
        <f t="shared" si="72"/>
        <v>87.192595314869521</v>
      </c>
    </row>
    <row r="270" spans="1:39" ht="16.5" x14ac:dyDescent="0.25">
      <c r="A270" s="1">
        <v>45314</v>
      </c>
      <c r="B270" s="5">
        <v>93.56</v>
      </c>
      <c r="C270" s="4">
        <v>93.62</v>
      </c>
      <c r="D270" s="4">
        <v>94.57</v>
      </c>
      <c r="E270" s="4">
        <v>93.03</v>
      </c>
      <c r="F270" s="4" t="s">
        <v>157</v>
      </c>
      <c r="G270" s="2" t="s">
        <v>459</v>
      </c>
      <c r="I270">
        <f t="shared" si="59"/>
        <v>97.936500000000009</v>
      </c>
      <c r="J270">
        <f t="shared" si="60"/>
        <v>98.23275000000001</v>
      </c>
      <c r="L270">
        <f t="shared" si="61"/>
        <v>0</v>
      </c>
      <c r="M270">
        <f t="shared" si="62"/>
        <v>1</v>
      </c>
      <c r="O270">
        <f t="shared" si="63"/>
        <v>0</v>
      </c>
      <c r="P270">
        <f t="shared" si="64"/>
        <v>6.0000000000002274E-2</v>
      </c>
      <c r="R270">
        <f t="shared" si="65"/>
        <v>0.67833333333333456</v>
      </c>
      <c r="S270">
        <f t="shared" si="66"/>
        <v>1.1637500000000038</v>
      </c>
      <c r="U270">
        <f t="shared" si="67"/>
        <v>36.824247907713151</v>
      </c>
      <c r="AH270">
        <f t="shared" si="68"/>
        <v>5.2031574242622645</v>
      </c>
      <c r="AI270">
        <f t="shared" si="69"/>
        <v>86.696366790175176</v>
      </c>
      <c r="AJ270">
        <f t="shared" si="70"/>
        <v>109.17663320982484</v>
      </c>
      <c r="AL270">
        <f t="shared" si="71"/>
        <v>108.34281484852454</v>
      </c>
      <c r="AM270">
        <f t="shared" si="72"/>
        <v>87.530185151475479</v>
      </c>
    </row>
    <row r="271" spans="1:39" ht="16.5" x14ac:dyDescent="0.25">
      <c r="A271" s="1">
        <v>45313</v>
      </c>
      <c r="B271" s="5">
        <v>93.31</v>
      </c>
      <c r="C271" s="4">
        <v>92.95</v>
      </c>
      <c r="D271" s="4">
        <v>93.89</v>
      </c>
      <c r="E271" s="4">
        <v>92.95</v>
      </c>
      <c r="F271" s="4" t="s">
        <v>460</v>
      </c>
      <c r="G271" s="2" t="s">
        <v>239</v>
      </c>
      <c r="I271">
        <f t="shared" si="59"/>
        <v>98.236000000000018</v>
      </c>
      <c r="J271">
        <f t="shared" si="60"/>
        <v>98.247000000000014</v>
      </c>
      <c r="L271">
        <f t="shared" si="61"/>
        <v>1</v>
      </c>
      <c r="M271">
        <f t="shared" si="62"/>
        <v>0</v>
      </c>
      <c r="O271">
        <f t="shared" si="63"/>
        <v>0.35999999999999943</v>
      </c>
      <c r="P271">
        <f t="shared" si="64"/>
        <v>0</v>
      </c>
      <c r="R271">
        <f t="shared" si="65"/>
        <v>0.67833333333333456</v>
      </c>
      <c r="S271">
        <f t="shared" si="66"/>
        <v>1.4200000000000035</v>
      </c>
      <c r="U271">
        <f t="shared" si="67"/>
        <v>32.327243844320876</v>
      </c>
      <c r="AH271">
        <f t="shared" si="68"/>
        <v>5.2121269528178482</v>
      </c>
      <c r="AI271">
        <f t="shared" si="69"/>
        <v>86.995866790175185</v>
      </c>
      <c r="AJ271">
        <f t="shared" si="70"/>
        <v>109.47613320982485</v>
      </c>
      <c r="AL271">
        <f t="shared" si="71"/>
        <v>108.66025390563571</v>
      </c>
      <c r="AM271">
        <f t="shared" si="72"/>
        <v>87.811746094364324</v>
      </c>
    </row>
    <row r="272" spans="1:39" ht="16.5" x14ac:dyDescent="0.25">
      <c r="A272" s="1">
        <v>45310</v>
      </c>
      <c r="B272" s="5">
        <v>92.3</v>
      </c>
      <c r="C272" s="4">
        <v>93.56</v>
      </c>
      <c r="D272" s="4">
        <v>93.64</v>
      </c>
      <c r="E272" s="4">
        <v>92.12</v>
      </c>
      <c r="F272" s="4" t="s">
        <v>72</v>
      </c>
      <c r="G272" s="2" t="s">
        <v>88</v>
      </c>
      <c r="I272">
        <f t="shared" si="59"/>
        <v>98.591500000000025</v>
      </c>
      <c r="J272">
        <f t="shared" si="60"/>
        <v>98.270250000000004</v>
      </c>
      <c r="L272">
        <f t="shared" si="61"/>
        <v>0</v>
      </c>
      <c r="M272">
        <f t="shared" si="62"/>
        <v>1</v>
      </c>
      <c r="O272">
        <f t="shared" si="63"/>
        <v>0</v>
      </c>
      <c r="P272">
        <f t="shared" si="64"/>
        <v>1.2600000000000051</v>
      </c>
      <c r="R272">
        <f t="shared" si="65"/>
        <v>0.6816666666666672</v>
      </c>
      <c r="S272">
        <f t="shared" si="66"/>
        <v>1.4200000000000035</v>
      </c>
      <c r="U272">
        <f t="shared" si="67"/>
        <v>32.434575733544762</v>
      </c>
      <c r="AH272">
        <f t="shared" si="68"/>
        <v>5.2214730674368885</v>
      </c>
      <c r="AI272">
        <f t="shared" si="69"/>
        <v>87.351366790175192</v>
      </c>
      <c r="AJ272">
        <f t="shared" si="70"/>
        <v>109.83163320982486</v>
      </c>
      <c r="AL272">
        <f t="shared" si="71"/>
        <v>109.0344461348738</v>
      </c>
      <c r="AM272">
        <f t="shared" si="72"/>
        <v>88.148553865126246</v>
      </c>
    </row>
    <row r="273" spans="1:39" ht="16.5" x14ac:dyDescent="0.25">
      <c r="A273" s="1">
        <v>45309</v>
      </c>
      <c r="B273" s="5">
        <v>93.06</v>
      </c>
      <c r="C273" s="4">
        <v>92.51</v>
      </c>
      <c r="D273" s="4">
        <v>93.74</v>
      </c>
      <c r="E273" s="4">
        <v>92.33</v>
      </c>
      <c r="F273" s="4" t="s">
        <v>31</v>
      </c>
      <c r="G273" s="2" t="s">
        <v>390</v>
      </c>
      <c r="I273">
        <f t="shared" si="59"/>
        <v>99.020500000000013</v>
      </c>
      <c r="J273">
        <f t="shared" si="60"/>
        <v>98.301500000000004</v>
      </c>
      <c r="L273">
        <f t="shared" si="61"/>
        <v>1</v>
      </c>
      <c r="M273">
        <f t="shared" si="62"/>
        <v>0</v>
      </c>
      <c r="O273">
        <f t="shared" si="63"/>
        <v>0.54999999999999716</v>
      </c>
      <c r="P273">
        <f t="shared" si="64"/>
        <v>0</v>
      </c>
      <c r="R273">
        <f t="shared" si="65"/>
        <v>0.58714285714285708</v>
      </c>
      <c r="S273">
        <f t="shared" si="66"/>
        <v>1.4428571428571462</v>
      </c>
      <c r="U273">
        <f t="shared" si="67"/>
        <v>28.923293455313114</v>
      </c>
      <c r="AH273">
        <f t="shared" si="68"/>
        <v>5.2311778116471634</v>
      </c>
      <c r="AI273">
        <f t="shared" si="69"/>
        <v>87.780366790175179</v>
      </c>
      <c r="AJ273">
        <f t="shared" si="70"/>
        <v>110.26063320982485</v>
      </c>
      <c r="AL273">
        <f t="shared" si="71"/>
        <v>109.48285562329434</v>
      </c>
      <c r="AM273">
        <f t="shared" si="72"/>
        <v>88.558144376705684</v>
      </c>
    </row>
    <row r="274" spans="1:39" ht="16.5" x14ac:dyDescent="0.25">
      <c r="A274" s="1">
        <v>45308</v>
      </c>
      <c r="B274" s="5">
        <v>92.78</v>
      </c>
      <c r="C274" s="4">
        <v>93.67</v>
      </c>
      <c r="D274" s="4">
        <v>94.28</v>
      </c>
      <c r="E274" s="4">
        <v>92.33</v>
      </c>
      <c r="F274" s="4" t="s">
        <v>316</v>
      </c>
      <c r="G274" s="2" t="s">
        <v>461</v>
      </c>
      <c r="I274">
        <f t="shared" si="59"/>
        <v>99.418500000000023</v>
      </c>
      <c r="J274">
        <f t="shared" si="60"/>
        <v>98.368500000000012</v>
      </c>
      <c r="L274">
        <f t="shared" si="61"/>
        <v>0</v>
      </c>
      <c r="M274">
        <f t="shared" si="62"/>
        <v>1</v>
      </c>
      <c r="O274">
        <f t="shared" si="63"/>
        <v>0</v>
      </c>
      <c r="P274">
        <f t="shared" si="64"/>
        <v>0.89000000000000057</v>
      </c>
      <c r="R274">
        <f t="shared" si="65"/>
        <v>0.59333333333333371</v>
      </c>
      <c r="S274">
        <f t="shared" si="66"/>
        <v>1.3000000000000025</v>
      </c>
      <c r="U274">
        <f t="shared" si="67"/>
        <v>31.338028169014066</v>
      </c>
      <c r="AH274">
        <f t="shared" si="68"/>
        <v>5.241186080598208</v>
      </c>
      <c r="AI274">
        <f t="shared" si="69"/>
        <v>88.17836679017519</v>
      </c>
      <c r="AJ274">
        <f t="shared" si="70"/>
        <v>110.65863320982486</v>
      </c>
      <c r="AL274">
        <f t="shared" si="71"/>
        <v>109.90087216119645</v>
      </c>
      <c r="AM274">
        <f t="shared" si="72"/>
        <v>88.9361278388036</v>
      </c>
    </row>
    <row r="275" spans="1:39" ht="16.5" x14ac:dyDescent="0.25">
      <c r="A275" s="1">
        <v>45307</v>
      </c>
      <c r="B275" s="5">
        <v>95.76</v>
      </c>
      <c r="C275" s="4">
        <v>95.38</v>
      </c>
      <c r="D275" s="4">
        <v>96.06</v>
      </c>
      <c r="E275" s="4">
        <v>94.85</v>
      </c>
      <c r="F275" s="4" t="s">
        <v>462</v>
      </c>
      <c r="G275" s="2" t="s">
        <v>463</v>
      </c>
      <c r="I275">
        <f t="shared" si="59"/>
        <v>99.932500000000005</v>
      </c>
      <c r="J275">
        <f t="shared" si="60"/>
        <v>98.429000000000002</v>
      </c>
      <c r="L275">
        <f t="shared" si="61"/>
        <v>1</v>
      </c>
      <c r="M275">
        <f t="shared" si="62"/>
        <v>0</v>
      </c>
      <c r="O275">
        <f t="shared" si="63"/>
        <v>0.38000000000000966</v>
      </c>
      <c r="P275">
        <f t="shared" si="64"/>
        <v>0</v>
      </c>
      <c r="R275">
        <f t="shared" si="65"/>
        <v>0.59333333333333371</v>
      </c>
      <c r="S275">
        <f t="shared" si="66"/>
        <v>1.2112500000000015</v>
      </c>
      <c r="U275">
        <f t="shared" si="67"/>
        <v>32.879242669129511</v>
      </c>
      <c r="AH275">
        <f t="shared" si="68"/>
        <v>5.2513619782329481</v>
      </c>
      <c r="AI275">
        <f t="shared" si="69"/>
        <v>88.692366790175171</v>
      </c>
      <c r="AJ275">
        <f t="shared" si="70"/>
        <v>111.17263320982484</v>
      </c>
      <c r="AL275">
        <f t="shared" si="71"/>
        <v>110.4352239564659</v>
      </c>
      <c r="AM275">
        <f t="shared" si="72"/>
        <v>89.429776043534105</v>
      </c>
    </row>
    <row r="276" spans="1:39" ht="16.5" x14ac:dyDescent="0.25">
      <c r="A276" s="1">
        <v>45306</v>
      </c>
      <c r="B276" s="5">
        <v>95.52</v>
      </c>
      <c r="C276" s="4">
        <v>96.89</v>
      </c>
      <c r="D276" s="4">
        <v>97.19</v>
      </c>
      <c r="E276" s="4">
        <v>95.35</v>
      </c>
      <c r="F276" s="4" t="s">
        <v>464</v>
      </c>
      <c r="G276" s="2" t="s">
        <v>261</v>
      </c>
      <c r="I276">
        <f t="shared" si="59"/>
        <v>100.27150000000002</v>
      </c>
      <c r="J276">
        <f t="shared" si="60"/>
        <v>98.386250000000004</v>
      </c>
      <c r="L276">
        <f t="shared" si="61"/>
        <v>0</v>
      </c>
      <c r="M276">
        <f t="shared" si="62"/>
        <v>1</v>
      </c>
      <c r="O276">
        <f t="shared" si="63"/>
        <v>0</v>
      </c>
      <c r="P276">
        <f t="shared" si="64"/>
        <v>1.3700000000000045</v>
      </c>
      <c r="R276">
        <f t="shared" si="65"/>
        <v>0.69833333333333292</v>
      </c>
      <c r="S276">
        <f t="shared" si="66"/>
        <v>1.2112500000000015</v>
      </c>
      <c r="U276">
        <f t="shared" si="67"/>
        <v>36.569932358716954</v>
      </c>
      <c r="AH276">
        <f t="shared" si="68"/>
        <v>5.2615652503436801</v>
      </c>
      <c r="AI276">
        <f t="shared" si="69"/>
        <v>89.031366790175184</v>
      </c>
      <c r="AJ276">
        <f t="shared" si="70"/>
        <v>111.51163320982485</v>
      </c>
      <c r="AL276">
        <f t="shared" si="71"/>
        <v>110.79463050068738</v>
      </c>
      <c r="AM276">
        <f t="shared" si="72"/>
        <v>89.748369499312659</v>
      </c>
    </row>
    <row r="277" spans="1:39" ht="16.5" x14ac:dyDescent="0.25">
      <c r="A277" s="1">
        <v>45303</v>
      </c>
      <c r="B277" s="5">
        <v>96.85</v>
      </c>
      <c r="C277" s="4">
        <v>98.98</v>
      </c>
      <c r="D277" s="4">
        <v>99.06</v>
      </c>
      <c r="E277" s="4">
        <v>96.4</v>
      </c>
      <c r="F277" s="4" t="s">
        <v>129</v>
      </c>
      <c r="G277" s="2" t="s">
        <v>465</v>
      </c>
      <c r="I277">
        <f t="shared" si="59"/>
        <v>100.47999999999999</v>
      </c>
      <c r="J277">
        <f t="shared" si="60"/>
        <v>98.399500000000003</v>
      </c>
      <c r="L277">
        <f t="shared" si="61"/>
        <v>0</v>
      </c>
      <c r="M277">
        <f t="shared" si="62"/>
        <v>1</v>
      </c>
      <c r="O277">
        <f t="shared" si="63"/>
        <v>0</v>
      </c>
      <c r="P277">
        <f t="shared" si="64"/>
        <v>2.1300000000000097</v>
      </c>
      <c r="R277">
        <f t="shared" si="65"/>
        <v>0.67999999999999872</v>
      </c>
      <c r="S277">
        <f t="shared" si="66"/>
        <v>1.1885714285714297</v>
      </c>
      <c r="U277">
        <f t="shared" si="67"/>
        <v>36.39143730886844</v>
      </c>
      <c r="AH277">
        <f t="shared" si="68"/>
        <v>5.2716986883633012</v>
      </c>
      <c r="AI277">
        <f t="shared" si="69"/>
        <v>89.239866790175157</v>
      </c>
      <c r="AJ277">
        <f t="shared" si="70"/>
        <v>111.72013320982482</v>
      </c>
      <c r="AL277">
        <f t="shared" si="71"/>
        <v>111.02339737672659</v>
      </c>
      <c r="AM277">
        <f t="shared" si="72"/>
        <v>89.936602623273387</v>
      </c>
    </row>
    <row r="278" spans="1:39" ht="16.5" x14ac:dyDescent="0.25">
      <c r="A278" s="1">
        <v>45302</v>
      </c>
      <c r="B278" s="5">
        <v>98.46</v>
      </c>
      <c r="C278" s="4">
        <v>100.8</v>
      </c>
      <c r="D278" s="4">
        <v>101.88</v>
      </c>
      <c r="E278" s="4">
        <v>98.46</v>
      </c>
      <c r="F278" s="4" t="s">
        <v>466</v>
      </c>
      <c r="G278" s="2" t="s">
        <v>446</v>
      </c>
      <c r="I278">
        <f t="shared" si="59"/>
        <v>100.6845</v>
      </c>
      <c r="J278">
        <f t="shared" si="60"/>
        <v>98.33250000000001</v>
      </c>
      <c r="L278">
        <f t="shared" si="61"/>
        <v>0</v>
      </c>
      <c r="M278">
        <f t="shared" si="62"/>
        <v>1</v>
      </c>
      <c r="O278">
        <f t="shared" si="63"/>
        <v>0</v>
      </c>
      <c r="P278">
        <f t="shared" si="64"/>
        <v>2.3400000000000034</v>
      </c>
      <c r="R278">
        <f t="shared" si="65"/>
        <v>0.67999999999999872</v>
      </c>
      <c r="S278">
        <f t="shared" si="66"/>
        <v>1.0128571428571413</v>
      </c>
      <c r="U278">
        <f t="shared" si="67"/>
        <v>40.168776371308013</v>
      </c>
      <c r="AH278">
        <f t="shared" si="68"/>
        <v>5.281767922375642</v>
      </c>
      <c r="AI278">
        <f t="shared" si="69"/>
        <v>89.444366790175167</v>
      </c>
      <c r="AJ278">
        <f t="shared" si="70"/>
        <v>111.92463320982483</v>
      </c>
      <c r="AL278">
        <f t="shared" si="71"/>
        <v>111.24803584475129</v>
      </c>
      <c r="AM278">
        <f t="shared" si="72"/>
        <v>90.120964155248714</v>
      </c>
    </row>
    <row r="279" spans="1:39" ht="16.5" x14ac:dyDescent="0.25">
      <c r="A279" s="1">
        <v>45301</v>
      </c>
      <c r="B279" s="5">
        <v>99.9</v>
      </c>
      <c r="C279" s="4">
        <v>100.7</v>
      </c>
      <c r="D279" s="4">
        <v>101.64</v>
      </c>
      <c r="E279" s="4">
        <v>99.77</v>
      </c>
      <c r="F279" s="4" t="s">
        <v>467</v>
      </c>
      <c r="G279" s="2" t="s">
        <v>137</v>
      </c>
      <c r="I279">
        <f t="shared" si="59"/>
        <v>100.8265</v>
      </c>
      <c r="J279">
        <f t="shared" si="60"/>
        <v>98.17349999999999</v>
      </c>
      <c r="L279">
        <f t="shared" si="61"/>
        <v>0</v>
      </c>
      <c r="M279">
        <f t="shared" si="62"/>
        <v>1</v>
      </c>
      <c r="O279">
        <f t="shared" si="63"/>
        <v>0</v>
      </c>
      <c r="P279">
        <f t="shared" si="64"/>
        <v>0.79999999999999716</v>
      </c>
      <c r="R279">
        <f t="shared" si="65"/>
        <v>0.63999999999999879</v>
      </c>
      <c r="S279">
        <f t="shared" si="66"/>
        <v>0.7916666666666643</v>
      </c>
      <c r="U279">
        <f t="shared" si="67"/>
        <v>44.703143189755558</v>
      </c>
      <c r="AH279">
        <f t="shared" si="68"/>
        <v>5.2917419617030621</v>
      </c>
      <c r="AI279">
        <f t="shared" si="69"/>
        <v>89.586366790175163</v>
      </c>
      <c r="AJ279">
        <f t="shared" si="70"/>
        <v>112.06663320982483</v>
      </c>
      <c r="AL279">
        <f t="shared" si="71"/>
        <v>111.40998392340612</v>
      </c>
      <c r="AM279">
        <f t="shared" si="72"/>
        <v>90.243016076593875</v>
      </c>
    </row>
    <row r="280" spans="1:39" ht="16.5" x14ac:dyDescent="0.25">
      <c r="A280" s="1">
        <v>45300</v>
      </c>
      <c r="B280" s="5">
        <v>100.82</v>
      </c>
      <c r="C280" s="4">
        <v>101.28</v>
      </c>
      <c r="D280" s="4">
        <v>101.44</v>
      </c>
      <c r="E280" s="4">
        <v>100.3</v>
      </c>
      <c r="F280" s="4" t="s">
        <v>468</v>
      </c>
      <c r="G280" s="2" t="s">
        <v>388</v>
      </c>
      <c r="I280">
        <f t="shared" si="59"/>
        <v>100.8775</v>
      </c>
      <c r="J280">
        <f t="shared" si="60"/>
        <v>97.955500000000001</v>
      </c>
      <c r="L280">
        <f t="shared" si="61"/>
        <v>0</v>
      </c>
      <c r="M280">
        <f t="shared" si="62"/>
        <v>1</v>
      </c>
      <c r="O280">
        <f t="shared" si="63"/>
        <v>0</v>
      </c>
      <c r="P280">
        <f t="shared" si="64"/>
        <v>0.46000000000000796</v>
      </c>
      <c r="R280">
        <f t="shared" si="65"/>
        <v>0.63999999999999879</v>
      </c>
      <c r="S280">
        <f t="shared" si="66"/>
        <v>0.88833333333333309</v>
      </c>
      <c r="U280">
        <f t="shared" si="67"/>
        <v>41.875681570338024</v>
      </c>
      <c r="AH280">
        <f t="shared" si="68"/>
        <v>5.3016471249082393</v>
      </c>
      <c r="AI280">
        <f t="shared" si="69"/>
        <v>89.637366790175165</v>
      </c>
      <c r="AJ280">
        <f t="shared" si="70"/>
        <v>112.11763320982483</v>
      </c>
      <c r="AL280">
        <f t="shared" si="71"/>
        <v>111.48079424981648</v>
      </c>
      <c r="AM280">
        <f t="shared" si="72"/>
        <v>90.274205750183512</v>
      </c>
    </row>
    <row r="281" spans="1:39" ht="16.5" x14ac:dyDescent="0.25">
      <c r="A281" s="1">
        <v>45299</v>
      </c>
      <c r="B281" s="5">
        <v>101.2</v>
      </c>
      <c r="C281" s="4">
        <v>100</v>
      </c>
      <c r="D281" s="4">
        <v>101.22</v>
      </c>
      <c r="E281" s="4">
        <v>99.24</v>
      </c>
      <c r="F281" s="4" t="s">
        <v>469</v>
      </c>
      <c r="G281" s="2" t="s">
        <v>26</v>
      </c>
      <c r="I281">
        <f t="shared" si="59"/>
        <v>100.76649999999998</v>
      </c>
      <c r="J281">
        <f t="shared" si="60"/>
        <v>97.740249999999989</v>
      </c>
      <c r="L281">
        <f t="shared" si="61"/>
        <v>1</v>
      </c>
      <c r="M281">
        <f t="shared" si="62"/>
        <v>0</v>
      </c>
      <c r="O281">
        <f t="shared" si="63"/>
        <v>1.2000000000000028</v>
      </c>
      <c r="P281">
        <f t="shared" si="64"/>
        <v>0</v>
      </c>
      <c r="R281">
        <f t="shared" si="65"/>
        <v>0.63999999999999879</v>
      </c>
      <c r="S281">
        <f t="shared" si="66"/>
        <v>0.83499999999999852</v>
      </c>
      <c r="U281">
        <f t="shared" si="67"/>
        <v>43.389830508474567</v>
      </c>
      <c r="AH281">
        <f t="shared" si="68"/>
        <v>5.3115588287911493</v>
      </c>
      <c r="AI281">
        <f t="shared" si="69"/>
        <v>89.526366790175146</v>
      </c>
      <c r="AJ281">
        <f t="shared" si="70"/>
        <v>112.00663320982481</v>
      </c>
      <c r="AL281">
        <f t="shared" si="71"/>
        <v>111.38961765758228</v>
      </c>
      <c r="AM281">
        <f t="shared" si="72"/>
        <v>90.143382342417681</v>
      </c>
    </row>
    <row r="282" spans="1:39" ht="16.5" x14ac:dyDescent="0.25">
      <c r="A282" s="1">
        <v>45296</v>
      </c>
      <c r="B282" s="5">
        <v>100.66</v>
      </c>
      <c r="C282" s="4">
        <v>100.62</v>
      </c>
      <c r="D282" s="4">
        <v>101.66</v>
      </c>
      <c r="E282" s="4">
        <v>99.47</v>
      </c>
      <c r="F282" s="4" t="s">
        <v>470</v>
      </c>
      <c r="G282" s="2" t="s">
        <v>471</v>
      </c>
      <c r="I282">
        <f t="shared" si="59"/>
        <v>100.67399999999999</v>
      </c>
      <c r="J282">
        <f t="shared" si="60"/>
        <v>97.512500000000003</v>
      </c>
      <c r="L282">
        <f t="shared" si="61"/>
        <v>1</v>
      </c>
      <c r="M282">
        <f t="shared" si="62"/>
        <v>0</v>
      </c>
      <c r="O282">
        <f t="shared" si="63"/>
        <v>3.9999999999992042E-2</v>
      </c>
      <c r="P282">
        <f t="shared" si="64"/>
        <v>0</v>
      </c>
      <c r="R282">
        <f t="shared" si="65"/>
        <v>0.60999999999999943</v>
      </c>
      <c r="S282">
        <f t="shared" si="66"/>
        <v>0.83499999999999852</v>
      </c>
      <c r="U282">
        <f t="shared" si="67"/>
        <v>42.214532871972338</v>
      </c>
      <c r="AH282">
        <f t="shared" si="68"/>
        <v>5.3216309403541047</v>
      </c>
      <c r="AI282">
        <f t="shared" si="69"/>
        <v>89.433866790175159</v>
      </c>
      <c r="AJ282">
        <f t="shared" si="70"/>
        <v>111.91413320982483</v>
      </c>
      <c r="AL282">
        <f t="shared" si="71"/>
        <v>111.3172618807082</v>
      </c>
      <c r="AM282">
        <f t="shared" si="72"/>
        <v>90.030738119291783</v>
      </c>
    </row>
    <row r="283" spans="1:39" ht="16.5" x14ac:dyDescent="0.25">
      <c r="A283" s="1">
        <v>45295</v>
      </c>
      <c r="B283" s="5">
        <v>101</v>
      </c>
      <c r="C283" s="4">
        <v>99.46</v>
      </c>
      <c r="D283" s="4">
        <v>101.26</v>
      </c>
      <c r="E283" s="4">
        <v>99.34</v>
      </c>
      <c r="F283" s="4" t="s">
        <v>472</v>
      </c>
      <c r="G283" s="2" t="s">
        <v>473</v>
      </c>
      <c r="I283">
        <f t="shared" si="59"/>
        <v>100.52399999999999</v>
      </c>
      <c r="J283">
        <f t="shared" si="60"/>
        <v>97.278750000000002</v>
      </c>
      <c r="L283">
        <f t="shared" si="61"/>
        <v>1</v>
      </c>
      <c r="M283">
        <f t="shared" si="62"/>
        <v>0</v>
      </c>
      <c r="O283">
        <f t="shared" si="63"/>
        <v>1.5400000000000063</v>
      </c>
      <c r="P283">
        <f t="shared" si="64"/>
        <v>0</v>
      </c>
      <c r="R283">
        <f t="shared" si="65"/>
        <v>0.69142857142857195</v>
      </c>
      <c r="S283">
        <f t="shared" si="66"/>
        <v>0.89142857142857068</v>
      </c>
      <c r="U283">
        <f t="shared" si="67"/>
        <v>43.682310469314118</v>
      </c>
      <c r="AH283">
        <f t="shared" si="68"/>
        <v>5.3318411788282463</v>
      </c>
      <c r="AI283">
        <f t="shared" si="69"/>
        <v>89.283866790175153</v>
      </c>
      <c r="AJ283">
        <f t="shared" si="70"/>
        <v>111.76413320982482</v>
      </c>
      <c r="AL283">
        <f t="shared" si="71"/>
        <v>111.18768235765648</v>
      </c>
      <c r="AM283">
        <f t="shared" si="72"/>
        <v>89.860317642343489</v>
      </c>
    </row>
    <row r="284" spans="1:39" ht="16.5" x14ac:dyDescent="0.25">
      <c r="A284" s="1">
        <v>45294</v>
      </c>
      <c r="B284" s="5">
        <v>99.51</v>
      </c>
      <c r="C284" s="4">
        <v>101.62</v>
      </c>
      <c r="D284" s="4">
        <v>102.62</v>
      </c>
      <c r="E284" s="4">
        <v>98.84</v>
      </c>
      <c r="F284" s="4" t="s">
        <v>474</v>
      </c>
      <c r="G284" s="2" t="s">
        <v>475</v>
      </c>
      <c r="I284">
        <f t="shared" si="59"/>
        <v>100.28200000000001</v>
      </c>
      <c r="J284">
        <f t="shared" si="60"/>
        <v>97.0745</v>
      </c>
      <c r="L284">
        <f t="shared" si="61"/>
        <v>0</v>
      </c>
      <c r="M284">
        <f t="shared" si="62"/>
        <v>1</v>
      </c>
      <c r="O284">
        <f t="shared" si="63"/>
        <v>0</v>
      </c>
      <c r="P284">
        <f t="shared" si="64"/>
        <v>2.1099999999999994</v>
      </c>
      <c r="R284">
        <f t="shared" si="65"/>
        <v>0.54999999999999949</v>
      </c>
      <c r="S284">
        <f t="shared" si="66"/>
        <v>0.86999999999999922</v>
      </c>
      <c r="U284">
        <f t="shared" si="67"/>
        <v>38.732394366197184</v>
      </c>
      <c r="AH284">
        <f t="shared" si="68"/>
        <v>5.3422283123415673</v>
      </c>
      <c r="AI284">
        <f t="shared" si="69"/>
        <v>89.041866790175177</v>
      </c>
      <c r="AJ284">
        <f t="shared" si="70"/>
        <v>111.52213320982484</v>
      </c>
      <c r="AL284">
        <f t="shared" si="71"/>
        <v>110.96645662468315</v>
      </c>
      <c r="AM284">
        <f t="shared" si="72"/>
        <v>89.597543375316874</v>
      </c>
    </row>
    <row r="285" spans="1:39" ht="16.5" x14ac:dyDescent="0.25">
      <c r="A285" s="1">
        <v>45293</v>
      </c>
      <c r="B285" s="5">
        <v>101.78</v>
      </c>
      <c r="C285" s="4">
        <v>101.4</v>
      </c>
      <c r="D285" s="4">
        <v>103.04</v>
      </c>
      <c r="E285" s="4">
        <v>100.54</v>
      </c>
      <c r="F285" s="4" t="s">
        <v>476</v>
      </c>
      <c r="G285" s="2" t="s">
        <v>477</v>
      </c>
      <c r="I285">
        <f t="shared" si="59"/>
        <v>100.116</v>
      </c>
      <c r="J285">
        <f t="shared" si="60"/>
        <v>96.910499999999985</v>
      </c>
      <c r="L285">
        <f t="shared" si="61"/>
        <v>1</v>
      </c>
      <c r="M285">
        <f t="shared" si="62"/>
        <v>0</v>
      </c>
      <c r="O285">
        <f t="shared" si="63"/>
        <v>0.37999999999999545</v>
      </c>
      <c r="P285">
        <f t="shared" si="64"/>
        <v>0</v>
      </c>
      <c r="R285">
        <f t="shared" si="65"/>
        <v>0.52857142857142692</v>
      </c>
      <c r="S285">
        <f t="shared" si="66"/>
        <v>0.69285714285714206</v>
      </c>
      <c r="U285">
        <f t="shared" si="67"/>
        <v>43.274853801169549</v>
      </c>
      <c r="AH285">
        <f t="shared" si="68"/>
        <v>5.3528318469541016</v>
      </c>
      <c r="AI285">
        <f t="shared" si="69"/>
        <v>88.875866790175166</v>
      </c>
      <c r="AJ285">
        <f t="shared" si="70"/>
        <v>111.35613320982483</v>
      </c>
      <c r="AL285">
        <f t="shared" si="71"/>
        <v>110.82166369390821</v>
      </c>
      <c r="AM285">
        <f t="shared" si="72"/>
        <v>89.410336306091793</v>
      </c>
    </row>
    <row r="286" spans="1:39" ht="16.5" x14ac:dyDescent="0.25">
      <c r="A286" s="1">
        <v>45289</v>
      </c>
      <c r="B286" s="5">
        <v>100.78</v>
      </c>
      <c r="C286" s="4">
        <v>100.76</v>
      </c>
      <c r="D286" s="4">
        <v>101.3</v>
      </c>
      <c r="E286" s="4">
        <v>100.7</v>
      </c>
      <c r="F286" s="4" t="s">
        <v>478</v>
      </c>
      <c r="G286" s="2" t="s">
        <v>479</v>
      </c>
      <c r="I286">
        <f t="shared" si="59"/>
        <v>99.8065</v>
      </c>
      <c r="J286">
        <f t="shared" si="60"/>
        <v>96.643249999999995</v>
      </c>
      <c r="L286">
        <f t="shared" si="61"/>
        <v>1</v>
      </c>
      <c r="M286">
        <f t="shared" si="62"/>
        <v>0</v>
      </c>
      <c r="O286">
        <f t="shared" si="63"/>
        <v>1.9999999999996021E-2</v>
      </c>
      <c r="P286">
        <f t="shared" si="64"/>
        <v>0</v>
      </c>
      <c r="R286">
        <f t="shared" si="65"/>
        <v>0.79857142857142704</v>
      </c>
      <c r="S286">
        <f t="shared" si="66"/>
        <v>0.69285714285714206</v>
      </c>
      <c r="U286">
        <f t="shared" si="67"/>
        <v>53.544061302681968</v>
      </c>
      <c r="AH286">
        <f t="shared" si="68"/>
        <v>5.3635802613018093</v>
      </c>
      <c r="AI286">
        <f t="shared" si="69"/>
        <v>88.566366790175167</v>
      </c>
      <c r="AJ286">
        <f t="shared" si="70"/>
        <v>111.04663320982483</v>
      </c>
      <c r="AL286">
        <f t="shared" si="71"/>
        <v>110.53366052260361</v>
      </c>
      <c r="AM286">
        <f t="shared" si="72"/>
        <v>89.079339477396388</v>
      </c>
    </row>
    <row r="287" spans="1:39" ht="16.5" x14ac:dyDescent="0.25">
      <c r="A287" s="1">
        <v>45288</v>
      </c>
      <c r="B287" s="5">
        <v>100.44</v>
      </c>
      <c r="C287" s="4">
        <v>100.74</v>
      </c>
      <c r="D287" s="4">
        <v>101.04</v>
      </c>
      <c r="E287" s="4">
        <v>100.32</v>
      </c>
      <c r="F287" s="4" t="s">
        <v>480</v>
      </c>
      <c r="G287" s="2" t="s">
        <v>440</v>
      </c>
      <c r="I287">
        <f t="shared" si="59"/>
        <v>99.570999999999998</v>
      </c>
      <c r="J287">
        <f t="shared" si="60"/>
        <v>96.348749999999995</v>
      </c>
      <c r="L287">
        <f t="shared" si="61"/>
        <v>0</v>
      </c>
      <c r="M287">
        <f t="shared" si="62"/>
        <v>1</v>
      </c>
      <c r="O287">
        <f t="shared" si="63"/>
        <v>0</v>
      </c>
      <c r="P287">
        <f t="shared" si="64"/>
        <v>0.29999999999999716</v>
      </c>
      <c r="R287">
        <f t="shared" si="65"/>
        <v>0.92833333333333223</v>
      </c>
      <c r="S287">
        <f t="shared" si="66"/>
        <v>0.66375000000000028</v>
      </c>
      <c r="U287">
        <f t="shared" si="67"/>
        <v>58.309343103899465</v>
      </c>
      <c r="AH287">
        <f t="shared" si="68"/>
        <v>5.3744903942605999</v>
      </c>
      <c r="AI287">
        <f t="shared" si="69"/>
        <v>88.330866790175165</v>
      </c>
      <c r="AJ287">
        <f t="shared" si="70"/>
        <v>110.81113320982483</v>
      </c>
      <c r="AL287">
        <f t="shared" si="71"/>
        <v>110.31998078852119</v>
      </c>
      <c r="AM287">
        <f t="shared" si="72"/>
        <v>88.822019211478803</v>
      </c>
    </row>
    <row r="288" spans="1:39" ht="16.5" x14ac:dyDescent="0.25">
      <c r="A288" s="1">
        <v>45287</v>
      </c>
      <c r="B288" s="5">
        <v>100.4</v>
      </c>
      <c r="C288" s="4">
        <v>100.58</v>
      </c>
      <c r="D288" s="4">
        <v>100.88</v>
      </c>
      <c r="E288" s="4">
        <v>100.1</v>
      </c>
      <c r="F288" s="4" t="s">
        <v>481</v>
      </c>
      <c r="G288" s="2" t="s">
        <v>406</v>
      </c>
      <c r="I288">
        <f t="shared" si="59"/>
        <v>99.207000000000008</v>
      </c>
      <c r="J288">
        <f t="shared" si="60"/>
        <v>96.028500000000008</v>
      </c>
      <c r="L288">
        <f t="shared" si="61"/>
        <v>0</v>
      </c>
      <c r="M288">
        <f t="shared" si="62"/>
        <v>1</v>
      </c>
      <c r="O288">
        <f t="shared" si="63"/>
        <v>0</v>
      </c>
      <c r="P288">
        <f t="shared" si="64"/>
        <v>0.17999999999999261</v>
      </c>
      <c r="R288">
        <f t="shared" si="65"/>
        <v>0.98999999999999899</v>
      </c>
      <c r="S288">
        <f t="shared" si="66"/>
        <v>0.71571428571428641</v>
      </c>
      <c r="U288">
        <f t="shared" si="67"/>
        <v>58.040201005025075</v>
      </c>
      <c r="AH288">
        <f t="shared" si="68"/>
        <v>5.3854922711958046</v>
      </c>
      <c r="AI288">
        <f t="shared" si="69"/>
        <v>87.966866790175175</v>
      </c>
      <c r="AJ288">
        <f t="shared" si="70"/>
        <v>110.44713320982484</v>
      </c>
      <c r="AL288">
        <f t="shared" si="71"/>
        <v>109.97798454239162</v>
      </c>
      <c r="AM288">
        <f t="shared" si="72"/>
        <v>88.436015457608391</v>
      </c>
    </row>
    <row r="289" spans="1:39" ht="16.5" x14ac:dyDescent="0.25">
      <c r="A289" s="1">
        <v>45282</v>
      </c>
      <c r="B289" s="5">
        <v>100.64</v>
      </c>
      <c r="C289" s="4">
        <v>99.63</v>
      </c>
      <c r="D289" s="4">
        <v>100.82</v>
      </c>
      <c r="E289" s="4">
        <v>99.56</v>
      </c>
      <c r="F289" s="4" t="s">
        <v>482</v>
      </c>
      <c r="G289" s="2" t="s">
        <v>239</v>
      </c>
      <c r="I289">
        <f t="shared" si="59"/>
        <v>98.858500000000006</v>
      </c>
      <c r="J289">
        <f t="shared" si="60"/>
        <v>95.711250000000007</v>
      </c>
      <c r="L289">
        <f t="shared" si="61"/>
        <v>1</v>
      </c>
      <c r="M289">
        <f t="shared" si="62"/>
        <v>0</v>
      </c>
      <c r="O289">
        <f t="shared" si="63"/>
        <v>1.0100000000000051</v>
      </c>
      <c r="P289">
        <f t="shared" si="64"/>
        <v>0</v>
      </c>
      <c r="R289">
        <f t="shared" si="65"/>
        <v>1.0487499999999983</v>
      </c>
      <c r="S289">
        <f t="shared" si="66"/>
        <v>0.80500000000000205</v>
      </c>
      <c r="U289">
        <f t="shared" si="67"/>
        <v>56.574511126095651</v>
      </c>
      <c r="AH289">
        <f t="shared" si="68"/>
        <v>5.3965170272510967</v>
      </c>
      <c r="AI289">
        <f t="shared" si="69"/>
        <v>87.618366790175173</v>
      </c>
      <c r="AJ289">
        <f t="shared" si="70"/>
        <v>110.09863320982484</v>
      </c>
      <c r="AL289">
        <f t="shared" si="71"/>
        <v>109.65153405450221</v>
      </c>
      <c r="AM289">
        <f t="shared" si="72"/>
        <v>88.065465945497806</v>
      </c>
    </row>
    <row r="290" spans="1:39" ht="16.5" x14ac:dyDescent="0.25">
      <c r="A290" s="1">
        <v>45281</v>
      </c>
      <c r="B290" s="5">
        <v>99.55</v>
      </c>
      <c r="C290" s="4">
        <v>98.98</v>
      </c>
      <c r="D290" s="4">
        <v>99.61</v>
      </c>
      <c r="E290" s="4">
        <v>98.14</v>
      </c>
      <c r="F290" s="4" t="s">
        <v>483</v>
      </c>
      <c r="G290" s="2" t="s">
        <v>484</v>
      </c>
      <c r="I290">
        <f t="shared" si="59"/>
        <v>98.529000000000011</v>
      </c>
      <c r="J290">
        <f t="shared" si="60"/>
        <v>95.407499999999999</v>
      </c>
      <c r="L290">
        <f t="shared" si="61"/>
        <v>1</v>
      </c>
      <c r="M290">
        <f t="shared" si="62"/>
        <v>0</v>
      </c>
      <c r="O290">
        <f t="shared" si="63"/>
        <v>0.56999999999999318</v>
      </c>
      <c r="P290">
        <f t="shared" si="64"/>
        <v>0</v>
      </c>
      <c r="R290">
        <f t="shared" si="65"/>
        <v>0.94749999999999801</v>
      </c>
      <c r="S290">
        <f t="shared" si="66"/>
        <v>0.80500000000000205</v>
      </c>
      <c r="U290">
        <f t="shared" si="67"/>
        <v>54.06562054208262</v>
      </c>
      <c r="AH290">
        <f t="shared" si="68"/>
        <v>5.4074709900293945</v>
      </c>
      <c r="AI290">
        <f t="shared" si="69"/>
        <v>87.288866790175177</v>
      </c>
      <c r="AJ290">
        <f t="shared" si="70"/>
        <v>109.76913320982484</v>
      </c>
      <c r="AL290">
        <f t="shared" si="71"/>
        <v>109.3439419800588</v>
      </c>
      <c r="AM290">
        <f t="shared" si="72"/>
        <v>87.71405801994122</v>
      </c>
    </row>
    <row r="291" spans="1:39" ht="16.5" x14ac:dyDescent="0.25">
      <c r="A291" s="1">
        <v>45280</v>
      </c>
      <c r="B291" s="5">
        <v>100.42</v>
      </c>
      <c r="C291" s="4">
        <v>101.32</v>
      </c>
      <c r="D291" s="4">
        <v>101.86</v>
      </c>
      <c r="E291" s="4">
        <v>100.28</v>
      </c>
      <c r="F291" s="4" t="s">
        <v>485</v>
      </c>
      <c r="G291" s="2" t="s">
        <v>93</v>
      </c>
      <c r="I291">
        <f t="shared" si="59"/>
        <v>98.257999999999996</v>
      </c>
      <c r="J291">
        <f t="shared" si="60"/>
        <v>95.134499999999989</v>
      </c>
      <c r="L291">
        <f t="shared" si="61"/>
        <v>0</v>
      </c>
      <c r="M291">
        <f t="shared" si="62"/>
        <v>1</v>
      </c>
      <c r="O291">
        <f t="shared" si="63"/>
        <v>0</v>
      </c>
      <c r="P291">
        <f t="shared" si="64"/>
        <v>0.89999999999999147</v>
      </c>
      <c r="R291">
        <f t="shared" si="65"/>
        <v>0.90749999999999886</v>
      </c>
      <c r="S291">
        <f t="shared" si="66"/>
        <v>0.80500000000000205</v>
      </c>
      <c r="U291">
        <f t="shared" si="67"/>
        <v>52.992700729926916</v>
      </c>
      <c r="AH291">
        <f t="shared" si="68"/>
        <v>5.4182737975840025</v>
      </c>
      <c r="AI291">
        <f t="shared" si="69"/>
        <v>87.017866790175162</v>
      </c>
      <c r="AJ291">
        <f t="shared" si="70"/>
        <v>109.49813320982483</v>
      </c>
      <c r="AL291">
        <f t="shared" si="71"/>
        <v>109.094547595168</v>
      </c>
      <c r="AM291">
        <f t="shared" si="72"/>
        <v>87.421452404831996</v>
      </c>
    </row>
    <row r="292" spans="1:39" ht="16.5" x14ac:dyDescent="0.25">
      <c r="A292" s="1">
        <v>45279</v>
      </c>
      <c r="B292" s="5">
        <v>100.88</v>
      </c>
      <c r="C292" s="4">
        <v>100.52</v>
      </c>
      <c r="D292" s="4">
        <v>101.36</v>
      </c>
      <c r="E292" s="4">
        <v>100.1</v>
      </c>
      <c r="F292" s="4" t="s">
        <v>486</v>
      </c>
      <c r="G292" s="2" t="s">
        <v>487</v>
      </c>
      <c r="I292">
        <f t="shared" si="59"/>
        <v>97.949000000000012</v>
      </c>
      <c r="J292">
        <f t="shared" si="60"/>
        <v>94.908500000000004</v>
      </c>
      <c r="L292">
        <f t="shared" si="61"/>
        <v>1</v>
      </c>
      <c r="M292">
        <f t="shared" si="62"/>
        <v>0</v>
      </c>
      <c r="O292">
        <f t="shared" si="63"/>
        <v>0.35999999999999943</v>
      </c>
      <c r="P292">
        <f t="shared" si="64"/>
        <v>0</v>
      </c>
      <c r="R292">
        <f t="shared" si="65"/>
        <v>0.90749999999999886</v>
      </c>
      <c r="S292">
        <f t="shared" si="66"/>
        <v>0.80666666666666964</v>
      </c>
      <c r="U292">
        <f t="shared" si="67"/>
        <v>52.941176470588118</v>
      </c>
      <c r="AH292">
        <f t="shared" si="68"/>
        <v>5.4288981227955855</v>
      </c>
      <c r="AI292">
        <f t="shared" si="69"/>
        <v>86.708866790175179</v>
      </c>
      <c r="AJ292">
        <f t="shared" si="70"/>
        <v>109.18913320982485</v>
      </c>
      <c r="AL292">
        <f t="shared" si="71"/>
        <v>108.80679624559119</v>
      </c>
      <c r="AM292">
        <f t="shared" si="72"/>
        <v>87.091203754408838</v>
      </c>
    </row>
    <row r="293" spans="1:39" ht="16.5" x14ac:dyDescent="0.25">
      <c r="A293" s="1">
        <v>45278</v>
      </c>
      <c r="B293" s="5">
        <v>101.02</v>
      </c>
      <c r="C293" s="4">
        <v>102.4</v>
      </c>
      <c r="D293" s="4">
        <v>102.56</v>
      </c>
      <c r="E293" s="4">
        <v>100.86</v>
      </c>
      <c r="F293" s="4" t="s">
        <v>488</v>
      </c>
      <c r="G293" s="2" t="s">
        <v>489</v>
      </c>
      <c r="I293">
        <f t="shared" si="59"/>
        <v>97.58250000000001</v>
      </c>
      <c r="J293">
        <f t="shared" si="60"/>
        <v>94.699250000000021</v>
      </c>
      <c r="L293">
        <f t="shared" si="61"/>
        <v>0</v>
      </c>
      <c r="M293">
        <f t="shared" si="62"/>
        <v>1</v>
      </c>
      <c r="O293">
        <f t="shared" si="63"/>
        <v>0</v>
      </c>
      <c r="P293">
        <f t="shared" si="64"/>
        <v>1.3800000000000097</v>
      </c>
      <c r="R293">
        <f t="shared" si="65"/>
        <v>1.1099999999999977</v>
      </c>
      <c r="S293">
        <f t="shared" si="66"/>
        <v>0.80666666666666964</v>
      </c>
      <c r="U293">
        <f t="shared" si="67"/>
        <v>57.913043478260732</v>
      </c>
      <c r="AH293">
        <f t="shared" si="68"/>
        <v>5.439236253329617</v>
      </c>
      <c r="AI293">
        <f t="shared" si="69"/>
        <v>86.342366790175177</v>
      </c>
      <c r="AJ293">
        <f t="shared" si="70"/>
        <v>108.82263320982484</v>
      </c>
      <c r="AL293">
        <f t="shared" si="71"/>
        <v>108.46097250665925</v>
      </c>
      <c r="AM293">
        <f t="shared" si="72"/>
        <v>86.704027493340774</v>
      </c>
    </row>
    <row r="294" spans="1:39" ht="16.5" x14ac:dyDescent="0.25">
      <c r="A294" s="1">
        <v>45275</v>
      </c>
      <c r="B294" s="5">
        <v>103.06</v>
      </c>
      <c r="C294" s="4">
        <v>103.2</v>
      </c>
      <c r="D294" s="4">
        <v>105.14</v>
      </c>
      <c r="E294" s="4">
        <v>103.04</v>
      </c>
      <c r="F294" s="4" t="s">
        <v>490</v>
      </c>
      <c r="G294" s="2" t="s">
        <v>491</v>
      </c>
      <c r="I294">
        <f t="shared" si="59"/>
        <v>97.3185</v>
      </c>
      <c r="J294">
        <f t="shared" si="60"/>
        <v>94.506500000000017</v>
      </c>
      <c r="L294">
        <f t="shared" si="61"/>
        <v>0</v>
      </c>
      <c r="M294">
        <f t="shared" si="62"/>
        <v>1</v>
      </c>
      <c r="O294">
        <f t="shared" si="63"/>
        <v>0</v>
      </c>
      <c r="P294">
        <f t="shared" si="64"/>
        <v>0.14000000000000057</v>
      </c>
      <c r="R294">
        <f t="shared" si="65"/>
        <v>1.0055555555555538</v>
      </c>
      <c r="S294">
        <f t="shared" si="66"/>
        <v>0.69200000000000161</v>
      </c>
      <c r="U294">
        <f t="shared" si="67"/>
        <v>59.235502029061301</v>
      </c>
      <c r="AH294">
        <f t="shared" si="68"/>
        <v>5.4491206899194244</v>
      </c>
      <c r="AI294">
        <f t="shared" si="69"/>
        <v>86.078366790175167</v>
      </c>
      <c r="AJ294">
        <f t="shared" si="70"/>
        <v>108.55863320982483</v>
      </c>
      <c r="AL294">
        <f t="shared" si="71"/>
        <v>108.21674137983885</v>
      </c>
      <c r="AM294">
        <f t="shared" si="72"/>
        <v>86.42025862016115</v>
      </c>
    </row>
    <row r="295" spans="1:39" ht="16.5" x14ac:dyDescent="0.25">
      <c r="A295" s="1">
        <v>45274</v>
      </c>
      <c r="B295" s="5">
        <v>102.54</v>
      </c>
      <c r="C295" s="4">
        <v>101.58</v>
      </c>
      <c r="D295" s="4">
        <v>103.96</v>
      </c>
      <c r="E295" s="4">
        <v>101.2</v>
      </c>
      <c r="F295" s="4" t="s">
        <v>492</v>
      </c>
      <c r="G295" s="2" t="s">
        <v>493</v>
      </c>
      <c r="I295">
        <f t="shared" si="59"/>
        <v>96.925499999999985</v>
      </c>
      <c r="J295">
        <f t="shared" si="60"/>
        <v>94.268999999999991</v>
      </c>
      <c r="L295">
        <f t="shared" si="61"/>
        <v>1</v>
      </c>
      <c r="M295">
        <f t="shared" si="62"/>
        <v>0</v>
      </c>
      <c r="O295">
        <f t="shared" si="63"/>
        <v>0.96000000000000796</v>
      </c>
      <c r="P295">
        <f t="shared" si="64"/>
        <v>0</v>
      </c>
      <c r="R295">
        <f t="shared" si="65"/>
        <v>1.0055555555555538</v>
      </c>
      <c r="S295">
        <f t="shared" si="66"/>
        <v>0.84199999999999875</v>
      </c>
      <c r="U295">
        <f t="shared" si="67"/>
        <v>54.426268943949957</v>
      </c>
      <c r="AH295">
        <f t="shared" si="68"/>
        <v>5.4586213014972493</v>
      </c>
      <c r="AI295">
        <f t="shared" si="69"/>
        <v>85.685366790175152</v>
      </c>
      <c r="AJ295">
        <f t="shared" si="70"/>
        <v>108.16563320982482</v>
      </c>
      <c r="AL295">
        <f t="shared" si="71"/>
        <v>107.84274260299449</v>
      </c>
      <c r="AM295">
        <f t="shared" si="72"/>
        <v>86.00825739700548</v>
      </c>
    </row>
    <row r="296" spans="1:39" ht="16.5" x14ac:dyDescent="0.25">
      <c r="A296" s="1">
        <v>45273</v>
      </c>
      <c r="B296" s="5">
        <v>99.69</v>
      </c>
      <c r="C296" s="4">
        <v>100.92</v>
      </c>
      <c r="D296" s="4">
        <v>101.24</v>
      </c>
      <c r="E296" s="4">
        <v>99.69</v>
      </c>
      <c r="F296" s="4" t="s">
        <v>494</v>
      </c>
      <c r="G296" s="2" t="s">
        <v>495</v>
      </c>
      <c r="I296">
        <f t="shared" si="59"/>
        <v>96.501000000000005</v>
      </c>
      <c r="J296">
        <f t="shared" si="60"/>
        <v>94.088250000000002</v>
      </c>
      <c r="L296">
        <f t="shared" si="61"/>
        <v>0</v>
      </c>
      <c r="M296">
        <f t="shared" si="62"/>
        <v>1</v>
      </c>
      <c r="O296">
        <f t="shared" si="63"/>
        <v>0</v>
      </c>
      <c r="P296">
        <f t="shared" si="64"/>
        <v>1.230000000000004</v>
      </c>
      <c r="R296">
        <f t="shared" si="65"/>
        <v>0.90444444444444139</v>
      </c>
      <c r="S296">
        <f t="shared" si="66"/>
        <v>0.84199999999999875</v>
      </c>
      <c r="U296">
        <f t="shared" si="67"/>
        <v>51.787759256902866</v>
      </c>
      <c r="AH296">
        <f t="shared" si="68"/>
        <v>5.4674144865879564</v>
      </c>
      <c r="AI296">
        <f t="shared" si="69"/>
        <v>85.260866790175172</v>
      </c>
      <c r="AJ296">
        <f t="shared" si="70"/>
        <v>107.74113320982484</v>
      </c>
      <c r="AL296">
        <f t="shared" si="71"/>
        <v>107.43582897317592</v>
      </c>
      <c r="AM296">
        <f t="shared" si="72"/>
        <v>85.566171026824094</v>
      </c>
    </row>
    <row r="297" spans="1:39" ht="16.5" x14ac:dyDescent="0.25">
      <c r="A297" s="1">
        <v>45272</v>
      </c>
      <c r="B297" s="5">
        <v>100.94</v>
      </c>
      <c r="C297" s="4">
        <v>101.66</v>
      </c>
      <c r="D297" s="4">
        <v>102.16</v>
      </c>
      <c r="E297" s="4">
        <v>100.94</v>
      </c>
      <c r="F297" s="4" t="s">
        <v>496</v>
      </c>
      <c r="G297" s="2" t="s">
        <v>497</v>
      </c>
      <c r="I297">
        <f t="shared" si="59"/>
        <v>96.319000000000003</v>
      </c>
      <c r="J297">
        <f t="shared" si="60"/>
        <v>94.043750000000003</v>
      </c>
      <c r="L297">
        <f t="shared" si="61"/>
        <v>0</v>
      </c>
      <c r="M297">
        <f t="shared" si="62"/>
        <v>1</v>
      </c>
      <c r="O297">
        <f t="shared" si="63"/>
        <v>0</v>
      </c>
      <c r="P297">
        <f t="shared" si="64"/>
        <v>0.71999999999999886</v>
      </c>
      <c r="R297">
        <f t="shared" si="65"/>
        <v>0.90444444444444139</v>
      </c>
      <c r="S297">
        <f t="shared" si="66"/>
        <v>0.66999999999999882</v>
      </c>
      <c r="U297">
        <f t="shared" si="67"/>
        <v>57.445306986591348</v>
      </c>
      <c r="AH297">
        <f t="shared" si="68"/>
        <v>5.4752884168098435</v>
      </c>
      <c r="AI297">
        <f t="shared" si="69"/>
        <v>85.078866790175169</v>
      </c>
      <c r="AJ297">
        <f t="shared" si="70"/>
        <v>107.55913320982484</v>
      </c>
      <c r="AL297">
        <f t="shared" si="71"/>
        <v>107.26957683361969</v>
      </c>
      <c r="AM297">
        <f t="shared" si="72"/>
        <v>85.36842316638031</v>
      </c>
    </row>
    <row r="298" spans="1:39" ht="16.5" x14ac:dyDescent="0.25">
      <c r="A298" s="1">
        <v>45271</v>
      </c>
      <c r="B298" s="5">
        <v>101.3</v>
      </c>
      <c r="C298" s="4">
        <v>100.9</v>
      </c>
      <c r="D298" s="4">
        <v>101.86</v>
      </c>
      <c r="E298" s="4">
        <v>100.44</v>
      </c>
      <c r="F298" s="4" t="s">
        <v>498</v>
      </c>
      <c r="G298" s="2" t="s">
        <v>138</v>
      </c>
      <c r="I298">
        <f t="shared" si="59"/>
        <v>95.980499999999978</v>
      </c>
      <c r="J298">
        <f t="shared" si="60"/>
        <v>93.976749999999996</v>
      </c>
      <c r="L298">
        <f t="shared" si="61"/>
        <v>1</v>
      </c>
      <c r="M298">
        <f t="shared" si="62"/>
        <v>0</v>
      </c>
      <c r="O298">
        <f t="shared" si="63"/>
        <v>0.39999999999999147</v>
      </c>
      <c r="P298">
        <f t="shared" si="64"/>
        <v>0</v>
      </c>
      <c r="R298">
        <f t="shared" si="65"/>
        <v>0.84799999999999609</v>
      </c>
      <c r="S298">
        <f t="shared" si="66"/>
        <v>0.65749999999999886</v>
      </c>
      <c r="U298">
        <f t="shared" si="67"/>
        <v>56.326801727000927</v>
      </c>
      <c r="AH298">
        <f t="shared" si="68"/>
        <v>5.4827298966241065</v>
      </c>
      <c r="AI298">
        <f t="shared" si="69"/>
        <v>84.740366790175145</v>
      </c>
      <c r="AJ298">
        <f t="shared" si="70"/>
        <v>107.22063320982481</v>
      </c>
      <c r="AL298">
        <f t="shared" si="71"/>
        <v>106.94595979324819</v>
      </c>
      <c r="AM298">
        <f t="shared" si="72"/>
        <v>85.015040206751763</v>
      </c>
    </row>
    <row r="299" spans="1:39" ht="16.5" x14ac:dyDescent="0.25">
      <c r="A299" s="1">
        <v>45268</v>
      </c>
      <c r="B299" s="5">
        <v>100.92</v>
      </c>
      <c r="C299" s="4">
        <v>98.65</v>
      </c>
      <c r="D299" s="4">
        <v>101.56</v>
      </c>
      <c r="E299" s="4">
        <v>98.54</v>
      </c>
      <c r="F299" s="4" t="s">
        <v>302</v>
      </c>
      <c r="G299" s="2" t="s">
        <v>499</v>
      </c>
      <c r="I299">
        <f t="shared" si="59"/>
        <v>95.520499999999998</v>
      </c>
      <c r="J299">
        <f t="shared" si="60"/>
        <v>93.910249999999991</v>
      </c>
      <c r="L299">
        <f t="shared" si="61"/>
        <v>1</v>
      </c>
      <c r="M299">
        <f t="shared" si="62"/>
        <v>0</v>
      </c>
      <c r="O299">
        <f t="shared" si="63"/>
        <v>2.269999999999996</v>
      </c>
      <c r="P299">
        <f t="shared" si="64"/>
        <v>0</v>
      </c>
      <c r="R299">
        <f t="shared" si="65"/>
        <v>0.89777777777777446</v>
      </c>
      <c r="S299">
        <f t="shared" si="66"/>
        <v>0.85799999999999843</v>
      </c>
      <c r="U299">
        <f t="shared" si="67"/>
        <v>51.132768004050071</v>
      </c>
      <c r="AH299">
        <f t="shared" si="68"/>
        <v>5.4892644439824139</v>
      </c>
      <c r="AI299">
        <f t="shared" si="69"/>
        <v>84.280366790175165</v>
      </c>
      <c r="AJ299">
        <f t="shared" si="70"/>
        <v>106.76063320982483</v>
      </c>
      <c r="AL299">
        <f t="shared" si="71"/>
        <v>106.49902888796483</v>
      </c>
      <c r="AM299">
        <f t="shared" si="72"/>
        <v>84.541971112035171</v>
      </c>
    </row>
    <row r="300" spans="1:39" ht="16.5" x14ac:dyDescent="0.25">
      <c r="A300" s="1">
        <v>45267</v>
      </c>
      <c r="B300" s="5">
        <v>98.6</v>
      </c>
      <c r="C300" s="4">
        <v>99.06</v>
      </c>
      <c r="D300" s="4">
        <v>99.22</v>
      </c>
      <c r="E300" s="4">
        <v>98.36</v>
      </c>
      <c r="F300" s="4" t="s">
        <v>500</v>
      </c>
      <c r="G300" s="2" t="s">
        <v>501</v>
      </c>
      <c r="I300">
        <f t="shared" si="59"/>
        <v>95.033499999999989</v>
      </c>
      <c r="J300">
        <f t="shared" si="60"/>
        <v>93.831249999999997</v>
      </c>
      <c r="L300">
        <f t="shared" si="61"/>
        <v>0</v>
      </c>
      <c r="M300">
        <f t="shared" si="62"/>
        <v>1</v>
      </c>
      <c r="O300">
        <f t="shared" si="63"/>
        <v>0</v>
      </c>
      <c r="P300">
        <f t="shared" si="64"/>
        <v>0.46000000000000796</v>
      </c>
      <c r="R300">
        <f t="shared" si="65"/>
        <v>0.67999999999999572</v>
      </c>
      <c r="S300">
        <f t="shared" si="66"/>
        <v>0.85799999999999843</v>
      </c>
      <c r="U300">
        <f t="shared" si="67"/>
        <v>44.213263979193648</v>
      </c>
      <c r="AH300">
        <f t="shared" si="68"/>
        <v>5.4943920620552831</v>
      </c>
      <c r="AI300">
        <f t="shared" si="69"/>
        <v>83.793366790175156</v>
      </c>
      <c r="AJ300">
        <f t="shared" si="70"/>
        <v>106.27363320982482</v>
      </c>
      <c r="AL300">
        <f t="shared" si="71"/>
        <v>106.02228412411056</v>
      </c>
      <c r="AM300">
        <f t="shared" si="72"/>
        <v>84.044715875889423</v>
      </c>
    </row>
    <row r="301" spans="1:39" ht="16.5" x14ac:dyDescent="0.25">
      <c r="A301" s="1">
        <v>45266</v>
      </c>
      <c r="B301" s="5">
        <v>99.35</v>
      </c>
      <c r="C301" s="4">
        <v>97.99</v>
      </c>
      <c r="D301" s="4">
        <v>99.82</v>
      </c>
      <c r="E301" s="4">
        <v>97.61</v>
      </c>
      <c r="F301" s="4" t="s">
        <v>150</v>
      </c>
      <c r="G301" s="2" t="s">
        <v>502</v>
      </c>
      <c r="I301">
        <f t="shared" si="59"/>
        <v>94.713999999999984</v>
      </c>
      <c r="J301">
        <f t="shared" si="60"/>
        <v>93.827250000000006</v>
      </c>
      <c r="L301">
        <f t="shared" si="61"/>
        <v>1</v>
      </c>
      <c r="M301">
        <f t="shared" si="62"/>
        <v>0</v>
      </c>
      <c r="O301">
        <f t="shared" si="63"/>
        <v>1.3599999999999994</v>
      </c>
      <c r="P301">
        <f t="shared" si="64"/>
        <v>0</v>
      </c>
      <c r="R301">
        <f t="shared" si="65"/>
        <v>0.71199999999999619</v>
      </c>
      <c r="S301">
        <f t="shared" si="66"/>
        <v>0.95749999999999602</v>
      </c>
      <c r="U301">
        <f t="shared" si="67"/>
        <v>42.647499251272805</v>
      </c>
      <c r="AH301">
        <f t="shared" si="68"/>
        <v>5.4978134456706096</v>
      </c>
      <c r="AI301">
        <f t="shared" si="69"/>
        <v>83.473866790175151</v>
      </c>
      <c r="AJ301">
        <f t="shared" si="70"/>
        <v>105.95413320982482</v>
      </c>
      <c r="AL301">
        <f t="shared" si="71"/>
        <v>105.7096268913412</v>
      </c>
      <c r="AM301">
        <f t="shared" si="72"/>
        <v>83.718373108658767</v>
      </c>
    </row>
    <row r="302" spans="1:39" ht="16.5" x14ac:dyDescent="0.25">
      <c r="A302" s="1">
        <v>45265</v>
      </c>
      <c r="B302" s="5">
        <v>97.66</v>
      </c>
      <c r="C302" s="4">
        <v>96.2</v>
      </c>
      <c r="D302" s="4">
        <v>97.66</v>
      </c>
      <c r="E302" s="4">
        <v>96.01</v>
      </c>
      <c r="F302" s="4" t="s">
        <v>503</v>
      </c>
      <c r="G302" s="2" t="s">
        <v>426</v>
      </c>
      <c r="I302">
        <f t="shared" si="59"/>
        <v>94.350999999999999</v>
      </c>
      <c r="J302">
        <f t="shared" si="60"/>
        <v>93.806000000000012</v>
      </c>
      <c r="L302">
        <f t="shared" si="61"/>
        <v>1</v>
      </c>
      <c r="M302">
        <f t="shared" si="62"/>
        <v>0</v>
      </c>
      <c r="O302">
        <f t="shared" si="63"/>
        <v>1.4599999999999937</v>
      </c>
      <c r="P302">
        <f t="shared" si="64"/>
        <v>0</v>
      </c>
      <c r="R302">
        <f t="shared" si="65"/>
        <v>0.63999999999999579</v>
      </c>
      <c r="S302">
        <f t="shared" si="66"/>
        <v>1.1339999999999975</v>
      </c>
      <c r="U302">
        <f t="shared" si="67"/>
        <v>36.076662908680845</v>
      </c>
      <c r="AH302">
        <f t="shared" si="68"/>
        <v>5.4999697303268453</v>
      </c>
      <c r="AI302">
        <f t="shared" si="69"/>
        <v>83.110866790175166</v>
      </c>
      <c r="AJ302">
        <f t="shared" si="70"/>
        <v>105.59113320982483</v>
      </c>
      <c r="AL302">
        <f t="shared" si="71"/>
        <v>105.35093946065369</v>
      </c>
      <c r="AM302">
        <f t="shared" si="72"/>
        <v>83.351060539346307</v>
      </c>
    </row>
    <row r="303" spans="1:39" ht="16.5" x14ac:dyDescent="0.25">
      <c r="A303" s="1">
        <v>45264</v>
      </c>
      <c r="B303" s="5">
        <v>96.16</v>
      </c>
      <c r="C303" s="4">
        <v>95.96</v>
      </c>
      <c r="D303" s="4">
        <v>96.42</v>
      </c>
      <c r="E303" s="4">
        <v>94.73</v>
      </c>
      <c r="F303" s="4" t="s">
        <v>504</v>
      </c>
      <c r="G303" s="2" t="s">
        <v>505</v>
      </c>
      <c r="I303">
        <f t="shared" si="59"/>
        <v>94.033499999999975</v>
      </c>
      <c r="J303">
        <f t="shared" si="60"/>
        <v>93.802499999999995</v>
      </c>
      <c r="L303">
        <f t="shared" si="61"/>
        <v>1</v>
      </c>
      <c r="M303">
        <f t="shared" si="62"/>
        <v>0</v>
      </c>
      <c r="O303">
        <f t="shared" si="63"/>
        <v>0.20000000000000284</v>
      </c>
      <c r="P303">
        <f t="shared" si="64"/>
        <v>0</v>
      </c>
      <c r="R303">
        <f t="shared" si="65"/>
        <v>0.63333333333332886</v>
      </c>
      <c r="S303">
        <f t="shared" si="66"/>
        <v>1.1339999999999975</v>
      </c>
      <c r="U303">
        <f t="shared" si="67"/>
        <v>35.835533760844854</v>
      </c>
      <c r="AH303">
        <f t="shared" si="68"/>
        <v>5.5005625267981726</v>
      </c>
      <c r="AI303">
        <f t="shared" si="69"/>
        <v>82.793366790175142</v>
      </c>
      <c r="AJ303">
        <f t="shared" si="70"/>
        <v>105.27363320982481</v>
      </c>
      <c r="AL303">
        <f t="shared" si="71"/>
        <v>105.03462505359632</v>
      </c>
      <c r="AM303">
        <f t="shared" si="72"/>
        <v>83.032374946403635</v>
      </c>
    </row>
    <row r="304" spans="1:39" ht="16.5" x14ac:dyDescent="0.25">
      <c r="A304" s="1">
        <v>45261</v>
      </c>
      <c r="B304" s="5">
        <v>96.19</v>
      </c>
      <c r="C304" s="4">
        <v>95.94</v>
      </c>
      <c r="D304" s="4">
        <v>96.19</v>
      </c>
      <c r="E304" s="4">
        <v>95.17</v>
      </c>
      <c r="F304" s="4" t="s">
        <v>506</v>
      </c>
      <c r="G304" s="2" t="s">
        <v>45</v>
      </c>
      <c r="I304">
        <f t="shared" si="59"/>
        <v>93.86699999999999</v>
      </c>
      <c r="J304">
        <f t="shared" si="60"/>
        <v>93.764750000000006</v>
      </c>
      <c r="L304">
        <f t="shared" si="61"/>
        <v>1</v>
      </c>
      <c r="M304">
        <f t="shared" si="62"/>
        <v>0</v>
      </c>
      <c r="O304">
        <f t="shared" si="63"/>
        <v>0.25</v>
      </c>
      <c r="P304">
        <f t="shared" si="64"/>
        <v>0</v>
      </c>
      <c r="R304">
        <f t="shared" si="65"/>
        <v>0.78555555555555168</v>
      </c>
      <c r="S304">
        <f t="shared" si="66"/>
        <v>1.1339999999999975</v>
      </c>
      <c r="U304">
        <f t="shared" si="67"/>
        <v>40.923824959481294</v>
      </c>
      <c r="AH304">
        <f t="shared" si="68"/>
        <v>5.4996534433207565</v>
      </c>
      <c r="AI304">
        <f t="shared" si="69"/>
        <v>82.626866790175157</v>
      </c>
      <c r="AJ304">
        <f t="shared" si="70"/>
        <v>105.10713320982482</v>
      </c>
      <c r="AL304">
        <f t="shared" si="71"/>
        <v>104.8663068866415</v>
      </c>
      <c r="AM304">
        <f t="shared" si="72"/>
        <v>82.867693113358484</v>
      </c>
    </row>
    <row r="305" spans="1:39" ht="16.5" x14ac:dyDescent="0.25">
      <c r="A305" s="1">
        <v>45260</v>
      </c>
      <c r="B305" s="5">
        <v>95.59</v>
      </c>
      <c r="C305" s="4">
        <v>96.5</v>
      </c>
      <c r="D305" s="4">
        <v>96.94</v>
      </c>
      <c r="E305" s="4">
        <v>95.56</v>
      </c>
      <c r="F305" s="4" t="s">
        <v>507</v>
      </c>
      <c r="G305" s="2" t="s">
        <v>508</v>
      </c>
      <c r="I305">
        <f t="shared" si="59"/>
        <v>93.704999999999998</v>
      </c>
      <c r="J305">
        <f t="shared" si="60"/>
        <v>93.752750000000006</v>
      </c>
      <c r="L305">
        <f t="shared" si="61"/>
        <v>0</v>
      </c>
      <c r="M305">
        <f t="shared" si="62"/>
        <v>1</v>
      </c>
      <c r="O305">
        <f t="shared" si="63"/>
        <v>0</v>
      </c>
      <c r="P305">
        <f t="shared" si="64"/>
        <v>0.90999999999999659</v>
      </c>
      <c r="R305">
        <f t="shared" si="65"/>
        <v>0.84444444444444067</v>
      </c>
      <c r="S305">
        <f t="shared" si="66"/>
        <v>1.1339999999999975</v>
      </c>
      <c r="U305">
        <f t="shared" si="67"/>
        <v>42.682241940918736</v>
      </c>
      <c r="AH305">
        <f t="shared" si="68"/>
        <v>5.4978447753509645</v>
      </c>
      <c r="AI305">
        <f t="shared" si="69"/>
        <v>82.464866790175165</v>
      </c>
      <c r="AJ305">
        <f t="shared" si="70"/>
        <v>104.94513320982483</v>
      </c>
      <c r="AL305">
        <f t="shared" si="71"/>
        <v>104.70068955070192</v>
      </c>
      <c r="AM305">
        <f t="shared" si="72"/>
        <v>82.709310449298073</v>
      </c>
    </row>
    <row r="306" spans="1:39" ht="16.5" x14ac:dyDescent="0.25">
      <c r="A306" s="1">
        <v>45259</v>
      </c>
      <c r="B306" s="5">
        <v>96.07</v>
      </c>
      <c r="C306" s="4">
        <v>94.09</v>
      </c>
      <c r="D306" s="4">
        <v>96.48</v>
      </c>
      <c r="E306" s="4">
        <v>93.74</v>
      </c>
      <c r="F306" s="4" t="s">
        <v>346</v>
      </c>
      <c r="G306" s="2" t="s">
        <v>509</v>
      </c>
      <c r="I306">
        <f t="shared" si="59"/>
        <v>93.47999999999999</v>
      </c>
      <c r="J306">
        <f t="shared" si="60"/>
        <v>93.720249999999993</v>
      </c>
      <c r="L306">
        <f t="shared" si="61"/>
        <v>1</v>
      </c>
      <c r="M306">
        <f t="shared" si="62"/>
        <v>0</v>
      </c>
      <c r="O306">
        <f t="shared" si="63"/>
        <v>1.9799999999999898</v>
      </c>
      <c r="P306">
        <f t="shared" si="64"/>
        <v>0</v>
      </c>
      <c r="R306">
        <f t="shared" si="65"/>
        <v>0.84444444444444067</v>
      </c>
      <c r="S306">
        <f t="shared" si="66"/>
        <v>1.0259999999999962</v>
      </c>
      <c r="U306">
        <f t="shared" si="67"/>
        <v>45.146726862302465</v>
      </c>
      <c r="AH306">
        <f t="shared" si="68"/>
        <v>5.4951114810225672</v>
      </c>
      <c r="AI306">
        <f t="shared" si="69"/>
        <v>82.239866790175157</v>
      </c>
      <c r="AJ306">
        <f t="shared" si="70"/>
        <v>104.72013320982482</v>
      </c>
      <c r="AL306">
        <f t="shared" si="71"/>
        <v>104.47022296204513</v>
      </c>
      <c r="AM306">
        <f t="shared" si="72"/>
        <v>82.489777037954852</v>
      </c>
    </row>
    <row r="307" spans="1:39" ht="16.5" x14ac:dyDescent="0.25">
      <c r="A307" s="1">
        <v>45258</v>
      </c>
      <c r="B307" s="5">
        <v>93.16</v>
      </c>
      <c r="C307" s="4">
        <v>92.99</v>
      </c>
      <c r="D307" s="4">
        <v>93.22</v>
      </c>
      <c r="E307" s="4">
        <v>92.3</v>
      </c>
      <c r="F307" s="4" t="s">
        <v>510</v>
      </c>
      <c r="G307" s="2" t="s">
        <v>163</v>
      </c>
      <c r="I307">
        <f t="shared" si="59"/>
        <v>93.126499999999993</v>
      </c>
      <c r="J307">
        <f t="shared" si="60"/>
        <v>93.703500000000005</v>
      </c>
      <c r="L307">
        <f t="shared" si="61"/>
        <v>1</v>
      </c>
      <c r="M307">
        <f t="shared" si="62"/>
        <v>0</v>
      </c>
      <c r="O307">
        <f t="shared" si="63"/>
        <v>0.17000000000000171</v>
      </c>
      <c r="P307">
        <f t="shared" si="64"/>
        <v>0</v>
      </c>
      <c r="R307">
        <f t="shared" si="65"/>
        <v>0.70249999999999702</v>
      </c>
      <c r="S307">
        <f t="shared" si="66"/>
        <v>0.86499999999999722</v>
      </c>
      <c r="U307">
        <f t="shared" si="67"/>
        <v>44.81658692185006</v>
      </c>
      <c r="AH307">
        <f t="shared" si="68"/>
        <v>5.4910841515053717</v>
      </c>
      <c r="AI307">
        <f t="shared" si="69"/>
        <v>81.88636679017516</v>
      </c>
      <c r="AJ307">
        <f t="shared" si="70"/>
        <v>104.36663320982483</v>
      </c>
      <c r="AL307">
        <f t="shared" si="71"/>
        <v>104.10866830301073</v>
      </c>
      <c r="AM307">
        <f t="shared" si="72"/>
        <v>82.144331696989255</v>
      </c>
    </row>
    <row r="308" spans="1:39" ht="16.5" x14ac:dyDescent="0.25">
      <c r="A308" s="1">
        <v>45257</v>
      </c>
      <c r="B308" s="5">
        <v>93.43</v>
      </c>
      <c r="C308" s="4">
        <v>94.32</v>
      </c>
      <c r="D308" s="4">
        <v>94.39</v>
      </c>
      <c r="E308" s="4">
        <v>93.19</v>
      </c>
      <c r="F308" s="4" t="s">
        <v>511</v>
      </c>
      <c r="G308" s="2" t="s">
        <v>292</v>
      </c>
      <c r="I308">
        <f t="shared" si="59"/>
        <v>92.84999999999998</v>
      </c>
      <c r="J308">
        <f t="shared" si="60"/>
        <v>93.757000000000005</v>
      </c>
      <c r="L308">
        <f t="shared" si="61"/>
        <v>0</v>
      </c>
      <c r="M308">
        <f t="shared" si="62"/>
        <v>1</v>
      </c>
      <c r="O308">
        <f t="shared" si="63"/>
        <v>0</v>
      </c>
      <c r="P308">
        <f t="shared" si="64"/>
        <v>0.88999999999998636</v>
      </c>
      <c r="R308">
        <f t="shared" si="65"/>
        <v>0.80499999999999794</v>
      </c>
      <c r="S308">
        <f t="shared" si="66"/>
        <v>0.86499999999999722</v>
      </c>
      <c r="U308">
        <f t="shared" si="67"/>
        <v>48.203592814371277</v>
      </c>
      <c r="AH308">
        <f t="shared" si="68"/>
        <v>5.4849866482544325</v>
      </c>
      <c r="AI308">
        <f t="shared" si="69"/>
        <v>81.609866790175147</v>
      </c>
      <c r="AJ308">
        <f t="shared" si="70"/>
        <v>104.09013320982481</v>
      </c>
      <c r="AL308">
        <f t="shared" si="71"/>
        <v>103.81997329650885</v>
      </c>
      <c r="AM308">
        <f t="shared" si="72"/>
        <v>81.880026703491112</v>
      </c>
    </row>
    <row r="309" spans="1:39" ht="16.5" x14ac:dyDescent="0.25">
      <c r="A309" s="1">
        <v>45254</v>
      </c>
      <c r="B309" s="5">
        <v>94.05</v>
      </c>
      <c r="C309" s="4">
        <v>94</v>
      </c>
      <c r="D309" s="4">
        <v>94.16</v>
      </c>
      <c r="E309" s="4">
        <v>92.95</v>
      </c>
      <c r="F309" s="4" t="s">
        <v>512</v>
      </c>
      <c r="G309" s="2" t="s">
        <v>513</v>
      </c>
      <c r="I309">
        <f t="shared" si="59"/>
        <v>92.563999999999993</v>
      </c>
      <c r="J309">
        <f t="shared" si="60"/>
        <v>93.825500000000005</v>
      </c>
      <c r="L309">
        <f t="shared" si="61"/>
        <v>1</v>
      </c>
      <c r="M309">
        <f t="shared" si="62"/>
        <v>0</v>
      </c>
      <c r="O309">
        <f t="shared" si="63"/>
        <v>4.9999999999997158E-2</v>
      </c>
      <c r="P309">
        <f t="shared" si="64"/>
        <v>0</v>
      </c>
      <c r="R309">
        <f t="shared" si="65"/>
        <v>0.80499999999999794</v>
      </c>
      <c r="S309">
        <f t="shared" si="66"/>
        <v>0.91499999999999915</v>
      </c>
      <c r="U309">
        <f t="shared" si="67"/>
        <v>46.802325581395309</v>
      </c>
      <c r="AH309">
        <f t="shared" si="68"/>
        <v>5.4771002027746167</v>
      </c>
      <c r="AI309">
        <f t="shared" si="69"/>
        <v>81.32386679017516</v>
      </c>
      <c r="AJ309">
        <f t="shared" si="70"/>
        <v>103.80413320982483</v>
      </c>
      <c r="AL309">
        <f t="shared" si="71"/>
        <v>103.51820040554922</v>
      </c>
      <c r="AM309">
        <f t="shared" si="72"/>
        <v>81.609799594450763</v>
      </c>
    </row>
    <row r="310" spans="1:39" ht="16.5" x14ac:dyDescent="0.25">
      <c r="A310" s="1">
        <v>45253</v>
      </c>
      <c r="B310" s="5">
        <v>94.13</v>
      </c>
      <c r="C310" s="4">
        <v>94.5</v>
      </c>
      <c r="D310" s="4">
        <v>94.86</v>
      </c>
      <c r="E310" s="4">
        <v>94.12</v>
      </c>
      <c r="F310" s="4" t="s">
        <v>514</v>
      </c>
      <c r="G310" s="2" t="s">
        <v>121</v>
      </c>
      <c r="I310">
        <f t="shared" si="59"/>
        <v>92.285999999999973</v>
      </c>
      <c r="J310">
        <f t="shared" si="60"/>
        <v>93.883750000000006</v>
      </c>
      <c r="L310">
        <f t="shared" si="61"/>
        <v>0</v>
      </c>
      <c r="M310">
        <f t="shared" si="62"/>
        <v>1</v>
      </c>
      <c r="O310">
        <f t="shared" si="63"/>
        <v>0</v>
      </c>
      <c r="P310">
        <f t="shared" si="64"/>
        <v>0.37000000000000455</v>
      </c>
      <c r="R310">
        <f t="shared" si="65"/>
        <v>0.91285714285714092</v>
      </c>
      <c r="S310">
        <f t="shared" si="66"/>
        <v>1.0085714285714289</v>
      </c>
      <c r="U310">
        <f t="shared" si="67"/>
        <v>47.509293680297333</v>
      </c>
      <c r="AH310">
        <f t="shared" si="68"/>
        <v>5.4672485699777509</v>
      </c>
      <c r="AI310">
        <f t="shared" si="69"/>
        <v>81.04586679017514</v>
      </c>
      <c r="AJ310">
        <f t="shared" si="70"/>
        <v>103.52613320982481</v>
      </c>
      <c r="AL310">
        <f t="shared" si="71"/>
        <v>103.22049713995547</v>
      </c>
      <c r="AM310">
        <f t="shared" si="72"/>
        <v>81.351502860044477</v>
      </c>
    </row>
    <row r="311" spans="1:39" ht="16.5" x14ac:dyDescent="0.25">
      <c r="A311" s="1">
        <v>45252</v>
      </c>
      <c r="B311" s="5">
        <v>94.24</v>
      </c>
      <c r="C311" s="4">
        <v>93.9</v>
      </c>
      <c r="D311" s="4">
        <v>94.57</v>
      </c>
      <c r="E311" s="4">
        <v>93.24</v>
      </c>
      <c r="F311" s="4" t="s">
        <v>515</v>
      </c>
      <c r="G311" s="2" t="s">
        <v>516</v>
      </c>
      <c r="I311">
        <f t="shared" si="59"/>
        <v>92.010999999999996</v>
      </c>
      <c r="J311">
        <f t="shared" si="60"/>
        <v>93.959250000000026</v>
      </c>
      <c r="L311">
        <f t="shared" si="61"/>
        <v>1</v>
      </c>
      <c r="M311">
        <f t="shared" si="62"/>
        <v>0</v>
      </c>
      <c r="O311">
        <f t="shared" si="63"/>
        <v>0.3399999999999892</v>
      </c>
      <c r="P311">
        <f t="shared" si="64"/>
        <v>0</v>
      </c>
      <c r="R311">
        <f t="shared" si="65"/>
        <v>0.91285714285714092</v>
      </c>
      <c r="S311">
        <f t="shared" si="66"/>
        <v>0.9642857142857143</v>
      </c>
      <c r="U311">
        <f t="shared" si="67"/>
        <v>48.630136986301316</v>
      </c>
      <c r="AH311">
        <f t="shared" si="68"/>
        <v>5.4553515398126802</v>
      </c>
      <c r="AI311">
        <f t="shared" si="69"/>
        <v>80.770866790175162</v>
      </c>
      <c r="AJ311">
        <f t="shared" si="70"/>
        <v>103.25113320982483</v>
      </c>
      <c r="AL311">
        <f t="shared" si="71"/>
        <v>102.92170307962536</v>
      </c>
      <c r="AM311">
        <f t="shared" si="72"/>
        <v>81.100296920374632</v>
      </c>
    </row>
    <row r="312" spans="1:39" ht="16.5" x14ac:dyDescent="0.25">
      <c r="A312" s="1">
        <v>45251</v>
      </c>
      <c r="B312" s="5">
        <v>93.55</v>
      </c>
      <c r="C312" s="4">
        <v>95.21</v>
      </c>
      <c r="D312" s="4">
        <v>95.37</v>
      </c>
      <c r="E312" s="4">
        <v>93.55</v>
      </c>
      <c r="F312" s="4" t="s">
        <v>457</v>
      </c>
      <c r="G312" s="2" t="s">
        <v>517</v>
      </c>
      <c r="I312">
        <f t="shared" si="59"/>
        <v>91.868000000000009</v>
      </c>
      <c r="J312">
        <f t="shared" si="60"/>
        <v>94.02275000000003</v>
      </c>
      <c r="L312">
        <f t="shared" si="61"/>
        <v>0</v>
      </c>
      <c r="M312">
        <f t="shared" si="62"/>
        <v>1</v>
      </c>
      <c r="O312">
        <f t="shared" si="63"/>
        <v>0</v>
      </c>
      <c r="P312">
        <f t="shared" si="64"/>
        <v>1.6599999999999966</v>
      </c>
      <c r="R312">
        <f t="shared" si="65"/>
        <v>1.02</v>
      </c>
      <c r="S312">
        <f t="shared" si="66"/>
        <v>0.9642857142857143</v>
      </c>
      <c r="U312">
        <f t="shared" si="67"/>
        <v>51.403887688984888</v>
      </c>
      <c r="AH312">
        <f t="shared" si="68"/>
        <v>5.4412964816647458</v>
      </c>
      <c r="AI312">
        <f t="shared" si="69"/>
        <v>80.627866790175176</v>
      </c>
      <c r="AJ312">
        <f t="shared" si="70"/>
        <v>103.10813320982484</v>
      </c>
      <c r="AL312">
        <f t="shared" si="71"/>
        <v>102.7505929633295</v>
      </c>
      <c r="AM312">
        <f t="shared" si="72"/>
        <v>80.985407036670523</v>
      </c>
    </row>
    <row r="313" spans="1:39" ht="16.5" x14ac:dyDescent="0.25">
      <c r="A313" s="1">
        <v>45250</v>
      </c>
      <c r="B313" s="5">
        <v>95.74</v>
      </c>
      <c r="C313" s="4">
        <v>95.43</v>
      </c>
      <c r="D313" s="4">
        <v>95.8</v>
      </c>
      <c r="E313" s="4">
        <v>94.96</v>
      </c>
      <c r="F313" s="4" t="s">
        <v>518</v>
      </c>
      <c r="G313" s="2" t="s">
        <v>38</v>
      </c>
      <c r="I313">
        <f t="shared" si="59"/>
        <v>91.816000000000003</v>
      </c>
      <c r="J313">
        <f t="shared" si="60"/>
        <v>94.083500000000029</v>
      </c>
      <c r="L313">
        <f t="shared" si="61"/>
        <v>1</v>
      </c>
      <c r="M313">
        <f t="shared" si="62"/>
        <v>0</v>
      </c>
      <c r="O313">
        <f t="shared" si="63"/>
        <v>0.30999999999998806</v>
      </c>
      <c r="P313">
        <f t="shared" si="64"/>
        <v>0</v>
      </c>
      <c r="R313">
        <f t="shared" si="65"/>
        <v>0.96749999999999936</v>
      </c>
      <c r="S313">
        <f t="shared" si="66"/>
        <v>0.84833333333333394</v>
      </c>
      <c r="U313">
        <f t="shared" si="67"/>
        <v>53.281321707205102</v>
      </c>
      <c r="AH313">
        <f t="shared" si="68"/>
        <v>5.4258597557730885</v>
      </c>
      <c r="AI313">
        <f t="shared" si="69"/>
        <v>80.575866790175169</v>
      </c>
      <c r="AJ313">
        <f t="shared" si="70"/>
        <v>103.05613320982484</v>
      </c>
      <c r="AL313">
        <f t="shared" si="71"/>
        <v>102.66771951154618</v>
      </c>
      <c r="AM313">
        <f t="shared" si="72"/>
        <v>80.964280488453824</v>
      </c>
    </row>
    <row r="314" spans="1:39" ht="16.5" x14ac:dyDescent="0.25">
      <c r="A314" s="1">
        <v>45247</v>
      </c>
      <c r="B314" s="5">
        <v>95.2</v>
      </c>
      <c r="C314" s="4">
        <v>94.2</v>
      </c>
      <c r="D314" s="4">
        <v>95.67</v>
      </c>
      <c r="E314" s="4">
        <v>94.18</v>
      </c>
      <c r="F314" s="4" t="s">
        <v>101</v>
      </c>
      <c r="G314" s="2" t="s">
        <v>158</v>
      </c>
      <c r="I314">
        <f t="shared" si="59"/>
        <v>91.694500000000005</v>
      </c>
      <c r="J314">
        <f t="shared" si="60"/>
        <v>94.121750000000034</v>
      </c>
      <c r="L314">
        <f t="shared" si="61"/>
        <v>1</v>
      </c>
      <c r="M314">
        <f t="shared" si="62"/>
        <v>0</v>
      </c>
      <c r="O314">
        <f t="shared" si="63"/>
        <v>1</v>
      </c>
      <c r="P314">
        <f t="shared" si="64"/>
        <v>0</v>
      </c>
      <c r="R314">
        <f t="shared" si="65"/>
        <v>0.92999999999999972</v>
      </c>
      <c r="S314">
        <f t="shared" si="66"/>
        <v>0.84833333333333394</v>
      </c>
      <c r="U314">
        <f t="shared" si="67"/>
        <v>52.296157450796592</v>
      </c>
      <c r="AH314">
        <f t="shared" si="68"/>
        <v>5.4096171328175391</v>
      </c>
      <c r="AI314">
        <f t="shared" si="69"/>
        <v>80.454366790175172</v>
      </c>
      <c r="AJ314">
        <f t="shared" si="70"/>
        <v>102.93463320982484</v>
      </c>
      <c r="AL314">
        <f t="shared" si="71"/>
        <v>102.51373426563508</v>
      </c>
      <c r="AM314">
        <f t="shared" si="72"/>
        <v>80.87526573436493</v>
      </c>
    </row>
    <row r="315" spans="1:39" ht="16.5" x14ac:dyDescent="0.25">
      <c r="A315" s="1">
        <v>45246</v>
      </c>
      <c r="B315" s="5">
        <v>94.05</v>
      </c>
      <c r="C315" s="4">
        <v>95.89</v>
      </c>
      <c r="D315" s="4">
        <v>96.58</v>
      </c>
      <c r="E315" s="4">
        <v>94.05</v>
      </c>
      <c r="F315" s="4" t="s">
        <v>519</v>
      </c>
      <c r="G315" s="2" t="s">
        <v>520</v>
      </c>
      <c r="I315">
        <f t="shared" si="59"/>
        <v>91.612500000000011</v>
      </c>
      <c r="J315">
        <f t="shared" si="60"/>
        <v>94.22350000000003</v>
      </c>
      <c r="L315">
        <f t="shared" si="61"/>
        <v>0</v>
      </c>
      <c r="M315">
        <f t="shared" si="62"/>
        <v>1</v>
      </c>
      <c r="O315">
        <f t="shared" si="63"/>
        <v>0</v>
      </c>
      <c r="P315">
        <f t="shared" si="64"/>
        <v>1.8400000000000034</v>
      </c>
      <c r="R315">
        <f t="shared" si="65"/>
        <v>0.91999999999999971</v>
      </c>
      <c r="S315">
        <f t="shared" si="66"/>
        <v>0.87000000000000044</v>
      </c>
      <c r="U315">
        <f t="shared" si="67"/>
        <v>51.396648044692718</v>
      </c>
      <c r="AH315">
        <f t="shared" si="68"/>
        <v>5.392042212327639</v>
      </c>
      <c r="AI315">
        <f t="shared" si="69"/>
        <v>80.372366790175178</v>
      </c>
      <c r="AJ315">
        <f t="shared" si="70"/>
        <v>102.85263320982484</v>
      </c>
      <c r="AL315">
        <f t="shared" si="71"/>
        <v>102.39658442465529</v>
      </c>
      <c r="AM315">
        <f t="shared" si="72"/>
        <v>80.828415575344735</v>
      </c>
    </row>
    <row r="316" spans="1:39" ht="16.5" x14ac:dyDescent="0.25">
      <c r="A316" s="1">
        <v>45245</v>
      </c>
      <c r="B316" s="5">
        <v>96.05</v>
      </c>
      <c r="C316" s="4">
        <v>94.65</v>
      </c>
      <c r="D316" s="4">
        <v>96.21</v>
      </c>
      <c r="E316" s="4">
        <v>94.37</v>
      </c>
      <c r="F316" s="4" t="s">
        <v>31</v>
      </c>
      <c r="G316" s="2" t="s">
        <v>381</v>
      </c>
      <c r="I316">
        <f t="shared" si="59"/>
        <v>91.6755</v>
      </c>
      <c r="J316">
        <f t="shared" si="60"/>
        <v>94.358750000000029</v>
      </c>
      <c r="L316">
        <f t="shared" si="61"/>
        <v>1</v>
      </c>
      <c r="M316">
        <f t="shared" si="62"/>
        <v>0</v>
      </c>
      <c r="O316">
        <f t="shared" si="63"/>
        <v>1.3999999999999915</v>
      </c>
      <c r="P316">
        <f t="shared" si="64"/>
        <v>0</v>
      </c>
      <c r="R316">
        <f t="shared" si="65"/>
        <v>0.91999999999999971</v>
      </c>
      <c r="S316">
        <f t="shared" si="66"/>
        <v>0.68428571428571516</v>
      </c>
      <c r="U316">
        <f t="shared" si="67"/>
        <v>57.346393588601927</v>
      </c>
      <c r="AH316">
        <f t="shared" si="68"/>
        <v>5.3733665610526691</v>
      </c>
      <c r="AI316">
        <f t="shared" si="69"/>
        <v>80.435366790175166</v>
      </c>
      <c r="AJ316">
        <f t="shared" si="70"/>
        <v>102.91563320982483</v>
      </c>
      <c r="AL316">
        <f t="shared" si="71"/>
        <v>102.42223312210534</v>
      </c>
      <c r="AM316">
        <f t="shared" si="72"/>
        <v>80.92876687789466</v>
      </c>
    </row>
    <row r="317" spans="1:39" ht="16.5" x14ac:dyDescent="0.25">
      <c r="A317" s="1">
        <v>45244</v>
      </c>
      <c r="B317" s="5">
        <v>94.17</v>
      </c>
      <c r="C317" s="4">
        <v>92.6</v>
      </c>
      <c r="D317" s="4">
        <v>94.41</v>
      </c>
      <c r="E317" s="4">
        <v>92.4</v>
      </c>
      <c r="F317" s="4" t="s">
        <v>521</v>
      </c>
      <c r="G317" s="2" t="s">
        <v>522</v>
      </c>
      <c r="I317">
        <f t="shared" si="59"/>
        <v>91.768499999999989</v>
      </c>
      <c r="J317">
        <f t="shared" si="60"/>
        <v>94.463500000000025</v>
      </c>
      <c r="L317">
        <f t="shared" si="61"/>
        <v>1</v>
      </c>
      <c r="M317">
        <f t="shared" si="62"/>
        <v>0</v>
      </c>
      <c r="O317">
        <f t="shared" si="63"/>
        <v>1.5700000000000074</v>
      </c>
      <c r="P317">
        <f t="shared" si="64"/>
        <v>0</v>
      </c>
      <c r="R317">
        <f t="shared" si="65"/>
        <v>0.84000000000000108</v>
      </c>
      <c r="S317">
        <f t="shared" si="66"/>
        <v>0.63500000000000156</v>
      </c>
      <c r="U317">
        <f t="shared" si="67"/>
        <v>56.949152542372858</v>
      </c>
      <c r="AH317">
        <f t="shared" si="68"/>
        <v>5.3546270382927768</v>
      </c>
      <c r="AI317">
        <f t="shared" si="69"/>
        <v>80.528366790175156</v>
      </c>
      <c r="AJ317">
        <f t="shared" si="70"/>
        <v>103.00863320982482</v>
      </c>
      <c r="AL317">
        <f t="shared" si="71"/>
        <v>102.47775407658554</v>
      </c>
      <c r="AM317">
        <f t="shared" si="72"/>
        <v>81.059245923414437</v>
      </c>
    </row>
    <row r="318" spans="1:39" ht="16.5" x14ac:dyDescent="0.25">
      <c r="A318" s="1">
        <v>45243</v>
      </c>
      <c r="B318" s="5">
        <v>92.1</v>
      </c>
      <c r="C318" s="4">
        <v>91.32</v>
      </c>
      <c r="D318" s="4">
        <v>92.1</v>
      </c>
      <c r="E318" s="4">
        <v>90.94</v>
      </c>
      <c r="F318" s="4" t="s">
        <v>523</v>
      </c>
      <c r="G318" s="2" t="s">
        <v>524</v>
      </c>
      <c r="I318">
        <f t="shared" si="59"/>
        <v>91.973000000000013</v>
      </c>
      <c r="J318">
        <f t="shared" si="60"/>
        <v>94.550750000000022</v>
      </c>
      <c r="L318">
        <f t="shared" si="61"/>
        <v>1</v>
      </c>
      <c r="M318">
        <f t="shared" si="62"/>
        <v>0</v>
      </c>
      <c r="O318">
        <f t="shared" si="63"/>
        <v>0.78000000000000114</v>
      </c>
      <c r="P318">
        <f t="shared" si="64"/>
        <v>0</v>
      </c>
      <c r="R318">
        <f t="shared" si="65"/>
        <v>0.69399999999999973</v>
      </c>
      <c r="S318">
        <f t="shared" si="66"/>
        <v>0.68222222222222384</v>
      </c>
      <c r="U318">
        <f t="shared" si="67"/>
        <v>50.42790247053118</v>
      </c>
      <c r="AH318">
        <f t="shared" si="68"/>
        <v>5.3360445364385818</v>
      </c>
      <c r="AI318">
        <f t="shared" si="69"/>
        <v>80.73286679017518</v>
      </c>
      <c r="AJ318">
        <f t="shared" si="70"/>
        <v>103.21313320982485</v>
      </c>
      <c r="AL318">
        <f t="shared" si="71"/>
        <v>102.64508907287717</v>
      </c>
      <c r="AM318">
        <f t="shared" si="72"/>
        <v>81.300910927122857</v>
      </c>
    </row>
    <row r="319" spans="1:39" ht="16.5" x14ac:dyDescent="0.25">
      <c r="A319" s="1">
        <v>45240</v>
      </c>
      <c r="B319" s="5">
        <v>91.18</v>
      </c>
      <c r="C319" s="4">
        <v>91.55</v>
      </c>
      <c r="D319" s="4">
        <v>91.64</v>
      </c>
      <c r="E319" s="4">
        <v>90.43</v>
      </c>
      <c r="F319" s="4" t="s">
        <v>525</v>
      </c>
      <c r="G319" s="2" t="s">
        <v>172</v>
      </c>
      <c r="I319">
        <f t="shared" si="59"/>
        <v>92.3</v>
      </c>
      <c r="J319">
        <f t="shared" si="60"/>
        <v>94.667750000000012</v>
      </c>
      <c r="L319">
        <f t="shared" si="61"/>
        <v>0</v>
      </c>
      <c r="M319">
        <f t="shared" si="62"/>
        <v>1</v>
      </c>
      <c r="O319">
        <f t="shared" si="63"/>
        <v>0</v>
      </c>
      <c r="P319">
        <f t="shared" si="64"/>
        <v>0.36999999999999034</v>
      </c>
      <c r="R319">
        <f t="shared" si="65"/>
        <v>0.67249999999999943</v>
      </c>
      <c r="S319">
        <f t="shared" si="66"/>
        <v>0.66600000000000104</v>
      </c>
      <c r="U319">
        <f t="shared" si="67"/>
        <v>50.242809114680547</v>
      </c>
      <c r="AH319">
        <f t="shared" si="68"/>
        <v>5.3184434061599335</v>
      </c>
      <c r="AI319">
        <f t="shared" si="69"/>
        <v>81.059866790175164</v>
      </c>
      <c r="AJ319">
        <f t="shared" si="70"/>
        <v>103.54013320982483</v>
      </c>
      <c r="AL319">
        <f t="shared" si="71"/>
        <v>102.93688681231987</v>
      </c>
      <c r="AM319">
        <f t="shared" si="72"/>
        <v>81.663113187680125</v>
      </c>
    </row>
    <row r="320" spans="1:39" ht="16.5" x14ac:dyDescent="0.25">
      <c r="A320" s="1">
        <v>45239</v>
      </c>
      <c r="B320" s="5">
        <v>92.21</v>
      </c>
      <c r="C320" s="4">
        <v>92.27</v>
      </c>
      <c r="D320" s="4">
        <v>92.94</v>
      </c>
      <c r="E320" s="4">
        <v>91.84</v>
      </c>
      <c r="F320" s="4" t="s">
        <v>526</v>
      </c>
      <c r="G320" s="2" t="s">
        <v>323</v>
      </c>
      <c r="I320">
        <f t="shared" si="59"/>
        <v>92.629000000000005</v>
      </c>
      <c r="J320">
        <f t="shared" si="60"/>
        <v>94.826000000000036</v>
      </c>
      <c r="L320">
        <f t="shared" si="61"/>
        <v>0</v>
      </c>
      <c r="M320">
        <f t="shared" si="62"/>
        <v>1</v>
      </c>
      <c r="O320">
        <f t="shared" si="63"/>
        <v>0</v>
      </c>
      <c r="P320">
        <f t="shared" si="64"/>
        <v>6.0000000000002274E-2</v>
      </c>
      <c r="R320">
        <f t="shared" si="65"/>
        <v>0.67249999999999943</v>
      </c>
      <c r="S320">
        <f t="shared" si="66"/>
        <v>0.65800000000000125</v>
      </c>
      <c r="U320">
        <f t="shared" si="67"/>
        <v>50.544907929349804</v>
      </c>
      <c r="AH320">
        <f t="shared" si="68"/>
        <v>5.3027068022969672</v>
      </c>
      <c r="AI320">
        <f t="shared" si="69"/>
        <v>81.388866790175172</v>
      </c>
      <c r="AJ320">
        <f t="shared" si="70"/>
        <v>103.86913320982484</v>
      </c>
      <c r="AL320">
        <f t="shared" si="71"/>
        <v>103.23441360459394</v>
      </c>
      <c r="AM320">
        <f t="shared" si="72"/>
        <v>82.02358639540607</v>
      </c>
    </row>
    <row r="321" spans="1:39" ht="16.5" x14ac:dyDescent="0.25">
      <c r="A321" s="1">
        <v>45238</v>
      </c>
      <c r="B321" s="5">
        <v>92.09</v>
      </c>
      <c r="C321" s="4">
        <v>91.1</v>
      </c>
      <c r="D321" s="4">
        <v>92.64</v>
      </c>
      <c r="E321" s="4">
        <v>90.71</v>
      </c>
      <c r="F321" s="4" t="s">
        <v>527</v>
      </c>
      <c r="G321" s="2" t="s">
        <v>333</v>
      </c>
      <c r="I321">
        <f t="shared" si="59"/>
        <v>92.940500000000014</v>
      </c>
      <c r="J321">
        <f t="shared" si="60"/>
        <v>94.918750000000031</v>
      </c>
      <c r="L321">
        <f t="shared" si="61"/>
        <v>1</v>
      </c>
      <c r="M321">
        <f t="shared" si="62"/>
        <v>0</v>
      </c>
      <c r="O321">
        <f t="shared" si="63"/>
        <v>0.99000000000000909</v>
      </c>
      <c r="P321">
        <f t="shared" si="64"/>
        <v>0</v>
      </c>
      <c r="R321">
        <f t="shared" si="65"/>
        <v>0.67249999999999943</v>
      </c>
      <c r="S321">
        <f t="shared" si="66"/>
        <v>0.77500000000000147</v>
      </c>
      <c r="U321">
        <f t="shared" si="67"/>
        <v>46.459412780656237</v>
      </c>
      <c r="AH321">
        <f t="shared" si="68"/>
        <v>5.2888258808106077</v>
      </c>
      <c r="AI321">
        <f t="shared" si="69"/>
        <v>81.700366790175181</v>
      </c>
      <c r="AJ321">
        <f t="shared" si="70"/>
        <v>104.18063320982485</v>
      </c>
      <c r="AL321">
        <f t="shared" si="71"/>
        <v>103.51815176162123</v>
      </c>
      <c r="AM321">
        <f t="shared" si="72"/>
        <v>82.362848238378803</v>
      </c>
    </row>
    <row r="322" spans="1:39" ht="16.5" x14ac:dyDescent="0.25">
      <c r="A322" s="1">
        <v>45237</v>
      </c>
      <c r="B322" s="5">
        <v>91.31</v>
      </c>
      <c r="C322" s="4">
        <v>92.5</v>
      </c>
      <c r="D322" s="4">
        <v>93.19</v>
      </c>
      <c r="E322" s="4">
        <v>91.08</v>
      </c>
      <c r="F322" s="4" t="s">
        <v>528</v>
      </c>
      <c r="G322" s="2" t="s">
        <v>465</v>
      </c>
      <c r="I322">
        <f t="shared" si="59"/>
        <v>93.260999999999996</v>
      </c>
      <c r="J322">
        <f t="shared" si="60"/>
        <v>95.050000000000026</v>
      </c>
      <c r="L322">
        <f t="shared" si="61"/>
        <v>0</v>
      </c>
      <c r="M322">
        <f t="shared" si="62"/>
        <v>1</v>
      </c>
      <c r="O322">
        <f t="shared" si="63"/>
        <v>0</v>
      </c>
      <c r="P322">
        <f t="shared" si="64"/>
        <v>1.1899999999999977</v>
      </c>
      <c r="R322">
        <f t="shared" si="65"/>
        <v>0.56666666666666288</v>
      </c>
      <c r="S322">
        <f t="shared" si="66"/>
        <v>0.77090909090909254</v>
      </c>
      <c r="U322">
        <f t="shared" si="67"/>
        <v>42.365201631173321</v>
      </c>
      <c r="AH322">
        <f t="shared" si="68"/>
        <v>5.2766562979475085</v>
      </c>
      <c r="AI322">
        <f t="shared" si="69"/>
        <v>82.020866790175162</v>
      </c>
      <c r="AJ322">
        <f t="shared" si="70"/>
        <v>104.50113320982483</v>
      </c>
      <c r="AL322">
        <f t="shared" si="71"/>
        <v>103.81431259589502</v>
      </c>
      <c r="AM322">
        <f t="shared" si="72"/>
        <v>82.707687404104973</v>
      </c>
    </row>
    <row r="323" spans="1:39" ht="16.5" x14ac:dyDescent="0.25">
      <c r="A323" s="1">
        <v>45236</v>
      </c>
      <c r="B323" s="5">
        <v>92.83</v>
      </c>
      <c r="C323" s="4">
        <v>94.4</v>
      </c>
      <c r="D323" s="4">
        <v>94.54</v>
      </c>
      <c r="E323" s="4">
        <v>92.6</v>
      </c>
      <c r="F323" s="4" t="s">
        <v>529</v>
      </c>
      <c r="G323" s="2" t="s">
        <v>530</v>
      </c>
      <c r="I323">
        <f t="shared" ref="I323:I386" si="73">AVERAGE(B323:B342)</f>
        <v>93.5715</v>
      </c>
      <c r="J323">
        <f t="shared" ref="J323:J386" si="74">AVERAGE(B323:B362)</f>
        <v>95.182750000000027</v>
      </c>
      <c r="L323">
        <f t="shared" ref="L323:L386" si="75">IF($C323&lt;$B323,1,0)</f>
        <v>0</v>
      </c>
      <c r="M323">
        <f t="shared" ref="M323:M386" si="76">IF($C323&lt;$B323,0,1)</f>
        <v>1</v>
      </c>
      <c r="O323">
        <f t="shared" ref="O323:O386" si="77">IF($C323&lt;$B323,B323-C323,0)</f>
        <v>0</v>
      </c>
      <c r="P323">
        <f t="shared" ref="P323:P386" si="78">IF($B323&lt;$C323,C323-B323,0)</f>
        <v>1.5700000000000074</v>
      </c>
      <c r="R323">
        <f t="shared" ref="R323:R386" si="79">SUM(O323:O336)/SUM(L323:L336)</f>
        <v>0.56666666666666288</v>
      </c>
      <c r="S323">
        <f t="shared" ref="S323:S386" si="80">SUM(P323:P336)/SUM(M323:M336)</f>
        <v>0.72454545454545705</v>
      </c>
      <c r="U323">
        <f t="shared" ref="U323:U386" si="81">100-(100/(1+(R323/S323)))</f>
        <v>43.886411640459741</v>
      </c>
      <c r="AH323">
        <f t="shared" ref="AH323:AH386" si="82">_xlfn.STDEV.S(I323:I853)</f>
        <v>5.2662317700133778</v>
      </c>
      <c r="AI323">
        <f t="shared" ref="AI323:AI386" si="83">I323-$AH$2</f>
        <v>82.331366790175167</v>
      </c>
      <c r="AJ323">
        <f t="shared" ref="AJ323:AJ386" si="84">I323+$AH$2</f>
        <v>104.81163320982483</v>
      </c>
      <c r="AL323">
        <f t="shared" ref="AL323:AL386" si="85">I323+(AH323*2)</f>
        <v>104.10396354002675</v>
      </c>
      <c r="AM323">
        <f t="shared" ref="AM323:AM386" si="86">I323-(AH323*2)</f>
        <v>83.039036459973246</v>
      </c>
    </row>
    <row r="324" spans="1:39" ht="16.5" x14ac:dyDescent="0.25">
      <c r="A324" s="1">
        <v>45233</v>
      </c>
      <c r="B324" s="5">
        <v>92.95</v>
      </c>
      <c r="C324" s="4">
        <v>93.01</v>
      </c>
      <c r="D324" s="4">
        <v>94.65</v>
      </c>
      <c r="E324" s="4">
        <v>92.21</v>
      </c>
      <c r="F324" s="4" t="s">
        <v>191</v>
      </c>
      <c r="G324" s="2" t="s">
        <v>391</v>
      </c>
      <c r="I324">
        <f t="shared" si="73"/>
        <v>93.662500000000009</v>
      </c>
      <c r="J324">
        <f t="shared" si="74"/>
        <v>95.275250000000042</v>
      </c>
      <c r="L324">
        <f t="shared" si="75"/>
        <v>0</v>
      </c>
      <c r="M324">
        <f t="shared" si="76"/>
        <v>1</v>
      </c>
      <c r="O324">
        <f t="shared" si="77"/>
        <v>0</v>
      </c>
      <c r="P324">
        <f t="shared" si="78"/>
        <v>6.0000000000002274E-2</v>
      </c>
      <c r="R324">
        <f t="shared" si="79"/>
        <v>0.50249999999999773</v>
      </c>
      <c r="S324">
        <f t="shared" si="80"/>
        <v>0.64000000000000201</v>
      </c>
      <c r="U324">
        <f t="shared" si="81"/>
        <v>43.98249452954029</v>
      </c>
      <c r="AH324">
        <f t="shared" si="82"/>
        <v>5.2574582314162459</v>
      </c>
      <c r="AI324">
        <f t="shared" si="83"/>
        <v>82.422366790175175</v>
      </c>
      <c r="AJ324">
        <f t="shared" si="84"/>
        <v>104.90263320982484</v>
      </c>
      <c r="AL324">
        <f t="shared" si="85"/>
        <v>104.1774164628325</v>
      </c>
      <c r="AM324">
        <f t="shared" si="86"/>
        <v>83.14758353716752</v>
      </c>
    </row>
    <row r="325" spans="1:39" ht="16.5" x14ac:dyDescent="0.25">
      <c r="A325" s="1">
        <v>45232</v>
      </c>
      <c r="B325" s="5">
        <v>91.09</v>
      </c>
      <c r="C325" s="4">
        <v>90</v>
      </c>
      <c r="D325" s="4">
        <v>91.54</v>
      </c>
      <c r="E325" s="4">
        <v>89.66</v>
      </c>
      <c r="F325" s="4" t="s">
        <v>136</v>
      </c>
      <c r="G325" s="2" t="s">
        <v>499</v>
      </c>
      <c r="I325">
        <f t="shared" si="73"/>
        <v>93.800500000000014</v>
      </c>
      <c r="J325">
        <f t="shared" si="74"/>
        <v>95.342000000000027</v>
      </c>
      <c r="L325">
        <f t="shared" si="75"/>
        <v>1</v>
      </c>
      <c r="M325">
        <f t="shared" si="76"/>
        <v>0</v>
      </c>
      <c r="O325">
        <f t="shared" si="77"/>
        <v>1.0900000000000034</v>
      </c>
      <c r="P325">
        <f t="shared" si="78"/>
        <v>0</v>
      </c>
      <c r="R325">
        <f t="shared" si="79"/>
        <v>0.51399999999999868</v>
      </c>
      <c r="S325">
        <f t="shared" si="80"/>
        <v>0.70444444444444643</v>
      </c>
      <c r="U325">
        <f t="shared" si="81"/>
        <v>42.184935254422633</v>
      </c>
      <c r="AH325">
        <f t="shared" si="82"/>
        <v>5.248951474037109</v>
      </c>
      <c r="AI325">
        <f t="shared" si="83"/>
        <v>82.560366790175181</v>
      </c>
      <c r="AJ325">
        <f t="shared" si="84"/>
        <v>105.04063320982485</v>
      </c>
      <c r="AL325">
        <f t="shared" si="85"/>
        <v>104.29840294807423</v>
      </c>
      <c r="AM325">
        <f t="shared" si="86"/>
        <v>83.302597051925801</v>
      </c>
    </row>
    <row r="326" spans="1:39" ht="16.5" x14ac:dyDescent="0.25">
      <c r="A326" s="1">
        <v>45231</v>
      </c>
      <c r="B326" s="5">
        <v>89</v>
      </c>
      <c r="C326" s="4">
        <v>88.4</v>
      </c>
      <c r="D326" s="4">
        <v>89.44</v>
      </c>
      <c r="E326" s="4">
        <v>87.34</v>
      </c>
      <c r="F326" s="4" t="s">
        <v>531</v>
      </c>
      <c r="G326" s="2" t="s">
        <v>426</v>
      </c>
      <c r="I326">
        <f t="shared" si="73"/>
        <v>93.960499999999996</v>
      </c>
      <c r="J326">
        <f t="shared" si="74"/>
        <v>95.440500000000029</v>
      </c>
      <c r="L326">
        <f t="shared" si="75"/>
        <v>1</v>
      </c>
      <c r="M326">
        <f t="shared" si="76"/>
        <v>0</v>
      </c>
      <c r="O326">
        <f t="shared" si="77"/>
        <v>0.59999999999999432</v>
      </c>
      <c r="P326">
        <f t="shared" si="78"/>
        <v>0</v>
      </c>
      <c r="R326">
        <f t="shared" si="79"/>
        <v>0.36999999999999744</v>
      </c>
      <c r="S326">
        <f t="shared" si="80"/>
        <v>0.69900000000000095</v>
      </c>
      <c r="U326">
        <f t="shared" si="81"/>
        <v>34.611786716557347</v>
      </c>
      <c r="AH326">
        <f t="shared" si="82"/>
        <v>5.2410073694316122</v>
      </c>
      <c r="AI326">
        <f t="shared" si="83"/>
        <v>82.720366790175163</v>
      </c>
      <c r="AJ326">
        <f t="shared" si="84"/>
        <v>105.20063320982483</v>
      </c>
      <c r="AL326">
        <f t="shared" si="85"/>
        <v>104.44251473886322</v>
      </c>
      <c r="AM326">
        <f t="shared" si="86"/>
        <v>83.478485261136768</v>
      </c>
    </row>
    <row r="327" spans="1:39" ht="16.5" x14ac:dyDescent="0.25">
      <c r="A327" s="1">
        <v>45230</v>
      </c>
      <c r="B327" s="5">
        <v>87.63</v>
      </c>
      <c r="C327" s="4">
        <v>87.62</v>
      </c>
      <c r="D327" s="4">
        <v>87.92</v>
      </c>
      <c r="E327" s="4">
        <v>86.8</v>
      </c>
      <c r="F327" s="4" t="s">
        <v>532</v>
      </c>
      <c r="G327" s="2" t="s">
        <v>533</v>
      </c>
      <c r="I327">
        <f t="shared" si="73"/>
        <v>94.280500000000004</v>
      </c>
      <c r="J327">
        <f t="shared" si="74"/>
        <v>95.623000000000019</v>
      </c>
      <c r="L327">
        <f t="shared" si="75"/>
        <v>1</v>
      </c>
      <c r="M327">
        <f t="shared" si="76"/>
        <v>0</v>
      </c>
      <c r="O327">
        <f t="shared" si="77"/>
        <v>9.9999999999909051E-3</v>
      </c>
      <c r="P327">
        <f t="shared" si="78"/>
        <v>0</v>
      </c>
      <c r="R327">
        <f t="shared" si="79"/>
        <v>0.29333333333333184</v>
      </c>
      <c r="S327">
        <f t="shared" si="80"/>
        <v>0.72727272727272851</v>
      </c>
      <c r="U327">
        <f t="shared" si="81"/>
        <v>28.741092636579438</v>
      </c>
      <c r="AH327">
        <f t="shared" si="82"/>
        <v>5.2337637568624018</v>
      </c>
      <c r="AI327">
        <f t="shared" si="83"/>
        <v>83.04036679017517</v>
      </c>
      <c r="AJ327">
        <f t="shared" si="84"/>
        <v>105.52063320982484</v>
      </c>
      <c r="AL327">
        <f t="shared" si="85"/>
        <v>104.74802751372481</v>
      </c>
      <c r="AM327">
        <f t="shared" si="86"/>
        <v>83.8129724862752</v>
      </c>
    </row>
    <row r="328" spans="1:39" ht="16.5" x14ac:dyDescent="0.25">
      <c r="A328" s="1">
        <v>45229</v>
      </c>
      <c r="B328" s="5">
        <v>87.71</v>
      </c>
      <c r="C328" s="4">
        <v>88.71</v>
      </c>
      <c r="D328" s="4">
        <v>89.43</v>
      </c>
      <c r="E328" s="4">
        <v>87.38</v>
      </c>
      <c r="F328" s="4" t="s">
        <v>534</v>
      </c>
      <c r="G328" s="2" t="s">
        <v>535</v>
      </c>
      <c r="I328">
        <f t="shared" si="73"/>
        <v>94.664000000000001</v>
      </c>
      <c r="J328">
        <f t="shared" si="74"/>
        <v>95.84550000000003</v>
      </c>
      <c r="L328">
        <f t="shared" si="75"/>
        <v>0</v>
      </c>
      <c r="M328">
        <f t="shared" si="76"/>
        <v>1</v>
      </c>
      <c r="O328">
        <f t="shared" si="77"/>
        <v>0</v>
      </c>
      <c r="P328">
        <f t="shared" si="78"/>
        <v>1</v>
      </c>
      <c r="R328">
        <f t="shared" si="79"/>
        <v>0.74333333333333462</v>
      </c>
      <c r="S328">
        <f t="shared" si="80"/>
        <v>0.72727272727272851</v>
      </c>
      <c r="U328">
        <f t="shared" si="81"/>
        <v>50.546053987224404</v>
      </c>
      <c r="AH328">
        <f t="shared" si="82"/>
        <v>5.2281765794835318</v>
      </c>
      <c r="AI328">
        <f t="shared" si="83"/>
        <v>83.423866790175168</v>
      </c>
      <c r="AJ328">
        <f t="shared" si="84"/>
        <v>105.90413320982483</v>
      </c>
      <c r="AL328">
        <f t="shared" si="85"/>
        <v>105.12035315896706</v>
      </c>
      <c r="AM328">
        <f t="shared" si="86"/>
        <v>84.20764684103294</v>
      </c>
    </row>
    <row r="329" spans="1:39" ht="16.5" x14ac:dyDescent="0.25">
      <c r="A329" s="1">
        <v>45226</v>
      </c>
      <c r="B329" s="5">
        <v>88.49</v>
      </c>
      <c r="C329" s="4">
        <v>89.03</v>
      </c>
      <c r="D329" s="4">
        <v>90.61</v>
      </c>
      <c r="E329" s="4">
        <v>88.26</v>
      </c>
      <c r="F329" s="4" t="s">
        <v>62</v>
      </c>
      <c r="G329" s="2" t="s">
        <v>536</v>
      </c>
      <c r="I329">
        <f t="shared" si="73"/>
        <v>95.087000000000018</v>
      </c>
      <c r="J329">
        <f t="shared" si="74"/>
        <v>96.014750000000035</v>
      </c>
      <c r="L329">
        <f t="shared" si="75"/>
        <v>0</v>
      </c>
      <c r="M329">
        <f t="shared" si="76"/>
        <v>1</v>
      </c>
      <c r="O329">
        <f t="shared" si="77"/>
        <v>0</v>
      </c>
      <c r="P329">
        <f t="shared" si="78"/>
        <v>0.54000000000000625</v>
      </c>
      <c r="R329">
        <f t="shared" si="79"/>
        <v>1.0975000000000001</v>
      </c>
      <c r="S329">
        <f t="shared" si="80"/>
        <v>0.7000000000000014</v>
      </c>
      <c r="U329">
        <f t="shared" si="81"/>
        <v>61.05702364394989</v>
      </c>
      <c r="AH329">
        <f t="shared" si="82"/>
        <v>5.224561249114136</v>
      </c>
      <c r="AI329">
        <f t="shared" si="83"/>
        <v>83.846866790175184</v>
      </c>
      <c r="AJ329">
        <f t="shared" si="84"/>
        <v>106.32713320982485</v>
      </c>
      <c r="AL329">
        <f t="shared" si="85"/>
        <v>105.53612249822829</v>
      </c>
      <c r="AM329">
        <f t="shared" si="86"/>
        <v>84.63787750177174</v>
      </c>
    </row>
    <row r="330" spans="1:39" ht="16.5" x14ac:dyDescent="0.25">
      <c r="A330" s="1">
        <v>45225</v>
      </c>
      <c r="B330" s="5">
        <v>88.63</v>
      </c>
      <c r="C330" s="4">
        <v>88.92</v>
      </c>
      <c r="D330" s="4">
        <v>89.13</v>
      </c>
      <c r="E330" s="4">
        <v>87.17</v>
      </c>
      <c r="F330" s="4" t="s">
        <v>537</v>
      </c>
      <c r="G330" s="2" t="s">
        <v>538</v>
      </c>
      <c r="I330">
        <f t="shared" si="73"/>
        <v>95.481500000000011</v>
      </c>
      <c r="J330">
        <f t="shared" si="74"/>
        <v>96.157500000000027</v>
      </c>
      <c r="L330">
        <f t="shared" si="75"/>
        <v>0</v>
      </c>
      <c r="M330">
        <f t="shared" si="76"/>
        <v>1</v>
      </c>
      <c r="O330">
        <f t="shared" si="77"/>
        <v>0</v>
      </c>
      <c r="P330">
        <f t="shared" si="78"/>
        <v>0.29000000000000625</v>
      </c>
      <c r="R330">
        <f t="shared" si="79"/>
        <v>1.0975000000000001</v>
      </c>
      <c r="S330">
        <f t="shared" si="80"/>
        <v>0.69500000000000028</v>
      </c>
      <c r="U330">
        <f t="shared" si="81"/>
        <v>61.227336122733604</v>
      </c>
      <c r="AH330">
        <f t="shared" si="82"/>
        <v>5.2230489781690146</v>
      </c>
      <c r="AI330">
        <f t="shared" si="83"/>
        <v>84.241366790175178</v>
      </c>
      <c r="AJ330">
        <f t="shared" si="84"/>
        <v>106.72163320982484</v>
      </c>
      <c r="AL330">
        <f t="shared" si="85"/>
        <v>105.92759795633805</v>
      </c>
      <c r="AM330">
        <f t="shared" si="86"/>
        <v>85.035402043661975</v>
      </c>
    </row>
    <row r="331" spans="1:39" ht="16.5" x14ac:dyDescent="0.25">
      <c r="A331" s="1">
        <v>45224</v>
      </c>
      <c r="B331" s="5">
        <v>91.38</v>
      </c>
      <c r="C331" s="4">
        <v>92.44</v>
      </c>
      <c r="D331" s="4">
        <v>92.51</v>
      </c>
      <c r="E331" s="4">
        <v>90.6</v>
      </c>
      <c r="F331" s="4" t="s">
        <v>539</v>
      </c>
      <c r="G331" s="2" t="s">
        <v>540</v>
      </c>
      <c r="I331">
        <f t="shared" si="73"/>
        <v>95.907499999999999</v>
      </c>
      <c r="J331">
        <f t="shared" si="74"/>
        <v>96.371000000000009</v>
      </c>
      <c r="L331">
        <f t="shared" si="75"/>
        <v>0</v>
      </c>
      <c r="M331">
        <f t="shared" si="76"/>
        <v>1</v>
      </c>
      <c r="O331">
        <f t="shared" si="77"/>
        <v>0</v>
      </c>
      <c r="P331">
        <f t="shared" si="78"/>
        <v>1.0600000000000023</v>
      </c>
      <c r="R331">
        <f t="shared" si="79"/>
        <v>1.1619999999999977</v>
      </c>
      <c r="S331">
        <f t="shared" si="80"/>
        <v>0.73999999999999966</v>
      </c>
      <c r="U331">
        <f t="shared" si="81"/>
        <v>61.093585699263905</v>
      </c>
      <c r="AH331">
        <f t="shared" si="82"/>
        <v>5.2233934327818234</v>
      </c>
      <c r="AI331">
        <f t="shared" si="83"/>
        <v>84.667366790175166</v>
      </c>
      <c r="AJ331">
        <f t="shared" si="84"/>
        <v>107.14763320982483</v>
      </c>
      <c r="AL331">
        <f t="shared" si="85"/>
        <v>106.35428686556365</v>
      </c>
      <c r="AM331">
        <f t="shared" si="86"/>
        <v>85.460713134436347</v>
      </c>
    </row>
    <row r="332" spans="1:39" ht="16.5" x14ac:dyDescent="0.25">
      <c r="A332" s="1">
        <v>45223</v>
      </c>
      <c r="B332" s="5">
        <v>92.51</v>
      </c>
      <c r="C332" s="4">
        <v>93.03</v>
      </c>
      <c r="D332" s="4">
        <v>93.39</v>
      </c>
      <c r="E332" s="4">
        <v>92.2</v>
      </c>
      <c r="F332" s="4" t="s">
        <v>541</v>
      </c>
      <c r="G332" s="2" t="s">
        <v>542</v>
      </c>
      <c r="I332">
        <f t="shared" si="73"/>
        <v>96.177500000000023</v>
      </c>
      <c r="J332">
        <f t="shared" si="74"/>
        <v>96.518000000000043</v>
      </c>
      <c r="L332">
        <f t="shared" si="75"/>
        <v>0</v>
      </c>
      <c r="M332">
        <f t="shared" si="76"/>
        <v>1</v>
      </c>
      <c r="O332">
        <f t="shared" si="77"/>
        <v>0</v>
      </c>
      <c r="P332">
        <f t="shared" si="78"/>
        <v>0.51999999999999602</v>
      </c>
      <c r="R332">
        <f t="shared" si="79"/>
        <v>1.1619999999999977</v>
      </c>
      <c r="S332">
        <f t="shared" si="80"/>
        <v>0.71999999999999886</v>
      </c>
      <c r="U332">
        <f t="shared" si="81"/>
        <v>61.74282678002124</v>
      </c>
      <c r="AH332">
        <f t="shared" si="82"/>
        <v>5.2256441844915855</v>
      </c>
      <c r="AI332">
        <f t="shared" si="83"/>
        <v>84.93736679017519</v>
      </c>
      <c r="AJ332">
        <f t="shared" si="84"/>
        <v>107.41763320982486</v>
      </c>
      <c r="AL332">
        <f t="shared" si="85"/>
        <v>106.62878836898319</v>
      </c>
      <c r="AM332">
        <f t="shared" si="86"/>
        <v>85.726211631016852</v>
      </c>
    </row>
    <row r="333" spans="1:39" ht="16.5" x14ac:dyDescent="0.25">
      <c r="A333" s="1">
        <v>45222</v>
      </c>
      <c r="B333" s="5">
        <v>93.31</v>
      </c>
      <c r="C333" s="4">
        <v>93.6</v>
      </c>
      <c r="D333" s="4">
        <v>93.75</v>
      </c>
      <c r="E333" s="4">
        <v>91.71</v>
      </c>
      <c r="F333" s="4" t="s">
        <v>543</v>
      </c>
      <c r="G333" s="2" t="s">
        <v>544</v>
      </c>
      <c r="I333">
        <f t="shared" si="73"/>
        <v>96.351000000000013</v>
      </c>
      <c r="J333">
        <f t="shared" si="74"/>
        <v>96.64475000000003</v>
      </c>
      <c r="L333">
        <f t="shared" si="75"/>
        <v>0</v>
      </c>
      <c r="M333">
        <f t="shared" si="76"/>
        <v>1</v>
      </c>
      <c r="O333">
        <f t="shared" si="77"/>
        <v>0</v>
      </c>
      <c r="P333">
        <f t="shared" si="78"/>
        <v>0.28999999999999204</v>
      </c>
      <c r="R333">
        <f t="shared" si="79"/>
        <v>1.034999999999999</v>
      </c>
      <c r="S333">
        <f t="shared" si="80"/>
        <v>0.74499999999999922</v>
      </c>
      <c r="U333">
        <f t="shared" si="81"/>
        <v>58.146067415730336</v>
      </c>
      <c r="AH333">
        <f t="shared" si="82"/>
        <v>5.2290152055861991</v>
      </c>
      <c r="AI333">
        <f t="shared" si="83"/>
        <v>85.11086679017518</v>
      </c>
      <c r="AJ333">
        <f t="shared" si="84"/>
        <v>107.59113320982485</v>
      </c>
      <c r="AL333">
        <f t="shared" si="85"/>
        <v>106.80903041117242</v>
      </c>
      <c r="AM333">
        <f t="shared" si="86"/>
        <v>85.892969588827611</v>
      </c>
    </row>
    <row r="334" spans="1:39" ht="16.5" x14ac:dyDescent="0.25">
      <c r="A334" s="1">
        <v>45219</v>
      </c>
      <c r="B334" s="5">
        <v>93.56</v>
      </c>
      <c r="C334" s="4">
        <v>94.79</v>
      </c>
      <c r="D334" s="4">
        <v>94.8</v>
      </c>
      <c r="E334" s="4">
        <v>93.13</v>
      </c>
      <c r="F334" s="4" t="s">
        <v>134</v>
      </c>
      <c r="G334" s="2" t="s">
        <v>545</v>
      </c>
      <c r="I334">
        <f t="shared" si="73"/>
        <v>96.548999999999992</v>
      </c>
      <c r="J334">
        <f t="shared" si="74"/>
        <v>96.727000000000004</v>
      </c>
      <c r="L334">
        <f t="shared" si="75"/>
        <v>0</v>
      </c>
      <c r="M334">
        <f t="shared" si="76"/>
        <v>1</v>
      </c>
      <c r="O334">
        <f t="shared" si="77"/>
        <v>0</v>
      </c>
      <c r="P334">
        <f t="shared" si="78"/>
        <v>1.230000000000004</v>
      </c>
      <c r="R334">
        <f t="shared" si="79"/>
        <v>1.034999999999999</v>
      </c>
      <c r="S334">
        <f t="shared" si="80"/>
        <v>0.79000000000000092</v>
      </c>
      <c r="U334">
        <f t="shared" si="81"/>
        <v>56.712328767123232</v>
      </c>
      <c r="AH334">
        <f t="shared" si="82"/>
        <v>5.2330651062196445</v>
      </c>
      <c r="AI334">
        <f t="shared" si="83"/>
        <v>85.308866790175159</v>
      </c>
      <c r="AJ334">
        <f t="shared" si="84"/>
        <v>107.78913320982483</v>
      </c>
      <c r="AL334">
        <f t="shared" si="85"/>
        <v>107.01513021243929</v>
      </c>
      <c r="AM334">
        <f t="shared" si="86"/>
        <v>86.082869787560696</v>
      </c>
    </row>
    <row r="335" spans="1:39" ht="16.5" x14ac:dyDescent="0.25">
      <c r="A335" s="1">
        <v>45218</v>
      </c>
      <c r="B335" s="5">
        <v>95.31</v>
      </c>
      <c r="C335" s="4">
        <v>96.04</v>
      </c>
      <c r="D335" s="4">
        <v>96.69</v>
      </c>
      <c r="E335" s="4">
        <v>95.1</v>
      </c>
      <c r="F335" s="4" t="s">
        <v>62</v>
      </c>
      <c r="G335" s="2" t="s">
        <v>75</v>
      </c>
      <c r="I335">
        <f t="shared" si="73"/>
        <v>96.83450000000002</v>
      </c>
      <c r="J335">
        <f t="shared" si="74"/>
        <v>96.800750000000036</v>
      </c>
      <c r="L335">
        <f t="shared" si="75"/>
        <v>0</v>
      </c>
      <c r="M335">
        <f t="shared" si="76"/>
        <v>1</v>
      </c>
      <c r="O335">
        <f t="shared" si="77"/>
        <v>0</v>
      </c>
      <c r="P335">
        <f t="shared" si="78"/>
        <v>0.73000000000000398</v>
      </c>
      <c r="R335">
        <f t="shared" si="79"/>
        <v>1.034999999999999</v>
      </c>
      <c r="S335">
        <f t="shared" si="80"/>
        <v>0.74249999999999972</v>
      </c>
      <c r="U335">
        <f t="shared" si="81"/>
        <v>58.227848101265806</v>
      </c>
      <c r="AH335">
        <f t="shared" si="82"/>
        <v>5.2378828415950442</v>
      </c>
      <c r="AI335">
        <f t="shared" si="83"/>
        <v>85.594366790175187</v>
      </c>
      <c r="AJ335">
        <f t="shared" si="84"/>
        <v>108.07463320982485</v>
      </c>
      <c r="AL335">
        <f t="shared" si="85"/>
        <v>107.31026568319011</v>
      </c>
      <c r="AM335">
        <f t="shared" si="86"/>
        <v>86.35873431680993</v>
      </c>
    </row>
    <row r="336" spans="1:39" ht="16.5" x14ac:dyDescent="0.25">
      <c r="A336" s="1">
        <v>45217</v>
      </c>
      <c r="B336" s="5">
        <v>97.91</v>
      </c>
      <c r="C336" s="4">
        <v>98.59</v>
      </c>
      <c r="D336" s="4">
        <v>99.09</v>
      </c>
      <c r="E336" s="4">
        <v>97.68</v>
      </c>
      <c r="F336" s="4" t="s">
        <v>546</v>
      </c>
      <c r="G336" s="2" t="s">
        <v>497</v>
      </c>
      <c r="I336">
        <f t="shared" si="73"/>
        <v>97.042000000000002</v>
      </c>
      <c r="J336">
        <f t="shared" si="74"/>
        <v>96.837500000000034</v>
      </c>
      <c r="L336">
        <f t="shared" si="75"/>
        <v>0</v>
      </c>
      <c r="M336">
        <f t="shared" si="76"/>
        <v>1</v>
      </c>
      <c r="O336">
        <f t="shared" si="77"/>
        <v>0</v>
      </c>
      <c r="P336">
        <f t="shared" si="78"/>
        <v>0.68000000000000682</v>
      </c>
      <c r="R336">
        <f t="shared" si="79"/>
        <v>1.034999999999999</v>
      </c>
      <c r="S336">
        <f t="shared" si="80"/>
        <v>0.77125000000000021</v>
      </c>
      <c r="U336">
        <f t="shared" si="81"/>
        <v>57.301038062283709</v>
      </c>
      <c r="AH336">
        <f t="shared" si="82"/>
        <v>5.2437884411166129</v>
      </c>
      <c r="AI336">
        <f t="shared" si="83"/>
        <v>85.801866790175168</v>
      </c>
      <c r="AJ336">
        <f t="shared" si="84"/>
        <v>108.28213320982483</v>
      </c>
      <c r="AL336">
        <f t="shared" si="85"/>
        <v>107.52957688223323</v>
      </c>
      <c r="AM336">
        <f t="shared" si="86"/>
        <v>86.554423117766774</v>
      </c>
    </row>
    <row r="337" spans="1:39" ht="16.5" x14ac:dyDescent="0.25">
      <c r="A337" s="1">
        <v>45216</v>
      </c>
      <c r="B337" s="5">
        <v>98.26</v>
      </c>
      <c r="C337" s="4">
        <v>97.95</v>
      </c>
      <c r="D337" s="4">
        <v>98.54</v>
      </c>
      <c r="E337" s="4">
        <v>97.28</v>
      </c>
      <c r="F337" s="4" t="s">
        <v>547</v>
      </c>
      <c r="G337" s="2" t="s">
        <v>548</v>
      </c>
      <c r="I337">
        <f t="shared" si="73"/>
        <v>97.158500000000004</v>
      </c>
      <c r="J337">
        <f t="shared" si="74"/>
        <v>96.850500000000039</v>
      </c>
      <c r="L337">
        <f t="shared" si="75"/>
        <v>1</v>
      </c>
      <c r="M337">
        <f t="shared" si="76"/>
        <v>0</v>
      </c>
      <c r="O337">
        <f t="shared" si="77"/>
        <v>0.31000000000000227</v>
      </c>
      <c r="P337">
        <f t="shared" si="78"/>
        <v>0</v>
      </c>
      <c r="R337">
        <f t="shared" si="79"/>
        <v>0.92285714285714193</v>
      </c>
      <c r="S337">
        <f t="shared" si="80"/>
        <v>0.78428571428571359</v>
      </c>
      <c r="U337">
        <f t="shared" si="81"/>
        <v>54.058577405857733</v>
      </c>
      <c r="AH337">
        <f t="shared" si="82"/>
        <v>5.250449403240304</v>
      </c>
      <c r="AI337">
        <f t="shared" si="83"/>
        <v>85.91836679017517</v>
      </c>
      <c r="AJ337">
        <f t="shared" si="84"/>
        <v>108.39863320982484</v>
      </c>
      <c r="AL337">
        <f t="shared" si="85"/>
        <v>107.65939880648061</v>
      </c>
      <c r="AM337">
        <f t="shared" si="86"/>
        <v>86.657601193519397</v>
      </c>
    </row>
    <row r="338" spans="1:39" ht="16.5" x14ac:dyDescent="0.25">
      <c r="A338" s="1">
        <v>45215</v>
      </c>
      <c r="B338" s="5">
        <v>98.64</v>
      </c>
      <c r="C338" s="4">
        <v>98.08</v>
      </c>
      <c r="D338" s="4">
        <v>98.89</v>
      </c>
      <c r="E338" s="4">
        <v>97.16</v>
      </c>
      <c r="F338" s="4" t="s">
        <v>549</v>
      </c>
      <c r="G338" s="2" t="s">
        <v>550</v>
      </c>
      <c r="I338">
        <f t="shared" si="73"/>
        <v>97.128500000000003</v>
      </c>
      <c r="J338">
        <f t="shared" si="74"/>
        <v>96.886500000000026</v>
      </c>
      <c r="L338">
        <f t="shared" si="75"/>
        <v>1</v>
      </c>
      <c r="M338">
        <f t="shared" si="76"/>
        <v>0</v>
      </c>
      <c r="O338">
        <f t="shared" si="77"/>
        <v>0.56000000000000227</v>
      </c>
      <c r="P338">
        <f t="shared" si="78"/>
        <v>0</v>
      </c>
      <c r="R338">
        <f t="shared" si="79"/>
        <v>1.0642857142857127</v>
      </c>
      <c r="S338">
        <f t="shared" si="80"/>
        <v>0.78428571428571359</v>
      </c>
      <c r="U338">
        <f t="shared" si="81"/>
        <v>57.573415765069541</v>
      </c>
      <c r="AH338">
        <f t="shared" si="82"/>
        <v>5.2575226707997773</v>
      </c>
      <c r="AI338">
        <f t="shared" si="83"/>
        <v>85.888366790175169</v>
      </c>
      <c r="AJ338">
        <f t="shared" si="84"/>
        <v>108.36863320982484</v>
      </c>
      <c r="AL338">
        <f t="shared" si="85"/>
        <v>107.64354534159956</v>
      </c>
      <c r="AM338">
        <f t="shared" si="86"/>
        <v>86.613454658400443</v>
      </c>
    </row>
    <row r="339" spans="1:39" ht="16.5" x14ac:dyDescent="0.25">
      <c r="A339" s="1">
        <v>45212</v>
      </c>
      <c r="B339" s="5">
        <v>97.76</v>
      </c>
      <c r="C339" s="4">
        <v>98.41</v>
      </c>
      <c r="D339" s="4">
        <v>99.16</v>
      </c>
      <c r="E339" s="4">
        <v>97.49</v>
      </c>
      <c r="F339" s="4" t="s">
        <v>551</v>
      </c>
      <c r="G339" s="2" t="s">
        <v>410</v>
      </c>
      <c r="I339">
        <f t="shared" si="73"/>
        <v>97.035499999999999</v>
      </c>
      <c r="J339">
        <f t="shared" si="74"/>
        <v>96.901500000000013</v>
      </c>
      <c r="L339">
        <f t="shared" si="75"/>
        <v>0</v>
      </c>
      <c r="M339">
        <f t="shared" si="76"/>
        <v>1</v>
      </c>
      <c r="O339">
        <f t="shared" si="77"/>
        <v>0</v>
      </c>
      <c r="P339">
        <f t="shared" si="78"/>
        <v>0.64999999999999147</v>
      </c>
      <c r="R339">
        <f t="shared" si="79"/>
        <v>1.148333333333331</v>
      </c>
      <c r="S339">
        <f t="shared" si="80"/>
        <v>0.85374999999999801</v>
      </c>
      <c r="U339">
        <f t="shared" si="81"/>
        <v>57.356919875130082</v>
      </c>
      <c r="AH339">
        <f t="shared" si="82"/>
        <v>5.2644845494730221</v>
      </c>
      <c r="AI339">
        <f t="shared" si="83"/>
        <v>85.795366790175166</v>
      </c>
      <c r="AJ339">
        <f t="shared" si="84"/>
        <v>108.27563320982483</v>
      </c>
      <c r="AL339">
        <f t="shared" si="85"/>
        <v>107.56446909894605</v>
      </c>
      <c r="AM339">
        <f t="shared" si="86"/>
        <v>86.506530901053949</v>
      </c>
    </row>
    <row r="340" spans="1:39" ht="16.5" x14ac:dyDescent="0.25">
      <c r="A340" s="1">
        <v>45211</v>
      </c>
      <c r="B340" s="5">
        <v>98.44</v>
      </c>
      <c r="C340" s="4">
        <v>99.45</v>
      </c>
      <c r="D340" s="4">
        <v>99.46</v>
      </c>
      <c r="E340" s="4">
        <v>97.89</v>
      </c>
      <c r="F340" s="4" t="s">
        <v>552</v>
      </c>
      <c r="G340" s="2" t="s">
        <v>553</v>
      </c>
      <c r="I340">
        <f t="shared" si="73"/>
        <v>97.022999999999996</v>
      </c>
      <c r="J340">
        <f t="shared" si="74"/>
        <v>96.913750000000022</v>
      </c>
      <c r="L340">
        <f t="shared" si="75"/>
        <v>0</v>
      </c>
      <c r="M340">
        <f t="shared" si="76"/>
        <v>1</v>
      </c>
      <c r="O340">
        <f t="shared" si="77"/>
        <v>0</v>
      </c>
      <c r="P340">
        <f t="shared" si="78"/>
        <v>1.0100000000000051</v>
      </c>
      <c r="R340">
        <f t="shared" si="79"/>
        <v>1.148333333333331</v>
      </c>
      <c r="S340">
        <f t="shared" si="80"/>
        <v>0.91874999999999929</v>
      </c>
      <c r="U340">
        <f t="shared" si="81"/>
        <v>55.553315863737119</v>
      </c>
      <c r="AH340">
        <f t="shared" si="82"/>
        <v>5.2710958908324583</v>
      </c>
      <c r="AI340">
        <f t="shared" si="83"/>
        <v>85.782866790175163</v>
      </c>
      <c r="AJ340">
        <f t="shared" si="84"/>
        <v>108.26313320982483</v>
      </c>
      <c r="AL340">
        <f t="shared" si="85"/>
        <v>107.56519178166491</v>
      </c>
      <c r="AM340">
        <f t="shared" si="86"/>
        <v>86.480808218335085</v>
      </c>
    </row>
    <row r="341" spans="1:39" ht="16.5" x14ac:dyDescent="0.25">
      <c r="A341" s="1">
        <v>45210</v>
      </c>
      <c r="B341" s="5">
        <v>98.5</v>
      </c>
      <c r="C341" s="4">
        <v>97.14</v>
      </c>
      <c r="D341" s="4">
        <v>98.7</v>
      </c>
      <c r="E341" s="4">
        <v>96.5</v>
      </c>
      <c r="F341" s="4" t="s">
        <v>521</v>
      </c>
      <c r="G341" s="2" t="s">
        <v>554</v>
      </c>
      <c r="I341">
        <f t="shared" si="73"/>
        <v>96.897000000000006</v>
      </c>
      <c r="J341">
        <f t="shared" si="74"/>
        <v>96.930250000000015</v>
      </c>
      <c r="L341">
        <f t="shared" si="75"/>
        <v>1</v>
      </c>
      <c r="M341">
        <f t="shared" si="76"/>
        <v>0</v>
      </c>
      <c r="O341">
        <f t="shared" si="77"/>
        <v>1.3599999999999994</v>
      </c>
      <c r="P341">
        <f t="shared" si="78"/>
        <v>0</v>
      </c>
      <c r="R341">
        <f t="shared" si="79"/>
        <v>1.0328571428571394</v>
      </c>
      <c r="S341">
        <f t="shared" si="80"/>
        <v>0.90571428571428414</v>
      </c>
      <c r="U341">
        <f t="shared" si="81"/>
        <v>53.279292557111226</v>
      </c>
      <c r="AH341">
        <f t="shared" si="82"/>
        <v>5.2776465466699376</v>
      </c>
      <c r="AI341">
        <f t="shared" si="83"/>
        <v>85.656866790175172</v>
      </c>
      <c r="AJ341">
        <f t="shared" si="84"/>
        <v>108.13713320982484</v>
      </c>
      <c r="AL341">
        <f t="shared" si="85"/>
        <v>107.45229309333988</v>
      </c>
      <c r="AM341">
        <f t="shared" si="86"/>
        <v>86.341706906660136</v>
      </c>
    </row>
    <row r="342" spans="1:39" ht="16.5" x14ac:dyDescent="0.25">
      <c r="A342" s="1">
        <v>45209</v>
      </c>
      <c r="B342" s="5">
        <v>97.52</v>
      </c>
      <c r="C342" s="4">
        <v>95.36</v>
      </c>
      <c r="D342" s="4">
        <v>97.73</v>
      </c>
      <c r="E342" s="4">
        <v>95.3</v>
      </c>
      <c r="F342" s="4" t="s">
        <v>555</v>
      </c>
      <c r="G342" s="2" t="s">
        <v>556</v>
      </c>
      <c r="I342">
        <f t="shared" si="73"/>
        <v>96.838999999999999</v>
      </c>
      <c r="J342">
        <f t="shared" si="74"/>
        <v>96.961750000000023</v>
      </c>
      <c r="L342">
        <f t="shared" si="75"/>
        <v>1</v>
      </c>
      <c r="M342">
        <f t="shared" si="76"/>
        <v>0</v>
      </c>
      <c r="O342">
        <f t="shared" si="77"/>
        <v>2.1599999999999966</v>
      </c>
      <c r="P342">
        <f t="shared" si="78"/>
        <v>0</v>
      </c>
      <c r="R342">
        <f t="shared" si="79"/>
        <v>0.97833333333332939</v>
      </c>
      <c r="S342">
        <f t="shared" si="80"/>
        <v>0.80874999999999986</v>
      </c>
      <c r="U342">
        <f t="shared" si="81"/>
        <v>54.744695733271058</v>
      </c>
      <c r="AH342">
        <f t="shared" si="82"/>
        <v>5.2836908097226605</v>
      </c>
      <c r="AI342">
        <f t="shared" si="83"/>
        <v>85.598866790175165</v>
      </c>
      <c r="AJ342">
        <f t="shared" si="84"/>
        <v>108.07913320982483</v>
      </c>
      <c r="AL342">
        <f t="shared" si="85"/>
        <v>107.40638161944531</v>
      </c>
      <c r="AM342">
        <f t="shared" si="86"/>
        <v>86.271618380554685</v>
      </c>
    </row>
    <row r="343" spans="1:39" ht="16.5" x14ac:dyDescent="0.25">
      <c r="A343" s="1">
        <v>45208</v>
      </c>
      <c r="B343" s="5">
        <v>94.65</v>
      </c>
      <c r="C343" s="4">
        <v>95.14</v>
      </c>
      <c r="D343" s="4">
        <v>95.14</v>
      </c>
      <c r="E343" s="4">
        <v>93.71</v>
      </c>
      <c r="F343" s="4" t="s">
        <v>557</v>
      </c>
      <c r="G343" s="2" t="s">
        <v>82</v>
      </c>
      <c r="I343">
        <f t="shared" si="73"/>
        <v>96.794000000000011</v>
      </c>
      <c r="J343">
        <f t="shared" si="74"/>
        <v>97.004000000000019</v>
      </c>
      <c r="L343">
        <f t="shared" si="75"/>
        <v>0</v>
      </c>
      <c r="M343">
        <f t="shared" si="76"/>
        <v>1</v>
      </c>
      <c r="O343">
        <f t="shared" si="77"/>
        <v>0</v>
      </c>
      <c r="P343">
        <f t="shared" si="78"/>
        <v>0.48999999999999488</v>
      </c>
      <c r="R343">
        <f t="shared" si="79"/>
        <v>1.0049999999999955</v>
      </c>
      <c r="S343">
        <f t="shared" si="80"/>
        <v>0.80874999999999986</v>
      </c>
      <c r="U343">
        <f t="shared" si="81"/>
        <v>55.410062026188726</v>
      </c>
      <c r="AH343">
        <f t="shared" si="82"/>
        <v>5.2894756707118136</v>
      </c>
      <c r="AI343">
        <f t="shared" si="83"/>
        <v>85.553866790175178</v>
      </c>
      <c r="AJ343">
        <f t="shared" si="84"/>
        <v>108.03413320982484</v>
      </c>
      <c r="AL343">
        <f t="shared" si="85"/>
        <v>107.37295134142364</v>
      </c>
      <c r="AM343">
        <f t="shared" si="86"/>
        <v>86.215048658576379</v>
      </c>
    </row>
    <row r="344" spans="1:39" ht="16.5" x14ac:dyDescent="0.25">
      <c r="A344" s="1">
        <v>45205</v>
      </c>
      <c r="B344" s="5">
        <v>95.71</v>
      </c>
      <c r="C344" s="4">
        <v>94.29</v>
      </c>
      <c r="D344" s="4">
        <v>95.71</v>
      </c>
      <c r="E344" s="4">
        <v>93.99</v>
      </c>
      <c r="F344" s="4" t="s">
        <v>124</v>
      </c>
      <c r="G344" s="2" t="s">
        <v>558</v>
      </c>
      <c r="I344">
        <f t="shared" si="73"/>
        <v>96.888000000000005</v>
      </c>
      <c r="J344">
        <f t="shared" si="74"/>
        <v>97.140250000000009</v>
      </c>
      <c r="L344">
        <f t="shared" si="75"/>
        <v>1</v>
      </c>
      <c r="M344">
        <f t="shared" si="76"/>
        <v>0</v>
      </c>
      <c r="O344">
        <f t="shared" si="77"/>
        <v>1.4199999999999875</v>
      </c>
      <c r="P344">
        <f t="shared" si="78"/>
        <v>0</v>
      </c>
      <c r="R344">
        <f t="shared" si="79"/>
        <v>0.9742857142857092</v>
      </c>
      <c r="S344">
        <f t="shared" si="80"/>
        <v>0.85428571428571487</v>
      </c>
      <c r="U344">
        <f t="shared" si="81"/>
        <v>53.281249999999851</v>
      </c>
      <c r="AH344">
        <f t="shared" si="82"/>
        <v>5.2950434178270891</v>
      </c>
      <c r="AI344">
        <f t="shared" si="83"/>
        <v>85.647866790175172</v>
      </c>
      <c r="AJ344">
        <f t="shared" si="84"/>
        <v>108.12813320982484</v>
      </c>
      <c r="AL344">
        <f t="shared" si="85"/>
        <v>107.47808683565418</v>
      </c>
      <c r="AM344">
        <f t="shared" si="86"/>
        <v>86.297913164345829</v>
      </c>
    </row>
    <row r="345" spans="1:39" ht="16.5" x14ac:dyDescent="0.25">
      <c r="A345" s="1">
        <v>45204</v>
      </c>
      <c r="B345" s="5">
        <v>94.29</v>
      </c>
      <c r="C345" s="4">
        <v>95.17</v>
      </c>
      <c r="D345" s="4">
        <v>95.62</v>
      </c>
      <c r="E345" s="4">
        <v>94.17</v>
      </c>
      <c r="F345" s="4" t="s">
        <v>559</v>
      </c>
      <c r="G345" s="2" t="s">
        <v>153</v>
      </c>
      <c r="I345">
        <f t="shared" si="73"/>
        <v>96.883499999999998</v>
      </c>
      <c r="J345">
        <f t="shared" si="74"/>
        <v>97.247249999999994</v>
      </c>
      <c r="L345">
        <f t="shared" si="75"/>
        <v>0</v>
      </c>
      <c r="M345">
        <f t="shared" si="76"/>
        <v>1</v>
      </c>
      <c r="O345">
        <f t="shared" si="77"/>
        <v>0</v>
      </c>
      <c r="P345">
        <f t="shared" si="78"/>
        <v>0.87999999999999545</v>
      </c>
      <c r="R345">
        <f t="shared" si="79"/>
        <v>0.89999999999999625</v>
      </c>
      <c r="S345">
        <f t="shared" si="80"/>
        <v>0.82125000000000092</v>
      </c>
      <c r="U345">
        <f t="shared" si="81"/>
        <v>52.287581699346269</v>
      </c>
      <c r="AH345">
        <f t="shared" si="82"/>
        <v>5.3009625485647414</v>
      </c>
      <c r="AI345">
        <f t="shared" si="83"/>
        <v>85.643366790175165</v>
      </c>
      <c r="AJ345">
        <f t="shared" si="84"/>
        <v>108.12363320982483</v>
      </c>
      <c r="AL345">
        <f t="shared" si="85"/>
        <v>107.48542509712948</v>
      </c>
      <c r="AM345">
        <f t="shared" si="86"/>
        <v>86.281574902870517</v>
      </c>
    </row>
    <row r="346" spans="1:39" ht="16.5" x14ac:dyDescent="0.25">
      <c r="A346" s="1">
        <v>45203</v>
      </c>
      <c r="B346" s="5">
        <v>95.4</v>
      </c>
      <c r="C346" s="4">
        <v>95</v>
      </c>
      <c r="D346" s="4">
        <v>95.93</v>
      </c>
      <c r="E346" s="4">
        <v>93.66</v>
      </c>
      <c r="F346" s="4" t="s">
        <v>560</v>
      </c>
      <c r="G346" s="2" t="s">
        <v>180</v>
      </c>
      <c r="I346">
        <f t="shared" si="73"/>
        <v>96.920500000000004</v>
      </c>
      <c r="J346">
        <f t="shared" si="74"/>
        <v>97.4375</v>
      </c>
      <c r="L346">
        <f t="shared" si="75"/>
        <v>1</v>
      </c>
      <c r="M346">
        <f t="shared" si="76"/>
        <v>0</v>
      </c>
      <c r="O346">
        <f t="shared" si="77"/>
        <v>0.40000000000000568</v>
      </c>
      <c r="P346">
        <f t="shared" si="78"/>
        <v>0</v>
      </c>
      <c r="R346">
        <f t="shared" si="79"/>
        <v>0.84428571428571175</v>
      </c>
      <c r="S346">
        <f t="shared" si="80"/>
        <v>0.81285714285714461</v>
      </c>
      <c r="U346">
        <f t="shared" si="81"/>
        <v>50.948275862068833</v>
      </c>
      <c r="AH346">
        <f t="shared" si="82"/>
        <v>5.3068316928729331</v>
      </c>
      <c r="AI346">
        <f t="shared" si="83"/>
        <v>85.680366790175171</v>
      </c>
      <c r="AJ346">
        <f t="shared" si="84"/>
        <v>108.16063320982484</v>
      </c>
      <c r="AL346">
        <f t="shared" si="85"/>
        <v>107.53416338574587</v>
      </c>
      <c r="AM346">
        <f t="shared" si="86"/>
        <v>86.306836614254138</v>
      </c>
    </row>
    <row r="347" spans="1:39" ht="16.5" x14ac:dyDescent="0.25">
      <c r="A347" s="1">
        <v>45202</v>
      </c>
      <c r="B347" s="5">
        <v>95.3</v>
      </c>
      <c r="C347" s="4">
        <v>95.95</v>
      </c>
      <c r="D347" s="4">
        <v>96.5</v>
      </c>
      <c r="E347" s="4">
        <v>95.23</v>
      </c>
      <c r="F347" s="4" t="s">
        <v>561</v>
      </c>
      <c r="G347" s="2" t="s">
        <v>253</v>
      </c>
      <c r="I347">
        <f t="shared" si="73"/>
        <v>96.965499999999992</v>
      </c>
      <c r="J347">
        <f t="shared" si="74"/>
        <v>97.586499999999987</v>
      </c>
      <c r="L347">
        <f t="shared" si="75"/>
        <v>0</v>
      </c>
      <c r="M347">
        <f t="shared" si="76"/>
        <v>1</v>
      </c>
      <c r="O347">
        <f t="shared" si="77"/>
        <v>0</v>
      </c>
      <c r="P347">
        <f t="shared" si="78"/>
        <v>0.65000000000000568</v>
      </c>
      <c r="R347">
        <f t="shared" si="79"/>
        <v>0.91833333333332945</v>
      </c>
      <c r="S347">
        <f t="shared" si="80"/>
        <v>0.77375000000000149</v>
      </c>
      <c r="U347">
        <f t="shared" si="81"/>
        <v>54.272346712632199</v>
      </c>
      <c r="AH347">
        <f t="shared" si="82"/>
        <v>5.3128208730768467</v>
      </c>
      <c r="AI347">
        <f t="shared" si="83"/>
        <v>85.725366790175158</v>
      </c>
      <c r="AJ347">
        <f t="shared" si="84"/>
        <v>108.20563320982482</v>
      </c>
      <c r="AL347">
        <f t="shared" si="85"/>
        <v>107.59114174615368</v>
      </c>
      <c r="AM347">
        <f t="shared" si="86"/>
        <v>86.339858253846302</v>
      </c>
    </row>
    <row r="348" spans="1:39" ht="16.5" x14ac:dyDescent="0.25">
      <c r="A348" s="1">
        <v>45201</v>
      </c>
      <c r="B348" s="5">
        <v>96.17</v>
      </c>
      <c r="C348" s="4">
        <v>97.02</v>
      </c>
      <c r="D348" s="4">
        <v>97.41</v>
      </c>
      <c r="E348" s="4">
        <v>95.77</v>
      </c>
      <c r="F348" s="4" t="s">
        <v>562</v>
      </c>
      <c r="G348" s="2" t="s">
        <v>563</v>
      </c>
      <c r="I348">
        <f t="shared" si="73"/>
        <v>97.027000000000015</v>
      </c>
      <c r="J348">
        <f t="shared" si="74"/>
        <v>97.750500000000017</v>
      </c>
      <c r="L348">
        <f t="shared" si="75"/>
        <v>0</v>
      </c>
      <c r="M348">
        <f t="shared" si="76"/>
        <v>1</v>
      </c>
      <c r="O348">
        <f t="shared" si="77"/>
        <v>0</v>
      </c>
      <c r="P348">
        <f t="shared" si="78"/>
        <v>0.84999999999999432</v>
      </c>
      <c r="R348">
        <f t="shared" si="79"/>
        <v>0.92142857142856782</v>
      </c>
      <c r="S348">
        <f t="shared" si="80"/>
        <v>0.79142857142857237</v>
      </c>
      <c r="U348">
        <f t="shared" si="81"/>
        <v>53.794829024186704</v>
      </c>
      <c r="AH348">
        <f t="shared" si="82"/>
        <v>5.3189643930355208</v>
      </c>
      <c r="AI348">
        <f t="shared" si="83"/>
        <v>85.786866790175182</v>
      </c>
      <c r="AJ348">
        <f t="shared" si="84"/>
        <v>108.26713320982485</v>
      </c>
      <c r="AL348">
        <f t="shared" si="85"/>
        <v>107.66492878607106</v>
      </c>
      <c r="AM348">
        <f t="shared" si="86"/>
        <v>86.389071213928972</v>
      </c>
    </row>
    <row r="349" spans="1:39" ht="16.5" x14ac:dyDescent="0.25">
      <c r="A349" s="1">
        <v>45198</v>
      </c>
      <c r="B349" s="5">
        <v>96.38</v>
      </c>
      <c r="C349" s="4">
        <v>97.34</v>
      </c>
      <c r="D349" s="4">
        <v>97.68</v>
      </c>
      <c r="E349" s="4">
        <v>96.33</v>
      </c>
      <c r="F349" s="4" t="s">
        <v>564</v>
      </c>
      <c r="G349" s="2" t="s">
        <v>565</v>
      </c>
      <c r="I349">
        <f t="shared" si="73"/>
        <v>96.94250000000001</v>
      </c>
      <c r="J349">
        <f t="shared" si="74"/>
        <v>97.939750000000004</v>
      </c>
      <c r="L349">
        <f t="shared" si="75"/>
        <v>0</v>
      </c>
      <c r="M349">
        <f t="shared" si="76"/>
        <v>1</v>
      </c>
      <c r="O349">
        <f t="shared" si="77"/>
        <v>0</v>
      </c>
      <c r="P349">
        <f t="shared" si="78"/>
        <v>0.96000000000000796</v>
      </c>
      <c r="R349">
        <f t="shared" si="79"/>
        <v>0.92142857142856782</v>
      </c>
      <c r="S349">
        <f t="shared" si="80"/>
        <v>0.70857142857142974</v>
      </c>
      <c r="U349">
        <f t="shared" si="81"/>
        <v>56.529360210341672</v>
      </c>
      <c r="AH349">
        <f t="shared" si="82"/>
        <v>5.325331647029901</v>
      </c>
      <c r="AI349">
        <f t="shared" si="83"/>
        <v>85.702366790175176</v>
      </c>
      <c r="AJ349">
        <f t="shared" si="84"/>
        <v>108.18263320982484</v>
      </c>
      <c r="AL349">
        <f t="shared" si="85"/>
        <v>107.59316329405981</v>
      </c>
      <c r="AM349">
        <f t="shared" si="86"/>
        <v>86.291836705940213</v>
      </c>
    </row>
    <row r="350" spans="1:39" ht="16.5" x14ac:dyDescent="0.25">
      <c r="A350" s="1">
        <v>45197</v>
      </c>
      <c r="B350" s="5">
        <v>97.15</v>
      </c>
      <c r="C350" s="4">
        <v>96.9</v>
      </c>
      <c r="D350" s="4">
        <v>97.2</v>
      </c>
      <c r="E350" s="4">
        <v>95.89</v>
      </c>
      <c r="F350" s="4" t="s">
        <v>566</v>
      </c>
      <c r="G350" s="2" t="s">
        <v>138</v>
      </c>
      <c r="I350">
        <f t="shared" si="73"/>
        <v>96.833500000000001</v>
      </c>
      <c r="J350">
        <f t="shared" si="74"/>
        <v>98.132249999999999</v>
      </c>
      <c r="L350">
        <f t="shared" si="75"/>
        <v>1</v>
      </c>
      <c r="M350">
        <f t="shared" si="76"/>
        <v>0</v>
      </c>
      <c r="O350">
        <f t="shared" si="77"/>
        <v>0.25</v>
      </c>
      <c r="P350">
        <f t="shared" si="78"/>
        <v>0</v>
      </c>
      <c r="R350">
        <f t="shared" si="79"/>
        <v>0.85124999999999673</v>
      </c>
      <c r="S350">
        <f t="shared" si="80"/>
        <v>0.66666666666666663</v>
      </c>
      <c r="U350">
        <f t="shared" si="81"/>
        <v>56.08015371946189</v>
      </c>
      <c r="AH350">
        <f t="shared" si="82"/>
        <v>5.3313180049252873</v>
      </c>
      <c r="AI350">
        <f t="shared" si="83"/>
        <v>85.593366790175168</v>
      </c>
      <c r="AJ350">
        <f t="shared" si="84"/>
        <v>108.07363320982483</v>
      </c>
      <c r="AL350">
        <f t="shared" si="85"/>
        <v>107.49613600985057</v>
      </c>
      <c r="AM350">
        <f t="shared" si="86"/>
        <v>86.170863990149428</v>
      </c>
    </row>
    <row r="351" spans="1:39" ht="16.5" x14ac:dyDescent="0.25">
      <c r="A351" s="1">
        <v>45196</v>
      </c>
      <c r="B351" s="5">
        <v>96.78</v>
      </c>
      <c r="C351" s="4">
        <v>95.48</v>
      </c>
      <c r="D351" s="4">
        <v>97.1</v>
      </c>
      <c r="E351" s="4">
        <v>95.38</v>
      </c>
      <c r="F351" s="4" t="s">
        <v>567</v>
      </c>
      <c r="G351" s="2" t="s">
        <v>568</v>
      </c>
      <c r="I351">
        <f t="shared" si="73"/>
        <v>96.834500000000006</v>
      </c>
      <c r="J351">
        <f t="shared" si="74"/>
        <v>98.277999999999992</v>
      </c>
      <c r="L351">
        <f t="shared" si="75"/>
        <v>1</v>
      </c>
      <c r="M351">
        <f t="shared" si="76"/>
        <v>0</v>
      </c>
      <c r="O351">
        <f t="shared" si="77"/>
        <v>1.2999999999999972</v>
      </c>
      <c r="P351">
        <f t="shared" si="78"/>
        <v>0</v>
      </c>
      <c r="R351">
        <f t="shared" si="79"/>
        <v>0.82499999999999751</v>
      </c>
      <c r="S351">
        <f t="shared" si="80"/>
        <v>0.66666666666666663</v>
      </c>
      <c r="U351">
        <f t="shared" si="81"/>
        <v>55.307262569832325</v>
      </c>
      <c r="AH351">
        <f t="shared" si="82"/>
        <v>5.336796656561849</v>
      </c>
      <c r="AI351">
        <f t="shared" si="83"/>
        <v>85.594366790175172</v>
      </c>
      <c r="AJ351">
        <f t="shared" si="84"/>
        <v>108.07463320982484</v>
      </c>
      <c r="AL351">
        <f t="shared" si="85"/>
        <v>107.50809331312371</v>
      </c>
      <c r="AM351">
        <f t="shared" si="86"/>
        <v>86.160906686876302</v>
      </c>
    </row>
    <row r="352" spans="1:39" ht="16.5" x14ac:dyDescent="0.25">
      <c r="A352" s="1">
        <v>45195</v>
      </c>
      <c r="B352" s="5">
        <v>95.98</v>
      </c>
      <c r="C352" s="4">
        <v>97.32</v>
      </c>
      <c r="D352" s="4">
        <v>97.32</v>
      </c>
      <c r="E352" s="4">
        <v>95.3</v>
      </c>
      <c r="F352" s="4" t="s">
        <v>569</v>
      </c>
      <c r="G352" s="2" t="s">
        <v>570</v>
      </c>
      <c r="I352">
        <f t="shared" si="73"/>
        <v>96.858499999999992</v>
      </c>
      <c r="J352">
        <f t="shared" si="74"/>
        <v>98.49</v>
      </c>
      <c r="L352">
        <f t="shared" si="75"/>
        <v>0</v>
      </c>
      <c r="M352">
        <f t="shared" si="76"/>
        <v>1</v>
      </c>
      <c r="O352">
        <f t="shared" si="77"/>
        <v>0</v>
      </c>
      <c r="P352">
        <f t="shared" si="78"/>
        <v>1.3399999999999892</v>
      </c>
      <c r="R352">
        <f t="shared" si="79"/>
        <v>0.75714285714285467</v>
      </c>
      <c r="S352">
        <f t="shared" si="80"/>
        <v>0.6600000000000007</v>
      </c>
      <c r="U352">
        <f t="shared" si="81"/>
        <v>53.427419354838598</v>
      </c>
      <c r="AH352">
        <f t="shared" si="82"/>
        <v>5.3422323766571553</v>
      </c>
      <c r="AI352">
        <f t="shared" si="83"/>
        <v>85.618366790175159</v>
      </c>
      <c r="AJ352">
        <f t="shared" si="84"/>
        <v>108.09863320982483</v>
      </c>
      <c r="AL352">
        <f t="shared" si="85"/>
        <v>107.54296475331431</v>
      </c>
      <c r="AM352">
        <f t="shared" si="86"/>
        <v>86.174035246685676</v>
      </c>
    </row>
    <row r="353" spans="1:39" ht="16.5" x14ac:dyDescent="0.25">
      <c r="A353" s="1">
        <v>45194</v>
      </c>
      <c r="B353" s="5">
        <v>97.27</v>
      </c>
      <c r="C353" s="4">
        <v>98.44</v>
      </c>
      <c r="D353" s="4">
        <v>98.9</v>
      </c>
      <c r="E353" s="4">
        <v>96.79</v>
      </c>
      <c r="F353" s="4" t="s">
        <v>571</v>
      </c>
      <c r="G353" s="2" t="s">
        <v>277</v>
      </c>
      <c r="I353">
        <f t="shared" si="73"/>
        <v>96.938499999999991</v>
      </c>
      <c r="J353">
        <f t="shared" si="74"/>
        <v>98.712499999999991</v>
      </c>
      <c r="L353">
        <f t="shared" si="75"/>
        <v>0</v>
      </c>
      <c r="M353">
        <f t="shared" si="76"/>
        <v>1</v>
      </c>
      <c r="O353">
        <f t="shared" si="77"/>
        <v>0</v>
      </c>
      <c r="P353">
        <f t="shared" si="78"/>
        <v>1.1700000000000017</v>
      </c>
      <c r="R353">
        <f t="shared" si="79"/>
        <v>0.68374999999999808</v>
      </c>
      <c r="S353">
        <f t="shared" si="80"/>
        <v>0.54666666666666919</v>
      </c>
      <c r="U353">
        <f t="shared" si="81"/>
        <v>55.570606163223651</v>
      </c>
      <c r="AH353">
        <f t="shared" si="82"/>
        <v>5.3477256087991591</v>
      </c>
      <c r="AI353">
        <f t="shared" si="83"/>
        <v>85.698366790175157</v>
      </c>
      <c r="AJ353">
        <f t="shared" si="84"/>
        <v>108.17863320982482</v>
      </c>
      <c r="AL353">
        <f t="shared" si="85"/>
        <v>107.63395121759831</v>
      </c>
      <c r="AM353">
        <f t="shared" si="86"/>
        <v>86.243048782401672</v>
      </c>
    </row>
    <row r="354" spans="1:39" ht="16.5" x14ac:dyDescent="0.25">
      <c r="A354" s="1">
        <v>45191</v>
      </c>
      <c r="B354" s="5">
        <v>99.27</v>
      </c>
      <c r="C354" s="4">
        <v>98.93</v>
      </c>
      <c r="D354" s="4">
        <v>99.4</v>
      </c>
      <c r="E354" s="4">
        <v>98.11</v>
      </c>
      <c r="F354" s="4" t="s">
        <v>572</v>
      </c>
      <c r="G354" s="2" t="s">
        <v>342</v>
      </c>
      <c r="I354">
        <f t="shared" si="73"/>
        <v>96.904999999999987</v>
      </c>
      <c r="J354">
        <f t="shared" si="74"/>
        <v>99.052249999999987</v>
      </c>
      <c r="L354">
        <f t="shared" si="75"/>
        <v>1</v>
      </c>
      <c r="M354">
        <f t="shared" si="76"/>
        <v>0</v>
      </c>
      <c r="O354">
        <f t="shared" si="77"/>
        <v>0.3399999999999892</v>
      </c>
      <c r="P354">
        <f t="shared" si="78"/>
        <v>0</v>
      </c>
      <c r="R354">
        <f t="shared" si="79"/>
        <v>0.88777777777777567</v>
      </c>
      <c r="S354">
        <f t="shared" si="80"/>
        <v>0.42200000000000271</v>
      </c>
      <c r="U354">
        <f t="shared" si="81"/>
        <v>67.780794027824712</v>
      </c>
      <c r="AH354">
        <f t="shared" si="82"/>
        <v>5.3535252098385415</v>
      </c>
      <c r="AI354">
        <f t="shared" si="83"/>
        <v>85.664866790175154</v>
      </c>
      <c r="AJ354">
        <f t="shared" si="84"/>
        <v>108.14513320982482</v>
      </c>
      <c r="AL354">
        <f t="shared" si="85"/>
        <v>107.61205041967708</v>
      </c>
      <c r="AM354">
        <f t="shared" si="86"/>
        <v>86.197949580322899</v>
      </c>
    </row>
    <row r="355" spans="1:39" ht="16.5" x14ac:dyDescent="0.25">
      <c r="A355" s="1">
        <v>45190</v>
      </c>
      <c r="B355" s="5">
        <v>99.46</v>
      </c>
      <c r="C355" s="4">
        <v>99.59</v>
      </c>
      <c r="D355" s="4">
        <v>100</v>
      </c>
      <c r="E355" s="4">
        <v>98.95</v>
      </c>
      <c r="F355" s="4" t="s">
        <v>573</v>
      </c>
      <c r="G355" s="2" t="s">
        <v>379</v>
      </c>
      <c r="I355">
        <f t="shared" si="73"/>
        <v>96.766999999999996</v>
      </c>
      <c r="J355">
        <f t="shared" si="74"/>
        <v>99.352499999999992</v>
      </c>
      <c r="L355">
        <f t="shared" si="75"/>
        <v>0</v>
      </c>
      <c r="M355">
        <f t="shared" si="76"/>
        <v>1</v>
      </c>
      <c r="O355">
        <f t="shared" si="77"/>
        <v>0</v>
      </c>
      <c r="P355">
        <f t="shared" si="78"/>
        <v>0.13000000000000966</v>
      </c>
      <c r="R355">
        <f t="shared" si="79"/>
        <v>0.95624999999999893</v>
      </c>
      <c r="S355">
        <f t="shared" si="80"/>
        <v>0.37166666666666731</v>
      </c>
      <c r="U355">
        <f t="shared" si="81"/>
        <v>72.011295889551235</v>
      </c>
      <c r="AH355">
        <f t="shared" si="82"/>
        <v>5.3591302236278171</v>
      </c>
      <c r="AI355">
        <f t="shared" si="83"/>
        <v>85.526866790175163</v>
      </c>
      <c r="AJ355">
        <f t="shared" si="84"/>
        <v>108.00713320982483</v>
      </c>
      <c r="AL355">
        <f t="shared" si="85"/>
        <v>107.48526044725563</v>
      </c>
      <c r="AM355">
        <f t="shared" si="86"/>
        <v>86.048739552744365</v>
      </c>
    </row>
    <row r="356" spans="1:39" ht="16.5" x14ac:dyDescent="0.25">
      <c r="A356" s="1">
        <v>45189</v>
      </c>
      <c r="B356" s="5">
        <v>100.24</v>
      </c>
      <c r="C356" s="4">
        <v>97.92</v>
      </c>
      <c r="D356" s="4">
        <v>100.42</v>
      </c>
      <c r="E356" s="4">
        <v>97.84</v>
      </c>
      <c r="F356" s="4" t="s">
        <v>574</v>
      </c>
      <c r="G356" s="2" t="s">
        <v>575</v>
      </c>
      <c r="I356">
        <f t="shared" si="73"/>
        <v>96.632999999999996</v>
      </c>
      <c r="J356">
        <f t="shared" si="74"/>
        <v>99.615000000000009</v>
      </c>
      <c r="L356">
        <f t="shared" si="75"/>
        <v>1</v>
      </c>
      <c r="M356">
        <f t="shared" si="76"/>
        <v>0</v>
      </c>
      <c r="O356">
        <f t="shared" si="77"/>
        <v>2.3199999999999932</v>
      </c>
      <c r="P356">
        <f t="shared" si="78"/>
        <v>0</v>
      </c>
      <c r="R356">
        <f t="shared" si="79"/>
        <v>0.95624999999999893</v>
      </c>
      <c r="S356">
        <f t="shared" si="80"/>
        <v>0.80499999999999972</v>
      </c>
      <c r="U356">
        <f t="shared" si="81"/>
        <v>54.293825408090825</v>
      </c>
      <c r="AH356">
        <f t="shared" si="82"/>
        <v>5.3640489865205154</v>
      </c>
      <c r="AI356">
        <f t="shared" si="83"/>
        <v>85.392866790175162</v>
      </c>
      <c r="AJ356">
        <f t="shared" si="84"/>
        <v>107.87313320982483</v>
      </c>
      <c r="AL356">
        <f t="shared" si="85"/>
        <v>107.36109797304103</v>
      </c>
      <c r="AM356">
        <f t="shared" si="86"/>
        <v>85.904902026958965</v>
      </c>
    </row>
    <row r="357" spans="1:39" ht="16.5" x14ac:dyDescent="0.25">
      <c r="A357" s="1">
        <v>45188</v>
      </c>
      <c r="B357" s="5">
        <v>97.66</v>
      </c>
      <c r="C357" s="4">
        <v>96.87</v>
      </c>
      <c r="D357" s="4">
        <v>98.08</v>
      </c>
      <c r="E357" s="4">
        <v>96.7</v>
      </c>
      <c r="F357" s="4" t="s">
        <v>576</v>
      </c>
      <c r="G357" s="2" t="s">
        <v>249</v>
      </c>
      <c r="I357">
        <f t="shared" si="73"/>
        <v>96.54249999999999</v>
      </c>
      <c r="J357">
        <f t="shared" si="74"/>
        <v>99.788000000000011</v>
      </c>
      <c r="L357">
        <f t="shared" si="75"/>
        <v>1</v>
      </c>
      <c r="M357">
        <f t="shared" si="76"/>
        <v>0</v>
      </c>
      <c r="O357">
        <f t="shared" si="77"/>
        <v>0.78999999999999204</v>
      </c>
      <c r="P357">
        <f t="shared" si="78"/>
        <v>0</v>
      </c>
      <c r="R357">
        <f t="shared" si="79"/>
        <v>0.76142857142857123</v>
      </c>
      <c r="S357">
        <f t="shared" si="80"/>
        <v>0.7228571428571432</v>
      </c>
      <c r="U357">
        <f t="shared" si="81"/>
        <v>51.299326275264661</v>
      </c>
      <c r="AH357">
        <f t="shared" si="82"/>
        <v>5.3682580542013811</v>
      </c>
      <c r="AI357">
        <f t="shared" si="83"/>
        <v>85.302366790175157</v>
      </c>
      <c r="AJ357">
        <f t="shared" si="84"/>
        <v>107.78263320982482</v>
      </c>
      <c r="AL357">
        <f t="shared" si="85"/>
        <v>107.27901610840276</v>
      </c>
      <c r="AM357">
        <f t="shared" si="86"/>
        <v>85.805983891597222</v>
      </c>
    </row>
    <row r="358" spans="1:39" ht="16.5" x14ac:dyDescent="0.25">
      <c r="A358" s="1">
        <v>45187</v>
      </c>
      <c r="B358" s="5">
        <v>96.78</v>
      </c>
      <c r="C358" s="4">
        <v>97.37</v>
      </c>
      <c r="D358" s="4">
        <v>97.45</v>
      </c>
      <c r="E358" s="4">
        <v>96.25</v>
      </c>
      <c r="F358" s="4" t="s">
        <v>577</v>
      </c>
      <c r="G358" s="2" t="s">
        <v>501</v>
      </c>
      <c r="I358">
        <f t="shared" si="73"/>
        <v>96.644499999999994</v>
      </c>
      <c r="J358">
        <f t="shared" si="74"/>
        <v>100.05700000000002</v>
      </c>
      <c r="L358">
        <f t="shared" si="75"/>
        <v>0</v>
      </c>
      <c r="M358">
        <f t="shared" si="76"/>
        <v>1</v>
      </c>
      <c r="O358">
        <f t="shared" si="77"/>
        <v>0</v>
      </c>
      <c r="P358">
        <f t="shared" si="78"/>
        <v>0.59000000000000341</v>
      </c>
      <c r="R358">
        <f t="shared" si="79"/>
        <v>0.75666666666666771</v>
      </c>
      <c r="S358">
        <f t="shared" si="80"/>
        <v>0.7162500000000005</v>
      </c>
      <c r="U358">
        <f t="shared" si="81"/>
        <v>51.371994342291387</v>
      </c>
      <c r="AH358">
        <f t="shared" si="82"/>
        <v>5.3719341210599758</v>
      </c>
      <c r="AI358">
        <f t="shared" si="83"/>
        <v>85.40436679017516</v>
      </c>
      <c r="AJ358">
        <f t="shared" si="84"/>
        <v>107.88463320982483</v>
      </c>
      <c r="AL358">
        <f t="shared" si="85"/>
        <v>107.38836824211995</v>
      </c>
      <c r="AM358">
        <f t="shared" si="86"/>
        <v>85.900631757880035</v>
      </c>
    </row>
    <row r="359" spans="1:39" ht="16.5" x14ac:dyDescent="0.25">
      <c r="A359" s="1">
        <v>45184</v>
      </c>
      <c r="B359" s="5">
        <v>97.51</v>
      </c>
      <c r="C359" s="4">
        <v>97</v>
      </c>
      <c r="D359" s="4">
        <v>98.21</v>
      </c>
      <c r="E359" s="4">
        <v>96.41</v>
      </c>
      <c r="F359" s="4" t="s">
        <v>578</v>
      </c>
      <c r="G359" s="2" t="s">
        <v>579</v>
      </c>
      <c r="I359">
        <f t="shared" si="73"/>
        <v>96.767499999999998</v>
      </c>
      <c r="J359">
        <f t="shared" si="74"/>
        <v>100.35250000000001</v>
      </c>
      <c r="L359">
        <f t="shared" si="75"/>
        <v>1</v>
      </c>
      <c r="M359">
        <f t="shared" si="76"/>
        <v>0</v>
      </c>
      <c r="O359">
        <f t="shared" si="77"/>
        <v>0.51000000000000512</v>
      </c>
      <c r="P359">
        <f t="shared" si="78"/>
        <v>0</v>
      </c>
      <c r="R359">
        <f t="shared" si="79"/>
        <v>0.76142857142857123</v>
      </c>
      <c r="S359">
        <f t="shared" si="80"/>
        <v>0.73428571428571432</v>
      </c>
      <c r="U359">
        <f t="shared" si="81"/>
        <v>50.907354345749759</v>
      </c>
      <c r="AH359">
        <f t="shared" si="82"/>
        <v>5.376027116146143</v>
      </c>
      <c r="AI359">
        <f t="shared" si="83"/>
        <v>85.527366790175165</v>
      </c>
      <c r="AJ359">
        <f t="shared" si="84"/>
        <v>108.00763320982483</v>
      </c>
      <c r="AL359">
        <f t="shared" si="85"/>
        <v>107.51955423229228</v>
      </c>
      <c r="AM359">
        <f t="shared" si="86"/>
        <v>86.015445767707718</v>
      </c>
    </row>
    <row r="360" spans="1:39" ht="16.5" x14ac:dyDescent="0.25">
      <c r="A360" s="1">
        <v>45183</v>
      </c>
      <c r="B360" s="5">
        <v>95.92</v>
      </c>
      <c r="C360" s="4">
        <v>96.42</v>
      </c>
      <c r="D360" s="4">
        <v>96.47</v>
      </c>
      <c r="E360" s="4">
        <v>95.06</v>
      </c>
      <c r="F360" s="4" t="s">
        <v>81</v>
      </c>
      <c r="G360" s="2" t="s">
        <v>229</v>
      </c>
      <c r="I360">
        <f t="shared" si="73"/>
        <v>96.80449999999999</v>
      </c>
      <c r="J360">
        <f t="shared" si="74"/>
        <v>100.60425000000001</v>
      </c>
      <c r="L360">
        <f t="shared" si="75"/>
        <v>0</v>
      </c>
      <c r="M360">
        <f t="shared" si="76"/>
        <v>1</v>
      </c>
      <c r="O360">
        <f t="shared" si="77"/>
        <v>0</v>
      </c>
      <c r="P360">
        <f t="shared" si="78"/>
        <v>0.5</v>
      </c>
      <c r="R360">
        <f t="shared" si="79"/>
        <v>0.80333333333333223</v>
      </c>
      <c r="S360">
        <f t="shared" si="80"/>
        <v>0.74250000000000149</v>
      </c>
      <c r="U360">
        <f t="shared" si="81"/>
        <v>51.967654986522831</v>
      </c>
      <c r="AH360">
        <f t="shared" si="82"/>
        <v>5.3806415615664633</v>
      </c>
      <c r="AI360">
        <f t="shared" si="83"/>
        <v>85.564366790175157</v>
      </c>
      <c r="AJ360">
        <f t="shared" si="84"/>
        <v>108.04463320982482</v>
      </c>
      <c r="AL360">
        <f t="shared" si="85"/>
        <v>107.56578312313292</v>
      </c>
      <c r="AM360">
        <f t="shared" si="86"/>
        <v>86.043216876867064</v>
      </c>
    </row>
    <row r="361" spans="1:39" ht="16.5" x14ac:dyDescent="0.25">
      <c r="A361" s="1">
        <v>45182</v>
      </c>
      <c r="B361" s="5">
        <v>97.34</v>
      </c>
      <c r="C361" s="4">
        <v>96.4</v>
      </c>
      <c r="D361" s="4">
        <v>100</v>
      </c>
      <c r="E361" s="4">
        <v>96.3</v>
      </c>
      <c r="F361" s="4" t="s">
        <v>70</v>
      </c>
      <c r="G361" s="2" t="s">
        <v>386</v>
      </c>
      <c r="I361">
        <f t="shared" si="73"/>
        <v>96.963499999999982</v>
      </c>
      <c r="J361">
        <f t="shared" si="74"/>
        <v>100.89824999999999</v>
      </c>
      <c r="L361">
        <f t="shared" si="75"/>
        <v>1</v>
      </c>
      <c r="M361">
        <f t="shared" si="76"/>
        <v>0</v>
      </c>
      <c r="O361">
        <f t="shared" si="77"/>
        <v>0.93999999999999773</v>
      </c>
      <c r="P361">
        <f t="shared" si="78"/>
        <v>0</v>
      </c>
      <c r="R361">
        <f t="shared" si="79"/>
        <v>0.68999999999999972</v>
      </c>
      <c r="S361">
        <f t="shared" si="80"/>
        <v>0.7771428571428588</v>
      </c>
      <c r="U361">
        <f t="shared" si="81"/>
        <v>47.030185004868486</v>
      </c>
      <c r="AH361">
        <f t="shared" si="82"/>
        <v>5.3853595311179161</v>
      </c>
      <c r="AI361">
        <f t="shared" si="83"/>
        <v>85.723366790175149</v>
      </c>
      <c r="AJ361">
        <f t="shared" si="84"/>
        <v>108.20363320982482</v>
      </c>
      <c r="AL361">
        <f t="shared" si="85"/>
        <v>107.73421906223581</v>
      </c>
      <c r="AM361">
        <f t="shared" si="86"/>
        <v>86.192780937764155</v>
      </c>
    </row>
    <row r="362" spans="1:39" ht="16.5" x14ac:dyDescent="0.25">
      <c r="A362" s="1">
        <v>45181</v>
      </c>
      <c r="B362" s="5">
        <v>96.62</v>
      </c>
      <c r="C362" s="4">
        <v>96.89</v>
      </c>
      <c r="D362" s="4">
        <v>97.56</v>
      </c>
      <c r="E362" s="4">
        <v>96.08</v>
      </c>
      <c r="F362" s="4" t="s">
        <v>580</v>
      </c>
      <c r="G362" s="2" t="s">
        <v>326</v>
      </c>
      <c r="I362">
        <f t="shared" si="73"/>
        <v>97.084499999999991</v>
      </c>
      <c r="J362">
        <f t="shared" si="74"/>
        <v>101.14475</v>
      </c>
      <c r="L362">
        <f t="shared" si="75"/>
        <v>0</v>
      </c>
      <c r="M362">
        <f t="shared" si="76"/>
        <v>1</v>
      </c>
      <c r="O362">
        <f t="shared" si="77"/>
        <v>0</v>
      </c>
      <c r="P362">
        <f t="shared" si="78"/>
        <v>0.26999999999999602</v>
      </c>
      <c r="R362">
        <f t="shared" si="79"/>
        <v>0.64833333333333343</v>
      </c>
      <c r="S362">
        <f t="shared" si="80"/>
        <v>0.9662500000000005</v>
      </c>
      <c r="U362">
        <f t="shared" si="81"/>
        <v>40.154838709677414</v>
      </c>
      <c r="AH362">
        <f t="shared" si="82"/>
        <v>5.3907735430481294</v>
      </c>
      <c r="AI362">
        <f t="shared" si="83"/>
        <v>85.844366790175158</v>
      </c>
      <c r="AJ362">
        <f t="shared" si="84"/>
        <v>108.32463320982482</v>
      </c>
      <c r="AL362">
        <f t="shared" si="85"/>
        <v>107.86604708609624</v>
      </c>
      <c r="AM362">
        <f t="shared" si="86"/>
        <v>86.302952913903738</v>
      </c>
    </row>
    <row r="363" spans="1:39" ht="16.5" x14ac:dyDescent="0.25">
      <c r="A363" s="1">
        <v>45180</v>
      </c>
      <c r="B363" s="5">
        <v>96.53</v>
      </c>
      <c r="C363" s="4">
        <v>96.17</v>
      </c>
      <c r="D363" s="4">
        <v>96.93</v>
      </c>
      <c r="E363" s="4">
        <v>96.06</v>
      </c>
      <c r="F363" s="4" t="s">
        <v>581</v>
      </c>
      <c r="G363" s="2" t="s">
        <v>94</v>
      </c>
      <c r="I363">
        <f t="shared" si="73"/>
        <v>97.213999999999999</v>
      </c>
      <c r="J363">
        <f t="shared" si="74"/>
        <v>101.40675</v>
      </c>
      <c r="L363">
        <f t="shared" si="75"/>
        <v>1</v>
      </c>
      <c r="M363">
        <f t="shared" si="76"/>
        <v>0</v>
      </c>
      <c r="O363">
        <f t="shared" si="77"/>
        <v>0.35999999999999943</v>
      </c>
      <c r="P363">
        <f t="shared" si="78"/>
        <v>0</v>
      </c>
      <c r="R363">
        <f t="shared" si="79"/>
        <v>0.64833333333333343</v>
      </c>
      <c r="S363">
        <f t="shared" si="80"/>
        <v>1.0812500000000007</v>
      </c>
      <c r="U363">
        <f t="shared" si="81"/>
        <v>37.484943387135623</v>
      </c>
      <c r="AH363">
        <f t="shared" si="82"/>
        <v>5.3966996375002658</v>
      </c>
      <c r="AI363">
        <f t="shared" si="83"/>
        <v>85.973866790175165</v>
      </c>
      <c r="AJ363">
        <f t="shared" si="84"/>
        <v>108.45413320982483</v>
      </c>
      <c r="AL363">
        <f t="shared" si="85"/>
        <v>108.00739927500052</v>
      </c>
      <c r="AM363">
        <f t="shared" si="86"/>
        <v>86.420600724999474</v>
      </c>
    </row>
    <row r="364" spans="1:39" ht="16.5" x14ac:dyDescent="0.25">
      <c r="A364" s="1">
        <v>45177</v>
      </c>
      <c r="B364" s="5">
        <v>95.62</v>
      </c>
      <c r="C364" s="4">
        <v>95.58</v>
      </c>
      <c r="D364" s="4">
        <v>95.88</v>
      </c>
      <c r="E364" s="4">
        <v>93.62</v>
      </c>
      <c r="F364" s="4" t="s">
        <v>582</v>
      </c>
      <c r="G364" s="2" t="s">
        <v>583</v>
      </c>
      <c r="I364">
        <f t="shared" si="73"/>
        <v>97.392500000000013</v>
      </c>
      <c r="J364">
        <f t="shared" si="74"/>
        <v>101.66350000000001</v>
      </c>
      <c r="L364">
        <f t="shared" si="75"/>
        <v>1</v>
      </c>
      <c r="M364">
        <f t="shared" si="76"/>
        <v>0</v>
      </c>
      <c r="O364">
        <f t="shared" si="77"/>
        <v>4.0000000000006253E-2</v>
      </c>
      <c r="P364">
        <f t="shared" si="78"/>
        <v>0</v>
      </c>
      <c r="R364">
        <f t="shared" si="79"/>
        <v>0.70600000000000018</v>
      </c>
      <c r="S364">
        <f t="shared" si="80"/>
        <v>0.96111111111111169</v>
      </c>
      <c r="U364">
        <f t="shared" si="81"/>
        <v>42.34870701146361</v>
      </c>
      <c r="AH364">
        <f t="shared" si="82"/>
        <v>5.4031763614654524</v>
      </c>
      <c r="AI364">
        <f t="shared" si="83"/>
        <v>86.152366790175179</v>
      </c>
      <c r="AJ364">
        <f t="shared" si="84"/>
        <v>108.63263320982485</v>
      </c>
      <c r="AL364">
        <f t="shared" si="85"/>
        <v>108.19885272293092</v>
      </c>
      <c r="AM364">
        <f t="shared" si="86"/>
        <v>86.586147277069102</v>
      </c>
    </row>
    <row r="365" spans="1:39" ht="16.5" x14ac:dyDescent="0.25">
      <c r="A365" s="1">
        <v>45176</v>
      </c>
      <c r="B365" s="5">
        <v>95.03</v>
      </c>
      <c r="C365" s="4">
        <v>95.65</v>
      </c>
      <c r="D365" s="4">
        <v>96.34</v>
      </c>
      <c r="E365" s="4">
        <v>95.02</v>
      </c>
      <c r="F365" s="4" t="s">
        <v>584</v>
      </c>
      <c r="G365" s="2" t="s">
        <v>585</v>
      </c>
      <c r="I365">
        <f t="shared" si="73"/>
        <v>97.611000000000004</v>
      </c>
      <c r="J365">
        <f t="shared" si="74"/>
        <v>101.94200000000001</v>
      </c>
      <c r="L365">
        <f t="shared" si="75"/>
        <v>0</v>
      </c>
      <c r="M365">
        <f t="shared" si="76"/>
        <v>1</v>
      </c>
      <c r="O365">
        <f t="shared" si="77"/>
        <v>0</v>
      </c>
      <c r="P365">
        <f t="shared" si="78"/>
        <v>0.62000000000000455</v>
      </c>
      <c r="R365">
        <f t="shared" si="79"/>
        <v>0.871999999999997</v>
      </c>
      <c r="S365">
        <f t="shared" si="80"/>
        <v>0.96111111111111169</v>
      </c>
      <c r="U365">
        <f t="shared" si="81"/>
        <v>47.569402351800115</v>
      </c>
      <c r="AH365">
        <f t="shared" si="82"/>
        <v>5.4104213980551181</v>
      </c>
      <c r="AI365">
        <f t="shared" si="83"/>
        <v>86.370866790175171</v>
      </c>
      <c r="AJ365">
        <f t="shared" si="84"/>
        <v>108.85113320982484</v>
      </c>
      <c r="AL365">
        <f t="shared" si="85"/>
        <v>108.43184279611025</v>
      </c>
      <c r="AM365">
        <f t="shared" si="86"/>
        <v>86.790157203889763</v>
      </c>
    </row>
    <row r="366" spans="1:39" ht="16.5" x14ac:dyDescent="0.25">
      <c r="A366" s="1">
        <v>45175</v>
      </c>
      <c r="B366" s="5">
        <v>96.3</v>
      </c>
      <c r="C366" s="4">
        <v>96.13</v>
      </c>
      <c r="D366" s="4">
        <v>96.97</v>
      </c>
      <c r="E366" s="4">
        <v>95.83</v>
      </c>
      <c r="F366" s="4" t="s">
        <v>586</v>
      </c>
      <c r="G366" s="2" t="s">
        <v>406</v>
      </c>
      <c r="I366">
        <f t="shared" si="73"/>
        <v>97.95450000000001</v>
      </c>
      <c r="J366">
        <f t="shared" si="74"/>
        <v>102.24125000000001</v>
      </c>
      <c r="L366">
        <f t="shared" si="75"/>
        <v>1</v>
      </c>
      <c r="M366">
        <f t="shared" si="76"/>
        <v>0</v>
      </c>
      <c r="O366">
        <f t="shared" si="77"/>
        <v>0.17000000000000171</v>
      </c>
      <c r="P366">
        <f t="shared" si="78"/>
        <v>0</v>
      </c>
      <c r="R366">
        <f t="shared" si="79"/>
        <v>0.871999999999997</v>
      </c>
      <c r="S366">
        <f t="shared" si="80"/>
        <v>0.92000000000000015</v>
      </c>
      <c r="U366">
        <f t="shared" si="81"/>
        <v>48.660714285714199</v>
      </c>
      <c r="AH366">
        <f t="shared" si="82"/>
        <v>5.4185937521530638</v>
      </c>
      <c r="AI366">
        <f t="shared" si="83"/>
        <v>86.714366790175177</v>
      </c>
      <c r="AJ366">
        <f t="shared" si="84"/>
        <v>109.19463320982484</v>
      </c>
      <c r="AL366">
        <f t="shared" si="85"/>
        <v>108.79168750430614</v>
      </c>
      <c r="AM366">
        <f t="shared" si="86"/>
        <v>87.117312495693881</v>
      </c>
    </row>
    <row r="367" spans="1:39" ht="16.5" x14ac:dyDescent="0.25">
      <c r="A367" s="1">
        <v>45174</v>
      </c>
      <c r="B367" s="5">
        <v>96.53</v>
      </c>
      <c r="C367" s="4">
        <v>94.01</v>
      </c>
      <c r="D367" s="4">
        <v>96.63</v>
      </c>
      <c r="E367" s="4">
        <v>93.74</v>
      </c>
      <c r="F367" s="4" t="s">
        <v>56</v>
      </c>
      <c r="G367" s="2" t="s">
        <v>203</v>
      </c>
      <c r="I367">
        <f t="shared" si="73"/>
        <v>98.207499999999996</v>
      </c>
      <c r="J367">
        <f t="shared" si="74"/>
        <v>102.51875</v>
      </c>
      <c r="L367">
        <f t="shared" si="75"/>
        <v>1</v>
      </c>
      <c r="M367">
        <f t="shared" si="76"/>
        <v>0</v>
      </c>
      <c r="O367">
        <f t="shared" si="77"/>
        <v>2.519999999999996</v>
      </c>
      <c r="P367">
        <f t="shared" si="78"/>
        <v>0</v>
      </c>
      <c r="R367">
        <f t="shared" si="79"/>
        <v>1.0474999999999959</v>
      </c>
      <c r="S367">
        <f t="shared" si="80"/>
        <v>0.87800000000000011</v>
      </c>
      <c r="U367">
        <f t="shared" si="81"/>
        <v>54.401454167748533</v>
      </c>
      <c r="AH367">
        <f t="shared" si="82"/>
        <v>5.4281662004025604</v>
      </c>
      <c r="AI367">
        <f t="shared" si="83"/>
        <v>86.967366790175163</v>
      </c>
      <c r="AJ367">
        <f t="shared" si="84"/>
        <v>109.44763320982483</v>
      </c>
      <c r="AL367">
        <f t="shared" si="85"/>
        <v>109.06383240080511</v>
      </c>
      <c r="AM367">
        <f t="shared" si="86"/>
        <v>87.351167599194881</v>
      </c>
    </row>
    <row r="368" spans="1:39" ht="16.5" x14ac:dyDescent="0.25">
      <c r="A368" s="1">
        <v>45173</v>
      </c>
      <c r="B368" s="5">
        <v>94.48</v>
      </c>
      <c r="C368" s="4">
        <v>94.6</v>
      </c>
      <c r="D368" s="4">
        <v>95.35</v>
      </c>
      <c r="E368" s="4">
        <v>94.48</v>
      </c>
      <c r="F368" s="4" t="s">
        <v>587</v>
      </c>
      <c r="G368" s="2" t="s">
        <v>390</v>
      </c>
      <c r="I368">
        <f t="shared" si="73"/>
        <v>98.47399999999999</v>
      </c>
      <c r="J368">
        <f t="shared" si="74"/>
        <v>102.7675</v>
      </c>
      <c r="L368">
        <f t="shared" si="75"/>
        <v>0</v>
      </c>
      <c r="M368">
        <f t="shared" si="76"/>
        <v>1</v>
      </c>
      <c r="O368">
        <f t="shared" si="77"/>
        <v>0</v>
      </c>
      <c r="P368">
        <f t="shared" si="78"/>
        <v>0.11999999999999034</v>
      </c>
      <c r="R368">
        <f t="shared" si="79"/>
        <v>0.55999999999999872</v>
      </c>
      <c r="S368">
        <f t="shared" si="80"/>
        <v>0.87800000000000011</v>
      </c>
      <c r="U368">
        <f t="shared" si="81"/>
        <v>38.942976356050011</v>
      </c>
      <c r="AH368">
        <f t="shared" si="82"/>
        <v>5.4387200417289598</v>
      </c>
      <c r="AI368">
        <f t="shared" si="83"/>
        <v>87.233866790175156</v>
      </c>
      <c r="AJ368">
        <f t="shared" si="84"/>
        <v>109.71413320982482</v>
      </c>
      <c r="AL368">
        <f t="shared" si="85"/>
        <v>109.3514400834579</v>
      </c>
      <c r="AM368">
        <f t="shared" si="86"/>
        <v>87.596559916542077</v>
      </c>
    </row>
    <row r="369" spans="1:39" ht="16.5" x14ac:dyDescent="0.25">
      <c r="A369" s="1">
        <v>45170</v>
      </c>
      <c r="B369" s="5">
        <v>94.2</v>
      </c>
      <c r="C369" s="4">
        <v>96.93</v>
      </c>
      <c r="D369" s="4">
        <v>96.97</v>
      </c>
      <c r="E369" s="4">
        <v>93.78</v>
      </c>
      <c r="F369" s="4" t="s">
        <v>588</v>
      </c>
      <c r="G369" s="2" t="s">
        <v>589</v>
      </c>
      <c r="I369">
        <f t="shared" si="73"/>
        <v>98.936999999999983</v>
      </c>
      <c r="J369">
        <f t="shared" si="74"/>
        <v>103.0925</v>
      </c>
      <c r="L369">
        <f t="shared" si="75"/>
        <v>0</v>
      </c>
      <c r="M369">
        <f t="shared" si="76"/>
        <v>1</v>
      </c>
      <c r="O369">
        <f t="shared" si="77"/>
        <v>0</v>
      </c>
      <c r="P369">
        <f t="shared" si="78"/>
        <v>2.730000000000004</v>
      </c>
      <c r="R369">
        <f t="shared" si="79"/>
        <v>0.55999999999999872</v>
      </c>
      <c r="S369">
        <f t="shared" si="80"/>
        <v>0.97500000000000142</v>
      </c>
      <c r="U369">
        <f t="shared" si="81"/>
        <v>36.482084690553663</v>
      </c>
      <c r="AH369">
        <f t="shared" si="82"/>
        <v>5.4502574796771768</v>
      </c>
      <c r="AI369">
        <f t="shared" si="83"/>
        <v>87.69686679017515</v>
      </c>
      <c r="AJ369">
        <f t="shared" si="84"/>
        <v>110.17713320982482</v>
      </c>
      <c r="AL369">
        <f t="shared" si="85"/>
        <v>109.83751495935434</v>
      </c>
      <c r="AM369">
        <f t="shared" si="86"/>
        <v>88.03648504064563</v>
      </c>
    </row>
    <row r="370" spans="1:39" ht="16.5" x14ac:dyDescent="0.25">
      <c r="A370" s="1">
        <v>45169</v>
      </c>
      <c r="B370" s="5">
        <v>97.17</v>
      </c>
      <c r="C370" s="4">
        <v>97.4</v>
      </c>
      <c r="D370" s="4">
        <v>97.88</v>
      </c>
      <c r="E370" s="4">
        <v>97</v>
      </c>
      <c r="F370" s="4" t="s">
        <v>590</v>
      </c>
      <c r="G370" s="2" t="s">
        <v>533</v>
      </c>
      <c r="I370">
        <f t="shared" si="73"/>
        <v>99.430999999999983</v>
      </c>
      <c r="J370">
        <f t="shared" si="74"/>
        <v>103.41600000000001</v>
      </c>
      <c r="L370">
        <f t="shared" si="75"/>
        <v>0</v>
      </c>
      <c r="M370">
        <f t="shared" si="76"/>
        <v>1</v>
      </c>
      <c r="O370">
        <f t="shared" si="77"/>
        <v>0</v>
      </c>
      <c r="P370">
        <f t="shared" si="78"/>
        <v>0.23000000000000398</v>
      </c>
      <c r="R370">
        <f t="shared" si="79"/>
        <v>0.50799999999999845</v>
      </c>
      <c r="S370">
        <f t="shared" si="80"/>
        <v>0.78000000000000114</v>
      </c>
      <c r="U370">
        <f t="shared" si="81"/>
        <v>39.440993788819767</v>
      </c>
      <c r="AH370">
        <f t="shared" si="82"/>
        <v>5.4633205328929213</v>
      </c>
      <c r="AI370">
        <f t="shared" si="83"/>
        <v>88.19086679017515</v>
      </c>
      <c r="AJ370">
        <f t="shared" si="84"/>
        <v>110.67113320982482</v>
      </c>
      <c r="AL370">
        <f t="shared" si="85"/>
        <v>110.35764106578583</v>
      </c>
      <c r="AM370">
        <f t="shared" si="86"/>
        <v>88.504358934214139</v>
      </c>
    </row>
    <row r="371" spans="1:39" ht="16.5" x14ac:dyDescent="0.25">
      <c r="A371" s="1">
        <v>45168</v>
      </c>
      <c r="B371" s="5">
        <v>97.26</v>
      </c>
      <c r="C371" s="4">
        <v>97.93</v>
      </c>
      <c r="D371" s="4">
        <v>98.05</v>
      </c>
      <c r="E371" s="4">
        <v>96.74</v>
      </c>
      <c r="F371" s="4" t="s">
        <v>591</v>
      </c>
      <c r="G371" s="2" t="s">
        <v>592</v>
      </c>
      <c r="I371">
        <f t="shared" si="73"/>
        <v>99.721500000000006</v>
      </c>
      <c r="J371">
        <f t="shared" si="74"/>
        <v>103.68725000000002</v>
      </c>
      <c r="L371">
        <f t="shared" si="75"/>
        <v>0</v>
      </c>
      <c r="M371">
        <f t="shared" si="76"/>
        <v>1</v>
      </c>
      <c r="O371">
        <f t="shared" si="77"/>
        <v>0</v>
      </c>
      <c r="P371">
        <f t="shared" si="78"/>
        <v>0.67000000000000171</v>
      </c>
      <c r="R371">
        <f t="shared" si="79"/>
        <v>0.50799999999999845</v>
      </c>
      <c r="S371">
        <f t="shared" si="80"/>
        <v>0.9022222222222227</v>
      </c>
      <c r="U371">
        <f t="shared" si="81"/>
        <v>36.022691459186809</v>
      </c>
      <c r="AH371">
        <f t="shared" si="82"/>
        <v>5.4777822159183396</v>
      </c>
      <c r="AI371">
        <f t="shared" si="83"/>
        <v>88.481366790175173</v>
      </c>
      <c r="AJ371">
        <f t="shared" si="84"/>
        <v>110.96163320982484</v>
      </c>
      <c r="AL371">
        <f t="shared" si="85"/>
        <v>110.67706443183668</v>
      </c>
      <c r="AM371">
        <f t="shared" si="86"/>
        <v>88.765935568163329</v>
      </c>
    </row>
    <row r="372" spans="1:39" ht="16.5" x14ac:dyDescent="0.25">
      <c r="A372" s="1">
        <v>45167</v>
      </c>
      <c r="B372" s="5">
        <v>97.58</v>
      </c>
      <c r="C372" s="4">
        <v>96.79</v>
      </c>
      <c r="D372" s="4">
        <v>97.58</v>
      </c>
      <c r="E372" s="4">
        <v>96.48</v>
      </c>
      <c r="F372" s="4" t="s">
        <v>593</v>
      </c>
      <c r="G372" s="2" t="s">
        <v>524</v>
      </c>
      <c r="I372">
        <f t="shared" si="73"/>
        <v>100.1215</v>
      </c>
      <c r="J372">
        <f t="shared" si="74"/>
        <v>104.06575000000001</v>
      </c>
      <c r="L372">
        <f t="shared" si="75"/>
        <v>1</v>
      </c>
      <c r="M372">
        <f t="shared" si="76"/>
        <v>0</v>
      </c>
      <c r="O372">
        <f t="shared" si="77"/>
        <v>0.78999999999999204</v>
      </c>
      <c r="P372">
        <f t="shared" si="78"/>
        <v>0</v>
      </c>
      <c r="R372">
        <f t="shared" si="79"/>
        <v>0.47333333333333388</v>
      </c>
      <c r="S372">
        <f t="shared" si="80"/>
        <v>0.93125000000000036</v>
      </c>
      <c r="U372">
        <f t="shared" si="81"/>
        <v>33.699199050726804</v>
      </c>
      <c r="AH372">
        <f t="shared" si="82"/>
        <v>5.4930043632637036</v>
      </c>
      <c r="AI372">
        <f t="shared" si="83"/>
        <v>88.881366790175164</v>
      </c>
      <c r="AJ372">
        <f t="shared" si="84"/>
        <v>111.36163320982483</v>
      </c>
      <c r="AL372">
        <f t="shared" si="85"/>
        <v>111.1075087265274</v>
      </c>
      <c r="AM372">
        <f t="shared" si="86"/>
        <v>89.135491273472596</v>
      </c>
    </row>
    <row r="373" spans="1:39" ht="16.5" x14ac:dyDescent="0.25">
      <c r="A373" s="1">
        <v>45166</v>
      </c>
      <c r="B373" s="5">
        <v>96.6</v>
      </c>
      <c r="C373" s="4">
        <v>97.4</v>
      </c>
      <c r="D373" s="4">
        <v>97.55</v>
      </c>
      <c r="E373" s="4">
        <v>95.64</v>
      </c>
      <c r="F373" s="4" t="s">
        <v>594</v>
      </c>
      <c r="G373" s="2" t="s">
        <v>326</v>
      </c>
      <c r="I373">
        <f t="shared" si="73"/>
        <v>100.48650000000001</v>
      </c>
      <c r="J373">
        <f t="shared" si="74"/>
        <v>104.42175</v>
      </c>
      <c r="L373">
        <f t="shared" si="75"/>
        <v>0</v>
      </c>
      <c r="M373">
        <f t="shared" si="76"/>
        <v>1</v>
      </c>
      <c r="O373">
        <f t="shared" si="77"/>
        <v>0</v>
      </c>
      <c r="P373">
        <f t="shared" si="78"/>
        <v>0.80000000000001137</v>
      </c>
      <c r="R373">
        <f t="shared" si="79"/>
        <v>0.41000000000000225</v>
      </c>
      <c r="S373">
        <f t="shared" si="80"/>
        <v>0.85444444444444423</v>
      </c>
      <c r="U373">
        <f t="shared" si="81"/>
        <v>32.425307557117875</v>
      </c>
      <c r="AH373">
        <f t="shared" si="82"/>
        <v>5.5090953934530082</v>
      </c>
      <c r="AI373">
        <f t="shared" si="83"/>
        <v>89.246366790175173</v>
      </c>
      <c r="AJ373">
        <f t="shared" si="84"/>
        <v>111.72663320982484</v>
      </c>
      <c r="AL373">
        <f t="shared" si="85"/>
        <v>111.50469078690602</v>
      </c>
      <c r="AM373">
        <f t="shared" si="86"/>
        <v>89.468309213093988</v>
      </c>
    </row>
    <row r="374" spans="1:39" ht="16.5" x14ac:dyDescent="0.25">
      <c r="A374" s="1">
        <v>45163</v>
      </c>
      <c r="B374" s="5">
        <v>96.51</v>
      </c>
      <c r="C374" s="4">
        <v>96.5</v>
      </c>
      <c r="D374" s="4">
        <v>97.19</v>
      </c>
      <c r="E374" s="4">
        <v>96.11</v>
      </c>
      <c r="F374" s="4" t="s">
        <v>595</v>
      </c>
      <c r="G374" s="2" t="s">
        <v>596</v>
      </c>
      <c r="I374">
        <f t="shared" si="73"/>
        <v>101.1995</v>
      </c>
      <c r="J374">
        <f t="shared" si="74"/>
        <v>104.81175</v>
      </c>
      <c r="L374">
        <f t="shared" si="75"/>
        <v>1</v>
      </c>
      <c r="M374">
        <f t="shared" si="76"/>
        <v>0</v>
      </c>
      <c r="O374">
        <f t="shared" si="77"/>
        <v>1.0000000000005116E-2</v>
      </c>
      <c r="P374">
        <f t="shared" si="78"/>
        <v>0</v>
      </c>
      <c r="R374">
        <f t="shared" si="79"/>
        <v>0.41000000000000225</v>
      </c>
      <c r="S374">
        <f t="shared" si="80"/>
        <v>0.90999999999999814</v>
      </c>
      <c r="U374">
        <f t="shared" si="81"/>
        <v>31.060606060606219</v>
      </c>
      <c r="AH374">
        <f t="shared" si="82"/>
        <v>5.5258514621282249</v>
      </c>
      <c r="AI374">
        <f t="shared" si="83"/>
        <v>89.959366790175167</v>
      </c>
      <c r="AJ374">
        <f t="shared" si="84"/>
        <v>112.43963320982483</v>
      </c>
      <c r="AL374">
        <f t="shared" si="85"/>
        <v>112.25120292425645</v>
      </c>
      <c r="AM374">
        <f t="shared" si="86"/>
        <v>90.147797075743554</v>
      </c>
    </row>
    <row r="375" spans="1:39" ht="16.5" x14ac:dyDescent="0.25">
      <c r="A375" s="1">
        <v>45162</v>
      </c>
      <c r="B375" s="5">
        <v>96.78</v>
      </c>
      <c r="C375" s="4">
        <v>99.07</v>
      </c>
      <c r="D375" s="4">
        <v>99.33</v>
      </c>
      <c r="E375" s="4">
        <v>96.7</v>
      </c>
      <c r="F375" s="4" t="s">
        <v>597</v>
      </c>
      <c r="G375" s="2" t="s">
        <v>598</v>
      </c>
      <c r="I375">
        <f t="shared" si="73"/>
        <v>101.93799999999999</v>
      </c>
      <c r="J375">
        <f t="shared" si="74"/>
        <v>105.21199999999999</v>
      </c>
      <c r="L375">
        <f t="shared" si="75"/>
        <v>0</v>
      </c>
      <c r="M375">
        <f t="shared" si="76"/>
        <v>1</v>
      </c>
      <c r="O375">
        <f t="shared" si="77"/>
        <v>0</v>
      </c>
      <c r="P375">
        <f t="shared" si="78"/>
        <v>2.289999999999992</v>
      </c>
      <c r="R375">
        <f t="shared" si="79"/>
        <v>0.51000000000000156</v>
      </c>
      <c r="S375">
        <f t="shared" si="80"/>
        <v>0.83499999999999941</v>
      </c>
      <c r="U375">
        <f t="shared" si="81"/>
        <v>37.918215613382991</v>
      </c>
      <c r="AH375">
        <f t="shared" si="82"/>
        <v>5.54334852038623</v>
      </c>
      <c r="AI375">
        <f t="shared" si="83"/>
        <v>90.697866790175155</v>
      </c>
      <c r="AJ375">
        <f t="shared" si="84"/>
        <v>113.17813320982482</v>
      </c>
      <c r="AL375">
        <f t="shared" si="85"/>
        <v>113.02469704077245</v>
      </c>
      <c r="AM375">
        <f t="shared" si="86"/>
        <v>90.851302959227525</v>
      </c>
    </row>
    <row r="376" spans="1:39" ht="16.5" x14ac:dyDescent="0.25">
      <c r="A376" s="1">
        <v>45161</v>
      </c>
      <c r="B376" s="5">
        <v>98.43</v>
      </c>
      <c r="C376" s="4">
        <v>99.62</v>
      </c>
      <c r="D376" s="4">
        <v>99.9</v>
      </c>
      <c r="E376" s="4">
        <v>98.29</v>
      </c>
      <c r="F376" s="4" t="s">
        <v>599</v>
      </c>
      <c r="G376" s="2" t="s">
        <v>308</v>
      </c>
      <c r="I376">
        <f t="shared" si="73"/>
        <v>102.59699999999998</v>
      </c>
      <c r="J376">
        <f t="shared" si="74"/>
        <v>105.5685</v>
      </c>
      <c r="L376">
        <f t="shared" si="75"/>
        <v>0</v>
      </c>
      <c r="M376">
        <f t="shared" si="76"/>
        <v>1</v>
      </c>
      <c r="O376">
        <f t="shared" si="77"/>
        <v>0</v>
      </c>
      <c r="P376">
        <f t="shared" si="78"/>
        <v>1.1899999999999977</v>
      </c>
      <c r="R376">
        <f t="shared" si="79"/>
        <v>0.56000000000000227</v>
      </c>
      <c r="S376">
        <f t="shared" si="80"/>
        <v>0.67333333333333356</v>
      </c>
      <c r="U376">
        <f t="shared" si="81"/>
        <v>45.405405405405496</v>
      </c>
      <c r="AH376">
        <f t="shared" si="82"/>
        <v>5.5610034052265878</v>
      </c>
      <c r="AI376">
        <f t="shared" si="83"/>
        <v>91.356866790175147</v>
      </c>
      <c r="AJ376">
        <f t="shared" si="84"/>
        <v>113.83713320982481</v>
      </c>
      <c r="AL376">
        <f t="shared" si="85"/>
        <v>113.71900681045315</v>
      </c>
      <c r="AM376">
        <f t="shared" si="86"/>
        <v>91.474993189546808</v>
      </c>
    </row>
    <row r="377" spans="1:39" ht="16.5" x14ac:dyDescent="0.25">
      <c r="A377" s="1">
        <v>45160</v>
      </c>
      <c r="B377" s="5">
        <v>99.7</v>
      </c>
      <c r="C377" s="4">
        <v>99.7</v>
      </c>
      <c r="D377" s="4">
        <v>100.62</v>
      </c>
      <c r="E377" s="4">
        <v>99.5</v>
      </c>
      <c r="F377" s="4" t="s">
        <v>600</v>
      </c>
      <c r="G377" s="2" t="s">
        <v>401</v>
      </c>
      <c r="I377">
        <f t="shared" si="73"/>
        <v>103.03349999999998</v>
      </c>
      <c r="J377">
        <f t="shared" si="74"/>
        <v>105.85475</v>
      </c>
      <c r="L377">
        <f t="shared" si="75"/>
        <v>0</v>
      </c>
      <c r="M377">
        <f t="shared" si="76"/>
        <v>1</v>
      </c>
      <c r="O377">
        <f t="shared" si="77"/>
        <v>0</v>
      </c>
      <c r="P377">
        <f t="shared" si="78"/>
        <v>0</v>
      </c>
      <c r="R377">
        <f t="shared" si="79"/>
        <v>0.56000000000000227</v>
      </c>
      <c r="S377">
        <f t="shared" si="80"/>
        <v>0.58777777777777851</v>
      </c>
      <c r="U377">
        <f t="shared" si="81"/>
        <v>48.789932236205296</v>
      </c>
      <c r="AH377">
        <f t="shared" si="82"/>
        <v>5.5782817913824116</v>
      </c>
      <c r="AI377">
        <f t="shared" si="83"/>
        <v>91.793366790175142</v>
      </c>
      <c r="AJ377">
        <f t="shared" si="84"/>
        <v>114.27363320982481</v>
      </c>
      <c r="AL377">
        <f t="shared" si="85"/>
        <v>114.19006358276479</v>
      </c>
      <c r="AM377">
        <f t="shared" si="86"/>
        <v>91.876936417235157</v>
      </c>
    </row>
    <row r="378" spans="1:39" ht="16.5" x14ac:dyDescent="0.25">
      <c r="A378" s="1">
        <v>45159</v>
      </c>
      <c r="B378" s="5">
        <v>99.24</v>
      </c>
      <c r="C378" s="4">
        <v>98.37</v>
      </c>
      <c r="D378" s="4">
        <v>99.87</v>
      </c>
      <c r="E378" s="4">
        <v>98.35</v>
      </c>
      <c r="F378" s="4" t="s">
        <v>601</v>
      </c>
      <c r="G378" s="2" t="s">
        <v>524</v>
      </c>
      <c r="I378">
        <f t="shared" si="73"/>
        <v>103.4695</v>
      </c>
      <c r="J378">
        <f t="shared" si="74"/>
        <v>106.06375</v>
      </c>
      <c r="L378">
        <f t="shared" si="75"/>
        <v>1</v>
      </c>
      <c r="M378">
        <f t="shared" si="76"/>
        <v>0</v>
      </c>
      <c r="O378">
        <f t="shared" si="77"/>
        <v>0.86999999999999034</v>
      </c>
      <c r="P378">
        <f t="shared" si="78"/>
        <v>0</v>
      </c>
      <c r="R378">
        <f t="shared" si="79"/>
        <v>0.8033333333333369</v>
      </c>
      <c r="S378">
        <f t="shared" si="80"/>
        <v>0.66125000000000078</v>
      </c>
      <c r="U378">
        <f t="shared" si="81"/>
        <v>54.850640113798093</v>
      </c>
      <c r="AH378">
        <f t="shared" si="82"/>
        <v>5.5950762386467678</v>
      </c>
      <c r="AI378">
        <f t="shared" si="83"/>
        <v>92.229366790175163</v>
      </c>
      <c r="AJ378">
        <f t="shared" si="84"/>
        <v>114.70963320982483</v>
      </c>
      <c r="AL378">
        <f t="shared" si="85"/>
        <v>114.65965247729353</v>
      </c>
      <c r="AM378">
        <f t="shared" si="86"/>
        <v>92.279347522706459</v>
      </c>
    </row>
    <row r="379" spans="1:39" ht="16.5" x14ac:dyDescent="0.25">
      <c r="A379" s="1">
        <v>45156</v>
      </c>
      <c r="B379" s="5">
        <v>98.25</v>
      </c>
      <c r="C379" s="4">
        <v>98.5</v>
      </c>
      <c r="D379" s="4">
        <v>98.8</v>
      </c>
      <c r="E379" s="4">
        <v>97.51</v>
      </c>
      <c r="F379" s="4" t="s">
        <v>602</v>
      </c>
      <c r="G379" s="2" t="s">
        <v>542</v>
      </c>
      <c r="I379">
        <f t="shared" si="73"/>
        <v>103.9375</v>
      </c>
      <c r="J379">
        <f t="shared" si="74"/>
        <v>106.31375</v>
      </c>
      <c r="L379">
        <f t="shared" si="75"/>
        <v>0</v>
      </c>
      <c r="M379">
        <f t="shared" si="76"/>
        <v>1</v>
      </c>
      <c r="O379">
        <f t="shared" si="77"/>
        <v>0</v>
      </c>
      <c r="P379">
        <f t="shared" si="78"/>
        <v>0.25</v>
      </c>
      <c r="R379">
        <f t="shared" si="79"/>
        <v>0.79000000000000625</v>
      </c>
      <c r="S379">
        <f t="shared" si="80"/>
        <v>1.2588888888888903</v>
      </c>
      <c r="U379">
        <f t="shared" si="81"/>
        <v>38.55748373101968</v>
      </c>
      <c r="AH379">
        <f t="shared" si="82"/>
        <v>5.6111469274223422</v>
      </c>
      <c r="AI379">
        <f t="shared" si="83"/>
        <v>92.697366790175167</v>
      </c>
      <c r="AJ379">
        <f t="shared" si="84"/>
        <v>115.17763320982483</v>
      </c>
      <c r="AL379">
        <f t="shared" si="85"/>
        <v>115.15979385484468</v>
      </c>
      <c r="AM379">
        <f t="shared" si="86"/>
        <v>92.715206145155321</v>
      </c>
    </row>
    <row r="380" spans="1:39" ht="16.5" x14ac:dyDescent="0.25">
      <c r="A380" s="1">
        <v>45155</v>
      </c>
      <c r="B380" s="5">
        <v>99.1</v>
      </c>
      <c r="C380" s="4">
        <v>99.6</v>
      </c>
      <c r="D380" s="4">
        <v>99.91</v>
      </c>
      <c r="E380" s="4">
        <v>98.64</v>
      </c>
      <c r="F380" s="4" t="s">
        <v>603</v>
      </c>
      <c r="G380" s="2" t="s">
        <v>292</v>
      </c>
      <c r="I380">
        <f t="shared" si="73"/>
        <v>104.404</v>
      </c>
      <c r="J380">
        <f t="shared" si="74"/>
        <v>106.57300000000001</v>
      </c>
      <c r="L380">
        <f t="shared" si="75"/>
        <v>0</v>
      </c>
      <c r="M380">
        <f t="shared" si="76"/>
        <v>1</v>
      </c>
      <c r="O380">
        <f t="shared" si="77"/>
        <v>0</v>
      </c>
      <c r="P380">
        <f t="shared" si="78"/>
        <v>0.5</v>
      </c>
      <c r="R380">
        <f t="shared" si="79"/>
        <v>0.79000000000000625</v>
      </c>
      <c r="S380">
        <f t="shared" si="80"/>
        <v>1.2844444444444463</v>
      </c>
      <c r="U380">
        <f t="shared" si="81"/>
        <v>38.082485270487567</v>
      </c>
      <c r="AH380">
        <f t="shared" si="82"/>
        <v>5.6261545788821428</v>
      </c>
      <c r="AI380">
        <f t="shared" si="83"/>
        <v>93.163866790175163</v>
      </c>
      <c r="AJ380">
        <f t="shared" si="84"/>
        <v>115.64413320982483</v>
      </c>
      <c r="AL380">
        <f t="shared" si="85"/>
        <v>115.65630915776428</v>
      </c>
      <c r="AM380">
        <f t="shared" si="86"/>
        <v>93.151690842235709</v>
      </c>
    </row>
    <row r="381" spans="1:39" ht="16.5" x14ac:dyDescent="0.25">
      <c r="A381" s="1">
        <v>45154</v>
      </c>
      <c r="B381" s="5">
        <v>99.76</v>
      </c>
      <c r="C381" s="4">
        <v>99.19</v>
      </c>
      <c r="D381" s="4">
        <v>100.6</v>
      </c>
      <c r="E381" s="4">
        <v>98.73</v>
      </c>
      <c r="F381" s="4" t="s">
        <v>604</v>
      </c>
      <c r="G381" s="2" t="s">
        <v>207</v>
      </c>
      <c r="I381">
        <f t="shared" si="73"/>
        <v>104.83300000000001</v>
      </c>
      <c r="J381">
        <f t="shared" si="74"/>
        <v>106.82300000000002</v>
      </c>
      <c r="L381">
        <f t="shared" si="75"/>
        <v>1</v>
      </c>
      <c r="M381">
        <f t="shared" si="76"/>
        <v>0</v>
      </c>
      <c r="O381">
        <f t="shared" si="77"/>
        <v>0.57000000000000739</v>
      </c>
      <c r="P381">
        <f t="shared" si="78"/>
        <v>0</v>
      </c>
      <c r="R381">
        <f t="shared" si="79"/>
        <v>0.9550000000000054</v>
      </c>
      <c r="S381">
        <f t="shared" si="80"/>
        <v>1.3825000000000021</v>
      </c>
      <c r="U381">
        <f t="shared" si="81"/>
        <v>40.855614973262135</v>
      </c>
      <c r="AH381">
        <f t="shared" si="82"/>
        <v>5.6398085960933093</v>
      </c>
      <c r="AI381">
        <f t="shared" si="83"/>
        <v>93.592866790175179</v>
      </c>
      <c r="AJ381">
        <f t="shared" si="84"/>
        <v>116.07313320982485</v>
      </c>
      <c r="AL381">
        <f t="shared" si="85"/>
        <v>116.11261719218663</v>
      </c>
      <c r="AM381">
        <f t="shared" si="86"/>
        <v>93.553382807813392</v>
      </c>
    </row>
    <row r="382" spans="1:39" ht="16.5" x14ac:dyDescent="0.25">
      <c r="A382" s="1">
        <v>45153</v>
      </c>
      <c r="B382" s="5">
        <v>99.21</v>
      </c>
      <c r="C382" s="4">
        <v>100.3</v>
      </c>
      <c r="D382" s="4">
        <v>100.32</v>
      </c>
      <c r="E382" s="4">
        <v>98.83</v>
      </c>
      <c r="F382" s="4" t="s">
        <v>605</v>
      </c>
      <c r="G382" s="2" t="s">
        <v>606</v>
      </c>
      <c r="I382">
        <f t="shared" si="73"/>
        <v>105.205</v>
      </c>
      <c r="J382">
        <f t="shared" si="74"/>
        <v>107.077</v>
      </c>
      <c r="L382">
        <f t="shared" si="75"/>
        <v>0</v>
      </c>
      <c r="M382">
        <f t="shared" si="76"/>
        <v>1</v>
      </c>
      <c r="O382">
        <f t="shared" si="77"/>
        <v>0</v>
      </c>
      <c r="P382">
        <f t="shared" si="78"/>
        <v>1.0900000000000034</v>
      </c>
      <c r="R382">
        <f t="shared" si="79"/>
        <v>1.2766666666666708</v>
      </c>
      <c r="S382">
        <f t="shared" si="80"/>
        <v>1.3825000000000021</v>
      </c>
      <c r="U382">
        <f t="shared" si="81"/>
        <v>48.010028204324712</v>
      </c>
      <c r="AH382">
        <f t="shared" si="82"/>
        <v>5.651952762094397</v>
      </c>
      <c r="AI382">
        <f t="shared" si="83"/>
        <v>93.964866790175165</v>
      </c>
      <c r="AJ382">
        <f t="shared" si="84"/>
        <v>116.44513320982483</v>
      </c>
      <c r="AL382">
        <f t="shared" si="85"/>
        <v>116.50890552418879</v>
      </c>
      <c r="AM382">
        <f t="shared" si="86"/>
        <v>93.901094475811206</v>
      </c>
    </row>
    <row r="383" spans="1:39" ht="16.5" x14ac:dyDescent="0.25">
      <c r="A383" s="1">
        <v>45152</v>
      </c>
      <c r="B383" s="5">
        <v>100.1</v>
      </c>
      <c r="C383" s="4">
        <v>99.8</v>
      </c>
      <c r="D383" s="4">
        <v>100.92</v>
      </c>
      <c r="E383" s="4">
        <v>98.82</v>
      </c>
      <c r="F383" s="4" t="s">
        <v>607</v>
      </c>
      <c r="G383" s="2" t="s">
        <v>336</v>
      </c>
      <c r="I383">
        <f t="shared" si="73"/>
        <v>105.59950000000001</v>
      </c>
      <c r="J383">
        <f t="shared" si="74"/>
        <v>107.35975000000001</v>
      </c>
      <c r="L383">
        <f t="shared" si="75"/>
        <v>1</v>
      </c>
      <c r="M383">
        <f t="shared" si="76"/>
        <v>0</v>
      </c>
      <c r="O383">
        <f t="shared" si="77"/>
        <v>0.29999999999999716</v>
      </c>
      <c r="P383">
        <f t="shared" si="78"/>
        <v>0</v>
      </c>
      <c r="R383">
        <f t="shared" si="79"/>
        <v>1.2766666666666708</v>
      </c>
      <c r="S383">
        <f t="shared" si="80"/>
        <v>1.4062500000000018</v>
      </c>
      <c r="U383">
        <f t="shared" si="81"/>
        <v>47.585028731169487</v>
      </c>
      <c r="AH383">
        <f t="shared" si="82"/>
        <v>5.6625694423922788</v>
      </c>
      <c r="AI383">
        <f t="shared" si="83"/>
        <v>94.359366790175173</v>
      </c>
      <c r="AJ383">
        <f t="shared" si="84"/>
        <v>116.83963320982484</v>
      </c>
      <c r="AL383">
        <f t="shared" si="85"/>
        <v>116.92463888478457</v>
      </c>
      <c r="AM383">
        <f t="shared" si="86"/>
        <v>94.274361115215441</v>
      </c>
    </row>
    <row r="384" spans="1:39" ht="16.5" x14ac:dyDescent="0.25">
      <c r="A384" s="1">
        <v>45149</v>
      </c>
      <c r="B384" s="5">
        <v>99.99</v>
      </c>
      <c r="C384" s="4">
        <v>101.32</v>
      </c>
      <c r="D384" s="4">
        <v>101.32</v>
      </c>
      <c r="E384" s="4">
        <v>99.85</v>
      </c>
      <c r="F384" s="4" t="s">
        <v>150</v>
      </c>
      <c r="G384" s="2" t="s">
        <v>135</v>
      </c>
      <c r="I384">
        <f t="shared" si="73"/>
        <v>105.9345</v>
      </c>
      <c r="J384">
        <f t="shared" si="74"/>
        <v>107.63275000000002</v>
      </c>
      <c r="L384">
        <f t="shared" si="75"/>
        <v>0</v>
      </c>
      <c r="M384">
        <f t="shared" si="76"/>
        <v>1</v>
      </c>
      <c r="O384">
        <f t="shared" si="77"/>
        <v>0</v>
      </c>
      <c r="P384">
        <f t="shared" si="78"/>
        <v>1.3299999999999983</v>
      </c>
      <c r="R384">
        <f t="shared" si="79"/>
        <v>1.4720000000000055</v>
      </c>
      <c r="S384">
        <f t="shared" si="80"/>
        <v>1.3500000000000005</v>
      </c>
      <c r="U384">
        <f t="shared" si="81"/>
        <v>52.16158752657698</v>
      </c>
      <c r="AH384">
        <f t="shared" si="82"/>
        <v>5.6713248043020235</v>
      </c>
      <c r="AI384">
        <f t="shared" si="83"/>
        <v>94.694366790175167</v>
      </c>
      <c r="AJ384">
        <f t="shared" si="84"/>
        <v>117.17463320982483</v>
      </c>
      <c r="AL384">
        <f t="shared" si="85"/>
        <v>117.27714960860405</v>
      </c>
      <c r="AM384">
        <f t="shared" si="86"/>
        <v>94.591850391395951</v>
      </c>
    </row>
    <row r="385" spans="1:39" ht="16.5" x14ac:dyDescent="0.25">
      <c r="A385" s="1">
        <v>45148</v>
      </c>
      <c r="B385" s="5">
        <v>101.9</v>
      </c>
      <c r="C385" s="4">
        <v>101.6</v>
      </c>
      <c r="D385" s="4">
        <v>102.6</v>
      </c>
      <c r="E385" s="4">
        <v>101.38</v>
      </c>
      <c r="F385" s="4" t="s">
        <v>608</v>
      </c>
      <c r="G385" s="2" t="s">
        <v>416</v>
      </c>
      <c r="I385">
        <f t="shared" si="73"/>
        <v>106.273</v>
      </c>
      <c r="J385">
        <f t="shared" si="74"/>
        <v>107.926</v>
      </c>
      <c r="L385">
        <f t="shared" si="75"/>
        <v>1</v>
      </c>
      <c r="M385">
        <f t="shared" si="76"/>
        <v>0</v>
      </c>
      <c r="O385">
        <f t="shared" si="77"/>
        <v>0.30000000000001137</v>
      </c>
      <c r="P385">
        <f t="shared" si="78"/>
        <v>0</v>
      </c>
      <c r="R385">
        <f t="shared" si="79"/>
        <v>1.4366666666666699</v>
      </c>
      <c r="S385">
        <f t="shared" si="80"/>
        <v>1.3525000000000009</v>
      </c>
      <c r="U385">
        <f t="shared" si="81"/>
        <v>51.50881386316108</v>
      </c>
      <c r="AH385">
        <f t="shared" si="82"/>
        <v>5.6782874644088324</v>
      </c>
      <c r="AI385">
        <f t="shared" si="83"/>
        <v>95.032866790175163</v>
      </c>
      <c r="AJ385">
        <f t="shared" si="84"/>
        <v>117.51313320982483</v>
      </c>
      <c r="AL385">
        <f t="shared" si="85"/>
        <v>117.62957492881766</v>
      </c>
      <c r="AM385">
        <f t="shared" si="86"/>
        <v>94.916425071182331</v>
      </c>
    </row>
    <row r="386" spans="1:39" ht="16.5" x14ac:dyDescent="0.25">
      <c r="A386" s="1">
        <v>45147</v>
      </c>
      <c r="B386" s="5">
        <v>101.36</v>
      </c>
      <c r="C386" s="4">
        <v>101.6</v>
      </c>
      <c r="D386" s="4">
        <v>102.94</v>
      </c>
      <c r="E386" s="4">
        <v>101.18</v>
      </c>
      <c r="F386" s="4" t="s">
        <v>609</v>
      </c>
      <c r="G386" s="2" t="s">
        <v>354</v>
      </c>
      <c r="I386">
        <f t="shared" si="73"/>
        <v>106.52799999999999</v>
      </c>
      <c r="J386">
        <f t="shared" si="74"/>
        <v>108.19150000000002</v>
      </c>
      <c r="L386">
        <f t="shared" si="75"/>
        <v>0</v>
      </c>
      <c r="M386">
        <f t="shared" si="76"/>
        <v>1</v>
      </c>
      <c r="O386">
        <f t="shared" si="77"/>
        <v>0</v>
      </c>
      <c r="P386">
        <f t="shared" si="78"/>
        <v>0.23999999999999488</v>
      </c>
      <c r="R386">
        <f t="shared" si="79"/>
        <v>1.6640000000000015</v>
      </c>
      <c r="S386">
        <f t="shared" si="80"/>
        <v>1.20888888888889</v>
      </c>
      <c r="U386">
        <f t="shared" si="81"/>
        <v>57.920792079207921</v>
      </c>
      <c r="AH386">
        <f t="shared" si="82"/>
        <v>5.6832311324687925</v>
      </c>
      <c r="AI386">
        <f t="shared" si="83"/>
        <v>95.287866790175158</v>
      </c>
      <c r="AJ386">
        <f t="shared" si="84"/>
        <v>117.76813320982482</v>
      </c>
      <c r="AL386">
        <f t="shared" si="85"/>
        <v>117.89446226493757</v>
      </c>
      <c r="AM386">
        <f t="shared" si="86"/>
        <v>95.16153773506241</v>
      </c>
    </row>
    <row r="387" spans="1:39" ht="16.5" x14ac:dyDescent="0.25">
      <c r="A387" s="1">
        <v>45146</v>
      </c>
      <c r="B387" s="5">
        <v>101.86</v>
      </c>
      <c r="C387" s="4">
        <v>103.16</v>
      </c>
      <c r="D387" s="4">
        <v>104.4</v>
      </c>
      <c r="E387" s="4">
        <v>101.14</v>
      </c>
      <c r="F387" s="4" t="s">
        <v>610</v>
      </c>
      <c r="G387" s="2" t="s">
        <v>611</v>
      </c>
      <c r="I387">
        <f t="shared" ref="I387:I450" si="87">AVERAGE(B387:B406)</f>
        <v>106.83</v>
      </c>
      <c r="J387">
        <f t="shared" ref="J387:J450" si="88">AVERAGE(B387:B426)</f>
        <v>108.47999999999999</v>
      </c>
      <c r="L387">
        <f t="shared" ref="L387:L450" si="89">IF($C387&lt;$B387,1,0)</f>
        <v>0</v>
      </c>
      <c r="M387">
        <f t="shared" ref="M387:M450" si="90">IF($C387&lt;$B387,0,1)</f>
        <v>1</v>
      </c>
      <c r="O387">
        <f t="shared" ref="O387:O450" si="91">IF($C387&lt;$B387,B387-C387,0)</f>
        <v>0</v>
      </c>
      <c r="P387">
        <f t="shared" ref="P387:P450" si="92">IF($B387&lt;$C387,C387-B387,0)</f>
        <v>1.2999999999999972</v>
      </c>
      <c r="R387">
        <f t="shared" ref="R387:R450" si="93">SUM(O387:O400)/SUM(L387:L400)</f>
        <v>1.5300000000000036</v>
      </c>
      <c r="S387">
        <f t="shared" ref="S387:S450" si="94">SUM(P387:P400)/SUM(M387:M400)</f>
        <v>1.3300000000000018</v>
      </c>
      <c r="U387">
        <f t="shared" ref="U387:U450" si="95">100-(100/(1+(R387/S387)))</f>
        <v>53.496503496503522</v>
      </c>
      <c r="AH387">
        <f t="shared" ref="AH387:AH450" si="96">_xlfn.STDEV.S(I387:I917)</f>
        <v>5.6864674703250202</v>
      </c>
      <c r="AI387">
        <f t="shared" ref="AI387:AI450" si="97">I387-$AH$2</f>
        <v>95.589866790175165</v>
      </c>
      <c r="AJ387">
        <f t="shared" ref="AJ387:AJ450" si="98">I387+$AH$2</f>
        <v>118.07013320982483</v>
      </c>
      <c r="AL387">
        <f t="shared" ref="AL387:AL450" si="99">I387+(AH387*2)</f>
        <v>118.20293494065004</v>
      </c>
      <c r="AM387">
        <f t="shared" ref="AM387:AM450" si="100">I387-(AH387*2)</f>
        <v>95.457065059349958</v>
      </c>
    </row>
    <row r="388" spans="1:39" ht="16.5" x14ac:dyDescent="0.25">
      <c r="A388" s="1">
        <v>45145</v>
      </c>
      <c r="B388" s="5">
        <v>103.74</v>
      </c>
      <c r="C388" s="4">
        <v>103.9</v>
      </c>
      <c r="D388" s="4">
        <v>104.76</v>
      </c>
      <c r="E388" s="4">
        <v>103.02</v>
      </c>
      <c r="F388" s="4" t="s">
        <v>612</v>
      </c>
      <c r="G388" s="2" t="s">
        <v>592</v>
      </c>
      <c r="I388">
        <f t="shared" si="87"/>
        <v>107.06099999999999</v>
      </c>
      <c r="J388">
        <f t="shared" si="88"/>
        <v>108.73499999999999</v>
      </c>
      <c r="L388">
        <f t="shared" si="89"/>
        <v>0</v>
      </c>
      <c r="M388">
        <f t="shared" si="90"/>
        <v>1</v>
      </c>
      <c r="O388">
        <f t="shared" si="91"/>
        <v>0</v>
      </c>
      <c r="P388">
        <f t="shared" si="92"/>
        <v>0.1600000000000108</v>
      </c>
      <c r="R388">
        <f t="shared" si="93"/>
        <v>1.5300000000000036</v>
      </c>
      <c r="S388">
        <f t="shared" si="94"/>
        <v>1.1950000000000021</v>
      </c>
      <c r="U388">
        <f t="shared" si="95"/>
        <v>56.146788990825698</v>
      </c>
      <c r="AH388">
        <f t="shared" si="96"/>
        <v>5.687529656153739</v>
      </c>
      <c r="AI388">
        <f t="shared" si="97"/>
        <v>95.82086679017516</v>
      </c>
      <c r="AJ388">
        <f t="shared" si="98"/>
        <v>118.30113320982483</v>
      </c>
      <c r="AL388">
        <f t="shared" si="99"/>
        <v>118.43605931230746</v>
      </c>
      <c r="AM388">
        <f t="shared" si="100"/>
        <v>95.685940687692522</v>
      </c>
    </row>
    <row r="389" spans="1:39" ht="16.5" x14ac:dyDescent="0.25">
      <c r="A389" s="1">
        <v>45142</v>
      </c>
      <c r="B389" s="5">
        <v>104.08</v>
      </c>
      <c r="C389" s="4">
        <v>103.32</v>
      </c>
      <c r="D389" s="4">
        <v>104.46</v>
      </c>
      <c r="E389" s="4">
        <v>102.78</v>
      </c>
      <c r="F389" s="4" t="s">
        <v>613</v>
      </c>
      <c r="G389" s="2" t="s">
        <v>614</v>
      </c>
      <c r="I389">
        <f t="shared" si="87"/>
        <v>107.24799999999998</v>
      </c>
      <c r="J389">
        <f t="shared" si="88"/>
        <v>108.89499999999998</v>
      </c>
      <c r="L389">
        <f t="shared" si="89"/>
        <v>1</v>
      </c>
      <c r="M389">
        <f t="shared" si="90"/>
        <v>0</v>
      </c>
      <c r="O389">
        <f t="shared" si="91"/>
        <v>0.76000000000000512</v>
      </c>
      <c r="P389">
        <f t="shared" si="92"/>
        <v>0</v>
      </c>
      <c r="R389">
        <f t="shared" si="93"/>
        <v>1.3457142857142881</v>
      </c>
      <c r="S389">
        <f t="shared" si="94"/>
        <v>1.3428571428571436</v>
      </c>
      <c r="U389">
        <f t="shared" si="95"/>
        <v>50.053134962805558</v>
      </c>
      <c r="AH389">
        <f t="shared" si="96"/>
        <v>5.6867248731513449</v>
      </c>
      <c r="AI389">
        <f t="shared" si="97"/>
        <v>96.007866790175143</v>
      </c>
      <c r="AJ389">
        <f t="shared" si="98"/>
        <v>118.48813320982481</v>
      </c>
      <c r="AL389">
        <f t="shared" si="99"/>
        <v>118.62144974630266</v>
      </c>
      <c r="AM389">
        <f t="shared" si="100"/>
        <v>95.874550253697294</v>
      </c>
    </row>
    <row r="390" spans="1:39" ht="16.5" x14ac:dyDescent="0.25">
      <c r="A390" s="1">
        <v>45141</v>
      </c>
      <c r="B390" s="5">
        <v>102.98</v>
      </c>
      <c r="C390" s="4">
        <v>103.4</v>
      </c>
      <c r="D390" s="4">
        <v>104.52</v>
      </c>
      <c r="E390" s="4">
        <v>101.98</v>
      </c>
      <c r="F390" s="4" t="s">
        <v>305</v>
      </c>
      <c r="G390" s="2" t="s">
        <v>615</v>
      </c>
      <c r="I390">
        <f t="shared" si="87"/>
        <v>107.401</v>
      </c>
      <c r="J390">
        <f t="shared" si="88"/>
        <v>108.995</v>
      </c>
      <c r="L390">
        <f t="shared" si="89"/>
        <v>0</v>
      </c>
      <c r="M390">
        <f t="shared" si="90"/>
        <v>1</v>
      </c>
      <c r="O390">
        <f t="shared" si="91"/>
        <v>0</v>
      </c>
      <c r="P390">
        <f t="shared" si="92"/>
        <v>0.42000000000000171</v>
      </c>
      <c r="R390">
        <f t="shared" si="93"/>
        <v>1.2942857142857147</v>
      </c>
      <c r="S390">
        <f t="shared" si="94"/>
        <v>1.3428571428571436</v>
      </c>
      <c r="U390">
        <f t="shared" si="95"/>
        <v>49.079089924160343</v>
      </c>
      <c r="AH390">
        <f t="shared" si="96"/>
        <v>5.6842373268282893</v>
      </c>
      <c r="AI390">
        <f t="shared" si="97"/>
        <v>96.160866790175163</v>
      </c>
      <c r="AJ390">
        <f t="shared" si="98"/>
        <v>118.64113320982483</v>
      </c>
      <c r="AL390">
        <f t="shared" si="99"/>
        <v>118.76947465365657</v>
      </c>
      <c r="AM390">
        <f t="shared" si="100"/>
        <v>96.032525346343419</v>
      </c>
    </row>
    <row r="391" spans="1:39" ht="16.5" x14ac:dyDescent="0.25">
      <c r="A391" s="1">
        <v>45140</v>
      </c>
      <c r="B391" s="5">
        <v>105.26</v>
      </c>
      <c r="C391" s="4">
        <v>103.24</v>
      </c>
      <c r="D391" s="4">
        <v>106</v>
      </c>
      <c r="E391" s="4">
        <v>102.94</v>
      </c>
      <c r="F391" s="4" t="s">
        <v>60</v>
      </c>
      <c r="G391" s="2" t="s">
        <v>375</v>
      </c>
      <c r="I391">
        <f t="shared" si="87"/>
        <v>107.65300000000002</v>
      </c>
      <c r="J391">
        <f t="shared" si="88"/>
        <v>109.11949999999999</v>
      </c>
      <c r="L391">
        <f t="shared" si="89"/>
        <v>1</v>
      </c>
      <c r="M391">
        <f t="shared" si="90"/>
        <v>0</v>
      </c>
      <c r="O391">
        <f t="shared" si="91"/>
        <v>2.0200000000000102</v>
      </c>
      <c r="P391">
        <f t="shared" si="92"/>
        <v>0</v>
      </c>
      <c r="R391">
        <f t="shared" si="93"/>
        <v>1.2942857142857147</v>
      </c>
      <c r="S391">
        <f t="shared" si="94"/>
        <v>1.3171428571428569</v>
      </c>
      <c r="U391">
        <f t="shared" si="95"/>
        <v>49.562363238512042</v>
      </c>
      <c r="AH391">
        <f t="shared" si="96"/>
        <v>5.6802151979026565</v>
      </c>
      <c r="AI391">
        <f t="shared" si="97"/>
        <v>96.412866790175187</v>
      </c>
      <c r="AJ391">
        <f t="shared" si="98"/>
        <v>118.89313320982485</v>
      </c>
      <c r="AL391">
        <f t="shared" si="99"/>
        <v>119.01343039580533</v>
      </c>
      <c r="AM391">
        <f t="shared" si="100"/>
        <v>96.292569604194711</v>
      </c>
    </row>
    <row r="392" spans="1:39" ht="16.5" x14ac:dyDescent="0.25">
      <c r="A392" s="1">
        <v>45139</v>
      </c>
      <c r="B392" s="5">
        <v>104.88</v>
      </c>
      <c r="C392" s="4">
        <v>110.92</v>
      </c>
      <c r="D392" s="4">
        <v>111.7</v>
      </c>
      <c r="E392" s="4">
        <v>103.4</v>
      </c>
      <c r="F392" s="4" t="s">
        <v>616</v>
      </c>
      <c r="G392" s="2" t="s">
        <v>617</v>
      </c>
      <c r="I392">
        <f t="shared" si="87"/>
        <v>108.01000000000002</v>
      </c>
      <c r="J392">
        <f t="shared" si="88"/>
        <v>109.16</v>
      </c>
      <c r="L392">
        <f t="shared" si="89"/>
        <v>0</v>
      </c>
      <c r="M392">
        <f t="shared" si="90"/>
        <v>1</v>
      </c>
      <c r="O392">
        <f t="shared" si="91"/>
        <v>0</v>
      </c>
      <c r="P392">
        <f t="shared" si="92"/>
        <v>6.0400000000000063</v>
      </c>
      <c r="R392">
        <f t="shared" si="93"/>
        <v>1.173333333333332</v>
      </c>
      <c r="S392">
        <f t="shared" si="94"/>
        <v>1.2475000000000005</v>
      </c>
      <c r="U392">
        <f t="shared" si="95"/>
        <v>48.468158347676379</v>
      </c>
      <c r="AH392">
        <f t="shared" si="96"/>
        <v>5.6737509007583782</v>
      </c>
      <c r="AI392">
        <f t="shared" si="97"/>
        <v>96.769866790175186</v>
      </c>
      <c r="AJ392">
        <f t="shared" si="98"/>
        <v>119.25013320982485</v>
      </c>
      <c r="AL392">
        <f t="shared" si="99"/>
        <v>119.35750180151678</v>
      </c>
      <c r="AM392">
        <f t="shared" si="100"/>
        <v>96.662498198483263</v>
      </c>
    </row>
    <row r="393" spans="1:39" ht="16.5" x14ac:dyDescent="0.25">
      <c r="A393" s="1">
        <v>45138</v>
      </c>
      <c r="B393" s="5">
        <v>110.86</v>
      </c>
      <c r="C393" s="4">
        <v>111.34</v>
      </c>
      <c r="D393" s="4">
        <v>111.76</v>
      </c>
      <c r="E393" s="4">
        <v>110.68</v>
      </c>
      <c r="F393" s="4" t="s">
        <v>618</v>
      </c>
      <c r="G393" s="2" t="s">
        <v>388</v>
      </c>
      <c r="I393">
        <f t="shared" si="87"/>
        <v>108.35700000000001</v>
      </c>
      <c r="J393">
        <f t="shared" si="88"/>
        <v>109.20549999999999</v>
      </c>
      <c r="L393">
        <f t="shared" si="89"/>
        <v>0</v>
      </c>
      <c r="M393">
        <f t="shared" si="90"/>
        <v>1</v>
      </c>
      <c r="O393">
        <f t="shared" si="91"/>
        <v>0</v>
      </c>
      <c r="P393">
        <f t="shared" si="92"/>
        <v>0.48000000000000398</v>
      </c>
      <c r="R393">
        <f t="shared" si="93"/>
        <v>1.0685714285714292</v>
      </c>
      <c r="S393">
        <f t="shared" si="94"/>
        <v>0.5628571428571425</v>
      </c>
      <c r="U393">
        <f t="shared" si="95"/>
        <v>65.499124343257478</v>
      </c>
      <c r="AH393">
        <f t="shared" si="96"/>
        <v>5.6637302725432965</v>
      </c>
      <c r="AI393">
        <f t="shared" si="97"/>
        <v>97.11686679017518</v>
      </c>
      <c r="AJ393">
        <f t="shared" si="98"/>
        <v>119.59713320982485</v>
      </c>
      <c r="AL393">
        <f t="shared" si="99"/>
        <v>119.68446054508661</v>
      </c>
      <c r="AM393">
        <f t="shared" si="100"/>
        <v>97.029539454913419</v>
      </c>
    </row>
    <row r="394" spans="1:39" ht="16.5" x14ac:dyDescent="0.25">
      <c r="A394" s="1">
        <v>45135</v>
      </c>
      <c r="B394" s="5">
        <v>111.28</v>
      </c>
      <c r="C394" s="4">
        <v>109.5</v>
      </c>
      <c r="D394" s="4">
        <v>111.56</v>
      </c>
      <c r="E394" s="4">
        <v>108.62</v>
      </c>
      <c r="F394" s="4" t="s">
        <v>619</v>
      </c>
      <c r="G394" s="2" t="s">
        <v>243</v>
      </c>
      <c r="I394">
        <f t="shared" si="87"/>
        <v>108.42400000000002</v>
      </c>
      <c r="J394">
        <f t="shared" si="88"/>
        <v>109.09499999999998</v>
      </c>
      <c r="L394">
        <f t="shared" si="89"/>
        <v>1</v>
      </c>
      <c r="M394">
        <f t="shared" si="90"/>
        <v>0</v>
      </c>
      <c r="O394">
        <f t="shared" si="91"/>
        <v>1.7800000000000011</v>
      </c>
      <c r="P394">
        <f t="shared" si="92"/>
        <v>0</v>
      </c>
      <c r="R394">
        <f t="shared" si="93"/>
        <v>1.0685714285714292</v>
      </c>
      <c r="S394">
        <f t="shared" si="94"/>
        <v>0.56857142857142706</v>
      </c>
      <c r="U394">
        <f t="shared" si="95"/>
        <v>65.270506108202511</v>
      </c>
      <c r="AH394">
        <f t="shared" si="96"/>
        <v>5.6499108220375893</v>
      </c>
      <c r="AI394">
        <f t="shared" si="97"/>
        <v>97.183866790175188</v>
      </c>
      <c r="AJ394">
        <f t="shared" si="98"/>
        <v>119.66413320982485</v>
      </c>
      <c r="AL394">
        <f t="shared" si="99"/>
        <v>119.7238216440752</v>
      </c>
      <c r="AM394">
        <f t="shared" si="100"/>
        <v>97.12417835592484</v>
      </c>
    </row>
    <row r="395" spans="1:39" ht="16.5" x14ac:dyDescent="0.25">
      <c r="A395" s="1">
        <v>45134</v>
      </c>
      <c r="B395" s="5">
        <v>109.96</v>
      </c>
      <c r="C395" s="4">
        <v>107.46</v>
      </c>
      <c r="D395" s="4">
        <v>109.96</v>
      </c>
      <c r="E395" s="4">
        <v>105.96</v>
      </c>
      <c r="F395" s="4" t="s">
        <v>415</v>
      </c>
      <c r="G395" s="2" t="s">
        <v>620</v>
      </c>
      <c r="I395">
        <f t="shared" si="87"/>
        <v>108.48600000000002</v>
      </c>
      <c r="J395">
        <f t="shared" si="88"/>
        <v>108.96699999999998</v>
      </c>
      <c r="L395">
        <f t="shared" si="89"/>
        <v>1</v>
      </c>
      <c r="M395">
        <f t="shared" si="90"/>
        <v>0</v>
      </c>
      <c r="O395">
        <f t="shared" si="91"/>
        <v>2.5</v>
      </c>
      <c r="P395">
        <f t="shared" si="92"/>
        <v>0</v>
      </c>
      <c r="R395">
        <f t="shared" si="93"/>
        <v>0.88571428571428612</v>
      </c>
      <c r="S395">
        <f t="shared" si="94"/>
        <v>0.56857142857142706</v>
      </c>
      <c r="U395">
        <f t="shared" si="95"/>
        <v>60.903732809430331</v>
      </c>
      <c r="AH395">
        <f t="shared" si="96"/>
        <v>5.6347058805842423</v>
      </c>
      <c r="AI395">
        <f t="shared" si="97"/>
        <v>97.245866790175185</v>
      </c>
      <c r="AJ395">
        <f t="shared" si="98"/>
        <v>119.72613320982485</v>
      </c>
      <c r="AL395">
        <f t="shared" si="99"/>
        <v>119.7554117611685</v>
      </c>
      <c r="AM395">
        <f t="shared" si="100"/>
        <v>97.216588238831534</v>
      </c>
    </row>
    <row r="396" spans="1:39" ht="16.5" x14ac:dyDescent="0.25">
      <c r="A396" s="1">
        <v>45133</v>
      </c>
      <c r="B396" s="5">
        <v>107.16</v>
      </c>
      <c r="C396" s="4">
        <v>108.44</v>
      </c>
      <c r="D396" s="4">
        <v>108.76</v>
      </c>
      <c r="E396" s="4">
        <v>105.82</v>
      </c>
      <c r="F396" s="4" t="s">
        <v>621</v>
      </c>
      <c r="G396" s="2" t="s">
        <v>153</v>
      </c>
      <c r="I396">
        <f t="shared" si="87"/>
        <v>108.54</v>
      </c>
      <c r="J396">
        <f t="shared" si="88"/>
        <v>108.80549999999998</v>
      </c>
      <c r="L396">
        <f t="shared" si="89"/>
        <v>0</v>
      </c>
      <c r="M396">
        <f t="shared" si="90"/>
        <v>1</v>
      </c>
      <c r="O396">
        <f t="shared" si="91"/>
        <v>0</v>
      </c>
      <c r="P396">
        <f t="shared" si="92"/>
        <v>1.2800000000000011</v>
      </c>
      <c r="R396">
        <f t="shared" si="93"/>
        <v>0.61666666666666714</v>
      </c>
      <c r="S396">
        <f t="shared" si="94"/>
        <v>0.59249999999999936</v>
      </c>
      <c r="U396">
        <f t="shared" si="95"/>
        <v>50.999310820124101</v>
      </c>
      <c r="AH396">
        <f t="shared" si="96"/>
        <v>5.6180926055775089</v>
      </c>
      <c r="AI396">
        <f t="shared" si="97"/>
        <v>97.299866790175173</v>
      </c>
      <c r="AJ396">
        <f t="shared" si="98"/>
        <v>119.78013320982484</v>
      </c>
      <c r="AL396">
        <f t="shared" si="99"/>
        <v>119.77618521115502</v>
      </c>
      <c r="AM396">
        <f t="shared" si="100"/>
        <v>97.303814788844988</v>
      </c>
    </row>
    <row r="397" spans="1:39" ht="16.5" x14ac:dyDescent="0.25">
      <c r="A397" s="1">
        <v>45132</v>
      </c>
      <c r="B397" s="5">
        <v>108.42</v>
      </c>
      <c r="C397" s="4">
        <v>109.32</v>
      </c>
      <c r="D397" s="4">
        <v>109.36</v>
      </c>
      <c r="E397" s="4">
        <v>108.14</v>
      </c>
      <c r="F397" s="4" t="s">
        <v>622</v>
      </c>
      <c r="G397" s="2" t="s">
        <v>623</v>
      </c>
      <c r="I397">
        <f t="shared" si="87"/>
        <v>108.67600000000002</v>
      </c>
      <c r="J397">
        <f t="shared" si="88"/>
        <v>108.67449999999999</v>
      </c>
      <c r="L397">
        <f t="shared" si="89"/>
        <v>0</v>
      </c>
      <c r="M397">
        <f t="shared" si="90"/>
        <v>1</v>
      </c>
      <c r="O397">
        <f t="shared" si="91"/>
        <v>0</v>
      </c>
      <c r="P397">
        <f t="shared" si="92"/>
        <v>0.89999999999999147</v>
      </c>
      <c r="R397">
        <f t="shared" si="93"/>
        <v>0.61666666666666714</v>
      </c>
      <c r="S397">
        <f t="shared" si="94"/>
        <v>1.0374999999999996</v>
      </c>
      <c r="U397">
        <f t="shared" si="95"/>
        <v>37.279596977330002</v>
      </c>
      <c r="AH397">
        <f t="shared" si="96"/>
        <v>5.6000788755768172</v>
      </c>
      <c r="AI397">
        <f t="shared" si="97"/>
        <v>97.435866790175183</v>
      </c>
      <c r="AJ397">
        <f t="shared" si="98"/>
        <v>119.91613320982485</v>
      </c>
      <c r="AL397">
        <f t="shared" si="99"/>
        <v>119.87615775115366</v>
      </c>
      <c r="AM397">
        <f t="shared" si="100"/>
        <v>97.475842248846376</v>
      </c>
    </row>
    <row r="398" spans="1:39" ht="16.5" x14ac:dyDescent="0.25">
      <c r="A398" s="1">
        <v>45131</v>
      </c>
      <c r="B398" s="5">
        <v>108.6</v>
      </c>
      <c r="C398" s="4">
        <v>107.34</v>
      </c>
      <c r="D398" s="4">
        <v>108.62</v>
      </c>
      <c r="E398" s="4">
        <v>106.92</v>
      </c>
      <c r="F398" s="4" t="s">
        <v>624</v>
      </c>
      <c r="G398" s="2" t="s">
        <v>94</v>
      </c>
      <c r="I398">
        <f t="shared" si="87"/>
        <v>108.65799999999999</v>
      </c>
      <c r="J398">
        <f t="shared" si="88"/>
        <v>108.5685</v>
      </c>
      <c r="L398">
        <f t="shared" si="89"/>
        <v>1</v>
      </c>
      <c r="M398">
        <f t="shared" si="90"/>
        <v>0</v>
      </c>
      <c r="O398">
        <f t="shared" si="91"/>
        <v>1.2599999999999909</v>
      </c>
      <c r="P398">
        <f t="shared" si="92"/>
        <v>0</v>
      </c>
      <c r="R398">
        <f t="shared" si="93"/>
        <v>0.75714285714285878</v>
      </c>
      <c r="S398">
        <f t="shared" si="94"/>
        <v>1.0571428571428581</v>
      </c>
      <c r="U398">
        <f t="shared" si="95"/>
        <v>41.732283464566962</v>
      </c>
      <c r="AH398">
        <f t="shared" si="96"/>
        <v>5.5797309595680673</v>
      </c>
      <c r="AI398">
        <f t="shared" si="97"/>
        <v>97.417866790175154</v>
      </c>
      <c r="AJ398">
        <f t="shared" si="98"/>
        <v>119.89813320982482</v>
      </c>
      <c r="AL398">
        <f t="shared" si="99"/>
        <v>119.81746191913612</v>
      </c>
      <c r="AM398">
        <f t="shared" si="100"/>
        <v>97.498538080863852</v>
      </c>
    </row>
    <row r="399" spans="1:39" ht="16.5" x14ac:dyDescent="0.25">
      <c r="A399" s="1">
        <v>45128</v>
      </c>
      <c r="B399" s="5">
        <v>107.58</v>
      </c>
      <c r="C399" s="4">
        <v>107.64</v>
      </c>
      <c r="D399" s="4">
        <v>108.76</v>
      </c>
      <c r="E399" s="4">
        <v>107.48</v>
      </c>
      <c r="F399" s="4" t="s">
        <v>625</v>
      </c>
      <c r="G399" s="2" t="s">
        <v>533</v>
      </c>
      <c r="I399">
        <f t="shared" si="87"/>
        <v>108.68999999999998</v>
      </c>
      <c r="J399">
        <f t="shared" si="88"/>
        <v>108.46349999999998</v>
      </c>
      <c r="L399">
        <f t="shared" si="89"/>
        <v>0</v>
      </c>
      <c r="M399">
        <f t="shared" si="90"/>
        <v>1</v>
      </c>
      <c r="O399">
        <f t="shared" si="91"/>
        <v>0</v>
      </c>
      <c r="P399">
        <f t="shared" si="92"/>
        <v>6.0000000000002274E-2</v>
      </c>
      <c r="R399">
        <f t="shared" si="93"/>
        <v>0.67333333333333678</v>
      </c>
      <c r="S399">
        <f t="shared" si="94"/>
        <v>1.0000000000000018</v>
      </c>
      <c r="U399">
        <f t="shared" si="95"/>
        <v>40.239043824701277</v>
      </c>
      <c r="AH399">
        <f t="shared" si="96"/>
        <v>5.5585700239903364</v>
      </c>
      <c r="AI399">
        <f t="shared" si="97"/>
        <v>97.44986679017515</v>
      </c>
      <c r="AJ399">
        <f t="shared" si="98"/>
        <v>119.93013320982482</v>
      </c>
      <c r="AL399">
        <f t="shared" si="99"/>
        <v>119.80714004798065</v>
      </c>
      <c r="AM399">
        <f t="shared" si="100"/>
        <v>97.572859952019314</v>
      </c>
    </row>
    <row r="400" spans="1:39" ht="16.5" x14ac:dyDescent="0.25">
      <c r="A400" s="1">
        <v>45127</v>
      </c>
      <c r="B400" s="5">
        <v>107.68</v>
      </c>
      <c r="C400" s="4">
        <v>106.82</v>
      </c>
      <c r="D400" s="4">
        <v>108.3</v>
      </c>
      <c r="E400" s="4">
        <v>106.72</v>
      </c>
      <c r="F400" s="4" t="s">
        <v>626</v>
      </c>
      <c r="G400" s="2" t="s">
        <v>160</v>
      </c>
      <c r="I400">
        <f t="shared" si="87"/>
        <v>108.74199999999999</v>
      </c>
      <c r="J400">
        <f t="shared" si="88"/>
        <v>108.38549999999998</v>
      </c>
      <c r="L400">
        <f t="shared" si="89"/>
        <v>1</v>
      </c>
      <c r="M400">
        <f t="shared" si="90"/>
        <v>0</v>
      </c>
      <c r="O400">
        <f t="shared" si="91"/>
        <v>0.86000000000001364</v>
      </c>
      <c r="P400">
        <f t="shared" si="92"/>
        <v>0</v>
      </c>
      <c r="R400">
        <f t="shared" si="93"/>
        <v>0.67333333333333678</v>
      </c>
      <c r="S400">
        <f t="shared" si="94"/>
        <v>1.0800000000000018</v>
      </c>
      <c r="U400">
        <f t="shared" si="95"/>
        <v>38.403041825095137</v>
      </c>
      <c r="AH400">
        <f t="shared" si="96"/>
        <v>5.5360122166970633</v>
      </c>
      <c r="AI400">
        <f t="shared" si="97"/>
        <v>97.501866790175157</v>
      </c>
      <c r="AJ400">
        <f t="shared" si="98"/>
        <v>119.98213320982482</v>
      </c>
      <c r="AL400">
        <f t="shared" si="99"/>
        <v>119.81402443339411</v>
      </c>
      <c r="AM400">
        <f t="shared" si="100"/>
        <v>97.669975566605871</v>
      </c>
    </row>
    <row r="401" spans="1:39" ht="16.5" x14ac:dyDescent="0.25">
      <c r="A401" s="1">
        <v>45126</v>
      </c>
      <c r="B401" s="5">
        <v>107.2</v>
      </c>
      <c r="C401" s="4">
        <v>107.42</v>
      </c>
      <c r="D401" s="4">
        <v>107.62</v>
      </c>
      <c r="E401" s="4">
        <v>106.14</v>
      </c>
      <c r="F401" s="4" t="s">
        <v>627</v>
      </c>
      <c r="G401" s="2" t="s">
        <v>326</v>
      </c>
      <c r="I401">
        <f t="shared" si="87"/>
        <v>108.81300000000002</v>
      </c>
      <c r="J401">
        <f t="shared" si="88"/>
        <v>108.26299999999999</v>
      </c>
      <c r="L401">
        <f t="shared" si="89"/>
        <v>0</v>
      </c>
      <c r="M401">
        <f t="shared" si="90"/>
        <v>1</v>
      </c>
      <c r="O401">
        <f t="shared" si="91"/>
        <v>0</v>
      </c>
      <c r="P401">
        <f t="shared" si="92"/>
        <v>0.21999999999999886</v>
      </c>
      <c r="R401">
        <f t="shared" si="93"/>
        <v>0.70333333333333314</v>
      </c>
      <c r="S401">
        <f t="shared" si="94"/>
        <v>1.0800000000000018</v>
      </c>
      <c r="U401">
        <f t="shared" si="95"/>
        <v>39.439252336448547</v>
      </c>
      <c r="AH401">
        <f t="shared" si="96"/>
        <v>5.5117606659650038</v>
      </c>
      <c r="AI401">
        <f t="shared" si="97"/>
        <v>97.572866790175183</v>
      </c>
      <c r="AJ401">
        <f t="shared" si="98"/>
        <v>120.05313320982485</v>
      </c>
      <c r="AL401">
        <f t="shared" si="99"/>
        <v>119.83652133193003</v>
      </c>
      <c r="AM401">
        <f t="shared" si="100"/>
        <v>97.789478668070004</v>
      </c>
    </row>
    <row r="402" spans="1:39" ht="16.5" x14ac:dyDescent="0.25">
      <c r="A402" s="1">
        <v>45125</v>
      </c>
      <c r="B402" s="5">
        <v>107.1</v>
      </c>
      <c r="C402" s="4">
        <v>106.86</v>
      </c>
      <c r="D402" s="4">
        <v>107.8</v>
      </c>
      <c r="E402" s="4">
        <v>106.32</v>
      </c>
      <c r="F402" s="4" t="s">
        <v>628</v>
      </c>
      <c r="G402" s="2" t="s">
        <v>399</v>
      </c>
      <c r="I402">
        <f t="shared" si="87"/>
        <v>108.949</v>
      </c>
      <c r="J402">
        <f t="shared" si="88"/>
        <v>108.14799999999998</v>
      </c>
      <c r="L402">
        <f t="shared" si="89"/>
        <v>1</v>
      </c>
      <c r="M402">
        <f t="shared" si="90"/>
        <v>0</v>
      </c>
      <c r="O402">
        <f t="shared" si="91"/>
        <v>0.23999999999999488</v>
      </c>
      <c r="P402">
        <f t="shared" si="92"/>
        <v>0</v>
      </c>
      <c r="R402">
        <f t="shared" si="93"/>
        <v>0.76571428571428568</v>
      </c>
      <c r="S402">
        <f t="shared" si="94"/>
        <v>1.2028571428571451</v>
      </c>
      <c r="U402">
        <f t="shared" si="95"/>
        <v>38.896952104499228</v>
      </c>
      <c r="AH402">
        <f t="shared" si="96"/>
        <v>5.4855026807533553</v>
      </c>
      <c r="AI402">
        <f t="shared" si="97"/>
        <v>97.708866790175165</v>
      </c>
      <c r="AJ402">
        <f t="shared" si="98"/>
        <v>120.18913320982483</v>
      </c>
      <c r="AL402">
        <f t="shared" si="99"/>
        <v>119.92000536150671</v>
      </c>
      <c r="AM402">
        <f t="shared" si="100"/>
        <v>97.977994638493286</v>
      </c>
    </row>
    <row r="403" spans="1:39" ht="16.5" x14ac:dyDescent="0.25">
      <c r="A403" s="1">
        <v>45124</v>
      </c>
      <c r="B403" s="5">
        <v>106.8</v>
      </c>
      <c r="C403" s="4">
        <v>106.4</v>
      </c>
      <c r="D403" s="4">
        <v>107.26</v>
      </c>
      <c r="E403" s="4">
        <v>106.1</v>
      </c>
      <c r="F403" s="4" t="s">
        <v>629</v>
      </c>
      <c r="G403" s="2" t="s">
        <v>440</v>
      </c>
      <c r="I403">
        <f t="shared" si="87"/>
        <v>109.12</v>
      </c>
      <c r="J403">
        <f t="shared" si="88"/>
        <v>108.08249999999998</v>
      </c>
      <c r="L403">
        <f t="shared" si="89"/>
        <v>1</v>
      </c>
      <c r="M403">
        <f t="shared" si="90"/>
        <v>0</v>
      </c>
      <c r="O403">
        <f t="shared" si="91"/>
        <v>0.39999999999999147</v>
      </c>
      <c r="P403">
        <f t="shared" si="92"/>
        <v>0</v>
      </c>
      <c r="R403">
        <f t="shared" si="93"/>
        <v>0.91999999999999971</v>
      </c>
      <c r="S403">
        <f t="shared" si="94"/>
        <v>1.2028571428571451</v>
      </c>
      <c r="U403">
        <f t="shared" si="95"/>
        <v>43.337819650067239</v>
      </c>
      <c r="AH403">
        <f t="shared" si="96"/>
        <v>5.4563426165479871</v>
      </c>
      <c r="AI403">
        <f t="shared" si="97"/>
        <v>97.879866790175171</v>
      </c>
      <c r="AJ403">
        <f t="shared" si="98"/>
        <v>120.36013320982484</v>
      </c>
      <c r="AL403">
        <f t="shared" si="99"/>
        <v>120.03268523309598</v>
      </c>
      <c r="AM403">
        <f t="shared" si="100"/>
        <v>98.207314766904034</v>
      </c>
    </row>
    <row r="404" spans="1:39" ht="16.5" x14ac:dyDescent="0.25">
      <c r="A404" s="1">
        <v>45121</v>
      </c>
      <c r="B404" s="5">
        <v>106.76</v>
      </c>
      <c r="C404" s="4">
        <v>107</v>
      </c>
      <c r="D404" s="4">
        <v>107.14</v>
      </c>
      <c r="E404" s="4">
        <v>105.58</v>
      </c>
      <c r="F404" s="4" t="s">
        <v>630</v>
      </c>
      <c r="G404" s="2" t="s">
        <v>563</v>
      </c>
      <c r="I404">
        <f t="shared" si="87"/>
        <v>109.33099999999999</v>
      </c>
      <c r="J404">
        <f t="shared" si="88"/>
        <v>108.01349999999998</v>
      </c>
      <c r="L404">
        <f t="shared" si="89"/>
        <v>0</v>
      </c>
      <c r="M404">
        <f t="shared" si="90"/>
        <v>1</v>
      </c>
      <c r="O404">
        <f t="shared" si="91"/>
        <v>0</v>
      </c>
      <c r="P404">
        <f t="shared" si="92"/>
        <v>0.23999999999999488</v>
      </c>
      <c r="R404">
        <f t="shared" si="93"/>
        <v>1.0066666666666677</v>
      </c>
      <c r="S404">
        <f t="shared" si="94"/>
        <v>1.2325000000000017</v>
      </c>
      <c r="U404">
        <f t="shared" si="95"/>
        <v>44.957201339784135</v>
      </c>
      <c r="AH404">
        <f t="shared" si="96"/>
        <v>5.4236471873846552</v>
      </c>
      <c r="AI404">
        <f t="shared" si="97"/>
        <v>98.090866790175156</v>
      </c>
      <c r="AJ404">
        <f t="shared" si="98"/>
        <v>120.57113320982482</v>
      </c>
      <c r="AL404">
        <f t="shared" si="99"/>
        <v>120.17829437476929</v>
      </c>
      <c r="AM404">
        <f t="shared" si="100"/>
        <v>98.483705625230684</v>
      </c>
    </row>
    <row r="405" spans="1:39" ht="16.5" x14ac:dyDescent="0.25">
      <c r="A405" s="1">
        <v>45120</v>
      </c>
      <c r="B405" s="5">
        <v>107</v>
      </c>
      <c r="C405" s="4">
        <v>107.76</v>
      </c>
      <c r="D405" s="4">
        <v>107.8</v>
      </c>
      <c r="E405" s="4">
        <v>106.82</v>
      </c>
      <c r="F405" s="4" t="s">
        <v>631</v>
      </c>
      <c r="G405" s="2" t="s">
        <v>632</v>
      </c>
      <c r="I405">
        <f t="shared" si="87"/>
        <v>109.57899999999999</v>
      </c>
      <c r="J405">
        <f t="shared" si="88"/>
        <v>107.929</v>
      </c>
      <c r="L405">
        <f t="shared" si="89"/>
        <v>0</v>
      </c>
      <c r="M405">
        <f t="shared" si="90"/>
        <v>1</v>
      </c>
      <c r="O405">
        <f t="shared" si="91"/>
        <v>0</v>
      </c>
      <c r="P405">
        <f t="shared" si="92"/>
        <v>0.76000000000000512</v>
      </c>
      <c r="R405">
        <f t="shared" si="93"/>
        <v>0.86857142857142833</v>
      </c>
      <c r="S405">
        <f t="shared" si="94"/>
        <v>1.374285714285717</v>
      </c>
      <c r="U405">
        <f t="shared" si="95"/>
        <v>38.726114649681477</v>
      </c>
      <c r="AH405">
        <f t="shared" si="96"/>
        <v>5.3866343944457586</v>
      </c>
      <c r="AI405">
        <f t="shared" si="97"/>
        <v>98.33886679017516</v>
      </c>
      <c r="AJ405">
        <f t="shared" si="98"/>
        <v>120.81913320982483</v>
      </c>
      <c r="AL405">
        <f t="shared" si="99"/>
        <v>120.35226878889151</v>
      </c>
      <c r="AM405">
        <f t="shared" si="100"/>
        <v>98.80573121110848</v>
      </c>
    </row>
    <row r="406" spans="1:39" ht="16.5" x14ac:dyDescent="0.25">
      <c r="A406" s="1">
        <v>45119</v>
      </c>
      <c r="B406" s="5">
        <v>107.4</v>
      </c>
      <c r="C406" s="4">
        <v>106.96</v>
      </c>
      <c r="D406" s="4">
        <v>107.6</v>
      </c>
      <c r="E406" s="4">
        <v>106.54</v>
      </c>
      <c r="F406" s="4" t="s">
        <v>633</v>
      </c>
      <c r="G406" s="2" t="s">
        <v>30</v>
      </c>
      <c r="I406">
        <f t="shared" si="87"/>
        <v>109.85499999999999</v>
      </c>
      <c r="J406">
        <f t="shared" si="88"/>
        <v>107.81649999999999</v>
      </c>
      <c r="L406">
        <f t="shared" si="89"/>
        <v>1</v>
      </c>
      <c r="M406">
        <f t="shared" si="90"/>
        <v>0</v>
      </c>
      <c r="O406">
        <f t="shared" si="91"/>
        <v>0.44000000000001194</v>
      </c>
      <c r="P406">
        <f t="shared" si="92"/>
        <v>0</v>
      </c>
      <c r="R406">
        <f t="shared" si="93"/>
        <v>0.86857142857142833</v>
      </c>
      <c r="S406">
        <f t="shared" si="94"/>
        <v>1.3371428571428592</v>
      </c>
      <c r="U406">
        <f t="shared" si="95"/>
        <v>39.378238341968867</v>
      </c>
      <c r="AH406">
        <f t="shared" si="96"/>
        <v>5.3444517505066838</v>
      </c>
      <c r="AI406">
        <f t="shared" si="97"/>
        <v>98.614866790175157</v>
      </c>
      <c r="AJ406">
        <f t="shared" si="98"/>
        <v>121.09513320982482</v>
      </c>
      <c r="AL406">
        <f t="shared" si="99"/>
        <v>120.54390350101336</v>
      </c>
      <c r="AM406">
        <f t="shared" si="100"/>
        <v>99.166096498986619</v>
      </c>
    </row>
    <row r="407" spans="1:39" ht="16.5" x14ac:dyDescent="0.25">
      <c r="A407" s="1">
        <v>45118</v>
      </c>
      <c r="B407" s="5">
        <v>106.48</v>
      </c>
      <c r="C407" s="4">
        <v>107</v>
      </c>
      <c r="D407" s="4">
        <v>107.06</v>
      </c>
      <c r="E407" s="4">
        <v>105.16</v>
      </c>
      <c r="F407" s="4" t="s">
        <v>470</v>
      </c>
      <c r="G407" s="2" t="s">
        <v>634</v>
      </c>
      <c r="I407">
        <f t="shared" si="87"/>
        <v>110.13000000000002</v>
      </c>
      <c r="J407">
        <f t="shared" si="88"/>
        <v>107.63500000000002</v>
      </c>
      <c r="L407">
        <f t="shared" si="89"/>
        <v>0</v>
      </c>
      <c r="M407">
        <f t="shared" si="90"/>
        <v>1</v>
      </c>
      <c r="O407">
        <f t="shared" si="91"/>
        <v>0</v>
      </c>
      <c r="P407">
        <f t="shared" si="92"/>
        <v>0.51999999999999602</v>
      </c>
      <c r="R407">
        <f t="shared" si="93"/>
        <v>0.82285714285713951</v>
      </c>
      <c r="S407">
        <f t="shared" si="94"/>
        <v>1.3371428571428592</v>
      </c>
      <c r="U407">
        <f t="shared" si="95"/>
        <v>38.09523809523796</v>
      </c>
      <c r="AH407">
        <f t="shared" si="96"/>
        <v>5.2962498877766278</v>
      </c>
      <c r="AI407">
        <f t="shared" si="97"/>
        <v>98.889866790175191</v>
      </c>
      <c r="AJ407">
        <f t="shared" si="98"/>
        <v>121.37013320982486</v>
      </c>
      <c r="AL407">
        <f t="shared" si="99"/>
        <v>120.72249977555327</v>
      </c>
      <c r="AM407">
        <f t="shared" si="100"/>
        <v>99.537500224446774</v>
      </c>
    </row>
    <row r="408" spans="1:39" ht="16.5" x14ac:dyDescent="0.25">
      <c r="A408" s="1">
        <v>45117</v>
      </c>
      <c r="B408" s="5">
        <v>107.48</v>
      </c>
      <c r="C408" s="4">
        <v>106.98</v>
      </c>
      <c r="D408" s="4">
        <v>108.82</v>
      </c>
      <c r="E408" s="4">
        <v>106.12</v>
      </c>
      <c r="F408" s="4" t="s">
        <v>635</v>
      </c>
      <c r="G408" s="2" t="s">
        <v>245</v>
      </c>
      <c r="I408">
        <f t="shared" si="87"/>
        <v>110.40899999999999</v>
      </c>
      <c r="J408">
        <f t="shared" si="88"/>
        <v>107.46225</v>
      </c>
      <c r="L408">
        <f t="shared" si="89"/>
        <v>1</v>
      </c>
      <c r="M408">
        <f t="shared" si="90"/>
        <v>0</v>
      </c>
      <c r="O408">
        <f t="shared" si="91"/>
        <v>0.5</v>
      </c>
      <c r="P408">
        <f t="shared" si="92"/>
        <v>0</v>
      </c>
      <c r="R408">
        <f t="shared" si="93"/>
        <v>0.82285714285713951</v>
      </c>
      <c r="S408">
        <f t="shared" si="94"/>
        <v>1.4314285714285728</v>
      </c>
      <c r="U408">
        <f t="shared" si="95"/>
        <v>36.501901140684289</v>
      </c>
      <c r="AH408">
        <f t="shared" si="96"/>
        <v>5.2414982573284128</v>
      </c>
      <c r="AI408">
        <f t="shared" si="97"/>
        <v>99.168866790175159</v>
      </c>
      <c r="AJ408">
        <f t="shared" si="98"/>
        <v>121.64913320982483</v>
      </c>
      <c r="AL408">
        <f t="shared" si="99"/>
        <v>120.89199651465682</v>
      </c>
      <c r="AM408">
        <f t="shared" si="100"/>
        <v>99.926003485343159</v>
      </c>
    </row>
    <row r="409" spans="1:39" ht="16.5" x14ac:dyDescent="0.25">
      <c r="A409" s="1">
        <v>45114</v>
      </c>
      <c r="B409" s="5">
        <v>107.14</v>
      </c>
      <c r="C409" s="4">
        <v>107.9</v>
      </c>
      <c r="D409" s="4">
        <v>108.44</v>
      </c>
      <c r="E409" s="4">
        <v>107.04</v>
      </c>
      <c r="F409" s="4" t="s">
        <v>346</v>
      </c>
      <c r="G409" s="2" t="s">
        <v>127</v>
      </c>
      <c r="I409">
        <f t="shared" si="87"/>
        <v>110.542</v>
      </c>
      <c r="J409">
        <f t="shared" si="88"/>
        <v>107.27725000000001</v>
      </c>
      <c r="L409">
        <f t="shared" si="89"/>
        <v>0</v>
      </c>
      <c r="M409">
        <f t="shared" si="90"/>
        <v>1</v>
      </c>
      <c r="O409">
        <f t="shared" si="91"/>
        <v>0</v>
      </c>
      <c r="P409">
        <f t="shared" si="92"/>
        <v>0.76000000000000512</v>
      </c>
      <c r="R409">
        <f t="shared" si="93"/>
        <v>0.7857142857142817</v>
      </c>
      <c r="S409">
        <f t="shared" si="94"/>
        <v>1.4314285714285728</v>
      </c>
      <c r="U409">
        <f t="shared" si="95"/>
        <v>35.438144329896758</v>
      </c>
      <c r="AH409">
        <f t="shared" si="96"/>
        <v>5.1795217176524604</v>
      </c>
      <c r="AI409">
        <f t="shared" si="97"/>
        <v>99.301866790175168</v>
      </c>
      <c r="AJ409">
        <f t="shared" si="98"/>
        <v>121.78213320982483</v>
      </c>
      <c r="AL409">
        <f t="shared" si="99"/>
        <v>120.90104343530493</v>
      </c>
      <c r="AM409">
        <f t="shared" si="100"/>
        <v>100.18295656469508</v>
      </c>
    </row>
    <row r="410" spans="1:39" ht="16.5" x14ac:dyDescent="0.25">
      <c r="A410" s="1">
        <v>45113</v>
      </c>
      <c r="B410" s="5">
        <v>108.02</v>
      </c>
      <c r="C410" s="4">
        <v>112.86</v>
      </c>
      <c r="D410" s="4">
        <v>112.86</v>
      </c>
      <c r="E410" s="4">
        <v>107.88</v>
      </c>
      <c r="F410" s="4" t="s">
        <v>286</v>
      </c>
      <c r="G410" s="2" t="s">
        <v>636</v>
      </c>
      <c r="I410">
        <f t="shared" si="87"/>
        <v>110.58900000000001</v>
      </c>
      <c r="J410">
        <f t="shared" si="88"/>
        <v>107.08400000000002</v>
      </c>
      <c r="L410">
        <f t="shared" si="89"/>
        <v>0</v>
      </c>
      <c r="M410">
        <f t="shared" si="90"/>
        <v>1</v>
      </c>
      <c r="O410">
        <f t="shared" si="91"/>
        <v>0</v>
      </c>
      <c r="P410">
        <f t="shared" si="92"/>
        <v>4.8400000000000034</v>
      </c>
      <c r="R410">
        <f t="shared" si="93"/>
        <v>0.7857142857142817</v>
      </c>
      <c r="S410">
        <f t="shared" si="94"/>
        <v>1.3828571428571439</v>
      </c>
      <c r="U410">
        <f t="shared" si="95"/>
        <v>36.231884057970873</v>
      </c>
      <c r="AH410">
        <f t="shared" si="96"/>
        <v>5.1121212616186869</v>
      </c>
      <c r="AI410">
        <f t="shared" si="97"/>
        <v>99.34886679017518</v>
      </c>
      <c r="AJ410">
        <f t="shared" si="98"/>
        <v>121.82913320982485</v>
      </c>
      <c r="AL410">
        <f t="shared" si="99"/>
        <v>120.81324252323739</v>
      </c>
      <c r="AM410">
        <f t="shared" si="100"/>
        <v>100.36475747676263</v>
      </c>
    </row>
    <row r="411" spans="1:39" ht="16.5" x14ac:dyDescent="0.25">
      <c r="A411" s="1">
        <v>45112</v>
      </c>
      <c r="B411" s="5">
        <v>112.4</v>
      </c>
      <c r="C411" s="4">
        <v>110.8</v>
      </c>
      <c r="D411" s="4">
        <v>112.4</v>
      </c>
      <c r="E411" s="4">
        <v>110.5</v>
      </c>
      <c r="F411" s="4" t="s">
        <v>637</v>
      </c>
      <c r="G411" s="2" t="s">
        <v>638</v>
      </c>
      <c r="I411">
        <f t="shared" si="87"/>
        <v>110.58600000000001</v>
      </c>
      <c r="J411">
        <f t="shared" si="88"/>
        <v>107.09349999999999</v>
      </c>
      <c r="L411">
        <f t="shared" si="89"/>
        <v>1</v>
      </c>
      <c r="M411">
        <f t="shared" si="90"/>
        <v>0</v>
      </c>
      <c r="O411">
        <f t="shared" si="91"/>
        <v>1.6000000000000085</v>
      </c>
      <c r="P411">
        <f t="shared" si="92"/>
        <v>0</v>
      </c>
      <c r="R411">
        <f t="shared" si="93"/>
        <v>0.7857142857142817</v>
      </c>
      <c r="S411">
        <f t="shared" si="94"/>
        <v>0.79142857142857237</v>
      </c>
      <c r="U411">
        <f t="shared" si="95"/>
        <v>49.818840579709985</v>
      </c>
      <c r="AH411">
        <f t="shared" si="96"/>
        <v>5.040360713290978</v>
      </c>
      <c r="AI411">
        <f t="shared" si="97"/>
        <v>99.34586679017518</v>
      </c>
      <c r="AJ411">
        <f t="shared" si="98"/>
        <v>121.82613320982485</v>
      </c>
      <c r="AL411">
        <f t="shared" si="99"/>
        <v>120.66672142658197</v>
      </c>
      <c r="AM411">
        <f t="shared" si="100"/>
        <v>100.50527857341805</v>
      </c>
    </row>
    <row r="412" spans="1:39" ht="16.5" x14ac:dyDescent="0.25">
      <c r="A412" s="1">
        <v>45111</v>
      </c>
      <c r="B412" s="5">
        <v>111.82</v>
      </c>
      <c r="C412" s="4">
        <v>112.42</v>
      </c>
      <c r="D412" s="4">
        <v>112.96</v>
      </c>
      <c r="E412" s="4">
        <v>111.1</v>
      </c>
      <c r="F412" s="4" t="s">
        <v>639</v>
      </c>
      <c r="G412" s="2" t="s">
        <v>471</v>
      </c>
      <c r="I412">
        <f t="shared" si="87"/>
        <v>110.31000000000002</v>
      </c>
      <c r="J412">
        <f t="shared" si="88"/>
        <v>107.00150000000001</v>
      </c>
      <c r="L412">
        <f t="shared" si="89"/>
        <v>0</v>
      </c>
      <c r="M412">
        <f t="shared" si="90"/>
        <v>1</v>
      </c>
      <c r="O412">
        <f t="shared" si="91"/>
        <v>0</v>
      </c>
      <c r="P412">
        <f t="shared" si="92"/>
        <v>0.60000000000000853</v>
      </c>
      <c r="R412">
        <f t="shared" si="93"/>
        <v>0.6499999999999938</v>
      </c>
      <c r="S412">
        <f t="shared" si="94"/>
        <v>0.71250000000000213</v>
      </c>
      <c r="U412">
        <f t="shared" si="95"/>
        <v>47.706422018348313</v>
      </c>
      <c r="AH412">
        <f t="shared" si="96"/>
        <v>4.9648106614149325</v>
      </c>
      <c r="AI412">
        <f t="shared" si="97"/>
        <v>99.069866790175183</v>
      </c>
      <c r="AJ412">
        <f t="shared" si="98"/>
        <v>121.55013320982485</v>
      </c>
      <c r="AL412">
        <f t="shared" si="99"/>
        <v>120.23962132282988</v>
      </c>
      <c r="AM412">
        <f t="shared" si="100"/>
        <v>100.38037867717016</v>
      </c>
    </row>
    <row r="413" spans="1:39" ht="16.5" x14ac:dyDescent="0.25">
      <c r="A413" s="1">
        <v>45110</v>
      </c>
      <c r="B413" s="5">
        <v>112.2</v>
      </c>
      <c r="C413" s="4">
        <v>112.9</v>
      </c>
      <c r="D413" s="4">
        <v>113.12</v>
      </c>
      <c r="E413" s="4">
        <v>111.96</v>
      </c>
      <c r="F413" s="4" t="s">
        <v>640</v>
      </c>
      <c r="G413" s="2" t="s">
        <v>596</v>
      </c>
      <c r="I413">
        <f t="shared" si="87"/>
        <v>110.054</v>
      </c>
      <c r="J413">
        <f t="shared" si="88"/>
        <v>106.92400000000001</v>
      </c>
      <c r="L413">
        <f t="shared" si="89"/>
        <v>0</v>
      </c>
      <c r="M413">
        <f t="shared" si="90"/>
        <v>1</v>
      </c>
      <c r="O413">
        <f t="shared" si="91"/>
        <v>0</v>
      </c>
      <c r="P413">
        <f t="shared" si="92"/>
        <v>0.70000000000000284</v>
      </c>
      <c r="R413">
        <f t="shared" si="93"/>
        <v>0.65999999999999459</v>
      </c>
      <c r="S413">
        <f t="shared" si="94"/>
        <v>0.72857142857142976</v>
      </c>
      <c r="U413">
        <f t="shared" si="95"/>
        <v>47.530864197530619</v>
      </c>
      <c r="AH413">
        <f t="shared" si="96"/>
        <v>4.8902403136916677</v>
      </c>
      <c r="AI413">
        <f t="shared" si="97"/>
        <v>98.813866790175169</v>
      </c>
      <c r="AJ413">
        <f t="shared" si="98"/>
        <v>121.29413320982484</v>
      </c>
      <c r="AL413">
        <f t="shared" si="99"/>
        <v>119.83448062738334</v>
      </c>
      <c r="AM413">
        <f t="shared" si="100"/>
        <v>100.27351937261666</v>
      </c>
    </row>
    <row r="414" spans="1:39" ht="16.5" x14ac:dyDescent="0.25">
      <c r="A414" s="1">
        <v>45107</v>
      </c>
      <c r="B414" s="5">
        <v>112.52</v>
      </c>
      <c r="C414" s="4">
        <v>111.48</v>
      </c>
      <c r="D414" s="4">
        <v>113.06</v>
      </c>
      <c r="E414" s="4">
        <v>111.32</v>
      </c>
      <c r="F414" s="4" t="s">
        <v>302</v>
      </c>
      <c r="G414" s="2" t="s">
        <v>347</v>
      </c>
      <c r="I414">
        <f t="shared" si="87"/>
        <v>109.76600000000001</v>
      </c>
      <c r="J414">
        <f t="shared" si="88"/>
        <v>106.84200000000001</v>
      </c>
      <c r="L414">
        <f t="shared" si="89"/>
        <v>1</v>
      </c>
      <c r="M414">
        <f t="shared" si="90"/>
        <v>0</v>
      </c>
      <c r="O414">
        <f t="shared" si="91"/>
        <v>1.039999999999992</v>
      </c>
      <c r="P414">
        <f t="shared" si="92"/>
        <v>0</v>
      </c>
      <c r="R414">
        <f t="shared" si="93"/>
        <v>0.79749999999999588</v>
      </c>
      <c r="S414">
        <f t="shared" si="94"/>
        <v>0.73333333333333428</v>
      </c>
      <c r="U414">
        <f t="shared" si="95"/>
        <v>52.095808383233376</v>
      </c>
      <c r="AH414">
        <f t="shared" si="96"/>
        <v>4.8163359757485864</v>
      </c>
      <c r="AI414">
        <f t="shared" si="97"/>
        <v>98.525866790175172</v>
      </c>
      <c r="AJ414">
        <f t="shared" si="98"/>
        <v>121.00613320982484</v>
      </c>
      <c r="AL414">
        <f t="shared" si="99"/>
        <v>119.39867195149718</v>
      </c>
      <c r="AM414">
        <f t="shared" si="100"/>
        <v>100.13332804850283</v>
      </c>
    </row>
    <row r="415" spans="1:39" ht="16.5" x14ac:dyDescent="0.25">
      <c r="A415" s="1">
        <v>45106</v>
      </c>
      <c r="B415" s="5">
        <v>111.04</v>
      </c>
      <c r="C415" s="4">
        <v>109.9</v>
      </c>
      <c r="D415" s="4">
        <v>111.64</v>
      </c>
      <c r="E415" s="4">
        <v>109.9</v>
      </c>
      <c r="F415" s="4" t="s">
        <v>641</v>
      </c>
      <c r="G415" s="2" t="s">
        <v>642</v>
      </c>
      <c r="I415">
        <f t="shared" si="87"/>
        <v>109.44799999999998</v>
      </c>
      <c r="J415">
        <f t="shared" si="88"/>
        <v>106.71749999999997</v>
      </c>
      <c r="L415">
        <f t="shared" si="89"/>
        <v>1</v>
      </c>
      <c r="M415">
        <f t="shared" si="90"/>
        <v>0</v>
      </c>
      <c r="O415">
        <f t="shared" si="91"/>
        <v>1.1400000000000006</v>
      </c>
      <c r="P415">
        <f t="shared" si="92"/>
        <v>0</v>
      </c>
      <c r="R415">
        <f t="shared" si="93"/>
        <v>0.87249999999999694</v>
      </c>
      <c r="S415">
        <f t="shared" si="94"/>
        <v>0.73333333333333428</v>
      </c>
      <c r="U415">
        <f t="shared" si="95"/>
        <v>54.333160352880007</v>
      </c>
      <c r="AH415">
        <f t="shared" si="96"/>
        <v>4.7437302427983834</v>
      </c>
      <c r="AI415">
        <f t="shared" si="97"/>
        <v>98.207866790175146</v>
      </c>
      <c r="AJ415">
        <f t="shared" si="98"/>
        <v>120.68813320982481</v>
      </c>
      <c r="AL415">
        <f t="shared" si="99"/>
        <v>118.93546048559675</v>
      </c>
      <c r="AM415">
        <f t="shared" si="100"/>
        <v>99.960539514403209</v>
      </c>
    </row>
    <row r="416" spans="1:39" ht="16.5" x14ac:dyDescent="0.25">
      <c r="A416" s="1">
        <v>45105</v>
      </c>
      <c r="B416" s="5">
        <v>109.88</v>
      </c>
      <c r="C416" s="4">
        <v>108.56</v>
      </c>
      <c r="D416" s="4">
        <v>109.92</v>
      </c>
      <c r="E416" s="4">
        <v>107.94</v>
      </c>
      <c r="F416" s="4" t="s">
        <v>643</v>
      </c>
      <c r="G416" s="2" t="s">
        <v>287</v>
      </c>
      <c r="I416">
        <f t="shared" si="87"/>
        <v>109.071</v>
      </c>
      <c r="J416">
        <f t="shared" si="88"/>
        <v>106.5365</v>
      </c>
      <c r="L416">
        <f t="shared" si="89"/>
        <v>1</v>
      </c>
      <c r="M416">
        <f t="shared" si="90"/>
        <v>0</v>
      </c>
      <c r="O416">
        <f t="shared" si="91"/>
        <v>1.3199999999999932</v>
      </c>
      <c r="P416">
        <f t="shared" si="92"/>
        <v>0</v>
      </c>
      <c r="R416">
        <f t="shared" si="93"/>
        <v>0.83428571428571074</v>
      </c>
      <c r="S416">
        <f t="shared" si="94"/>
        <v>0.68000000000000071</v>
      </c>
      <c r="U416">
        <f t="shared" si="95"/>
        <v>55.094339622641378</v>
      </c>
      <c r="AH416">
        <f t="shared" si="96"/>
        <v>4.6730471062650274</v>
      </c>
      <c r="AI416">
        <f t="shared" si="97"/>
        <v>97.830866790175165</v>
      </c>
      <c r="AJ416">
        <f t="shared" si="98"/>
        <v>120.31113320982483</v>
      </c>
      <c r="AL416">
        <f t="shared" si="99"/>
        <v>118.41709421253006</v>
      </c>
      <c r="AM416">
        <f t="shared" si="100"/>
        <v>99.724905787469936</v>
      </c>
    </row>
    <row r="417" spans="1:39" ht="16.5" x14ac:dyDescent="0.25">
      <c r="A417" s="1">
        <v>45104</v>
      </c>
      <c r="B417" s="5">
        <v>108.06</v>
      </c>
      <c r="C417" s="4">
        <v>109.5</v>
      </c>
      <c r="D417" s="4">
        <v>109.82</v>
      </c>
      <c r="E417" s="4">
        <v>107.54</v>
      </c>
      <c r="F417" s="4" t="s">
        <v>644</v>
      </c>
      <c r="G417" s="2" t="s">
        <v>264</v>
      </c>
      <c r="I417">
        <f t="shared" si="87"/>
        <v>108.673</v>
      </c>
      <c r="J417">
        <f t="shared" si="88"/>
        <v>106.31500000000001</v>
      </c>
      <c r="L417">
        <f t="shared" si="89"/>
        <v>0</v>
      </c>
      <c r="M417">
        <f t="shared" si="90"/>
        <v>1</v>
      </c>
      <c r="O417">
        <f t="shared" si="91"/>
        <v>0</v>
      </c>
      <c r="P417">
        <f t="shared" si="92"/>
        <v>1.4399999999999977</v>
      </c>
      <c r="R417">
        <f t="shared" si="93"/>
        <v>0.7857142857142817</v>
      </c>
      <c r="S417">
        <f t="shared" si="94"/>
        <v>0.68000000000000071</v>
      </c>
      <c r="U417">
        <f t="shared" si="95"/>
        <v>53.606237816763979</v>
      </c>
      <c r="AH417">
        <f t="shared" si="96"/>
        <v>4.6054649314276466</v>
      </c>
      <c r="AI417">
        <f t="shared" si="97"/>
        <v>97.432866790175169</v>
      </c>
      <c r="AJ417">
        <f t="shared" si="98"/>
        <v>119.91313320982484</v>
      </c>
      <c r="AL417">
        <f t="shared" si="99"/>
        <v>117.8839298628553</v>
      </c>
      <c r="AM417">
        <f t="shared" si="100"/>
        <v>99.462070137144707</v>
      </c>
    </row>
    <row r="418" spans="1:39" ht="16.5" x14ac:dyDescent="0.25">
      <c r="A418" s="1">
        <v>45103</v>
      </c>
      <c r="B418" s="5">
        <v>109.24</v>
      </c>
      <c r="C418" s="4">
        <v>109.2</v>
      </c>
      <c r="D418" s="4">
        <v>109.46</v>
      </c>
      <c r="E418" s="4">
        <v>107.46</v>
      </c>
      <c r="F418" s="4" t="s">
        <v>645</v>
      </c>
      <c r="G418" s="2" t="s">
        <v>38</v>
      </c>
      <c r="I418">
        <f t="shared" si="87"/>
        <v>108.47900000000001</v>
      </c>
      <c r="J418">
        <f t="shared" si="88"/>
        <v>106.12800000000001</v>
      </c>
      <c r="L418">
        <f t="shared" si="89"/>
        <v>1</v>
      </c>
      <c r="M418">
        <f t="shared" si="90"/>
        <v>0</v>
      </c>
      <c r="O418">
        <f t="shared" si="91"/>
        <v>3.9999999999992042E-2</v>
      </c>
      <c r="P418">
        <f t="shared" si="92"/>
        <v>0</v>
      </c>
      <c r="R418">
        <f t="shared" si="93"/>
        <v>0.69249999999999545</v>
      </c>
      <c r="S418">
        <f t="shared" si="94"/>
        <v>0.55333333333333456</v>
      </c>
      <c r="U418">
        <f t="shared" si="95"/>
        <v>55.585284280936243</v>
      </c>
      <c r="AH418">
        <f t="shared" si="96"/>
        <v>4.5414833938306129</v>
      </c>
      <c r="AI418">
        <f t="shared" si="97"/>
        <v>97.23886679017518</v>
      </c>
      <c r="AJ418">
        <f t="shared" si="98"/>
        <v>119.71913320982485</v>
      </c>
      <c r="AL418">
        <f t="shared" si="99"/>
        <v>117.56196678766123</v>
      </c>
      <c r="AM418">
        <f t="shared" si="100"/>
        <v>99.396033212338793</v>
      </c>
    </row>
    <row r="419" spans="1:39" ht="16.5" x14ac:dyDescent="0.25">
      <c r="A419" s="1">
        <v>45100</v>
      </c>
      <c r="B419" s="5">
        <v>108.62</v>
      </c>
      <c r="C419" s="4">
        <v>109.12</v>
      </c>
      <c r="D419" s="4">
        <v>109.2</v>
      </c>
      <c r="E419" s="4">
        <v>107.52</v>
      </c>
      <c r="F419" s="4" t="s">
        <v>646</v>
      </c>
      <c r="G419" s="2" t="s">
        <v>647</v>
      </c>
      <c r="I419">
        <f t="shared" si="87"/>
        <v>108.23700000000001</v>
      </c>
      <c r="J419">
        <f t="shared" si="88"/>
        <v>105.93299999999999</v>
      </c>
      <c r="L419">
        <f t="shared" si="89"/>
        <v>0</v>
      </c>
      <c r="M419">
        <f t="shared" si="90"/>
        <v>1</v>
      </c>
      <c r="O419">
        <f t="shared" si="91"/>
        <v>0</v>
      </c>
      <c r="P419">
        <f t="shared" si="92"/>
        <v>0.5</v>
      </c>
      <c r="R419">
        <f t="shared" si="93"/>
        <v>0.73749999999999716</v>
      </c>
      <c r="S419">
        <f t="shared" si="94"/>
        <v>0.55333333333333456</v>
      </c>
      <c r="U419">
        <f t="shared" si="95"/>
        <v>57.133634602969508</v>
      </c>
      <c r="AH419">
        <f t="shared" si="96"/>
        <v>4.4775116512886104</v>
      </c>
      <c r="AI419">
        <f t="shared" si="97"/>
        <v>96.996866790175176</v>
      </c>
      <c r="AJ419">
        <f t="shared" si="98"/>
        <v>119.47713320982484</v>
      </c>
      <c r="AL419">
        <f t="shared" si="99"/>
        <v>117.19202330257723</v>
      </c>
      <c r="AM419">
        <f t="shared" si="100"/>
        <v>99.281976697422792</v>
      </c>
    </row>
    <row r="420" spans="1:39" ht="16.5" x14ac:dyDescent="0.25">
      <c r="A420" s="1">
        <v>45099</v>
      </c>
      <c r="B420" s="5">
        <v>109.1</v>
      </c>
      <c r="C420" s="4">
        <v>108.98</v>
      </c>
      <c r="D420" s="4">
        <v>109.2</v>
      </c>
      <c r="E420" s="4">
        <v>107.86</v>
      </c>
      <c r="F420" s="4" t="s">
        <v>648</v>
      </c>
      <c r="G420" s="2" t="s">
        <v>501</v>
      </c>
      <c r="I420">
        <f t="shared" si="87"/>
        <v>108.02900000000002</v>
      </c>
      <c r="J420">
        <f t="shared" si="88"/>
        <v>105.73350000000001</v>
      </c>
      <c r="L420">
        <f t="shared" si="89"/>
        <v>1</v>
      </c>
      <c r="M420">
        <f t="shared" si="90"/>
        <v>0</v>
      </c>
      <c r="O420">
        <f t="shared" si="91"/>
        <v>0.11999999999999034</v>
      </c>
      <c r="P420">
        <f t="shared" si="92"/>
        <v>0</v>
      </c>
      <c r="R420">
        <f t="shared" si="93"/>
        <v>0.70666666666666345</v>
      </c>
      <c r="S420">
        <f t="shared" si="94"/>
        <v>0.5640000000000015</v>
      </c>
      <c r="U420">
        <f t="shared" si="95"/>
        <v>55.613850996851866</v>
      </c>
      <c r="AH420">
        <f t="shared" si="96"/>
        <v>4.4144446871417307</v>
      </c>
      <c r="AI420">
        <f t="shared" si="97"/>
        <v>96.788866790175192</v>
      </c>
      <c r="AJ420">
        <f t="shared" si="98"/>
        <v>119.26913320982486</v>
      </c>
      <c r="AL420">
        <f t="shared" si="99"/>
        <v>116.85788937428349</v>
      </c>
      <c r="AM420">
        <f t="shared" si="100"/>
        <v>99.200110625716562</v>
      </c>
    </row>
    <row r="421" spans="1:39" ht="16.5" x14ac:dyDescent="0.25">
      <c r="A421" s="1">
        <v>45098</v>
      </c>
      <c r="B421" s="5">
        <v>109.92</v>
      </c>
      <c r="C421" s="4">
        <v>111.1</v>
      </c>
      <c r="D421" s="4">
        <v>111.86</v>
      </c>
      <c r="E421" s="4">
        <v>109.7</v>
      </c>
      <c r="F421" s="4" t="s">
        <v>649</v>
      </c>
      <c r="G421" s="2" t="s">
        <v>650</v>
      </c>
      <c r="I421">
        <f t="shared" si="87"/>
        <v>107.71300000000001</v>
      </c>
      <c r="J421">
        <f t="shared" si="88"/>
        <v>105.53099999999999</v>
      </c>
      <c r="L421">
        <f t="shared" si="89"/>
        <v>0</v>
      </c>
      <c r="M421">
        <f t="shared" si="90"/>
        <v>1</v>
      </c>
      <c r="O421">
        <f t="shared" si="91"/>
        <v>0</v>
      </c>
      <c r="P421">
        <f t="shared" si="92"/>
        <v>1.1799999999999926</v>
      </c>
      <c r="R421">
        <f t="shared" si="93"/>
        <v>0.931111111111109</v>
      </c>
      <c r="S421">
        <f t="shared" si="94"/>
        <v>0.5640000000000015</v>
      </c>
      <c r="U421">
        <f t="shared" si="95"/>
        <v>62.277051129607493</v>
      </c>
      <c r="AH421">
        <f t="shared" si="96"/>
        <v>4.3516981432785204</v>
      </c>
      <c r="AI421">
        <f t="shared" si="97"/>
        <v>96.472866790175175</v>
      </c>
      <c r="AJ421">
        <f t="shared" si="98"/>
        <v>118.95313320982484</v>
      </c>
      <c r="AL421">
        <f t="shared" si="99"/>
        <v>116.41639628655705</v>
      </c>
      <c r="AM421">
        <f t="shared" si="100"/>
        <v>99.009603713442971</v>
      </c>
    </row>
    <row r="422" spans="1:39" ht="16.5" x14ac:dyDescent="0.25">
      <c r="A422" s="1">
        <v>45097</v>
      </c>
      <c r="B422" s="5">
        <v>110.52</v>
      </c>
      <c r="C422" s="4">
        <v>110.28</v>
      </c>
      <c r="D422" s="4">
        <v>110.82</v>
      </c>
      <c r="E422" s="4">
        <v>109.26</v>
      </c>
      <c r="F422" s="4" t="s">
        <v>651</v>
      </c>
      <c r="G422" s="2" t="s">
        <v>652</v>
      </c>
      <c r="I422">
        <f t="shared" si="87"/>
        <v>107.34700000000002</v>
      </c>
      <c r="J422">
        <f t="shared" si="88"/>
        <v>105.31899999999999</v>
      </c>
      <c r="L422">
        <f t="shared" si="89"/>
        <v>1</v>
      </c>
      <c r="M422">
        <f t="shared" si="90"/>
        <v>0</v>
      </c>
      <c r="O422">
        <f t="shared" si="91"/>
        <v>0.23999999999999488</v>
      </c>
      <c r="P422">
        <f t="shared" si="92"/>
        <v>0</v>
      </c>
      <c r="R422">
        <f t="shared" si="93"/>
        <v>0.92799999999999871</v>
      </c>
      <c r="S422">
        <f t="shared" si="94"/>
        <v>0.41000000000000369</v>
      </c>
      <c r="U422">
        <f t="shared" si="95"/>
        <v>69.357249626307691</v>
      </c>
      <c r="AH422">
        <f t="shared" si="96"/>
        <v>4.291314602218498</v>
      </c>
      <c r="AI422">
        <f t="shared" si="97"/>
        <v>96.106866790175189</v>
      </c>
      <c r="AJ422">
        <f t="shared" si="98"/>
        <v>118.58713320982486</v>
      </c>
      <c r="AL422">
        <f t="shared" si="99"/>
        <v>115.92962920443702</v>
      </c>
      <c r="AM422">
        <f t="shared" si="100"/>
        <v>98.764370795563025</v>
      </c>
    </row>
    <row r="423" spans="1:39" ht="16.5" x14ac:dyDescent="0.25">
      <c r="A423" s="1">
        <v>45096</v>
      </c>
      <c r="B423" s="5">
        <v>111.02</v>
      </c>
      <c r="C423" s="4">
        <v>111.44</v>
      </c>
      <c r="D423" s="4">
        <v>111.7</v>
      </c>
      <c r="E423" s="4">
        <v>110.64</v>
      </c>
      <c r="F423" s="4" t="s">
        <v>653</v>
      </c>
      <c r="G423" s="2" t="s">
        <v>147</v>
      </c>
      <c r="I423">
        <f t="shared" si="87"/>
        <v>107.045</v>
      </c>
      <c r="J423">
        <f t="shared" si="88"/>
        <v>105.08499999999999</v>
      </c>
      <c r="L423">
        <f t="shared" si="89"/>
        <v>0</v>
      </c>
      <c r="M423">
        <f t="shared" si="90"/>
        <v>1</v>
      </c>
      <c r="O423">
        <f t="shared" si="91"/>
        <v>0</v>
      </c>
      <c r="P423">
        <f t="shared" si="92"/>
        <v>0.42000000000000171</v>
      </c>
      <c r="R423">
        <f t="shared" si="93"/>
        <v>1.0044444444444436</v>
      </c>
      <c r="S423">
        <f t="shared" si="94"/>
        <v>0.42000000000000171</v>
      </c>
      <c r="U423">
        <f t="shared" si="95"/>
        <v>70.514820592823611</v>
      </c>
      <c r="AH423">
        <f t="shared" si="96"/>
        <v>4.2343136403685477</v>
      </c>
      <c r="AI423">
        <f t="shared" si="97"/>
        <v>95.804866790175168</v>
      </c>
      <c r="AJ423">
        <f t="shared" si="98"/>
        <v>118.28513320982483</v>
      </c>
      <c r="AL423">
        <f t="shared" si="99"/>
        <v>115.5136272807371</v>
      </c>
      <c r="AM423">
        <f t="shared" si="100"/>
        <v>98.576372719262906</v>
      </c>
    </row>
    <row r="424" spans="1:39" ht="16.5" x14ac:dyDescent="0.25">
      <c r="A424" s="1">
        <v>45093</v>
      </c>
      <c r="B424" s="5">
        <v>111.72</v>
      </c>
      <c r="C424" s="4">
        <v>112.42</v>
      </c>
      <c r="D424" s="4">
        <v>112.5</v>
      </c>
      <c r="E424" s="4">
        <v>110.54</v>
      </c>
      <c r="F424" s="4" t="s">
        <v>654</v>
      </c>
      <c r="G424" s="2" t="s">
        <v>396</v>
      </c>
      <c r="I424">
        <f t="shared" si="87"/>
        <v>106.69600000000003</v>
      </c>
      <c r="J424">
        <f t="shared" si="88"/>
        <v>104.82450000000001</v>
      </c>
      <c r="L424">
        <f t="shared" si="89"/>
        <v>0</v>
      </c>
      <c r="M424">
        <f t="shared" si="90"/>
        <v>1</v>
      </c>
      <c r="O424">
        <f t="shared" si="91"/>
        <v>0</v>
      </c>
      <c r="P424">
        <f t="shared" si="92"/>
        <v>0.70000000000000284</v>
      </c>
      <c r="R424">
        <f t="shared" si="93"/>
        <v>1.0044444444444436</v>
      </c>
      <c r="S424">
        <f t="shared" si="94"/>
        <v>0.38000000000000111</v>
      </c>
      <c r="U424">
        <f t="shared" si="95"/>
        <v>72.55216693418933</v>
      </c>
      <c r="AH424">
        <f t="shared" si="96"/>
        <v>4.1796369402427986</v>
      </c>
      <c r="AI424">
        <f t="shared" si="97"/>
        <v>95.455866790175193</v>
      </c>
      <c r="AJ424">
        <f t="shared" si="98"/>
        <v>117.93613320982486</v>
      </c>
      <c r="AL424">
        <f t="shared" si="99"/>
        <v>115.05527388048563</v>
      </c>
      <c r="AM424">
        <f t="shared" si="100"/>
        <v>98.336726119514424</v>
      </c>
    </row>
    <row r="425" spans="1:39" ht="16.5" x14ac:dyDescent="0.25">
      <c r="A425" s="1">
        <v>45092</v>
      </c>
      <c r="B425" s="5">
        <v>112.52</v>
      </c>
      <c r="C425" s="4">
        <v>112.68</v>
      </c>
      <c r="D425" s="4">
        <v>113</v>
      </c>
      <c r="E425" s="4">
        <v>111.58</v>
      </c>
      <c r="F425" s="4" t="s">
        <v>655</v>
      </c>
      <c r="G425" s="2" t="s">
        <v>471</v>
      </c>
      <c r="I425">
        <f t="shared" si="87"/>
        <v>106.27900000000002</v>
      </c>
      <c r="J425">
        <f t="shared" si="88"/>
        <v>104.532</v>
      </c>
      <c r="L425">
        <f t="shared" si="89"/>
        <v>0</v>
      </c>
      <c r="M425">
        <f t="shared" si="90"/>
        <v>1</v>
      </c>
      <c r="O425">
        <f t="shared" si="91"/>
        <v>0</v>
      </c>
      <c r="P425">
        <f t="shared" si="92"/>
        <v>0.1600000000000108</v>
      </c>
      <c r="R425">
        <f t="shared" si="93"/>
        <v>1.0044444444444436</v>
      </c>
      <c r="S425">
        <f t="shared" si="94"/>
        <v>0.33599999999999852</v>
      </c>
      <c r="U425">
        <f t="shared" si="95"/>
        <v>74.93368700265259</v>
      </c>
      <c r="AH425">
        <f t="shared" si="96"/>
        <v>4.1282263436216189</v>
      </c>
      <c r="AI425">
        <f t="shared" si="97"/>
        <v>95.038866790175192</v>
      </c>
      <c r="AJ425">
        <f t="shared" si="98"/>
        <v>117.51913320982486</v>
      </c>
      <c r="AL425">
        <f t="shared" si="99"/>
        <v>114.53545268724326</v>
      </c>
      <c r="AM425">
        <f t="shared" si="100"/>
        <v>98.022547312756785</v>
      </c>
    </row>
    <row r="426" spans="1:39" ht="16.5" x14ac:dyDescent="0.25">
      <c r="A426" s="1">
        <v>45091</v>
      </c>
      <c r="B426" s="5">
        <v>112.9</v>
      </c>
      <c r="C426" s="4">
        <v>112.18</v>
      </c>
      <c r="D426" s="4">
        <v>113.46</v>
      </c>
      <c r="E426" s="4">
        <v>111.94</v>
      </c>
      <c r="F426" s="4" t="s">
        <v>656</v>
      </c>
      <c r="G426" s="2" t="s">
        <v>386</v>
      </c>
      <c r="I426">
        <f t="shared" si="87"/>
        <v>105.77800000000002</v>
      </c>
      <c r="J426">
        <f t="shared" si="88"/>
        <v>104.3135</v>
      </c>
      <c r="L426">
        <f t="shared" si="89"/>
        <v>1</v>
      </c>
      <c r="M426">
        <f t="shared" si="90"/>
        <v>0</v>
      </c>
      <c r="O426">
        <f t="shared" si="91"/>
        <v>0.71999999999999886</v>
      </c>
      <c r="P426">
        <f t="shared" si="92"/>
        <v>0</v>
      </c>
      <c r="R426">
        <f t="shared" si="93"/>
        <v>0.97599999999999909</v>
      </c>
      <c r="S426">
        <f t="shared" si="94"/>
        <v>0.37999999999999545</v>
      </c>
      <c r="U426">
        <f t="shared" si="95"/>
        <v>71.976401179941234</v>
      </c>
      <c r="AH426">
        <f t="shared" si="96"/>
        <v>4.081384189159901</v>
      </c>
      <c r="AI426">
        <f t="shared" si="97"/>
        <v>94.537866790175187</v>
      </c>
      <c r="AJ426">
        <f t="shared" si="98"/>
        <v>117.01813320982485</v>
      </c>
      <c r="AL426">
        <f t="shared" si="99"/>
        <v>113.94076837831982</v>
      </c>
      <c r="AM426">
        <f t="shared" si="100"/>
        <v>97.615231621680223</v>
      </c>
    </row>
    <row r="427" spans="1:39" ht="16.5" x14ac:dyDescent="0.25">
      <c r="A427" s="1">
        <v>45090</v>
      </c>
      <c r="B427" s="5">
        <v>112.06</v>
      </c>
      <c r="C427" s="4">
        <v>110.3</v>
      </c>
      <c r="D427" s="4">
        <v>112.06</v>
      </c>
      <c r="E427" s="4">
        <v>110.22</v>
      </c>
      <c r="F427" s="4" t="s">
        <v>113</v>
      </c>
      <c r="G427" s="2" t="s">
        <v>657</v>
      </c>
      <c r="I427">
        <f t="shared" si="87"/>
        <v>105.13999999999999</v>
      </c>
      <c r="J427">
        <f t="shared" si="88"/>
        <v>104.09349999999999</v>
      </c>
      <c r="L427">
        <f t="shared" si="89"/>
        <v>1</v>
      </c>
      <c r="M427">
        <f t="shared" si="90"/>
        <v>0</v>
      </c>
      <c r="O427">
        <f t="shared" si="91"/>
        <v>1.7600000000000051</v>
      </c>
      <c r="P427">
        <f t="shared" si="92"/>
        <v>0</v>
      </c>
      <c r="R427">
        <f t="shared" si="93"/>
        <v>1.0044444444444436</v>
      </c>
      <c r="S427">
        <f t="shared" si="94"/>
        <v>0.367999999999995</v>
      </c>
      <c r="U427">
        <f t="shared" si="95"/>
        <v>73.186528497409569</v>
      </c>
      <c r="AH427">
        <f t="shared" si="96"/>
        <v>4.0406182513240303</v>
      </c>
      <c r="AI427">
        <f t="shared" si="97"/>
        <v>93.899866790175153</v>
      </c>
      <c r="AJ427">
        <f t="shared" si="98"/>
        <v>116.38013320982482</v>
      </c>
      <c r="AL427">
        <f t="shared" si="99"/>
        <v>113.22123650264805</v>
      </c>
      <c r="AM427">
        <f t="shared" si="100"/>
        <v>97.058763497351919</v>
      </c>
    </row>
    <row r="428" spans="1:39" ht="16.5" x14ac:dyDescent="0.25">
      <c r="A428" s="1">
        <v>45089</v>
      </c>
      <c r="B428" s="5">
        <v>110.14</v>
      </c>
      <c r="C428" s="4">
        <v>108.5</v>
      </c>
      <c r="D428" s="4">
        <v>110.14</v>
      </c>
      <c r="E428" s="4">
        <v>108.46</v>
      </c>
      <c r="F428" s="4" t="s">
        <v>31</v>
      </c>
      <c r="G428" s="2" t="s">
        <v>100</v>
      </c>
      <c r="I428">
        <f t="shared" si="87"/>
        <v>104.5155</v>
      </c>
      <c r="J428">
        <f t="shared" si="88"/>
        <v>103.87199999999999</v>
      </c>
      <c r="L428">
        <f t="shared" si="89"/>
        <v>1</v>
      </c>
      <c r="M428">
        <f t="shared" si="90"/>
        <v>0</v>
      </c>
      <c r="O428">
        <f t="shared" si="91"/>
        <v>1.6400000000000006</v>
      </c>
      <c r="P428">
        <f t="shared" si="92"/>
        <v>0</v>
      </c>
      <c r="R428">
        <f t="shared" si="93"/>
        <v>0.90999999999999837</v>
      </c>
      <c r="S428">
        <f t="shared" si="94"/>
        <v>0.5233333333333311</v>
      </c>
      <c r="U428">
        <f t="shared" si="95"/>
        <v>63.488372093023315</v>
      </c>
      <c r="AH428">
        <f t="shared" si="96"/>
        <v>4.0081163597448697</v>
      </c>
      <c r="AI428">
        <f t="shared" si="97"/>
        <v>93.27536679017517</v>
      </c>
      <c r="AJ428">
        <f t="shared" si="98"/>
        <v>115.75563320982484</v>
      </c>
      <c r="AL428">
        <f t="shared" si="99"/>
        <v>112.53173271948974</v>
      </c>
      <c r="AM428">
        <f t="shared" si="100"/>
        <v>96.499267280510267</v>
      </c>
    </row>
    <row r="429" spans="1:39" ht="16.5" x14ac:dyDescent="0.25">
      <c r="A429" s="1">
        <v>45086</v>
      </c>
      <c r="B429" s="5">
        <v>108.08</v>
      </c>
      <c r="C429" s="4">
        <v>108.44</v>
      </c>
      <c r="D429" s="4">
        <v>108.92</v>
      </c>
      <c r="E429" s="4">
        <v>107.86</v>
      </c>
      <c r="F429" s="4" t="s">
        <v>658</v>
      </c>
      <c r="G429" s="2" t="s">
        <v>336</v>
      </c>
      <c r="I429">
        <f t="shared" si="87"/>
        <v>104.0125</v>
      </c>
      <c r="J429">
        <f t="shared" si="88"/>
        <v>103.71049999999998</v>
      </c>
      <c r="L429">
        <f t="shared" si="89"/>
        <v>0</v>
      </c>
      <c r="M429">
        <f t="shared" si="90"/>
        <v>1</v>
      </c>
      <c r="O429">
        <f t="shared" si="91"/>
        <v>0</v>
      </c>
      <c r="P429">
        <f t="shared" si="92"/>
        <v>0.35999999999999943</v>
      </c>
      <c r="R429">
        <f t="shared" si="93"/>
        <v>0.7524999999999995</v>
      </c>
      <c r="S429">
        <f t="shared" si="94"/>
        <v>0.5233333333333311</v>
      </c>
      <c r="U429">
        <f t="shared" si="95"/>
        <v>58.981058131939996</v>
      </c>
      <c r="AH429">
        <f t="shared" si="96"/>
        <v>3.9834066488083724</v>
      </c>
      <c r="AI429">
        <f t="shared" si="97"/>
        <v>92.77236679017517</v>
      </c>
      <c r="AJ429">
        <f t="shared" si="98"/>
        <v>115.25263320982484</v>
      </c>
      <c r="AL429">
        <f t="shared" si="99"/>
        <v>111.97931329761674</v>
      </c>
      <c r="AM429">
        <f t="shared" si="100"/>
        <v>96.045686702383264</v>
      </c>
    </row>
    <row r="430" spans="1:39" ht="16.5" x14ac:dyDescent="0.25">
      <c r="A430" s="1">
        <v>45085</v>
      </c>
      <c r="B430" s="5">
        <v>107.96</v>
      </c>
      <c r="C430" s="4">
        <v>106.98</v>
      </c>
      <c r="D430" s="4">
        <v>108.84</v>
      </c>
      <c r="E430" s="4">
        <v>106.94</v>
      </c>
      <c r="F430" s="4" t="s">
        <v>659</v>
      </c>
      <c r="G430" s="2" t="s">
        <v>524</v>
      </c>
      <c r="I430">
        <f t="shared" si="87"/>
        <v>103.57899999999998</v>
      </c>
      <c r="J430">
        <f t="shared" si="88"/>
        <v>103.56649999999998</v>
      </c>
      <c r="L430">
        <f t="shared" si="89"/>
        <v>1</v>
      </c>
      <c r="M430">
        <f t="shared" si="90"/>
        <v>0</v>
      </c>
      <c r="O430">
        <f t="shared" si="91"/>
        <v>0.97999999999998977</v>
      </c>
      <c r="P430">
        <f t="shared" si="92"/>
        <v>0</v>
      </c>
      <c r="R430">
        <f t="shared" si="93"/>
        <v>0.73777777777777787</v>
      </c>
      <c r="S430">
        <f t="shared" si="94"/>
        <v>0.55599999999999739</v>
      </c>
      <c r="U430">
        <f t="shared" si="95"/>
        <v>57.02507729302657</v>
      </c>
      <c r="AH430">
        <f t="shared" si="96"/>
        <v>3.9644832374051329</v>
      </c>
      <c r="AI430">
        <f t="shared" si="97"/>
        <v>92.338866790175146</v>
      </c>
      <c r="AJ430">
        <f t="shared" si="98"/>
        <v>114.81913320982481</v>
      </c>
      <c r="AL430">
        <f t="shared" si="99"/>
        <v>111.50796647481025</v>
      </c>
      <c r="AM430">
        <f t="shared" si="100"/>
        <v>95.650033525189713</v>
      </c>
    </row>
    <row r="431" spans="1:39" ht="16.5" x14ac:dyDescent="0.25">
      <c r="A431" s="1">
        <v>45084</v>
      </c>
      <c r="B431" s="5">
        <v>106.88</v>
      </c>
      <c r="C431" s="4">
        <v>106.84</v>
      </c>
      <c r="D431" s="4">
        <v>106.98</v>
      </c>
      <c r="E431" s="4">
        <v>105.46</v>
      </c>
      <c r="F431" s="4" t="s">
        <v>660</v>
      </c>
      <c r="G431" s="2" t="s">
        <v>408</v>
      </c>
      <c r="I431">
        <f t="shared" si="87"/>
        <v>103.601</v>
      </c>
      <c r="J431">
        <f t="shared" si="88"/>
        <v>103.43449999999999</v>
      </c>
      <c r="L431">
        <f t="shared" si="89"/>
        <v>1</v>
      </c>
      <c r="M431">
        <f t="shared" si="90"/>
        <v>0</v>
      </c>
      <c r="O431">
        <f t="shared" si="91"/>
        <v>3.9999999999992042E-2</v>
      </c>
      <c r="P431">
        <f t="shared" si="92"/>
        <v>0</v>
      </c>
      <c r="R431">
        <f t="shared" si="93"/>
        <v>0.71111111111111169</v>
      </c>
      <c r="S431">
        <f t="shared" si="94"/>
        <v>0.55599999999999739</v>
      </c>
      <c r="U431">
        <f t="shared" si="95"/>
        <v>56.120659417748293</v>
      </c>
      <c r="AH431">
        <f t="shared" si="96"/>
        <v>3.9502493564863732</v>
      </c>
      <c r="AI431">
        <f t="shared" si="97"/>
        <v>92.360866790175166</v>
      </c>
      <c r="AJ431">
        <f t="shared" si="98"/>
        <v>114.84113320982483</v>
      </c>
      <c r="AL431">
        <f t="shared" si="99"/>
        <v>111.50149871297275</v>
      </c>
      <c r="AM431">
        <f t="shared" si="100"/>
        <v>95.700501287027251</v>
      </c>
    </row>
    <row r="432" spans="1:39" ht="16.5" x14ac:dyDescent="0.25">
      <c r="A432" s="1">
        <v>45083</v>
      </c>
      <c r="B432" s="5">
        <v>106.7</v>
      </c>
      <c r="C432" s="4">
        <v>106.3</v>
      </c>
      <c r="D432" s="4">
        <v>106.74</v>
      </c>
      <c r="E432" s="4">
        <v>105.7</v>
      </c>
      <c r="F432" s="4" t="s">
        <v>661</v>
      </c>
      <c r="G432" s="2" t="s">
        <v>662</v>
      </c>
      <c r="I432">
        <f t="shared" si="87"/>
        <v>103.69300000000001</v>
      </c>
      <c r="J432">
        <f t="shared" si="88"/>
        <v>103.28549999999998</v>
      </c>
      <c r="L432">
        <f t="shared" si="89"/>
        <v>1</v>
      </c>
      <c r="M432">
        <f t="shared" si="90"/>
        <v>0</v>
      </c>
      <c r="O432">
        <f t="shared" si="91"/>
        <v>0.40000000000000568</v>
      </c>
      <c r="P432">
        <f t="shared" si="92"/>
        <v>0</v>
      </c>
      <c r="R432">
        <f t="shared" si="93"/>
        <v>0.92888888888889043</v>
      </c>
      <c r="S432">
        <f t="shared" si="94"/>
        <v>0.55599999999999739</v>
      </c>
      <c r="U432">
        <f t="shared" si="95"/>
        <v>62.556120921879824</v>
      </c>
      <c r="AH432">
        <f t="shared" si="96"/>
        <v>3.9347000898667215</v>
      </c>
      <c r="AI432">
        <f t="shared" si="97"/>
        <v>92.452866790175179</v>
      </c>
      <c r="AJ432">
        <f t="shared" si="98"/>
        <v>114.93313320982485</v>
      </c>
      <c r="AL432">
        <f t="shared" si="99"/>
        <v>111.56240017973346</v>
      </c>
      <c r="AM432">
        <f t="shared" si="100"/>
        <v>95.823599820266566</v>
      </c>
    </row>
    <row r="433" spans="1:39" ht="16.5" x14ac:dyDescent="0.25">
      <c r="A433" s="1">
        <v>45082</v>
      </c>
      <c r="B433" s="5">
        <v>106.44</v>
      </c>
      <c r="C433" s="4">
        <v>105.98</v>
      </c>
      <c r="D433" s="4">
        <v>106.44</v>
      </c>
      <c r="E433" s="4">
        <v>105.42</v>
      </c>
      <c r="F433" s="4" t="s">
        <v>663</v>
      </c>
      <c r="G433" s="2" t="s">
        <v>450</v>
      </c>
      <c r="I433">
        <f t="shared" si="87"/>
        <v>103.79400000000001</v>
      </c>
      <c r="J433">
        <f t="shared" si="88"/>
        <v>103.0835</v>
      </c>
      <c r="L433">
        <f t="shared" si="89"/>
        <v>1</v>
      </c>
      <c r="M433">
        <f t="shared" si="90"/>
        <v>0</v>
      </c>
      <c r="O433">
        <f t="shared" si="91"/>
        <v>0.45999999999999375</v>
      </c>
      <c r="P433">
        <f t="shared" si="92"/>
        <v>0</v>
      </c>
      <c r="R433">
        <f t="shared" si="93"/>
        <v>0.99888888888888994</v>
      </c>
      <c r="S433">
        <f t="shared" si="94"/>
        <v>0.55599999999999739</v>
      </c>
      <c r="U433">
        <f t="shared" si="95"/>
        <v>64.241817921966685</v>
      </c>
      <c r="AH433">
        <f t="shared" si="96"/>
        <v>3.9167727897998423</v>
      </c>
      <c r="AI433">
        <f t="shared" si="97"/>
        <v>92.553866790175178</v>
      </c>
      <c r="AJ433">
        <f t="shared" si="98"/>
        <v>115.03413320982484</v>
      </c>
      <c r="AL433">
        <f t="shared" si="99"/>
        <v>111.6275455795997</v>
      </c>
      <c r="AM433">
        <f t="shared" si="100"/>
        <v>95.960454420400325</v>
      </c>
    </row>
    <row r="434" spans="1:39" ht="16.5" x14ac:dyDescent="0.25">
      <c r="A434" s="1">
        <v>45079</v>
      </c>
      <c r="B434" s="5">
        <v>106.16</v>
      </c>
      <c r="C434" s="4">
        <v>104.02</v>
      </c>
      <c r="D434" s="4">
        <v>106.44</v>
      </c>
      <c r="E434" s="4">
        <v>103.72</v>
      </c>
      <c r="F434" s="4" t="s">
        <v>664</v>
      </c>
      <c r="G434" s="2" t="s">
        <v>665</v>
      </c>
      <c r="I434">
        <f t="shared" si="87"/>
        <v>103.91800000000001</v>
      </c>
      <c r="J434">
        <f t="shared" si="88"/>
        <v>102.89975</v>
      </c>
      <c r="L434">
        <f t="shared" si="89"/>
        <v>1</v>
      </c>
      <c r="M434">
        <f t="shared" si="90"/>
        <v>0</v>
      </c>
      <c r="O434">
        <f t="shared" si="91"/>
        <v>2.1400000000000006</v>
      </c>
      <c r="P434">
        <f t="shared" si="92"/>
        <v>0</v>
      </c>
      <c r="R434">
        <f t="shared" si="93"/>
        <v>1.0662500000000019</v>
      </c>
      <c r="S434">
        <f t="shared" si="94"/>
        <v>0.52833333333333121</v>
      </c>
      <c r="U434">
        <f t="shared" si="95"/>
        <v>66.866997648288603</v>
      </c>
      <c r="AH434">
        <f t="shared" si="96"/>
        <v>3.8961471846070146</v>
      </c>
      <c r="AI434">
        <f t="shared" si="97"/>
        <v>92.677866790175173</v>
      </c>
      <c r="AJ434">
        <f t="shared" si="98"/>
        <v>115.15813320982484</v>
      </c>
      <c r="AL434">
        <f t="shared" si="99"/>
        <v>111.71029436921404</v>
      </c>
      <c r="AM434">
        <f t="shared" si="100"/>
        <v>96.125705630785973</v>
      </c>
    </row>
    <row r="435" spans="1:39" ht="16.5" x14ac:dyDescent="0.25">
      <c r="A435" s="1">
        <v>45078</v>
      </c>
      <c r="B435" s="5">
        <v>103.5</v>
      </c>
      <c r="C435" s="4">
        <v>102.6</v>
      </c>
      <c r="D435" s="4">
        <v>103.6</v>
      </c>
      <c r="E435" s="4">
        <v>102.14</v>
      </c>
      <c r="F435" s="4" t="s">
        <v>666</v>
      </c>
      <c r="G435" s="2" t="s">
        <v>667</v>
      </c>
      <c r="I435">
        <f t="shared" si="87"/>
        <v>103.98700000000001</v>
      </c>
      <c r="J435">
        <f t="shared" si="88"/>
        <v>102.77925</v>
      </c>
      <c r="L435">
        <f t="shared" si="89"/>
        <v>1</v>
      </c>
      <c r="M435">
        <f t="shared" si="90"/>
        <v>0</v>
      </c>
      <c r="O435">
        <f t="shared" si="91"/>
        <v>0.90000000000000568</v>
      </c>
      <c r="P435">
        <f t="shared" si="92"/>
        <v>0</v>
      </c>
      <c r="R435">
        <f t="shared" si="93"/>
        <v>0.8237500000000022</v>
      </c>
      <c r="S435">
        <f t="shared" si="94"/>
        <v>0.52833333333333121</v>
      </c>
      <c r="U435">
        <f t="shared" si="95"/>
        <v>60.924499229584136</v>
      </c>
      <c r="AH435">
        <f t="shared" si="96"/>
        <v>3.8722473826807975</v>
      </c>
      <c r="AI435">
        <f t="shared" si="97"/>
        <v>92.746866790175176</v>
      </c>
      <c r="AJ435">
        <f t="shared" si="98"/>
        <v>115.22713320982484</v>
      </c>
      <c r="AL435">
        <f t="shared" si="99"/>
        <v>111.7314947653616</v>
      </c>
      <c r="AM435">
        <f t="shared" si="100"/>
        <v>96.242505234638415</v>
      </c>
    </row>
    <row r="436" spans="1:39" ht="16.5" x14ac:dyDescent="0.25">
      <c r="A436" s="1">
        <v>45077</v>
      </c>
      <c r="B436" s="5">
        <v>101.92</v>
      </c>
      <c r="C436" s="4">
        <v>102.38</v>
      </c>
      <c r="D436" s="4">
        <v>103.98</v>
      </c>
      <c r="E436" s="4">
        <v>101.12</v>
      </c>
      <c r="F436" s="4" t="s">
        <v>668</v>
      </c>
      <c r="G436" s="2" t="s">
        <v>615</v>
      </c>
      <c r="I436">
        <f t="shared" si="87"/>
        <v>104.00200000000002</v>
      </c>
      <c r="J436">
        <f t="shared" si="88"/>
        <v>102.71025</v>
      </c>
      <c r="L436">
        <f t="shared" si="89"/>
        <v>0</v>
      </c>
      <c r="M436">
        <f t="shared" si="90"/>
        <v>1</v>
      </c>
      <c r="O436">
        <f t="shared" si="91"/>
        <v>0</v>
      </c>
      <c r="P436">
        <f t="shared" si="92"/>
        <v>0.45999999999999375</v>
      </c>
      <c r="R436">
        <f t="shared" si="93"/>
        <v>0.81285714285714461</v>
      </c>
      <c r="S436">
        <f t="shared" si="94"/>
        <v>0.5628571428571425</v>
      </c>
      <c r="U436">
        <f t="shared" si="95"/>
        <v>59.086188992731117</v>
      </c>
      <c r="AH436">
        <f t="shared" si="96"/>
        <v>3.8456704122488112</v>
      </c>
      <c r="AI436">
        <f t="shared" si="97"/>
        <v>92.761866790175191</v>
      </c>
      <c r="AJ436">
        <f t="shared" si="98"/>
        <v>115.24213320982486</v>
      </c>
      <c r="AL436">
        <f t="shared" si="99"/>
        <v>111.69334082449765</v>
      </c>
      <c r="AM436">
        <f t="shared" si="100"/>
        <v>96.310659175502394</v>
      </c>
    </row>
    <row r="437" spans="1:39" ht="16.5" x14ac:dyDescent="0.25">
      <c r="A437" s="1">
        <v>45076</v>
      </c>
      <c r="B437" s="5">
        <v>104.18</v>
      </c>
      <c r="C437" s="4">
        <v>104.4</v>
      </c>
      <c r="D437" s="4">
        <v>105.36</v>
      </c>
      <c r="E437" s="4">
        <v>103.96</v>
      </c>
      <c r="F437" s="4" t="s">
        <v>669</v>
      </c>
      <c r="G437" s="2" t="s">
        <v>69</v>
      </c>
      <c r="I437">
        <f t="shared" si="87"/>
        <v>103.95700000000002</v>
      </c>
      <c r="J437">
        <f t="shared" si="88"/>
        <v>102.68574999999998</v>
      </c>
      <c r="L437">
        <f t="shared" si="89"/>
        <v>0</v>
      </c>
      <c r="M437">
        <f t="shared" si="90"/>
        <v>1</v>
      </c>
      <c r="O437">
        <f t="shared" si="91"/>
        <v>0</v>
      </c>
      <c r="P437">
        <f t="shared" si="92"/>
        <v>0.21999999999999886</v>
      </c>
      <c r="R437">
        <f t="shared" si="93"/>
        <v>0.81285714285714461</v>
      </c>
      <c r="S437">
        <f t="shared" si="94"/>
        <v>0.54000000000000015</v>
      </c>
      <c r="U437">
        <f t="shared" si="95"/>
        <v>60.084477296726554</v>
      </c>
      <c r="AH437">
        <f t="shared" si="96"/>
        <v>3.8170991580036184</v>
      </c>
      <c r="AI437">
        <f t="shared" si="97"/>
        <v>92.716866790175189</v>
      </c>
      <c r="AJ437">
        <f t="shared" si="98"/>
        <v>115.19713320982486</v>
      </c>
      <c r="AL437">
        <f t="shared" si="99"/>
        <v>111.59119831600727</v>
      </c>
      <c r="AM437">
        <f t="shared" si="100"/>
        <v>96.322801683992779</v>
      </c>
    </row>
    <row r="438" spans="1:39" ht="16.5" x14ac:dyDescent="0.25">
      <c r="A438" s="1">
        <v>45075</v>
      </c>
      <c r="B438" s="5">
        <v>104.4</v>
      </c>
      <c r="C438" s="4">
        <v>104.88</v>
      </c>
      <c r="D438" s="4">
        <v>105.54</v>
      </c>
      <c r="E438" s="4">
        <v>103.66</v>
      </c>
      <c r="F438" s="4" t="s">
        <v>670</v>
      </c>
      <c r="G438" s="2" t="s">
        <v>553</v>
      </c>
      <c r="I438">
        <f t="shared" si="87"/>
        <v>103.777</v>
      </c>
      <c r="J438">
        <f t="shared" si="88"/>
        <v>102.59824999999998</v>
      </c>
      <c r="L438">
        <f t="shared" si="89"/>
        <v>0</v>
      </c>
      <c r="M438">
        <f t="shared" si="90"/>
        <v>1</v>
      </c>
      <c r="O438">
        <f t="shared" si="91"/>
        <v>0</v>
      </c>
      <c r="P438">
        <f t="shared" si="92"/>
        <v>0.47999999999998977</v>
      </c>
      <c r="R438">
        <f t="shared" si="93"/>
        <v>0.81285714285714461</v>
      </c>
      <c r="S438">
        <f t="shared" si="94"/>
        <v>0.59428571428571375</v>
      </c>
      <c r="U438">
        <f t="shared" si="95"/>
        <v>57.766497461929006</v>
      </c>
      <c r="AH438">
        <f t="shared" si="96"/>
        <v>3.7874084106685917</v>
      </c>
      <c r="AI438">
        <f t="shared" si="97"/>
        <v>92.536866790175168</v>
      </c>
      <c r="AJ438">
        <f t="shared" si="98"/>
        <v>115.01713320982483</v>
      </c>
      <c r="AL438">
        <f t="shared" si="99"/>
        <v>111.35181682133718</v>
      </c>
      <c r="AM438">
        <f t="shared" si="100"/>
        <v>96.202183178662821</v>
      </c>
    </row>
    <row r="439" spans="1:39" ht="16.5" x14ac:dyDescent="0.25">
      <c r="A439" s="1">
        <v>45072</v>
      </c>
      <c r="B439" s="5">
        <v>104.46</v>
      </c>
      <c r="C439" s="4">
        <v>103.74</v>
      </c>
      <c r="D439" s="4">
        <v>104.56</v>
      </c>
      <c r="E439" s="4">
        <v>102.74</v>
      </c>
      <c r="F439" s="4" t="s">
        <v>671</v>
      </c>
      <c r="G439" s="2" t="s">
        <v>672</v>
      </c>
      <c r="I439">
        <f t="shared" si="87"/>
        <v>103.62899999999999</v>
      </c>
      <c r="J439">
        <f t="shared" si="88"/>
        <v>102.46149999999997</v>
      </c>
      <c r="L439">
        <f t="shared" si="89"/>
        <v>1</v>
      </c>
      <c r="M439">
        <f t="shared" si="90"/>
        <v>0</v>
      </c>
      <c r="O439">
        <f t="shared" si="91"/>
        <v>0.71999999999999886</v>
      </c>
      <c r="P439">
        <f t="shared" si="92"/>
        <v>0</v>
      </c>
      <c r="R439">
        <f t="shared" si="93"/>
        <v>0.81285714285714461</v>
      </c>
      <c r="S439">
        <f t="shared" si="94"/>
        <v>0.56857142857142917</v>
      </c>
      <c r="U439">
        <f t="shared" si="95"/>
        <v>58.841778697001054</v>
      </c>
      <c r="AH439">
        <f t="shared" si="96"/>
        <v>3.7588310443732182</v>
      </c>
      <c r="AI439">
        <f t="shared" si="97"/>
        <v>92.388866790175157</v>
      </c>
      <c r="AJ439">
        <f t="shared" si="98"/>
        <v>114.86913320982482</v>
      </c>
      <c r="AL439">
        <f t="shared" si="99"/>
        <v>111.14666208874642</v>
      </c>
      <c r="AM439">
        <f t="shared" si="100"/>
        <v>96.111337911253557</v>
      </c>
    </row>
    <row r="440" spans="1:39" ht="16.5" x14ac:dyDescent="0.25">
      <c r="A440" s="1">
        <v>45071</v>
      </c>
      <c r="B440" s="5">
        <v>102.78</v>
      </c>
      <c r="C440" s="4">
        <v>103.1</v>
      </c>
      <c r="D440" s="4">
        <v>103.42</v>
      </c>
      <c r="E440" s="4">
        <v>101.96</v>
      </c>
      <c r="F440" s="4" t="s">
        <v>673</v>
      </c>
      <c r="G440" s="2" t="s">
        <v>372</v>
      </c>
      <c r="I440">
        <f t="shared" si="87"/>
        <v>103.43800000000002</v>
      </c>
      <c r="J440">
        <f t="shared" si="88"/>
        <v>102.31974999999998</v>
      </c>
      <c r="L440">
        <f t="shared" si="89"/>
        <v>0</v>
      </c>
      <c r="M440">
        <f t="shared" si="90"/>
        <v>1</v>
      </c>
      <c r="O440">
        <f t="shared" si="91"/>
        <v>0</v>
      </c>
      <c r="P440">
        <f t="shared" si="92"/>
        <v>0.31999999999999318</v>
      </c>
      <c r="R440">
        <f t="shared" si="93"/>
        <v>0.90714285714285836</v>
      </c>
      <c r="S440">
        <f t="shared" si="94"/>
        <v>0.56857142857142917</v>
      </c>
      <c r="U440">
        <f t="shared" si="95"/>
        <v>61.47144240077445</v>
      </c>
      <c r="AH440">
        <f t="shared" si="96"/>
        <v>3.7308663723203082</v>
      </c>
      <c r="AI440">
        <f t="shared" si="97"/>
        <v>92.197866790175183</v>
      </c>
      <c r="AJ440">
        <f t="shared" si="98"/>
        <v>114.67813320982485</v>
      </c>
      <c r="AL440">
        <f t="shared" si="99"/>
        <v>110.89973274464063</v>
      </c>
      <c r="AM440">
        <f t="shared" si="100"/>
        <v>95.976267255359403</v>
      </c>
    </row>
    <row r="441" spans="1:39" ht="16.5" x14ac:dyDescent="0.25">
      <c r="A441" s="1">
        <v>45070</v>
      </c>
      <c r="B441" s="5">
        <v>102.6</v>
      </c>
      <c r="C441" s="4">
        <v>103.9</v>
      </c>
      <c r="D441" s="4">
        <v>104.36</v>
      </c>
      <c r="E441" s="4">
        <v>102.12</v>
      </c>
      <c r="F441" s="4" t="s">
        <v>56</v>
      </c>
      <c r="G441" s="2" t="s">
        <v>674</v>
      </c>
      <c r="I441">
        <f t="shared" si="87"/>
        <v>103.34900000000002</v>
      </c>
      <c r="J441">
        <f t="shared" si="88"/>
        <v>102.2165</v>
      </c>
      <c r="L441">
        <f t="shared" si="89"/>
        <v>0</v>
      </c>
      <c r="M441">
        <f t="shared" si="90"/>
        <v>1</v>
      </c>
      <c r="O441">
        <f t="shared" si="91"/>
        <v>0</v>
      </c>
      <c r="P441">
        <f t="shared" si="92"/>
        <v>1.3000000000000114</v>
      </c>
      <c r="R441">
        <f t="shared" si="93"/>
        <v>1.2362500000000018</v>
      </c>
      <c r="S441">
        <f t="shared" si="94"/>
        <v>0.61000000000000176</v>
      </c>
      <c r="U441">
        <f t="shared" si="95"/>
        <v>66.960054163845598</v>
      </c>
      <c r="AH441">
        <f t="shared" si="96"/>
        <v>3.70426574007422</v>
      </c>
      <c r="AI441">
        <f t="shared" si="97"/>
        <v>92.108866790175185</v>
      </c>
      <c r="AJ441">
        <f t="shared" si="98"/>
        <v>114.58913320982485</v>
      </c>
      <c r="AL441">
        <f t="shared" si="99"/>
        <v>110.75753148014846</v>
      </c>
      <c r="AM441">
        <f t="shared" si="100"/>
        <v>95.940468519851578</v>
      </c>
    </row>
    <row r="442" spans="1:39" ht="16.5" x14ac:dyDescent="0.25">
      <c r="A442" s="1">
        <v>45069</v>
      </c>
      <c r="B442" s="5">
        <v>104.48</v>
      </c>
      <c r="C442" s="4">
        <v>104.1</v>
      </c>
      <c r="D442" s="4">
        <v>104.64</v>
      </c>
      <c r="E442" s="4">
        <v>103.62</v>
      </c>
      <c r="F442" s="4" t="s">
        <v>675</v>
      </c>
      <c r="G442" s="2" t="s">
        <v>676</v>
      </c>
      <c r="I442">
        <f t="shared" si="87"/>
        <v>103.29099999999998</v>
      </c>
      <c r="J442">
        <f t="shared" si="88"/>
        <v>102.09549999999999</v>
      </c>
      <c r="L442">
        <f t="shared" si="89"/>
        <v>1</v>
      </c>
      <c r="M442">
        <f t="shared" si="90"/>
        <v>0</v>
      </c>
      <c r="O442">
        <f t="shared" si="91"/>
        <v>0.38000000000000966</v>
      </c>
      <c r="P442">
        <f t="shared" si="92"/>
        <v>0</v>
      </c>
      <c r="R442">
        <f t="shared" si="93"/>
        <v>1.2522222222222235</v>
      </c>
      <c r="S442">
        <f t="shared" si="94"/>
        <v>0.47199999999999986</v>
      </c>
      <c r="U442">
        <f t="shared" si="95"/>
        <v>72.625338316793432</v>
      </c>
      <c r="AH442">
        <f t="shared" si="96"/>
        <v>3.6773475118610226</v>
      </c>
      <c r="AI442">
        <f t="shared" si="97"/>
        <v>92.050866790175149</v>
      </c>
      <c r="AJ442">
        <f t="shared" si="98"/>
        <v>114.53113320982482</v>
      </c>
      <c r="AL442">
        <f t="shared" si="99"/>
        <v>110.64569502372203</v>
      </c>
      <c r="AM442">
        <f t="shared" si="100"/>
        <v>95.936304976277938</v>
      </c>
    </row>
    <row r="443" spans="1:39" ht="16.5" x14ac:dyDescent="0.25">
      <c r="A443" s="1">
        <v>45068</v>
      </c>
      <c r="B443" s="5">
        <v>104.04</v>
      </c>
      <c r="C443" s="4">
        <v>103.42</v>
      </c>
      <c r="D443" s="4">
        <v>104.24</v>
      </c>
      <c r="E443" s="4">
        <v>103.04</v>
      </c>
      <c r="F443" s="4" t="s">
        <v>677</v>
      </c>
      <c r="G443" s="2" t="s">
        <v>678</v>
      </c>
      <c r="I443">
        <f t="shared" si="87"/>
        <v>103.125</v>
      </c>
      <c r="J443">
        <f t="shared" si="88"/>
        <v>101.95424999999999</v>
      </c>
      <c r="L443">
        <f t="shared" si="89"/>
        <v>1</v>
      </c>
      <c r="M443">
        <f t="shared" si="90"/>
        <v>0</v>
      </c>
      <c r="O443">
        <f t="shared" si="91"/>
        <v>0.62000000000000455</v>
      </c>
      <c r="P443">
        <f t="shared" si="92"/>
        <v>0</v>
      </c>
      <c r="R443">
        <f t="shared" si="93"/>
        <v>1.3612500000000001</v>
      </c>
      <c r="S443">
        <f t="shared" si="94"/>
        <v>0.413333333333334</v>
      </c>
      <c r="U443">
        <f t="shared" si="95"/>
        <v>76.708147452453602</v>
      </c>
      <c r="AH443">
        <f t="shared" si="96"/>
        <v>3.6495533151986921</v>
      </c>
      <c r="AI443">
        <f t="shared" si="97"/>
        <v>91.884866790175167</v>
      </c>
      <c r="AJ443">
        <f t="shared" si="98"/>
        <v>114.36513320982483</v>
      </c>
      <c r="AL443">
        <f t="shared" si="99"/>
        <v>110.42410663039739</v>
      </c>
      <c r="AM443">
        <f t="shared" si="100"/>
        <v>95.825893369602611</v>
      </c>
    </row>
    <row r="444" spans="1:39" ht="16.5" x14ac:dyDescent="0.25">
      <c r="A444" s="1">
        <v>45065</v>
      </c>
      <c r="B444" s="5">
        <v>103.38</v>
      </c>
      <c r="C444" s="4">
        <v>102.64</v>
      </c>
      <c r="D444" s="4">
        <v>104</v>
      </c>
      <c r="E444" s="4">
        <v>102.56</v>
      </c>
      <c r="F444" s="4" t="s">
        <v>417</v>
      </c>
      <c r="G444" s="2" t="s">
        <v>30</v>
      </c>
      <c r="I444">
        <f t="shared" si="87"/>
        <v>102.953</v>
      </c>
      <c r="J444">
        <f t="shared" si="88"/>
        <v>101.80824999999999</v>
      </c>
      <c r="L444">
        <f t="shared" si="89"/>
        <v>1</v>
      </c>
      <c r="M444">
        <f t="shared" si="90"/>
        <v>0</v>
      </c>
      <c r="O444">
        <f t="shared" si="91"/>
        <v>0.73999999999999488</v>
      </c>
      <c r="P444">
        <f t="shared" si="92"/>
        <v>0</v>
      </c>
      <c r="R444">
        <f t="shared" si="93"/>
        <v>1.4671428571428566</v>
      </c>
      <c r="S444">
        <f t="shared" si="94"/>
        <v>0.55714285714285794</v>
      </c>
      <c r="U444">
        <f t="shared" si="95"/>
        <v>72.477064220183451</v>
      </c>
      <c r="AH444">
        <f t="shared" si="96"/>
        <v>3.6227267064475188</v>
      </c>
      <c r="AI444">
        <f t="shared" si="97"/>
        <v>91.71286679017517</v>
      </c>
      <c r="AJ444">
        <f t="shared" si="98"/>
        <v>114.19313320982484</v>
      </c>
      <c r="AL444">
        <f t="shared" si="99"/>
        <v>110.19845341289503</v>
      </c>
      <c r="AM444">
        <f t="shared" si="100"/>
        <v>95.707546587104972</v>
      </c>
    </row>
    <row r="445" spans="1:39" ht="16.5" x14ac:dyDescent="0.25">
      <c r="A445" s="1">
        <v>45064</v>
      </c>
      <c r="B445" s="5">
        <v>102.5</v>
      </c>
      <c r="C445" s="4">
        <v>100.5</v>
      </c>
      <c r="D445" s="4">
        <v>102.82</v>
      </c>
      <c r="E445" s="4">
        <v>100.48</v>
      </c>
      <c r="F445" s="4" t="s">
        <v>470</v>
      </c>
      <c r="G445" s="2" t="s">
        <v>679</v>
      </c>
      <c r="I445">
        <f t="shared" si="87"/>
        <v>102.78500000000001</v>
      </c>
      <c r="J445">
        <f t="shared" si="88"/>
        <v>101.65725</v>
      </c>
      <c r="L445">
        <f t="shared" si="89"/>
        <v>1</v>
      </c>
      <c r="M445">
        <f t="shared" si="90"/>
        <v>0</v>
      </c>
      <c r="O445">
        <f t="shared" si="91"/>
        <v>2</v>
      </c>
      <c r="P445">
        <f t="shared" si="92"/>
        <v>0</v>
      </c>
      <c r="R445">
        <f t="shared" si="93"/>
        <v>1.3814285714285717</v>
      </c>
      <c r="S445">
        <f t="shared" si="94"/>
        <v>0.55714285714285794</v>
      </c>
      <c r="U445">
        <f t="shared" si="95"/>
        <v>71.260132645541603</v>
      </c>
      <c r="AH445">
        <f t="shared" si="96"/>
        <v>3.5970083655348057</v>
      </c>
      <c r="AI445">
        <f t="shared" si="97"/>
        <v>91.544866790175178</v>
      </c>
      <c r="AJ445">
        <f t="shared" si="98"/>
        <v>114.02513320982484</v>
      </c>
      <c r="AL445">
        <f t="shared" si="99"/>
        <v>109.97901673106962</v>
      </c>
      <c r="AM445">
        <f t="shared" si="100"/>
        <v>95.590983268930401</v>
      </c>
    </row>
    <row r="446" spans="1:39" ht="16.5" x14ac:dyDescent="0.25">
      <c r="A446" s="1">
        <v>45063</v>
      </c>
      <c r="B446" s="5">
        <v>100.14</v>
      </c>
      <c r="C446" s="4">
        <v>99.11</v>
      </c>
      <c r="D446" s="4">
        <v>100.36</v>
      </c>
      <c r="E446" s="4">
        <v>99.1</v>
      </c>
      <c r="F446" s="4" t="s">
        <v>680</v>
      </c>
      <c r="G446" s="2" t="s">
        <v>38</v>
      </c>
      <c r="I446">
        <f t="shared" si="87"/>
        <v>102.849</v>
      </c>
      <c r="J446">
        <f t="shared" si="88"/>
        <v>101.48499999999999</v>
      </c>
      <c r="L446">
        <f t="shared" si="89"/>
        <v>1</v>
      </c>
      <c r="M446">
        <f t="shared" si="90"/>
        <v>0</v>
      </c>
      <c r="O446">
        <f t="shared" si="91"/>
        <v>1.0300000000000011</v>
      </c>
      <c r="P446">
        <f t="shared" si="92"/>
        <v>0</v>
      </c>
      <c r="R446">
        <f t="shared" si="93"/>
        <v>1.2783333333333335</v>
      </c>
      <c r="S446">
        <f t="shared" si="94"/>
        <v>0.53500000000000014</v>
      </c>
      <c r="U446">
        <f t="shared" si="95"/>
        <v>70.496323529411768</v>
      </c>
      <c r="AH446">
        <f t="shared" si="96"/>
        <v>3.5723686437173878</v>
      </c>
      <c r="AI446">
        <f t="shared" si="97"/>
        <v>91.608866790175171</v>
      </c>
      <c r="AJ446">
        <f t="shared" si="98"/>
        <v>114.08913320982484</v>
      </c>
      <c r="AL446">
        <f t="shared" si="99"/>
        <v>109.99373728743478</v>
      </c>
      <c r="AM446">
        <f t="shared" si="100"/>
        <v>95.704262712565225</v>
      </c>
    </row>
    <row r="447" spans="1:39" ht="16.5" x14ac:dyDescent="0.25">
      <c r="A447" s="1">
        <v>45062</v>
      </c>
      <c r="B447" s="5">
        <v>99.57</v>
      </c>
      <c r="C447" s="4">
        <v>99.96</v>
      </c>
      <c r="D447" s="4">
        <v>100.06</v>
      </c>
      <c r="E447" s="4">
        <v>98.7</v>
      </c>
      <c r="F447" s="4" t="s">
        <v>681</v>
      </c>
      <c r="G447" s="2" t="s">
        <v>682</v>
      </c>
      <c r="I447">
        <f t="shared" si="87"/>
        <v>103.047</v>
      </c>
      <c r="J447">
        <f t="shared" si="88"/>
        <v>101.35274999999999</v>
      </c>
      <c r="L447">
        <f t="shared" si="89"/>
        <v>0</v>
      </c>
      <c r="M447">
        <f t="shared" si="90"/>
        <v>1</v>
      </c>
      <c r="O447">
        <f t="shared" si="91"/>
        <v>0</v>
      </c>
      <c r="P447">
        <f t="shared" si="92"/>
        <v>0.39000000000000057</v>
      </c>
      <c r="R447">
        <f t="shared" si="93"/>
        <v>1.3280000000000001</v>
      </c>
      <c r="S447">
        <f t="shared" si="94"/>
        <v>0.54444444444444506</v>
      </c>
      <c r="U447">
        <f t="shared" si="95"/>
        <v>70.923332542131476</v>
      </c>
      <c r="AH447">
        <f t="shared" si="96"/>
        <v>3.544733907508975</v>
      </c>
      <c r="AI447">
        <f t="shared" si="97"/>
        <v>91.806866790175164</v>
      </c>
      <c r="AJ447">
        <f t="shared" si="98"/>
        <v>114.28713320982483</v>
      </c>
      <c r="AL447">
        <f t="shared" si="99"/>
        <v>110.13646781501795</v>
      </c>
      <c r="AM447">
        <f t="shared" si="100"/>
        <v>95.957532184982043</v>
      </c>
    </row>
    <row r="448" spans="1:39" ht="16.5" x14ac:dyDescent="0.25">
      <c r="A448" s="1">
        <v>45061</v>
      </c>
      <c r="B448" s="5">
        <v>100.08</v>
      </c>
      <c r="C448" s="4">
        <v>99.88</v>
      </c>
      <c r="D448" s="4">
        <v>100.5</v>
      </c>
      <c r="E448" s="4">
        <v>99.58</v>
      </c>
      <c r="F448" s="4" t="s">
        <v>457</v>
      </c>
      <c r="G448" s="2" t="s">
        <v>290</v>
      </c>
      <c r="I448">
        <f t="shared" si="87"/>
        <v>103.22849999999998</v>
      </c>
      <c r="J448">
        <f t="shared" si="88"/>
        <v>101.25774999999999</v>
      </c>
      <c r="L448">
        <f t="shared" si="89"/>
        <v>1</v>
      </c>
      <c r="M448">
        <f t="shared" si="90"/>
        <v>0</v>
      </c>
      <c r="O448">
        <f t="shared" si="91"/>
        <v>0.20000000000000284</v>
      </c>
      <c r="P448">
        <f t="shared" si="92"/>
        <v>0</v>
      </c>
      <c r="R448">
        <f t="shared" si="93"/>
        <v>1.1300000000000001</v>
      </c>
      <c r="S448">
        <f t="shared" si="94"/>
        <v>0.56375000000000064</v>
      </c>
      <c r="U448">
        <f t="shared" si="95"/>
        <v>66.715867158671557</v>
      </c>
      <c r="AH448">
        <f t="shared" si="96"/>
        <v>3.5112674473553223</v>
      </c>
      <c r="AI448">
        <f t="shared" si="97"/>
        <v>91.988366790175149</v>
      </c>
      <c r="AJ448">
        <f t="shared" si="98"/>
        <v>114.46863320982482</v>
      </c>
      <c r="AL448">
        <f t="shared" si="99"/>
        <v>110.25103489471063</v>
      </c>
      <c r="AM448">
        <f t="shared" si="100"/>
        <v>96.205965105289337</v>
      </c>
    </row>
    <row r="449" spans="1:39" ht="16.5" x14ac:dyDescent="0.25">
      <c r="A449" s="1">
        <v>45058</v>
      </c>
      <c r="B449" s="5">
        <v>99.41</v>
      </c>
      <c r="C449" s="4">
        <v>100.18</v>
      </c>
      <c r="D449" s="4">
        <v>101.12</v>
      </c>
      <c r="E449" s="4">
        <v>99.25</v>
      </c>
      <c r="F449" s="4" t="s">
        <v>683</v>
      </c>
      <c r="G449" s="2" t="s">
        <v>684</v>
      </c>
      <c r="I449">
        <f t="shared" si="87"/>
        <v>103.4085</v>
      </c>
      <c r="J449">
        <f t="shared" si="88"/>
        <v>101.123</v>
      </c>
      <c r="L449">
        <f t="shared" si="89"/>
        <v>0</v>
      </c>
      <c r="M449">
        <f t="shared" si="90"/>
        <v>1</v>
      </c>
      <c r="O449">
        <f t="shared" si="91"/>
        <v>0</v>
      </c>
      <c r="P449">
        <f t="shared" si="92"/>
        <v>0.77000000000001023</v>
      </c>
      <c r="R449">
        <f t="shared" si="93"/>
        <v>1.1799999999999997</v>
      </c>
      <c r="S449">
        <f t="shared" si="94"/>
        <v>0.56375000000000064</v>
      </c>
      <c r="U449">
        <f t="shared" si="95"/>
        <v>67.670250896057325</v>
      </c>
      <c r="AH449">
        <f t="shared" si="96"/>
        <v>3.4716184418775859</v>
      </c>
      <c r="AI449">
        <f t="shared" si="97"/>
        <v>92.16836679017517</v>
      </c>
      <c r="AJ449">
        <f t="shared" si="98"/>
        <v>114.64863320982484</v>
      </c>
      <c r="AL449">
        <f t="shared" si="99"/>
        <v>110.35173688375518</v>
      </c>
      <c r="AM449">
        <f t="shared" si="100"/>
        <v>96.465263116244827</v>
      </c>
    </row>
    <row r="450" spans="1:39" ht="16.5" x14ac:dyDescent="0.25">
      <c r="A450" s="1">
        <v>45057</v>
      </c>
      <c r="B450" s="5">
        <v>108.4</v>
      </c>
      <c r="C450" s="4">
        <v>108.7</v>
      </c>
      <c r="D450" s="4">
        <v>108.9</v>
      </c>
      <c r="E450" s="4">
        <v>107.66</v>
      </c>
      <c r="F450" s="4" t="s">
        <v>343</v>
      </c>
      <c r="G450" s="2" t="s">
        <v>163</v>
      </c>
      <c r="I450">
        <f t="shared" si="87"/>
        <v>103.55400000000002</v>
      </c>
      <c r="J450">
        <f t="shared" si="88"/>
        <v>101.02775</v>
      </c>
      <c r="L450">
        <f t="shared" si="89"/>
        <v>0</v>
      </c>
      <c r="M450">
        <f t="shared" si="90"/>
        <v>1</v>
      </c>
      <c r="O450">
        <f t="shared" si="91"/>
        <v>0</v>
      </c>
      <c r="P450">
        <f t="shared" si="92"/>
        <v>0.29999999999999716</v>
      </c>
      <c r="R450">
        <f t="shared" si="93"/>
        <v>1.0228571428571425</v>
      </c>
      <c r="S450">
        <f t="shared" si="94"/>
        <v>0.53428571428571359</v>
      </c>
      <c r="U450">
        <f t="shared" si="95"/>
        <v>65.688073394495433</v>
      </c>
      <c r="AH450">
        <f t="shared" si="96"/>
        <v>3.4250815091152136</v>
      </c>
      <c r="AI450">
        <f t="shared" si="97"/>
        <v>92.313866790175183</v>
      </c>
      <c r="AJ450">
        <f t="shared" si="98"/>
        <v>114.79413320982485</v>
      </c>
      <c r="AL450">
        <f t="shared" si="99"/>
        <v>110.40416301823045</v>
      </c>
      <c r="AM450">
        <f t="shared" si="100"/>
        <v>96.703836981769584</v>
      </c>
    </row>
    <row r="451" spans="1:39" ht="16.5" x14ac:dyDescent="0.25">
      <c r="A451" s="1">
        <v>45056</v>
      </c>
      <c r="B451" s="5">
        <v>108.72</v>
      </c>
      <c r="C451" s="4">
        <v>109.32</v>
      </c>
      <c r="D451" s="4">
        <v>109.48</v>
      </c>
      <c r="E451" s="4">
        <v>107.58</v>
      </c>
      <c r="F451" s="4" t="s">
        <v>129</v>
      </c>
      <c r="G451" s="2" t="s">
        <v>365</v>
      </c>
      <c r="I451">
        <f t="shared" ref="I451:I514" si="101">AVERAGE(B451:B470)</f>
        <v>103.268</v>
      </c>
      <c r="J451">
        <f t="shared" ref="J451:J514" si="102">AVERAGE(B451:B490)</f>
        <v>100.68375</v>
      </c>
      <c r="L451">
        <f t="shared" ref="L451:L514" si="103">IF($C451&lt;$B451,1,0)</f>
        <v>0</v>
      </c>
      <c r="M451">
        <f t="shared" ref="M451:M514" si="104">IF($C451&lt;$B451,0,1)</f>
        <v>1</v>
      </c>
      <c r="O451">
        <f t="shared" ref="O451:O514" si="105">IF($C451&lt;$B451,B451-C451,0)</f>
        <v>0</v>
      </c>
      <c r="P451">
        <f t="shared" ref="P451:P514" si="106">IF($B451&lt;$C451,C451-B451,0)</f>
        <v>0.59999999999999432</v>
      </c>
      <c r="R451">
        <f t="shared" ref="R451:R514" si="107">SUM(O451:O464)/SUM(L451:L464)</f>
        <v>1.0228571428571425</v>
      </c>
      <c r="S451">
        <f t="shared" ref="S451:S514" si="108">SUM(P451:P464)/SUM(M451:M464)</f>
        <v>0.97428571428571531</v>
      </c>
      <c r="U451">
        <f t="shared" ref="U451:U514" si="109">100-(100/(1+(R451/S451)))</f>
        <v>51.216022889842591</v>
      </c>
      <c r="AH451">
        <f t="shared" ref="AH451:AH514" si="110">_xlfn.STDEV.S(I451:I981)</f>
        <v>3.3716210523706276</v>
      </c>
      <c r="AI451">
        <f t="shared" ref="AI451:AI514" si="111">I451-$AH$2</f>
        <v>92.027866790175167</v>
      </c>
      <c r="AJ451">
        <f t="shared" ref="AJ451:AJ514" si="112">I451+$AH$2</f>
        <v>114.50813320982483</v>
      </c>
      <c r="AL451">
        <f t="shared" ref="AL451:AL514" si="113">I451+(AH451*2)</f>
        <v>110.01124210474126</v>
      </c>
      <c r="AM451">
        <f t="shared" ref="AM451:AM514" si="114">I451-(AH451*2)</f>
        <v>96.524757895258745</v>
      </c>
    </row>
    <row r="452" spans="1:39" ht="16.5" x14ac:dyDescent="0.25">
      <c r="A452" s="1">
        <v>45055</v>
      </c>
      <c r="B452" s="5">
        <v>108.72</v>
      </c>
      <c r="C452" s="4">
        <v>109.02</v>
      </c>
      <c r="D452" s="4">
        <v>109.54</v>
      </c>
      <c r="E452" s="4">
        <v>108.24</v>
      </c>
      <c r="F452" s="4" t="s">
        <v>269</v>
      </c>
      <c r="G452" s="2" t="s">
        <v>310</v>
      </c>
      <c r="I452">
        <f t="shared" si="101"/>
        <v>102.878</v>
      </c>
      <c r="J452">
        <f t="shared" si="102"/>
        <v>100.42399999999999</v>
      </c>
      <c r="L452">
        <f t="shared" si="103"/>
        <v>0</v>
      </c>
      <c r="M452">
        <f t="shared" si="104"/>
        <v>1</v>
      </c>
      <c r="O452">
        <f t="shared" si="105"/>
        <v>0</v>
      </c>
      <c r="P452">
        <f t="shared" si="106"/>
        <v>0.29999999999999716</v>
      </c>
      <c r="R452">
        <f t="shared" si="107"/>
        <v>1.0228571428571425</v>
      </c>
      <c r="S452">
        <f t="shared" si="108"/>
        <v>0.90857142857143047</v>
      </c>
      <c r="U452">
        <f t="shared" si="109"/>
        <v>52.958579881656746</v>
      </c>
      <c r="AH452">
        <f t="shared" si="110"/>
        <v>3.3208992766680661</v>
      </c>
      <c r="AI452">
        <f t="shared" si="111"/>
        <v>91.637866790175167</v>
      </c>
      <c r="AJ452">
        <f t="shared" si="112"/>
        <v>114.11813320982483</v>
      </c>
      <c r="AL452">
        <f t="shared" si="113"/>
        <v>109.51979855333613</v>
      </c>
      <c r="AM452">
        <f t="shared" si="114"/>
        <v>96.23620144666387</v>
      </c>
    </row>
    <row r="453" spans="1:39" ht="16.5" x14ac:dyDescent="0.25">
      <c r="A453" s="1">
        <v>45054</v>
      </c>
      <c r="B453" s="5">
        <v>108.92</v>
      </c>
      <c r="C453" s="4">
        <v>107.54</v>
      </c>
      <c r="D453" s="4">
        <v>109.84</v>
      </c>
      <c r="E453" s="4">
        <v>107.36</v>
      </c>
      <c r="F453" s="4" t="s">
        <v>91</v>
      </c>
      <c r="G453" s="2" t="s">
        <v>685</v>
      </c>
      <c r="I453">
        <f t="shared" si="101"/>
        <v>102.373</v>
      </c>
      <c r="J453">
        <f t="shared" si="102"/>
        <v>100.19425</v>
      </c>
      <c r="L453">
        <f t="shared" si="103"/>
        <v>1</v>
      </c>
      <c r="M453">
        <f t="shared" si="104"/>
        <v>0</v>
      </c>
      <c r="O453">
        <f t="shared" si="105"/>
        <v>1.3799999999999955</v>
      </c>
      <c r="P453">
        <f t="shared" si="106"/>
        <v>0</v>
      </c>
      <c r="R453">
        <f t="shared" si="107"/>
        <v>0.96999999999999886</v>
      </c>
      <c r="S453">
        <f t="shared" si="108"/>
        <v>1.0100000000000027</v>
      </c>
      <c r="U453">
        <f t="shared" si="109"/>
        <v>48.989898989898897</v>
      </c>
      <c r="AH453">
        <f t="shared" si="110"/>
        <v>3.2754558776774894</v>
      </c>
      <c r="AI453">
        <f t="shared" si="111"/>
        <v>91.132866790175171</v>
      </c>
      <c r="AJ453">
        <f t="shared" si="112"/>
        <v>113.61313320982484</v>
      </c>
      <c r="AL453">
        <f t="shared" si="113"/>
        <v>108.92391175535498</v>
      </c>
      <c r="AM453">
        <f t="shared" si="114"/>
        <v>95.82208824464503</v>
      </c>
    </row>
    <row r="454" spans="1:39" ht="16.5" x14ac:dyDescent="0.25">
      <c r="A454" s="1">
        <v>45051</v>
      </c>
      <c r="B454" s="5">
        <v>107.54</v>
      </c>
      <c r="C454" s="4">
        <v>104</v>
      </c>
      <c r="D454" s="4">
        <v>107.84</v>
      </c>
      <c r="E454" s="4">
        <v>103.38</v>
      </c>
      <c r="F454" s="4" t="s">
        <v>202</v>
      </c>
      <c r="G454" s="2" t="s">
        <v>686</v>
      </c>
      <c r="I454">
        <f t="shared" si="101"/>
        <v>101.88149999999999</v>
      </c>
      <c r="J454">
        <f t="shared" si="102"/>
        <v>99.995249999999984</v>
      </c>
      <c r="L454">
        <f t="shared" si="103"/>
        <v>1</v>
      </c>
      <c r="M454">
        <f t="shared" si="104"/>
        <v>0</v>
      </c>
      <c r="O454">
        <f t="shared" si="105"/>
        <v>3.5400000000000063</v>
      </c>
      <c r="P454">
        <f t="shared" si="106"/>
        <v>0</v>
      </c>
      <c r="R454">
        <f t="shared" si="107"/>
        <v>0.91142857142857081</v>
      </c>
      <c r="S454">
        <f t="shared" si="108"/>
        <v>0.98857142857143088</v>
      </c>
      <c r="U454">
        <f t="shared" si="109"/>
        <v>47.969924812030001</v>
      </c>
      <c r="AH454">
        <f t="shared" si="110"/>
        <v>3.2379502276411003</v>
      </c>
      <c r="AI454">
        <f t="shared" si="111"/>
        <v>90.641366790175155</v>
      </c>
      <c r="AJ454">
        <f t="shared" si="112"/>
        <v>113.12163320982482</v>
      </c>
      <c r="AL454">
        <f t="shared" si="113"/>
        <v>108.35740045528219</v>
      </c>
      <c r="AM454">
        <f t="shared" si="114"/>
        <v>95.405599544717788</v>
      </c>
    </row>
    <row r="455" spans="1:39" ht="16.5" x14ac:dyDescent="0.25">
      <c r="A455" s="1">
        <v>45050</v>
      </c>
      <c r="B455" s="5">
        <v>103.8</v>
      </c>
      <c r="C455" s="4">
        <v>102.42</v>
      </c>
      <c r="D455" s="4">
        <v>103.8</v>
      </c>
      <c r="E455" s="4">
        <v>100.14</v>
      </c>
      <c r="F455" s="4" t="s">
        <v>259</v>
      </c>
      <c r="G455" s="2" t="s">
        <v>209</v>
      </c>
      <c r="I455">
        <f t="shared" si="101"/>
        <v>101.57149999999999</v>
      </c>
      <c r="J455">
        <f t="shared" si="102"/>
        <v>99.831749999999985</v>
      </c>
      <c r="L455">
        <f t="shared" si="103"/>
        <v>1</v>
      </c>
      <c r="M455">
        <f t="shared" si="104"/>
        <v>0</v>
      </c>
      <c r="O455">
        <f t="shared" si="105"/>
        <v>1.3799999999999955</v>
      </c>
      <c r="P455">
        <f t="shared" si="106"/>
        <v>0</v>
      </c>
      <c r="R455">
        <f t="shared" si="107"/>
        <v>0.51714285714285579</v>
      </c>
      <c r="S455">
        <f t="shared" si="108"/>
        <v>0.98857142857143088</v>
      </c>
      <c r="U455">
        <f t="shared" si="109"/>
        <v>34.345351043643163</v>
      </c>
      <c r="AH455">
        <f t="shared" si="110"/>
        <v>3.208052440116905</v>
      </c>
      <c r="AI455">
        <f t="shared" si="111"/>
        <v>90.331366790175153</v>
      </c>
      <c r="AJ455">
        <f t="shared" si="112"/>
        <v>112.81163320982482</v>
      </c>
      <c r="AL455">
        <f t="shared" si="113"/>
        <v>107.98760488023379</v>
      </c>
      <c r="AM455">
        <f t="shared" si="114"/>
        <v>95.155395119766183</v>
      </c>
    </row>
    <row r="456" spans="1:39" ht="16.5" x14ac:dyDescent="0.25">
      <c r="A456" s="1">
        <v>45049</v>
      </c>
      <c r="B456" s="5">
        <v>101.02</v>
      </c>
      <c r="C456" s="4">
        <v>101.14</v>
      </c>
      <c r="D456" s="4">
        <v>101.42</v>
      </c>
      <c r="E456" s="4">
        <v>100.06</v>
      </c>
      <c r="F456" s="4" t="s">
        <v>687</v>
      </c>
      <c r="G456" s="2" t="s">
        <v>688</v>
      </c>
      <c r="I456">
        <f t="shared" si="101"/>
        <v>101.41849999999998</v>
      </c>
      <c r="J456">
        <f t="shared" si="102"/>
        <v>99.77324999999999</v>
      </c>
      <c r="L456">
        <f t="shared" si="103"/>
        <v>0</v>
      </c>
      <c r="M456">
        <f t="shared" si="104"/>
        <v>1</v>
      </c>
      <c r="O456">
        <f t="shared" si="105"/>
        <v>0</v>
      </c>
      <c r="P456">
        <f t="shared" si="106"/>
        <v>0.12000000000000455</v>
      </c>
      <c r="R456">
        <f t="shared" si="107"/>
        <v>0.37333333333333246</v>
      </c>
      <c r="S456">
        <f t="shared" si="108"/>
        <v>0.89750000000000263</v>
      </c>
      <c r="U456">
        <f t="shared" si="109"/>
        <v>29.377049180327759</v>
      </c>
      <c r="AH456">
        <f t="shared" si="110"/>
        <v>3.1820942266471142</v>
      </c>
      <c r="AI456">
        <f t="shared" si="111"/>
        <v>90.178366790175147</v>
      </c>
      <c r="AJ456">
        <f t="shared" si="112"/>
        <v>112.65863320982481</v>
      </c>
      <c r="AL456">
        <f t="shared" si="113"/>
        <v>107.78268845329421</v>
      </c>
      <c r="AM456">
        <f t="shared" si="114"/>
        <v>95.054311546705748</v>
      </c>
    </row>
    <row r="457" spans="1:39" ht="16.5" x14ac:dyDescent="0.25">
      <c r="A457" s="1">
        <v>45048</v>
      </c>
      <c r="B457" s="5">
        <v>100.58</v>
      </c>
      <c r="C457" s="4">
        <v>102</v>
      </c>
      <c r="D457" s="4">
        <v>102.68</v>
      </c>
      <c r="E457" s="4">
        <v>99.92</v>
      </c>
      <c r="F457" s="4" t="s">
        <v>157</v>
      </c>
      <c r="G457" s="2" t="s">
        <v>689</v>
      </c>
      <c r="I457">
        <f t="shared" si="101"/>
        <v>101.4145</v>
      </c>
      <c r="J457">
        <f t="shared" si="102"/>
        <v>99.784750000000003</v>
      </c>
      <c r="L457">
        <f t="shared" si="103"/>
        <v>0</v>
      </c>
      <c r="M457">
        <f t="shared" si="104"/>
        <v>1</v>
      </c>
      <c r="O457">
        <f t="shared" si="105"/>
        <v>0</v>
      </c>
      <c r="P457">
        <f t="shared" si="106"/>
        <v>1.4200000000000017</v>
      </c>
      <c r="R457">
        <f t="shared" si="107"/>
        <v>0.53142857142857125</v>
      </c>
      <c r="S457">
        <f t="shared" si="108"/>
        <v>1.0085714285714309</v>
      </c>
      <c r="U457">
        <f t="shared" si="109"/>
        <v>34.508348794063025</v>
      </c>
      <c r="AH457">
        <f t="shared" si="110"/>
        <v>3.1570526409375974</v>
      </c>
      <c r="AI457">
        <f t="shared" si="111"/>
        <v>90.174366790175171</v>
      </c>
      <c r="AJ457">
        <f t="shared" si="112"/>
        <v>112.65463320982484</v>
      </c>
      <c r="AL457">
        <f t="shared" si="113"/>
        <v>107.7286052818752</v>
      </c>
      <c r="AM457">
        <f t="shared" si="114"/>
        <v>95.100394718124804</v>
      </c>
    </row>
    <row r="458" spans="1:39" ht="16.5" x14ac:dyDescent="0.25">
      <c r="A458" s="1">
        <v>45044</v>
      </c>
      <c r="B458" s="5">
        <v>101.44</v>
      </c>
      <c r="C458" s="4">
        <v>101.3</v>
      </c>
      <c r="D458" s="4">
        <v>102.12</v>
      </c>
      <c r="E458" s="4">
        <v>98.2</v>
      </c>
      <c r="F458" s="4" t="s">
        <v>58</v>
      </c>
      <c r="G458" s="2" t="s">
        <v>690</v>
      </c>
      <c r="I458">
        <f t="shared" si="101"/>
        <v>101.4195</v>
      </c>
      <c r="J458">
        <f t="shared" si="102"/>
        <v>99.753999999999991</v>
      </c>
      <c r="L458">
        <f t="shared" si="103"/>
        <v>1</v>
      </c>
      <c r="M458">
        <f t="shared" si="104"/>
        <v>0</v>
      </c>
      <c r="O458">
        <f t="shared" si="105"/>
        <v>0.14000000000000057</v>
      </c>
      <c r="P458">
        <f t="shared" si="106"/>
        <v>0</v>
      </c>
      <c r="R458">
        <f t="shared" si="107"/>
        <v>0.61875000000000036</v>
      </c>
      <c r="S458">
        <f t="shared" si="108"/>
        <v>0.9400000000000025</v>
      </c>
      <c r="U458">
        <f t="shared" si="109"/>
        <v>39.695268644747344</v>
      </c>
      <c r="AH458">
        <f t="shared" si="110"/>
        <v>3.129940393439461</v>
      </c>
      <c r="AI458">
        <f t="shared" si="111"/>
        <v>90.179366790175166</v>
      </c>
      <c r="AJ458">
        <f t="shared" si="112"/>
        <v>112.65963320982483</v>
      </c>
      <c r="AL458">
        <f t="shared" si="113"/>
        <v>107.67938078687892</v>
      </c>
      <c r="AM458">
        <f t="shared" si="114"/>
        <v>95.159619213121076</v>
      </c>
    </row>
    <row r="459" spans="1:39" ht="16.5" x14ac:dyDescent="0.25">
      <c r="A459" s="1">
        <v>45043</v>
      </c>
      <c r="B459" s="5">
        <v>100.64</v>
      </c>
      <c r="C459" s="4">
        <v>101.02</v>
      </c>
      <c r="D459" s="4">
        <v>102.56</v>
      </c>
      <c r="E459" s="4">
        <v>100.52</v>
      </c>
      <c r="F459" s="4" t="s">
        <v>691</v>
      </c>
      <c r="G459" s="2" t="s">
        <v>497</v>
      </c>
      <c r="I459">
        <f t="shared" si="101"/>
        <v>101.29400000000001</v>
      </c>
      <c r="J459">
        <f t="shared" si="102"/>
        <v>99.701500000000024</v>
      </c>
      <c r="L459">
        <f t="shared" si="103"/>
        <v>0</v>
      </c>
      <c r="M459">
        <f t="shared" si="104"/>
        <v>1</v>
      </c>
      <c r="O459">
        <f t="shared" si="105"/>
        <v>0</v>
      </c>
      <c r="P459">
        <f t="shared" si="106"/>
        <v>0.37999999999999545</v>
      </c>
      <c r="R459">
        <f t="shared" si="107"/>
        <v>0.61625000000000085</v>
      </c>
      <c r="S459">
        <f t="shared" si="108"/>
        <v>0.9400000000000025</v>
      </c>
      <c r="U459">
        <f t="shared" si="109"/>
        <v>39.598393574297155</v>
      </c>
      <c r="AH459">
        <f t="shared" si="110"/>
        <v>3.1003834925293288</v>
      </c>
      <c r="AI459">
        <f t="shared" si="111"/>
        <v>90.053866790175178</v>
      </c>
      <c r="AJ459">
        <f t="shared" si="112"/>
        <v>112.53413320982484</v>
      </c>
      <c r="AL459">
        <f t="shared" si="113"/>
        <v>107.49476698505867</v>
      </c>
      <c r="AM459">
        <f t="shared" si="114"/>
        <v>95.093233014941347</v>
      </c>
    </row>
    <row r="460" spans="1:39" ht="16.5" x14ac:dyDescent="0.25">
      <c r="A460" s="1">
        <v>45042</v>
      </c>
      <c r="B460" s="5">
        <v>101</v>
      </c>
      <c r="C460" s="4">
        <v>101.62</v>
      </c>
      <c r="D460" s="4">
        <v>101.7</v>
      </c>
      <c r="E460" s="4">
        <v>100.26</v>
      </c>
      <c r="F460" s="4" t="s">
        <v>692</v>
      </c>
      <c r="G460" s="2" t="s">
        <v>693</v>
      </c>
      <c r="I460">
        <f t="shared" si="101"/>
        <v>101.2015</v>
      </c>
      <c r="J460">
        <f t="shared" si="102"/>
        <v>99.629249999999999</v>
      </c>
      <c r="L460">
        <f t="shared" si="103"/>
        <v>0</v>
      </c>
      <c r="M460">
        <f t="shared" si="104"/>
        <v>1</v>
      </c>
      <c r="O460">
        <f t="shared" si="105"/>
        <v>0</v>
      </c>
      <c r="P460">
        <f t="shared" si="106"/>
        <v>0.62000000000000455</v>
      </c>
      <c r="R460">
        <f t="shared" si="107"/>
        <v>0.61625000000000085</v>
      </c>
      <c r="S460">
        <f t="shared" si="108"/>
        <v>1.278333333333336</v>
      </c>
      <c r="U460">
        <f t="shared" si="109"/>
        <v>32.526940840114349</v>
      </c>
      <c r="AH460">
        <f t="shared" si="110"/>
        <v>3.0710257659770268</v>
      </c>
      <c r="AI460">
        <f t="shared" si="111"/>
        <v>89.961366790175163</v>
      </c>
      <c r="AJ460">
        <f t="shared" si="112"/>
        <v>112.44163320982483</v>
      </c>
      <c r="AL460">
        <f t="shared" si="113"/>
        <v>107.34355153195405</v>
      </c>
      <c r="AM460">
        <f t="shared" si="114"/>
        <v>95.059448468045943</v>
      </c>
    </row>
    <row r="461" spans="1:39" ht="16.5" x14ac:dyDescent="0.25">
      <c r="A461" s="1">
        <v>45041</v>
      </c>
      <c r="B461" s="5">
        <v>101.44</v>
      </c>
      <c r="C461" s="4">
        <v>101.3</v>
      </c>
      <c r="D461" s="4">
        <v>102.02</v>
      </c>
      <c r="E461" s="4">
        <v>100.96</v>
      </c>
      <c r="F461" s="4" t="s">
        <v>694</v>
      </c>
      <c r="G461" s="2" t="s">
        <v>399</v>
      </c>
      <c r="I461">
        <f t="shared" si="101"/>
        <v>101.084</v>
      </c>
      <c r="J461">
        <f t="shared" si="102"/>
        <v>99.558250000000001</v>
      </c>
      <c r="L461">
        <f t="shared" si="103"/>
        <v>1</v>
      </c>
      <c r="M461">
        <f t="shared" si="104"/>
        <v>0</v>
      </c>
      <c r="O461">
        <f t="shared" si="105"/>
        <v>0.14000000000000057</v>
      </c>
      <c r="P461">
        <f t="shared" si="106"/>
        <v>0</v>
      </c>
      <c r="R461">
        <f t="shared" si="107"/>
        <v>0.56555555555555592</v>
      </c>
      <c r="S461">
        <f t="shared" si="108"/>
        <v>1.4100000000000024</v>
      </c>
      <c r="U461">
        <f t="shared" si="109"/>
        <v>28.627671541057353</v>
      </c>
      <c r="AH461">
        <f t="shared" si="110"/>
        <v>3.0411496815792884</v>
      </c>
      <c r="AI461">
        <f t="shared" si="111"/>
        <v>89.84386679017517</v>
      </c>
      <c r="AJ461">
        <f t="shared" si="112"/>
        <v>112.32413320982484</v>
      </c>
      <c r="AL461">
        <f t="shared" si="113"/>
        <v>107.16629936315859</v>
      </c>
      <c r="AM461">
        <f t="shared" si="114"/>
        <v>95.00170063684142</v>
      </c>
    </row>
    <row r="462" spans="1:39" ht="16.5" x14ac:dyDescent="0.25">
      <c r="A462" s="1">
        <v>45040</v>
      </c>
      <c r="B462" s="5">
        <v>101.16</v>
      </c>
      <c r="C462" s="4">
        <v>100.66</v>
      </c>
      <c r="D462" s="4">
        <v>101.64</v>
      </c>
      <c r="E462" s="4">
        <v>100.28</v>
      </c>
      <c r="F462" s="4" t="s">
        <v>695</v>
      </c>
      <c r="G462" s="2" t="s">
        <v>696</v>
      </c>
      <c r="I462">
        <f t="shared" si="101"/>
        <v>100.9</v>
      </c>
      <c r="J462">
        <f t="shared" si="102"/>
        <v>99.451999999999998</v>
      </c>
      <c r="L462">
        <f t="shared" si="103"/>
        <v>1</v>
      </c>
      <c r="M462">
        <f t="shared" si="104"/>
        <v>0</v>
      </c>
      <c r="O462">
        <f t="shared" si="105"/>
        <v>0.5</v>
      </c>
      <c r="P462">
        <f t="shared" si="106"/>
        <v>0</v>
      </c>
      <c r="R462">
        <f t="shared" si="107"/>
        <v>0.61875000000000036</v>
      </c>
      <c r="S462">
        <f t="shared" si="108"/>
        <v>1.2183333333333362</v>
      </c>
      <c r="U462">
        <f t="shared" si="109"/>
        <v>33.681106826944841</v>
      </c>
      <c r="AH462">
        <f t="shared" si="110"/>
        <v>3.0112748788024368</v>
      </c>
      <c r="AI462">
        <f t="shared" si="111"/>
        <v>89.659866790175172</v>
      </c>
      <c r="AJ462">
        <f t="shared" si="112"/>
        <v>112.14013320982484</v>
      </c>
      <c r="AL462">
        <f t="shared" si="113"/>
        <v>106.92254975760488</v>
      </c>
      <c r="AM462">
        <f t="shared" si="114"/>
        <v>94.877450242395128</v>
      </c>
    </row>
    <row r="463" spans="1:39" ht="16.5" x14ac:dyDescent="0.25">
      <c r="A463" s="1">
        <v>45037</v>
      </c>
      <c r="B463" s="5">
        <v>100.6</v>
      </c>
      <c r="C463" s="4">
        <v>100.52</v>
      </c>
      <c r="D463" s="4">
        <v>101.26</v>
      </c>
      <c r="E463" s="4">
        <v>99.38</v>
      </c>
      <c r="F463" s="4" t="s">
        <v>373</v>
      </c>
      <c r="G463" s="2" t="s">
        <v>697</v>
      </c>
      <c r="I463">
        <f t="shared" si="101"/>
        <v>100.7835</v>
      </c>
      <c r="J463">
        <f t="shared" si="102"/>
        <v>99.41425000000001</v>
      </c>
      <c r="L463">
        <f t="shared" si="103"/>
        <v>1</v>
      </c>
      <c r="M463">
        <f t="shared" si="104"/>
        <v>0</v>
      </c>
      <c r="O463">
        <f t="shared" si="105"/>
        <v>7.9999999999998295E-2</v>
      </c>
      <c r="P463">
        <f t="shared" si="106"/>
        <v>0</v>
      </c>
      <c r="R463">
        <f t="shared" si="107"/>
        <v>0.63571428571428612</v>
      </c>
      <c r="S463">
        <f t="shared" si="108"/>
        <v>1.0528571428571456</v>
      </c>
      <c r="U463">
        <f t="shared" si="109"/>
        <v>37.648054145516021</v>
      </c>
      <c r="AH463">
        <f t="shared" si="110"/>
        <v>2.982892585450585</v>
      </c>
      <c r="AI463">
        <f t="shared" si="111"/>
        <v>89.54336679017517</v>
      </c>
      <c r="AJ463">
        <f t="shared" si="112"/>
        <v>112.02363320982484</v>
      </c>
      <c r="AL463">
        <f t="shared" si="113"/>
        <v>106.74928517090117</v>
      </c>
      <c r="AM463">
        <f t="shared" si="114"/>
        <v>94.817714829098833</v>
      </c>
    </row>
    <row r="464" spans="1:39" ht="16.5" x14ac:dyDescent="0.25">
      <c r="A464" s="1">
        <v>45036</v>
      </c>
      <c r="B464" s="5">
        <v>100.02</v>
      </c>
      <c r="C464" s="4">
        <v>103.4</v>
      </c>
      <c r="D464" s="4">
        <v>103.4</v>
      </c>
      <c r="E464" s="4">
        <v>98.94</v>
      </c>
      <c r="F464" s="4" t="s">
        <v>698</v>
      </c>
      <c r="G464" s="2" t="s">
        <v>699</v>
      </c>
      <c r="I464">
        <f t="shared" si="101"/>
        <v>100.66350000000001</v>
      </c>
      <c r="J464">
        <f t="shared" si="102"/>
        <v>99.36</v>
      </c>
      <c r="L464">
        <f t="shared" si="103"/>
        <v>0</v>
      </c>
      <c r="M464">
        <f t="shared" si="104"/>
        <v>1</v>
      </c>
      <c r="O464">
        <f t="shared" si="105"/>
        <v>0</v>
      </c>
      <c r="P464">
        <f t="shared" si="106"/>
        <v>3.3800000000000097</v>
      </c>
      <c r="R464">
        <f t="shared" si="107"/>
        <v>0.84000000000000141</v>
      </c>
      <c r="S464">
        <f t="shared" si="108"/>
        <v>1.0528571428571456</v>
      </c>
      <c r="U464">
        <f t="shared" si="109"/>
        <v>44.377358490566017</v>
      </c>
      <c r="AH464">
        <f t="shared" si="110"/>
        <v>2.9545581214789602</v>
      </c>
      <c r="AI464">
        <f t="shared" si="111"/>
        <v>89.42336679017518</v>
      </c>
      <c r="AJ464">
        <f t="shared" si="112"/>
        <v>111.90363320982485</v>
      </c>
      <c r="AL464">
        <f t="shared" si="113"/>
        <v>106.57261624295793</v>
      </c>
      <c r="AM464">
        <f t="shared" si="114"/>
        <v>94.754383757042092</v>
      </c>
    </row>
    <row r="465" spans="1:39" ht="16.5" x14ac:dyDescent="0.25">
      <c r="A465" s="1">
        <v>45035</v>
      </c>
      <c r="B465" s="5">
        <v>103.78</v>
      </c>
      <c r="C465" s="4">
        <v>103.92</v>
      </c>
      <c r="D465" s="4">
        <v>104.04</v>
      </c>
      <c r="E465" s="4">
        <v>102.88</v>
      </c>
      <c r="F465" s="4" t="s">
        <v>700</v>
      </c>
      <c r="G465" s="2" t="s">
        <v>67</v>
      </c>
      <c r="I465">
        <f t="shared" si="101"/>
        <v>100.52950000000001</v>
      </c>
      <c r="J465">
        <f t="shared" si="102"/>
        <v>99.326999999999998</v>
      </c>
      <c r="L465">
        <f t="shared" si="103"/>
        <v>0</v>
      </c>
      <c r="M465">
        <f t="shared" si="104"/>
        <v>1</v>
      </c>
      <c r="O465">
        <f t="shared" si="105"/>
        <v>0</v>
      </c>
      <c r="P465">
        <f t="shared" si="106"/>
        <v>0.14000000000000057</v>
      </c>
      <c r="R465">
        <f t="shared" si="107"/>
        <v>0.76375000000000171</v>
      </c>
      <c r="S465">
        <f t="shared" si="108"/>
        <v>0.66500000000000148</v>
      </c>
      <c r="U465">
        <f t="shared" si="109"/>
        <v>53.45581802274716</v>
      </c>
      <c r="AH465">
        <f t="shared" si="110"/>
        <v>2.9263495203128294</v>
      </c>
      <c r="AI465">
        <f t="shared" si="111"/>
        <v>89.28936679017518</v>
      </c>
      <c r="AJ465">
        <f t="shared" si="112"/>
        <v>111.76963320982485</v>
      </c>
      <c r="AL465">
        <f t="shared" si="113"/>
        <v>106.38219904062566</v>
      </c>
      <c r="AM465">
        <f t="shared" si="114"/>
        <v>94.676800959374361</v>
      </c>
    </row>
    <row r="466" spans="1:39" ht="16.5" x14ac:dyDescent="0.25">
      <c r="A466" s="1">
        <v>45034</v>
      </c>
      <c r="B466" s="5">
        <v>104.1</v>
      </c>
      <c r="C466" s="4">
        <v>103.5</v>
      </c>
      <c r="D466" s="4">
        <v>104.34</v>
      </c>
      <c r="E466" s="4">
        <v>103.1</v>
      </c>
      <c r="F466" s="4" t="s">
        <v>701</v>
      </c>
      <c r="G466" s="2" t="s">
        <v>702</v>
      </c>
      <c r="I466">
        <f t="shared" si="101"/>
        <v>100.12100000000001</v>
      </c>
      <c r="J466">
        <f t="shared" si="102"/>
        <v>99.224249999999998</v>
      </c>
      <c r="L466">
        <f t="shared" si="103"/>
        <v>1</v>
      </c>
      <c r="M466">
        <f t="shared" si="104"/>
        <v>0</v>
      </c>
      <c r="O466">
        <f t="shared" si="105"/>
        <v>0.59999999999999432</v>
      </c>
      <c r="P466">
        <f t="shared" si="106"/>
        <v>0</v>
      </c>
      <c r="R466">
        <f t="shared" si="107"/>
        <v>0.76375000000000171</v>
      </c>
      <c r="S466">
        <f t="shared" si="108"/>
        <v>0.75833333333333286</v>
      </c>
      <c r="U466">
        <f t="shared" si="109"/>
        <v>50.177935943060561</v>
      </c>
      <c r="AH466">
        <f t="shared" si="110"/>
        <v>2.8985934789110934</v>
      </c>
      <c r="AI466">
        <f t="shared" si="111"/>
        <v>88.880866790175176</v>
      </c>
      <c r="AJ466">
        <f t="shared" si="112"/>
        <v>111.36113320982484</v>
      </c>
      <c r="AL466">
        <f t="shared" si="113"/>
        <v>105.9181869578222</v>
      </c>
      <c r="AM466">
        <f t="shared" si="114"/>
        <v>94.323813042177818</v>
      </c>
    </row>
    <row r="467" spans="1:39" ht="16.5" x14ac:dyDescent="0.25">
      <c r="A467" s="1">
        <v>45033</v>
      </c>
      <c r="B467" s="5">
        <v>103.2</v>
      </c>
      <c r="C467" s="4">
        <v>104.06</v>
      </c>
      <c r="D467" s="4">
        <v>104.48</v>
      </c>
      <c r="E467" s="4">
        <v>102.24</v>
      </c>
      <c r="F467" s="4" t="s">
        <v>129</v>
      </c>
      <c r="G467" s="2" t="s">
        <v>93</v>
      </c>
      <c r="I467">
        <f t="shared" si="101"/>
        <v>99.658499999999989</v>
      </c>
      <c r="J467">
        <f t="shared" si="102"/>
        <v>99.115499999999997</v>
      </c>
      <c r="L467">
        <f t="shared" si="103"/>
        <v>0</v>
      </c>
      <c r="M467">
        <f t="shared" si="104"/>
        <v>1</v>
      </c>
      <c r="O467">
        <f t="shared" si="105"/>
        <v>0</v>
      </c>
      <c r="P467">
        <f t="shared" si="106"/>
        <v>0.85999999999999943</v>
      </c>
      <c r="R467">
        <f t="shared" si="107"/>
        <v>0.78714285714285992</v>
      </c>
      <c r="S467">
        <f t="shared" si="108"/>
        <v>0.68285714285714094</v>
      </c>
      <c r="U467">
        <f t="shared" si="109"/>
        <v>53.547133138970032</v>
      </c>
      <c r="AH467">
        <f t="shared" si="110"/>
        <v>2.8774980287521519</v>
      </c>
      <c r="AI467">
        <f t="shared" si="111"/>
        <v>88.418366790175156</v>
      </c>
      <c r="AJ467">
        <f t="shared" si="112"/>
        <v>110.89863320982482</v>
      </c>
      <c r="AL467">
        <f t="shared" si="113"/>
        <v>105.41349605750429</v>
      </c>
      <c r="AM467">
        <f t="shared" si="114"/>
        <v>93.903503942495689</v>
      </c>
    </row>
    <row r="468" spans="1:39" ht="16.5" x14ac:dyDescent="0.25">
      <c r="A468" s="1">
        <v>45030</v>
      </c>
      <c r="B468" s="5">
        <v>103.68</v>
      </c>
      <c r="C468" s="4">
        <v>102.9</v>
      </c>
      <c r="D468" s="4">
        <v>104.18</v>
      </c>
      <c r="E468" s="4">
        <v>102.64</v>
      </c>
      <c r="F468" s="4" t="s">
        <v>703</v>
      </c>
      <c r="G468" s="2" t="s">
        <v>347</v>
      </c>
      <c r="I468">
        <f t="shared" si="101"/>
        <v>99.287000000000006</v>
      </c>
      <c r="J468">
        <f t="shared" si="102"/>
        <v>99.016499999999979</v>
      </c>
      <c r="L468">
        <f t="shared" si="103"/>
        <v>1</v>
      </c>
      <c r="M468">
        <f t="shared" si="104"/>
        <v>0</v>
      </c>
      <c r="O468">
        <f t="shared" si="105"/>
        <v>0.78000000000000114</v>
      </c>
      <c r="P468">
        <f t="shared" si="106"/>
        <v>0</v>
      </c>
      <c r="R468">
        <f t="shared" si="107"/>
        <v>0.78714285714285992</v>
      </c>
      <c r="S468">
        <f t="shared" si="108"/>
        <v>0.68428571428571117</v>
      </c>
      <c r="U468">
        <f t="shared" si="109"/>
        <v>53.495145631068169</v>
      </c>
      <c r="AH468">
        <f t="shared" si="110"/>
        <v>2.8640590516316555</v>
      </c>
      <c r="AI468">
        <f t="shared" si="111"/>
        <v>88.046866790175173</v>
      </c>
      <c r="AJ468">
        <f t="shared" si="112"/>
        <v>110.52713320982484</v>
      </c>
      <c r="AL468">
        <f t="shared" si="113"/>
        <v>105.01511810326332</v>
      </c>
      <c r="AM468">
        <f t="shared" si="114"/>
        <v>93.558881896736693</v>
      </c>
    </row>
    <row r="469" spans="1:39" ht="16.5" x14ac:dyDescent="0.25">
      <c r="A469" s="1">
        <v>45029</v>
      </c>
      <c r="B469" s="5">
        <v>102.32</v>
      </c>
      <c r="C469" s="4">
        <v>102.58</v>
      </c>
      <c r="D469" s="4">
        <v>103.22</v>
      </c>
      <c r="E469" s="4">
        <v>101.82</v>
      </c>
      <c r="F469" s="4" t="s">
        <v>704</v>
      </c>
      <c r="G469" s="2" t="s">
        <v>258</v>
      </c>
      <c r="I469">
        <f t="shared" si="101"/>
        <v>98.837500000000006</v>
      </c>
      <c r="J469">
        <f t="shared" si="102"/>
        <v>98.903999999999982</v>
      </c>
      <c r="L469">
        <f t="shared" si="103"/>
        <v>0</v>
      </c>
      <c r="M469">
        <f t="shared" si="104"/>
        <v>1</v>
      </c>
      <c r="O469">
        <f t="shared" si="105"/>
        <v>0</v>
      </c>
      <c r="P469">
        <f t="shared" si="106"/>
        <v>0.26000000000000512</v>
      </c>
      <c r="R469">
        <f t="shared" si="107"/>
        <v>0.76571428571428768</v>
      </c>
      <c r="S469">
        <f t="shared" si="108"/>
        <v>0.68428571428571117</v>
      </c>
      <c r="U469">
        <f t="shared" si="109"/>
        <v>52.807881773399188</v>
      </c>
      <c r="AH469">
        <f t="shared" si="110"/>
        <v>2.8562780431703696</v>
      </c>
      <c r="AI469">
        <f t="shared" si="111"/>
        <v>87.597366790175172</v>
      </c>
      <c r="AJ469">
        <f t="shared" si="112"/>
        <v>110.07763320982484</v>
      </c>
      <c r="AL469">
        <f t="shared" si="113"/>
        <v>104.55005608634075</v>
      </c>
      <c r="AM469">
        <f t="shared" si="114"/>
        <v>93.124943913659266</v>
      </c>
    </row>
    <row r="470" spans="1:39" ht="16.5" x14ac:dyDescent="0.25">
      <c r="A470" s="1">
        <v>45028</v>
      </c>
      <c r="B470" s="5">
        <v>102.68</v>
      </c>
      <c r="C470" s="4">
        <v>101.2</v>
      </c>
      <c r="D470" s="4">
        <v>103.48</v>
      </c>
      <c r="E470" s="4">
        <v>101.14</v>
      </c>
      <c r="F470" s="4" t="s">
        <v>31</v>
      </c>
      <c r="G470" s="2" t="s">
        <v>657</v>
      </c>
      <c r="I470">
        <f t="shared" si="101"/>
        <v>98.501499999999993</v>
      </c>
      <c r="J470">
        <f t="shared" si="102"/>
        <v>98.78949999999999</v>
      </c>
      <c r="L470">
        <f t="shared" si="103"/>
        <v>1</v>
      </c>
      <c r="M470">
        <f t="shared" si="104"/>
        <v>0</v>
      </c>
      <c r="O470">
        <f t="shared" si="105"/>
        <v>1.480000000000004</v>
      </c>
      <c r="P470">
        <f t="shared" si="106"/>
        <v>0</v>
      </c>
      <c r="R470">
        <f t="shared" si="107"/>
        <v>0.77125000000000199</v>
      </c>
      <c r="S470">
        <f t="shared" si="108"/>
        <v>0.75499999999999545</v>
      </c>
      <c r="U470">
        <f t="shared" si="109"/>
        <v>50.532350532350748</v>
      </c>
      <c r="AH470">
        <f t="shared" si="110"/>
        <v>2.8552901989580448</v>
      </c>
      <c r="AI470">
        <f t="shared" si="111"/>
        <v>87.26136679017516</v>
      </c>
      <c r="AJ470">
        <f t="shared" si="112"/>
        <v>109.74163320982483</v>
      </c>
      <c r="AL470">
        <f t="shared" si="113"/>
        <v>104.21208039791608</v>
      </c>
      <c r="AM470">
        <f t="shared" si="114"/>
        <v>92.790919602083903</v>
      </c>
    </row>
    <row r="471" spans="1:39" ht="16.5" x14ac:dyDescent="0.25">
      <c r="A471" s="1">
        <v>45027</v>
      </c>
      <c r="B471" s="5">
        <v>100.92</v>
      </c>
      <c r="C471" s="4">
        <v>99.69</v>
      </c>
      <c r="D471" s="4">
        <v>101.06</v>
      </c>
      <c r="E471" s="4">
        <v>99.69</v>
      </c>
      <c r="F471" s="4" t="s">
        <v>56</v>
      </c>
      <c r="G471" s="2" t="s">
        <v>705</v>
      </c>
      <c r="I471">
        <f t="shared" si="101"/>
        <v>98.099500000000006</v>
      </c>
      <c r="J471">
        <f t="shared" si="102"/>
        <v>98.662749999999988</v>
      </c>
      <c r="L471">
        <f t="shared" si="103"/>
        <v>1</v>
      </c>
      <c r="M471">
        <f t="shared" si="104"/>
        <v>0</v>
      </c>
      <c r="O471">
        <f t="shared" si="105"/>
        <v>1.230000000000004</v>
      </c>
      <c r="P471">
        <f t="shared" si="106"/>
        <v>0</v>
      </c>
      <c r="R471">
        <f t="shared" si="107"/>
        <v>0.64125000000000121</v>
      </c>
      <c r="S471">
        <f t="shared" si="108"/>
        <v>0.75499999999999545</v>
      </c>
      <c r="U471">
        <f t="shared" si="109"/>
        <v>45.926589077887392</v>
      </c>
      <c r="AH471">
        <f t="shared" si="110"/>
        <v>2.8589132390618683</v>
      </c>
      <c r="AI471">
        <f t="shared" si="111"/>
        <v>86.859366790175173</v>
      </c>
      <c r="AJ471">
        <f t="shared" si="112"/>
        <v>109.33963320982484</v>
      </c>
      <c r="AL471">
        <f t="shared" si="113"/>
        <v>103.81732647812375</v>
      </c>
      <c r="AM471">
        <f t="shared" si="114"/>
        <v>92.381673521876266</v>
      </c>
    </row>
    <row r="472" spans="1:39" ht="16.5" x14ac:dyDescent="0.25">
      <c r="A472" s="1">
        <v>45022</v>
      </c>
      <c r="B472" s="5">
        <v>98.62</v>
      </c>
      <c r="C472" s="4">
        <v>98.5</v>
      </c>
      <c r="D472" s="4">
        <v>99.1</v>
      </c>
      <c r="E472" s="4">
        <v>97.73</v>
      </c>
      <c r="F472" s="4" t="s">
        <v>129</v>
      </c>
      <c r="G472" s="2" t="s">
        <v>370</v>
      </c>
      <c r="I472">
        <f t="shared" si="101"/>
        <v>97.97</v>
      </c>
      <c r="J472">
        <f t="shared" si="102"/>
        <v>98.583999999999975</v>
      </c>
      <c r="L472">
        <f t="shared" si="103"/>
        <v>1</v>
      </c>
      <c r="M472">
        <f t="shared" si="104"/>
        <v>0</v>
      </c>
      <c r="O472">
        <f t="shared" si="105"/>
        <v>0.12000000000000455</v>
      </c>
      <c r="P472">
        <f t="shared" si="106"/>
        <v>0</v>
      </c>
      <c r="R472">
        <f t="shared" si="107"/>
        <v>0.58250000000000135</v>
      </c>
      <c r="S472">
        <f t="shared" si="108"/>
        <v>0.75499999999999545</v>
      </c>
      <c r="U472">
        <f t="shared" si="109"/>
        <v>43.551401869159086</v>
      </c>
      <c r="AH472">
        <f t="shared" si="110"/>
        <v>2.8678061284970933</v>
      </c>
      <c r="AI472">
        <f t="shared" si="111"/>
        <v>86.729866790175166</v>
      </c>
      <c r="AJ472">
        <f t="shared" si="112"/>
        <v>109.21013320982483</v>
      </c>
      <c r="AL472">
        <f t="shared" si="113"/>
        <v>103.70561225699419</v>
      </c>
      <c r="AM472">
        <f t="shared" si="114"/>
        <v>92.234387743005811</v>
      </c>
    </row>
    <row r="473" spans="1:39" ht="16.5" x14ac:dyDescent="0.25">
      <c r="A473" s="1">
        <v>45021</v>
      </c>
      <c r="B473" s="5">
        <v>99.09</v>
      </c>
      <c r="C473" s="4">
        <v>101.5</v>
      </c>
      <c r="D473" s="4">
        <v>101.8</v>
      </c>
      <c r="E473" s="4">
        <v>98.72</v>
      </c>
      <c r="F473" s="4" t="s">
        <v>111</v>
      </c>
      <c r="G473" s="2" t="s">
        <v>318</v>
      </c>
      <c r="I473">
        <f t="shared" si="101"/>
        <v>98.015499999999989</v>
      </c>
      <c r="J473">
        <f t="shared" si="102"/>
        <v>98.604999999999976</v>
      </c>
      <c r="L473">
        <f t="shared" si="103"/>
        <v>0</v>
      </c>
      <c r="M473">
        <f t="shared" si="104"/>
        <v>1</v>
      </c>
      <c r="O473">
        <f t="shared" si="105"/>
        <v>0</v>
      </c>
      <c r="P473">
        <f t="shared" si="106"/>
        <v>2.4099999999999966</v>
      </c>
      <c r="R473">
        <f t="shared" si="107"/>
        <v>0.64857142857142946</v>
      </c>
      <c r="S473">
        <f t="shared" si="108"/>
        <v>0.7771428571428548</v>
      </c>
      <c r="U473">
        <f t="shared" si="109"/>
        <v>45.490981963927965</v>
      </c>
      <c r="AH473">
        <f t="shared" si="110"/>
        <v>2.8781876000140505</v>
      </c>
      <c r="AI473">
        <f t="shared" si="111"/>
        <v>86.775366790175156</v>
      </c>
      <c r="AJ473">
        <f t="shared" si="112"/>
        <v>109.25563320982482</v>
      </c>
      <c r="AL473">
        <f t="shared" si="113"/>
        <v>103.77187520002809</v>
      </c>
      <c r="AM473">
        <f t="shared" si="114"/>
        <v>92.259124799971886</v>
      </c>
    </row>
    <row r="474" spans="1:39" ht="16.5" x14ac:dyDescent="0.25">
      <c r="A474" s="1">
        <v>45020</v>
      </c>
      <c r="B474" s="5">
        <v>101.34</v>
      </c>
      <c r="C474" s="4">
        <v>101.18</v>
      </c>
      <c r="D474" s="4">
        <v>102.88</v>
      </c>
      <c r="E474" s="4">
        <v>101.18</v>
      </c>
      <c r="F474" s="4" t="s">
        <v>31</v>
      </c>
      <c r="G474" s="2" t="s">
        <v>706</v>
      </c>
      <c r="I474">
        <f t="shared" si="101"/>
        <v>98.108999999999995</v>
      </c>
      <c r="J474">
        <f t="shared" si="102"/>
        <v>98.566999999999979</v>
      </c>
      <c r="L474">
        <f t="shared" si="103"/>
        <v>1</v>
      </c>
      <c r="M474">
        <f t="shared" si="104"/>
        <v>0</v>
      </c>
      <c r="O474">
        <f t="shared" si="105"/>
        <v>0.15999999999999659</v>
      </c>
      <c r="P474">
        <f t="shared" si="106"/>
        <v>0</v>
      </c>
      <c r="R474">
        <f t="shared" si="107"/>
        <v>0.64857142857142946</v>
      </c>
      <c r="S474">
        <f t="shared" si="108"/>
        <v>0.50142857142857011</v>
      </c>
      <c r="U474">
        <f t="shared" si="109"/>
        <v>56.397515527950418</v>
      </c>
      <c r="AH474">
        <f t="shared" si="110"/>
        <v>2.8878014183899965</v>
      </c>
      <c r="AI474">
        <f t="shared" si="111"/>
        <v>86.868866790175161</v>
      </c>
      <c r="AJ474">
        <f t="shared" si="112"/>
        <v>109.34913320982483</v>
      </c>
      <c r="AL474">
        <f t="shared" si="113"/>
        <v>103.88460283677999</v>
      </c>
      <c r="AM474">
        <f t="shared" si="114"/>
        <v>92.333397163219999</v>
      </c>
    </row>
    <row r="475" spans="1:39" ht="16.5" x14ac:dyDescent="0.25">
      <c r="A475" s="1">
        <v>45019</v>
      </c>
      <c r="B475" s="5">
        <v>100.74</v>
      </c>
      <c r="C475" s="4">
        <v>101</v>
      </c>
      <c r="D475" s="4">
        <v>101.56</v>
      </c>
      <c r="E475" s="4">
        <v>100.62</v>
      </c>
      <c r="F475" s="4" t="s">
        <v>707</v>
      </c>
      <c r="G475" s="2" t="s">
        <v>321</v>
      </c>
      <c r="I475">
        <f t="shared" si="101"/>
        <v>98.091999999999999</v>
      </c>
      <c r="J475">
        <f t="shared" si="102"/>
        <v>98.468499999999977</v>
      </c>
      <c r="L475">
        <f t="shared" si="103"/>
        <v>0</v>
      </c>
      <c r="M475">
        <f t="shared" si="104"/>
        <v>1</v>
      </c>
      <c r="O475">
        <f t="shared" si="105"/>
        <v>0</v>
      </c>
      <c r="P475">
        <f t="shared" si="106"/>
        <v>0.26000000000000512</v>
      </c>
      <c r="R475">
        <f t="shared" si="107"/>
        <v>0.73000000000000165</v>
      </c>
      <c r="S475">
        <f t="shared" si="108"/>
        <v>0.61624999999999908</v>
      </c>
      <c r="U475">
        <f t="shared" si="109"/>
        <v>54.224698235840393</v>
      </c>
      <c r="AH475">
        <f t="shared" si="110"/>
        <v>2.8958549353039134</v>
      </c>
      <c r="AI475">
        <f t="shared" si="111"/>
        <v>86.851866790175166</v>
      </c>
      <c r="AJ475">
        <f t="shared" si="112"/>
        <v>109.33213320982483</v>
      </c>
      <c r="AL475">
        <f t="shared" si="113"/>
        <v>103.88370987060783</v>
      </c>
      <c r="AM475">
        <f t="shared" si="114"/>
        <v>92.300290129392167</v>
      </c>
    </row>
    <row r="476" spans="1:39" ht="16.5" x14ac:dyDescent="0.25">
      <c r="A476" s="1">
        <v>45016</v>
      </c>
      <c r="B476" s="5">
        <v>100.94</v>
      </c>
      <c r="C476" s="4">
        <v>101</v>
      </c>
      <c r="D476" s="4">
        <v>101.24</v>
      </c>
      <c r="E476" s="4">
        <v>100.3</v>
      </c>
      <c r="F476" s="4" t="s">
        <v>269</v>
      </c>
      <c r="G476" s="2" t="s">
        <v>450</v>
      </c>
      <c r="I476">
        <f t="shared" si="101"/>
        <v>98.128000000000014</v>
      </c>
      <c r="J476">
        <f t="shared" si="102"/>
        <v>98.376499999999993</v>
      </c>
      <c r="L476">
        <f t="shared" si="103"/>
        <v>0</v>
      </c>
      <c r="M476">
        <f t="shared" si="104"/>
        <v>1</v>
      </c>
      <c r="O476">
        <f t="shared" si="105"/>
        <v>0</v>
      </c>
      <c r="P476">
        <f t="shared" si="106"/>
        <v>6.0000000000002274E-2</v>
      </c>
      <c r="R476">
        <f t="shared" si="107"/>
        <v>0.76142857142857123</v>
      </c>
      <c r="S476">
        <f t="shared" si="108"/>
        <v>0.66714285714285537</v>
      </c>
      <c r="U476">
        <f t="shared" si="109"/>
        <v>53.300000000000061</v>
      </c>
      <c r="AH476">
        <f t="shared" si="110"/>
        <v>2.9038141792015519</v>
      </c>
      <c r="AI476">
        <f t="shared" si="111"/>
        <v>86.887866790175181</v>
      </c>
      <c r="AJ476">
        <f t="shared" si="112"/>
        <v>109.36813320982485</v>
      </c>
      <c r="AL476">
        <f t="shared" si="113"/>
        <v>103.93562835840312</v>
      </c>
      <c r="AM476">
        <f t="shared" si="114"/>
        <v>92.320371641596907</v>
      </c>
    </row>
    <row r="477" spans="1:39" ht="16.5" x14ac:dyDescent="0.25">
      <c r="A477" s="1">
        <v>45015</v>
      </c>
      <c r="B477" s="5">
        <v>100.68</v>
      </c>
      <c r="C477" s="4">
        <v>99.17</v>
      </c>
      <c r="D477" s="4">
        <v>100.8</v>
      </c>
      <c r="E477" s="4">
        <v>99.14</v>
      </c>
      <c r="F477" s="4" t="s">
        <v>708</v>
      </c>
      <c r="G477" s="2" t="s">
        <v>709</v>
      </c>
      <c r="I477">
        <f t="shared" si="101"/>
        <v>98.155000000000015</v>
      </c>
      <c r="J477">
        <f t="shared" si="102"/>
        <v>98.29249999999999</v>
      </c>
      <c r="L477">
        <f t="shared" si="103"/>
        <v>1</v>
      </c>
      <c r="M477">
        <f t="shared" si="104"/>
        <v>0</v>
      </c>
      <c r="O477">
        <f t="shared" si="105"/>
        <v>1.5100000000000051</v>
      </c>
      <c r="P477">
        <f t="shared" si="106"/>
        <v>0</v>
      </c>
      <c r="R477">
        <f t="shared" si="107"/>
        <v>0.76142857142857123</v>
      </c>
      <c r="S477">
        <f t="shared" si="108"/>
        <v>1.1157142857142841</v>
      </c>
      <c r="U477">
        <f t="shared" si="109"/>
        <v>40.563165905631692</v>
      </c>
      <c r="AH477">
        <f t="shared" si="110"/>
        <v>2.9108329058303877</v>
      </c>
      <c r="AI477">
        <f t="shared" si="111"/>
        <v>86.914866790175182</v>
      </c>
      <c r="AJ477">
        <f t="shared" si="112"/>
        <v>109.39513320982485</v>
      </c>
      <c r="AL477">
        <f t="shared" si="113"/>
        <v>103.97666581166079</v>
      </c>
      <c r="AM477">
        <f t="shared" si="114"/>
        <v>92.333334188339236</v>
      </c>
    </row>
    <row r="478" spans="1:39" ht="16.5" x14ac:dyDescent="0.25">
      <c r="A478" s="1">
        <v>45014</v>
      </c>
      <c r="B478" s="5">
        <v>98.93</v>
      </c>
      <c r="C478" s="4">
        <v>98.7</v>
      </c>
      <c r="D478" s="4">
        <v>99.13</v>
      </c>
      <c r="E478" s="4">
        <v>97.63</v>
      </c>
      <c r="F478" s="4" t="s">
        <v>710</v>
      </c>
      <c r="G478" s="2" t="s">
        <v>438</v>
      </c>
      <c r="I478">
        <f t="shared" si="101"/>
        <v>98.088499999999996</v>
      </c>
      <c r="J478">
        <f t="shared" si="102"/>
        <v>98.220249999999993</v>
      </c>
      <c r="L478">
        <f t="shared" si="103"/>
        <v>1</v>
      </c>
      <c r="M478">
        <f t="shared" si="104"/>
        <v>0</v>
      </c>
      <c r="O478">
        <f t="shared" si="105"/>
        <v>0.23000000000000398</v>
      </c>
      <c r="P478">
        <f t="shared" si="106"/>
        <v>0</v>
      </c>
      <c r="R478">
        <f t="shared" si="107"/>
        <v>0.87285714285714078</v>
      </c>
      <c r="S478">
        <f t="shared" si="108"/>
        <v>1.1157142857142841</v>
      </c>
      <c r="U478">
        <f t="shared" si="109"/>
        <v>43.893678160919521</v>
      </c>
      <c r="AH478">
        <f t="shared" si="110"/>
        <v>2.9169394113660183</v>
      </c>
      <c r="AI478">
        <f t="shared" si="111"/>
        <v>86.848366790175163</v>
      </c>
      <c r="AJ478">
        <f t="shared" si="112"/>
        <v>109.32863320982483</v>
      </c>
      <c r="AL478">
        <f t="shared" si="113"/>
        <v>103.92237882273203</v>
      </c>
      <c r="AM478">
        <f t="shared" si="114"/>
        <v>92.254621177267964</v>
      </c>
    </row>
    <row r="479" spans="1:39" ht="16.5" x14ac:dyDescent="0.25">
      <c r="A479" s="1">
        <v>45013</v>
      </c>
      <c r="B479" s="5">
        <v>98.79</v>
      </c>
      <c r="C479" s="4">
        <v>99.49</v>
      </c>
      <c r="D479" s="4">
        <v>99.84</v>
      </c>
      <c r="E479" s="4">
        <v>98.58</v>
      </c>
      <c r="F479" s="4" t="s">
        <v>711</v>
      </c>
      <c r="G479" s="2" t="s">
        <v>438</v>
      </c>
      <c r="I479">
        <f t="shared" si="101"/>
        <v>98.108999999999995</v>
      </c>
      <c r="J479">
        <f t="shared" si="102"/>
        <v>98.128749999999982</v>
      </c>
      <c r="L479">
        <f t="shared" si="103"/>
        <v>0</v>
      </c>
      <c r="M479">
        <f t="shared" si="104"/>
        <v>1</v>
      </c>
      <c r="O479">
        <f t="shared" si="105"/>
        <v>0</v>
      </c>
      <c r="P479">
        <f t="shared" si="106"/>
        <v>0.69999999999998863</v>
      </c>
      <c r="R479">
        <f t="shared" si="107"/>
        <v>0.97999999999999687</v>
      </c>
      <c r="S479">
        <f t="shared" si="108"/>
        <v>1.3074999999999992</v>
      </c>
      <c r="U479">
        <f t="shared" si="109"/>
        <v>42.841530054644743</v>
      </c>
      <c r="AH479">
        <f t="shared" si="110"/>
        <v>2.9235943368494244</v>
      </c>
      <c r="AI479">
        <f t="shared" si="111"/>
        <v>86.868866790175161</v>
      </c>
      <c r="AJ479">
        <f t="shared" si="112"/>
        <v>109.34913320982483</v>
      </c>
      <c r="AL479">
        <f t="shared" si="113"/>
        <v>103.95618867369885</v>
      </c>
      <c r="AM479">
        <f t="shared" si="114"/>
        <v>92.261811326301142</v>
      </c>
    </row>
    <row r="480" spans="1:39" ht="16.5" x14ac:dyDescent="0.25">
      <c r="A480" s="1">
        <v>45012</v>
      </c>
      <c r="B480" s="5">
        <v>98.65</v>
      </c>
      <c r="C480" s="4">
        <v>98.88</v>
      </c>
      <c r="D480" s="4">
        <v>99.47</v>
      </c>
      <c r="E480" s="4">
        <v>97.82</v>
      </c>
      <c r="F480" s="4" t="s">
        <v>712</v>
      </c>
      <c r="G480" s="2" t="s">
        <v>249</v>
      </c>
      <c r="I480">
        <f t="shared" si="101"/>
        <v>98.056999999999988</v>
      </c>
      <c r="J480">
        <f t="shared" si="102"/>
        <v>97.989749999999987</v>
      </c>
      <c r="L480">
        <f t="shared" si="103"/>
        <v>0</v>
      </c>
      <c r="M480">
        <f t="shared" si="104"/>
        <v>1</v>
      </c>
      <c r="O480">
        <f t="shared" si="105"/>
        <v>0</v>
      </c>
      <c r="P480">
        <f t="shared" si="106"/>
        <v>0.22999999999998977</v>
      </c>
      <c r="R480">
        <f t="shared" si="107"/>
        <v>0.86857142857142422</v>
      </c>
      <c r="S480">
        <f t="shared" si="108"/>
        <v>1.394285714285715</v>
      </c>
      <c r="U480">
        <f t="shared" si="109"/>
        <v>38.38383838383826</v>
      </c>
      <c r="AH480">
        <f t="shared" si="110"/>
        <v>2.9293378863498423</v>
      </c>
      <c r="AI480">
        <f t="shared" si="111"/>
        <v>86.816866790175155</v>
      </c>
      <c r="AJ480">
        <f t="shared" si="112"/>
        <v>109.29713320982482</v>
      </c>
      <c r="AL480">
        <f t="shared" si="113"/>
        <v>103.91567577269967</v>
      </c>
      <c r="AM480">
        <f t="shared" si="114"/>
        <v>92.198324227300304</v>
      </c>
    </row>
    <row r="481" spans="1:39" ht="16.5" x14ac:dyDescent="0.25">
      <c r="A481" s="1">
        <v>45009</v>
      </c>
      <c r="B481" s="5">
        <v>97.76</v>
      </c>
      <c r="C481" s="4">
        <v>98.63</v>
      </c>
      <c r="D481" s="4">
        <v>98.63</v>
      </c>
      <c r="E481" s="4">
        <v>96.28</v>
      </c>
      <c r="F481" s="4" t="s">
        <v>113</v>
      </c>
      <c r="G481" s="2" t="s">
        <v>264</v>
      </c>
      <c r="I481">
        <f t="shared" si="101"/>
        <v>98.032499999999999</v>
      </c>
      <c r="J481">
        <f t="shared" si="102"/>
        <v>97.810499999999976</v>
      </c>
      <c r="L481">
        <f t="shared" si="103"/>
        <v>0</v>
      </c>
      <c r="M481">
        <f t="shared" si="104"/>
        <v>1</v>
      </c>
      <c r="O481">
        <f t="shared" si="105"/>
        <v>0</v>
      </c>
      <c r="P481">
        <f t="shared" si="106"/>
        <v>0.86999999999999034</v>
      </c>
      <c r="R481">
        <f t="shared" si="107"/>
        <v>0.86857142857142422</v>
      </c>
      <c r="S481">
        <f t="shared" si="108"/>
        <v>1.4185714285714315</v>
      </c>
      <c r="U481">
        <f t="shared" si="109"/>
        <v>37.976264834478286</v>
      </c>
      <c r="AH481">
        <f t="shared" si="110"/>
        <v>2.9353439529949057</v>
      </c>
      <c r="AI481">
        <f t="shared" si="111"/>
        <v>86.792366790175166</v>
      </c>
      <c r="AJ481">
        <f t="shared" si="112"/>
        <v>109.27263320982483</v>
      </c>
      <c r="AL481">
        <f t="shared" si="113"/>
        <v>103.90318790598981</v>
      </c>
      <c r="AM481">
        <f t="shared" si="114"/>
        <v>92.161812094010187</v>
      </c>
    </row>
    <row r="482" spans="1:39" ht="16.5" x14ac:dyDescent="0.25">
      <c r="A482" s="1">
        <v>45008</v>
      </c>
      <c r="B482" s="5">
        <v>98.83</v>
      </c>
      <c r="C482" s="4">
        <v>98.2</v>
      </c>
      <c r="D482" s="4">
        <v>99.04</v>
      </c>
      <c r="E482" s="4">
        <v>96.88</v>
      </c>
      <c r="F482" s="4" t="s">
        <v>713</v>
      </c>
      <c r="G482" s="2" t="s">
        <v>678</v>
      </c>
      <c r="I482">
        <f t="shared" si="101"/>
        <v>98.004000000000005</v>
      </c>
      <c r="J482">
        <f t="shared" si="102"/>
        <v>97.689999999999984</v>
      </c>
      <c r="L482">
        <f t="shared" si="103"/>
        <v>1</v>
      </c>
      <c r="M482">
        <f t="shared" si="104"/>
        <v>0</v>
      </c>
      <c r="O482">
        <f t="shared" si="105"/>
        <v>0.62999999999999545</v>
      </c>
      <c r="P482">
        <f t="shared" si="106"/>
        <v>0</v>
      </c>
      <c r="R482">
        <f t="shared" si="107"/>
        <v>0.76499999999999524</v>
      </c>
      <c r="S482">
        <f t="shared" si="108"/>
        <v>1.5100000000000051</v>
      </c>
      <c r="U482">
        <f t="shared" si="109"/>
        <v>33.626373626373407</v>
      </c>
      <c r="AH482">
        <f t="shared" si="110"/>
        <v>2.941117275152842</v>
      </c>
      <c r="AI482">
        <f t="shared" si="111"/>
        <v>86.763866790175172</v>
      </c>
      <c r="AJ482">
        <f t="shared" si="112"/>
        <v>109.24413320982484</v>
      </c>
      <c r="AL482">
        <f t="shared" si="113"/>
        <v>103.88623455030569</v>
      </c>
      <c r="AM482">
        <f t="shared" si="114"/>
        <v>92.121765449694323</v>
      </c>
    </row>
    <row r="483" spans="1:39" ht="16.5" x14ac:dyDescent="0.25">
      <c r="A483" s="1">
        <v>45007</v>
      </c>
      <c r="B483" s="5">
        <v>98.2</v>
      </c>
      <c r="C483" s="4">
        <v>97.39</v>
      </c>
      <c r="D483" s="4">
        <v>98.98</v>
      </c>
      <c r="E483" s="4">
        <v>97.25</v>
      </c>
      <c r="F483" s="4" t="s">
        <v>714</v>
      </c>
      <c r="G483" s="2" t="s">
        <v>715</v>
      </c>
      <c r="I483">
        <f t="shared" si="101"/>
        <v>98.045000000000002</v>
      </c>
      <c r="J483">
        <f t="shared" si="102"/>
        <v>97.527999999999992</v>
      </c>
      <c r="L483">
        <f t="shared" si="103"/>
        <v>1</v>
      </c>
      <c r="M483">
        <f t="shared" si="104"/>
        <v>0</v>
      </c>
      <c r="O483">
        <f t="shared" si="105"/>
        <v>0.81000000000000227</v>
      </c>
      <c r="P483">
        <f t="shared" si="106"/>
        <v>0</v>
      </c>
      <c r="R483">
        <f t="shared" si="107"/>
        <v>0.93374999999999631</v>
      </c>
      <c r="S483">
        <f t="shared" si="108"/>
        <v>1.5100000000000051</v>
      </c>
      <c r="U483">
        <f t="shared" si="109"/>
        <v>38.209718670076548</v>
      </c>
      <c r="AH483">
        <f t="shared" si="110"/>
        <v>2.9466876635116925</v>
      </c>
      <c r="AI483">
        <f t="shared" si="111"/>
        <v>86.804866790175168</v>
      </c>
      <c r="AJ483">
        <f t="shared" si="112"/>
        <v>109.28513320982483</v>
      </c>
      <c r="AL483">
        <f t="shared" si="113"/>
        <v>103.93837532702338</v>
      </c>
      <c r="AM483">
        <f t="shared" si="114"/>
        <v>92.151624672976624</v>
      </c>
    </row>
    <row r="484" spans="1:39" ht="16.5" x14ac:dyDescent="0.25">
      <c r="A484" s="1">
        <v>45006</v>
      </c>
      <c r="B484" s="5">
        <v>97.34</v>
      </c>
      <c r="C484" s="4">
        <v>96.9</v>
      </c>
      <c r="D484" s="4">
        <v>97.8</v>
      </c>
      <c r="E484" s="4">
        <v>96.73</v>
      </c>
      <c r="F484" s="4" t="s">
        <v>716</v>
      </c>
      <c r="G484" s="2" t="s">
        <v>279</v>
      </c>
      <c r="I484">
        <f t="shared" si="101"/>
        <v>98.0565</v>
      </c>
      <c r="J484">
        <f t="shared" si="102"/>
        <v>97.367749999999987</v>
      </c>
      <c r="L484">
        <f t="shared" si="103"/>
        <v>1</v>
      </c>
      <c r="M484">
        <f t="shared" si="104"/>
        <v>0</v>
      </c>
      <c r="O484">
        <f t="shared" si="105"/>
        <v>0.43999999999999773</v>
      </c>
      <c r="P484">
        <f t="shared" si="106"/>
        <v>0</v>
      </c>
      <c r="R484">
        <f t="shared" si="107"/>
        <v>0.88999999999999524</v>
      </c>
      <c r="S484">
        <f t="shared" si="108"/>
        <v>1.5100000000000051</v>
      </c>
      <c r="U484">
        <f t="shared" si="109"/>
        <v>37.08333333333313</v>
      </c>
      <c r="AH484">
        <f t="shared" si="110"/>
        <v>2.9506668839436565</v>
      </c>
      <c r="AI484">
        <f t="shared" si="111"/>
        <v>86.816366790175167</v>
      </c>
      <c r="AJ484">
        <f t="shared" si="112"/>
        <v>109.29663320982483</v>
      </c>
      <c r="AL484">
        <f t="shared" si="113"/>
        <v>103.95783376788731</v>
      </c>
      <c r="AM484">
        <f t="shared" si="114"/>
        <v>92.155166232112691</v>
      </c>
    </row>
    <row r="485" spans="1:39" ht="16.5" x14ac:dyDescent="0.25">
      <c r="A485" s="1">
        <v>45005</v>
      </c>
      <c r="B485" s="5">
        <v>95.61</v>
      </c>
      <c r="C485" s="4">
        <v>94.85</v>
      </c>
      <c r="D485" s="4">
        <v>96.13</v>
      </c>
      <c r="E485" s="4">
        <v>92.37</v>
      </c>
      <c r="F485" s="4" t="s">
        <v>60</v>
      </c>
      <c r="G485" s="2" t="s">
        <v>717</v>
      </c>
      <c r="I485">
        <f t="shared" si="101"/>
        <v>98.124500000000012</v>
      </c>
      <c r="J485">
        <f t="shared" si="102"/>
        <v>97.228999999999999</v>
      </c>
      <c r="L485">
        <f t="shared" si="103"/>
        <v>1</v>
      </c>
      <c r="M485">
        <f t="shared" si="104"/>
        <v>0</v>
      </c>
      <c r="O485">
        <f t="shared" si="105"/>
        <v>0.76000000000000512</v>
      </c>
      <c r="P485">
        <f t="shared" si="106"/>
        <v>0</v>
      </c>
      <c r="R485">
        <f t="shared" si="107"/>
        <v>0.96624999999999517</v>
      </c>
      <c r="S485">
        <f t="shared" si="108"/>
        <v>1.5100000000000051</v>
      </c>
      <c r="U485">
        <f t="shared" si="109"/>
        <v>39.020696617869568</v>
      </c>
      <c r="AH485">
        <f t="shared" si="110"/>
        <v>2.9534406024220137</v>
      </c>
      <c r="AI485">
        <f t="shared" si="111"/>
        <v>86.884366790175179</v>
      </c>
      <c r="AJ485">
        <f t="shared" si="112"/>
        <v>109.36463320982485</v>
      </c>
      <c r="AL485">
        <f t="shared" si="113"/>
        <v>104.03138120484404</v>
      </c>
      <c r="AM485">
        <f t="shared" si="114"/>
        <v>92.217618795155985</v>
      </c>
    </row>
    <row r="486" spans="1:39" ht="16.5" x14ac:dyDescent="0.25">
      <c r="A486" s="1">
        <v>45002</v>
      </c>
      <c r="B486" s="5">
        <v>94.85</v>
      </c>
      <c r="C486" s="4">
        <v>95.76</v>
      </c>
      <c r="D486" s="4">
        <v>97.31</v>
      </c>
      <c r="E486" s="4">
        <v>93.83</v>
      </c>
      <c r="F486" s="4" t="s">
        <v>718</v>
      </c>
      <c r="G486" s="2" t="s">
        <v>719</v>
      </c>
      <c r="I486">
        <f t="shared" si="101"/>
        <v>98.327500000000015</v>
      </c>
      <c r="J486">
        <f t="shared" si="102"/>
        <v>97.126999999999995</v>
      </c>
      <c r="L486">
        <f t="shared" si="103"/>
        <v>0</v>
      </c>
      <c r="M486">
        <f t="shared" si="104"/>
        <v>1</v>
      </c>
      <c r="O486">
        <f t="shared" si="105"/>
        <v>0</v>
      </c>
      <c r="P486">
        <f t="shared" si="106"/>
        <v>0.9100000000000108</v>
      </c>
      <c r="R486">
        <f t="shared" si="107"/>
        <v>0.99571428571427945</v>
      </c>
      <c r="S486">
        <f t="shared" si="108"/>
        <v>1.3228571428571476</v>
      </c>
      <c r="U486">
        <f t="shared" si="109"/>
        <v>42.945163277880233</v>
      </c>
      <c r="AH486">
        <f t="shared" si="110"/>
        <v>2.9536182024165947</v>
      </c>
      <c r="AI486">
        <f t="shared" si="111"/>
        <v>87.087366790175182</v>
      </c>
      <c r="AJ486">
        <f t="shared" si="112"/>
        <v>109.56763320982485</v>
      </c>
      <c r="AL486">
        <f t="shared" si="113"/>
        <v>104.2347364048332</v>
      </c>
      <c r="AM486">
        <f t="shared" si="114"/>
        <v>92.42026359516683</v>
      </c>
    </row>
    <row r="487" spans="1:39" ht="16.5" x14ac:dyDescent="0.25">
      <c r="A487" s="1">
        <v>45001</v>
      </c>
      <c r="B487" s="5">
        <v>95.77</v>
      </c>
      <c r="C487" s="4">
        <v>96.25</v>
      </c>
      <c r="D487" s="4">
        <v>96.45</v>
      </c>
      <c r="E487" s="4">
        <v>93.91</v>
      </c>
      <c r="F487" s="4" t="s">
        <v>99</v>
      </c>
      <c r="G487" s="2" t="s">
        <v>71</v>
      </c>
      <c r="I487">
        <f t="shared" si="101"/>
        <v>98.572500000000019</v>
      </c>
      <c r="J487">
        <f t="shared" si="102"/>
        <v>97.004999999999995</v>
      </c>
      <c r="L487">
        <f t="shared" si="103"/>
        <v>0</v>
      </c>
      <c r="M487">
        <f t="shared" si="104"/>
        <v>1</v>
      </c>
      <c r="O487">
        <f t="shared" si="105"/>
        <v>0</v>
      </c>
      <c r="P487">
        <f t="shared" si="106"/>
        <v>0.48000000000000398</v>
      </c>
      <c r="R487">
        <f t="shared" si="107"/>
        <v>0.99571428571427945</v>
      </c>
      <c r="S487">
        <f t="shared" si="108"/>
        <v>1.2185714285714329</v>
      </c>
      <c r="U487">
        <f t="shared" si="109"/>
        <v>44.967741935483623</v>
      </c>
      <c r="AH487">
        <f t="shared" si="110"/>
        <v>2.9475755398236503</v>
      </c>
      <c r="AI487">
        <f t="shared" si="111"/>
        <v>87.332366790175186</v>
      </c>
      <c r="AJ487">
        <f t="shared" si="112"/>
        <v>109.81263320982485</v>
      </c>
      <c r="AL487">
        <f t="shared" si="113"/>
        <v>104.46765107964733</v>
      </c>
      <c r="AM487">
        <f t="shared" si="114"/>
        <v>92.677348920352713</v>
      </c>
    </row>
    <row r="488" spans="1:39" ht="16.5" x14ac:dyDescent="0.25">
      <c r="A488" s="1">
        <v>45000</v>
      </c>
      <c r="B488" s="5">
        <v>94.69</v>
      </c>
      <c r="C488" s="4">
        <v>96.11</v>
      </c>
      <c r="D488" s="4">
        <v>97.2</v>
      </c>
      <c r="E488" s="4">
        <v>92.54</v>
      </c>
      <c r="F488" s="4" t="s">
        <v>720</v>
      </c>
      <c r="G488" s="2" t="s">
        <v>721</v>
      </c>
      <c r="I488">
        <f t="shared" si="101"/>
        <v>98.746000000000024</v>
      </c>
      <c r="J488">
        <f t="shared" si="102"/>
        <v>96.861250000000013</v>
      </c>
      <c r="L488">
        <f t="shared" si="103"/>
        <v>0</v>
      </c>
      <c r="M488">
        <f t="shared" si="104"/>
        <v>1</v>
      </c>
      <c r="O488">
        <f t="shared" si="105"/>
        <v>0</v>
      </c>
      <c r="P488">
        <f t="shared" si="106"/>
        <v>1.4200000000000017</v>
      </c>
      <c r="R488">
        <f t="shared" si="107"/>
        <v>0.99571428571427945</v>
      </c>
      <c r="S488">
        <f t="shared" si="108"/>
        <v>1.5314285714285754</v>
      </c>
      <c r="U488">
        <f t="shared" si="109"/>
        <v>39.400791407574687</v>
      </c>
      <c r="AH488">
        <f t="shared" si="110"/>
        <v>2.9329359876813283</v>
      </c>
      <c r="AI488">
        <f t="shared" si="111"/>
        <v>87.50586679017519</v>
      </c>
      <c r="AJ488">
        <f t="shared" si="112"/>
        <v>109.98613320982486</v>
      </c>
      <c r="AL488">
        <f t="shared" si="113"/>
        <v>104.61187197536267</v>
      </c>
      <c r="AM488">
        <f t="shared" si="114"/>
        <v>92.880128024637372</v>
      </c>
    </row>
    <row r="489" spans="1:39" ht="16.5" x14ac:dyDescent="0.25">
      <c r="A489" s="1">
        <v>44999</v>
      </c>
      <c r="B489" s="5">
        <v>95.6</v>
      </c>
      <c r="C489" s="4">
        <v>94.65</v>
      </c>
      <c r="D489" s="4">
        <v>95.87</v>
      </c>
      <c r="E489" s="4">
        <v>93.3</v>
      </c>
      <c r="F489" s="4" t="s">
        <v>193</v>
      </c>
      <c r="G489" s="2" t="s">
        <v>524</v>
      </c>
      <c r="I489">
        <f t="shared" si="101"/>
        <v>98.97050000000003</v>
      </c>
      <c r="J489">
        <f t="shared" si="102"/>
        <v>96.779750000000007</v>
      </c>
      <c r="L489">
        <f t="shared" si="103"/>
        <v>1</v>
      </c>
      <c r="M489">
        <f t="shared" si="104"/>
        <v>0</v>
      </c>
      <c r="O489">
        <f t="shared" si="105"/>
        <v>0.94999999999998863</v>
      </c>
      <c r="P489">
        <f t="shared" si="106"/>
        <v>0</v>
      </c>
      <c r="R489">
        <f t="shared" si="107"/>
        <v>0.98874999999999602</v>
      </c>
      <c r="S489">
        <f t="shared" si="108"/>
        <v>1.5500000000000043</v>
      </c>
      <c r="U489">
        <f t="shared" si="109"/>
        <v>38.946331856228305</v>
      </c>
      <c r="AH489">
        <f t="shared" si="110"/>
        <v>2.9100934003190608</v>
      </c>
      <c r="AI489">
        <f t="shared" si="111"/>
        <v>87.730366790175196</v>
      </c>
      <c r="AJ489">
        <f t="shared" si="112"/>
        <v>110.21063320982486</v>
      </c>
      <c r="AL489">
        <f t="shared" si="113"/>
        <v>104.79068680063816</v>
      </c>
      <c r="AM489">
        <f t="shared" si="114"/>
        <v>93.150313199361904</v>
      </c>
    </row>
    <row r="490" spans="1:39" ht="16.5" x14ac:dyDescent="0.25">
      <c r="A490" s="1">
        <v>44998</v>
      </c>
      <c r="B490" s="5">
        <v>94.64</v>
      </c>
      <c r="C490" s="4">
        <v>97.84</v>
      </c>
      <c r="D490" s="4">
        <v>98.08</v>
      </c>
      <c r="E490" s="4">
        <v>93.77</v>
      </c>
      <c r="F490" s="4" t="s">
        <v>722</v>
      </c>
      <c r="G490" s="2" t="s">
        <v>723</v>
      </c>
      <c r="I490">
        <f t="shared" si="101"/>
        <v>99.077500000000015</v>
      </c>
      <c r="J490">
        <f t="shared" si="102"/>
        <v>96.689250000000001</v>
      </c>
      <c r="L490">
        <f t="shared" si="103"/>
        <v>0</v>
      </c>
      <c r="M490">
        <f t="shared" si="104"/>
        <v>1</v>
      </c>
      <c r="O490">
        <f t="shared" si="105"/>
        <v>0</v>
      </c>
      <c r="P490">
        <f t="shared" si="106"/>
        <v>3.2000000000000028</v>
      </c>
      <c r="R490">
        <f t="shared" si="107"/>
        <v>0.88624999999999865</v>
      </c>
      <c r="S490">
        <f t="shared" si="108"/>
        <v>1.5500000000000043</v>
      </c>
      <c r="U490">
        <f t="shared" si="109"/>
        <v>36.37762955361714</v>
      </c>
      <c r="AH490">
        <f t="shared" si="110"/>
        <v>2.8757283995914866</v>
      </c>
      <c r="AI490">
        <f t="shared" si="111"/>
        <v>87.837366790175182</v>
      </c>
      <c r="AJ490">
        <f t="shared" si="112"/>
        <v>110.31763320982485</v>
      </c>
      <c r="AL490">
        <f t="shared" si="113"/>
        <v>104.82895679918299</v>
      </c>
      <c r="AM490">
        <f t="shared" si="114"/>
        <v>93.32604320081704</v>
      </c>
    </row>
    <row r="491" spans="1:39" ht="16.5" x14ac:dyDescent="0.25">
      <c r="A491" s="1">
        <v>44995</v>
      </c>
      <c r="B491" s="5">
        <v>98.33</v>
      </c>
      <c r="C491" s="4">
        <v>96.04</v>
      </c>
      <c r="D491" s="4">
        <v>98.33</v>
      </c>
      <c r="E491" s="4">
        <v>96</v>
      </c>
      <c r="F491" s="4" t="s">
        <v>724</v>
      </c>
      <c r="G491" s="2" t="s">
        <v>725</v>
      </c>
      <c r="I491">
        <f t="shared" si="101"/>
        <v>99.226000000000013</v>
      </c>
      <c r="J491">
        <f t="shared" si="102"/>
        <v>96.619250000000008</v>
      </c>
      <c r="L491">
        <f t="shared" si="103"/>
        <v>1</v>
      </c>
      <c r="M491">
        <f t="shared" si="104"/>
        <v>0</v>
      </c>
      <c r="O491">
        <f t="shared" si="105"/>
        <v>2.289999999999992</v>
      </c>
      <c r="P491">
        <f t="shared" si="106"/>
        <v>0</v>
      </c>
      <c r="R491">
        <f t="shared" si="107"/>
        <v>0.88624999999999865</v>
      </c>
      <c r="S491">
        <f t="shared" si="108"/>
        <v>1.1650000000000038</v>
      </c>
      <c r="U491">
        <f t="shared" si="109"/>
        <v>43.205362583790254</v>
      </c>
      <c r="AH491">
        <f t="shared" si="110"/>
        <v>2.8318360186848341</v>
      </c>
      <c r="AI491">
        <f t="shared" si="111"/>
        <v>87.98586679017518</v>
      </c>
      <c r="AJ491">
        <f t="shared" si="112"/>
        <v>110.46613320982485</v>
      </c>
      <c r="AL491">
        <f t="shared" si="113"/>
        <v>104.88967203736968</v>
      </c>
      <c r="AM491">
        <f t="shared" si="114"/>
        <v>93.562327962630349</v>
      </c>
    </row>
    <row r="492" spans="1:39" ht="16.5" x14ac:dyDescent="0.25">
      <c r="A492" s="1">
        <v>44994</v>
      </c>
      <c r="B492" s="5">
        <v>99.53</v>
      </c>
      <c r="C492" s="4">
        <v>102.18</v>
      </c>
      <c r="D492" s="4">
        <v>103.7</v>
      </c>
      <c r="E492" s="4">
        <v>97.25</v>
      </c>
      <c r="F492" s="4" t="s">
        <v>726</v>
      </c>
      <c r="G492" s="2" t="s">
        <v>727</v>
      </c>
      <c r="I492">
        <f t="shared" si="101"/>
        <v>99.198000000000008</v>
      </c>
      <c r="J492">
        <f t="shared" si="102"/>
        <v>96.454499999999996</v>
      </c>
      <c r="L492">
        <f t="shared" si="103"/>
        <v>0</v>
      </c>
      <c r="M492">
        <f t="shared" si="104"/>
        <v>1</v>
      </c>
      <c r="O492">
        <f t="shared" si="105"/>
        <v>0</v>
      </c>
      <c r="P492">
        <f t="shared" si="106"/>
        <v>2.6500000000000057</v>
      </c>
      <c r="R492">
        <f t="shared" si="107"/>
        <v>0.68571428571428528</v>
      </c>
      <c r="S492">
        <f t="shared" si="108"/>
        <v>1.0342857142857176</v>
      </c>
      <c r="U492">
        <f t="shared" si="109"/>
        <v>39.867109634551404</v>
      </c>
      <c r="AH492">
        <f t="shared" si="110"/>
        <v>2.7748758403527072</v>
      </c>
      <c r="AI492">
        <f t="shared" si="111"/>
        <v>87.957866790175174</v>
      </c>
      <c r="AJ492">
        <f t="shared" si="112"/>
        <v>110.43813320982484</v>
      </c>
      <c r="AL492">
        <f t="shared" si="113"/>
        <v>104.74775168070542</v>
      </c>
      <c r="AM492">
        <f t="shared" si="114"/>
        <v>93.648248319294595</v>
      </c>
    </row>
    <row r="493" spans="1:39" ht="16.5" x14ac:dyDescent="0.25">
      <c r="A493" s="1">
        <v>44993</v>
      </c>
      <c r="B493" s="5">
        <v>100.96</v>
      </c>
      <c r="C493" s="4">
        <v>100.76</v>
      </c>
      <c r="D493" s="4">
        <v>101.68</v>
      </c>
      <c r="E493" s="4">
        <v>100.42</v>
      </c>
      <c r="F493" s="4" t="s">
        <v>728</v>
      </c>
      <c r="G493" s="2" t="s">
        <v>729</v>
      </c>
      <c r="I493">
        <f t="shared" si="101"/>
        <v>99.194500000000005</v>
      </c>
      <c r="J493">
        <f t="shared" si="102"/>
        <v>96.296749999999989</v>
      </c>
      <c r="L493">
        <f t="shared" si="103"/>
        <v>1</v>
      </c>
      <c r="M493">
        <f t="shared" si="104"/>
        <v>0</v>
      </c>
      <c r="O493">
        <f t="shared" si="105"/>
        <v>0.19999999999998863</v>
      </c>
      <c r="P493">
        <f t="shared" si="106"/>
        <v>0</v>
      </c>
      <c r="R493">
        <f t="shared" si="107"/>
        <v>0.68125000000000036</v>
      </c>
      <c r="S493">
        <f t="shared" si="108"/>
        <v>0.7650000000000029</v>
      </c>
      <c r="U493">
        <f t="shared" si="109"/>
        <v>47.104580812445896</v>
      </c>
      <c r="AH493">
        <f t="shared" si="110"/>
        <v>2.7100392648699367</v>
      </c>
      <c r="AI493">
        <f t="shared" si="111"/>
        <v>87.954366790175172</v>
      </c>
      <c r="AJ493">
        <f t="shared" si="112"/>
        <v>110.43463320982484</v>
      </c>
      <c r="AL493">
        <f t="shared" si="113"/>
        <v>104.61457852973987</v>
      </c>
      <c r="AM493">
        <f t="shared" si="114"/>
        <v>93.774421470260137</v>
      </c>
    </row>
    <row r="494" spans="1:39" ht="16.5" x14ac:dyDescent="0.25">
      <c r="A494" s="1">
        <v>44992</v>
      </c>
      <c r="B494" s="5">
        <v>101</v>
      </c>
      <c r="C494" s="4">
        <v>101.4</v>
      </c>
      <c r="D494" s="4">
        <v>101.7</v>
      </c>
      <c r="E494" s="4">
        <v>100.8</v>
      </c>
      <c r="F494" s="4" t="s">
        <v>730</v>
      </c>
      <c r="G494" s="2" t="s">
        <v>652</v>
      </c>
      <c r="I494">
        <f t="shared" si="101"/>
        <v>99.025000000000006</v>
      </c>
      <c r="J494">
        <f t="shared" si="102"/>
        <v>96.177179487179473</v>
      </c>
      <c r="L494">
        <f t="shared" si="103"/>
        <v>0</v>
      </c>
      <c r="M494">
        <f t="shared" si="104"/>
        <v>1</v>
      </c>
      <c r="O494">
        <f t="shared" si="105"/>
        <v>0</v>
      </c>
      <c r="P494">
        <f t="shared" si="106"/>
        <v>0.40000000000000568</v>
      </c>
      <c r="R494">
        <f t="shared" si="107"/>
        <v>0.750000000000002</v>
      </c>
      <c r="S494">
        <f t="shared" si="108"/>
        <v>0.70714285714285963</v>
      </c>
      <c r="U494">
        <f t="shared" si="109"/>
        <v>51.470588235294095</v>
      </c>
      <c r="AH494">
        <f t="shared" si="110"/>
        <v>2.6347205632134387</v>
      </c>
      <c r="AI494">
        <f t="shared" si="111"/>
        <v>87.784866790175172</v>
      </c>
      <c r="AJ494">
        <f t="shared" si="112"/>
        <v>110.26513320982484</v>
      </c>
      <c r="AL494">
        <f t="shared" si="113"/>
        <v>104.29444112642689</v>
      </c>
      <c r="AM494">
        <f t="shared" si="114"/>
        <v>93.755558873573122</v>
      </c>
    </row>
    <row r="495" spans="1:39" ht="16.5" x14ac:dyDescent="0.25">
      <c r="A495" s="1">
        <v>44991</v>
      </c>
      <c r="B495" s="5">
        <v>101.46</v>
      </c>
      <c r="C495" s="4">
        <v>101.42</v>
      </c>
      <c r="D495" s="4">
        <v>101.9</v>
      </c>
      <c r="E495" s="4">
        <v>100.96</v>
      </c>
      <c r="F495" s="4" t="s">
        <v>731</v>
      </c>
      <c r="G495" s="2" t="s">
        <v>231</v>
      </c>
      <c r="I495">
        <f t="shared" si="101"/>
        <v>98.844999999999999</v>
      </c>
      <c r="J495">
        <f t="shared" si="102"/>
        <v>96.050263157894719</v>
      </c>
      <c r="L495">
        <f t="shared" si="103"/>
        <v>1</v>
      </c>
      <c r="M495">
        <f t="shared" si="104"/>
        <v>0</v>
      </c>
      <c r="O495">
        <f t="shared" si="105"/>
        <v>3.9999999999992042E-2</v>
      </c>
      <c r="P495">
        <f t="shared" si="106"/>
        <v>0</v>
      </c>
      <c r="R495">
        <f t="shared" si="107"/>
        <v>0.83375000000000199</v>
      </c>
      <c r="S495">
        <f t="shared" si="108"/>
        <v>0.75833333333333519</v>
      </c>
      <c r="U495">
        <f t="shared" si="109"/>
        <v>52.368489924103628</v>
      </c>
      <c r="AH495">
        <f t="shared" si="110"/>
        <v>2.5553359439812779</v>
      </c>
      <c r="AI495">
        <f t="shared" si="111"/>
        <v>87.604866790175166</v>
      </c>
      <c r="AJ495">
        <f t="shared" si="112"/>
        <v>110.08513320982483</v>
      </c>
      <c r="AL495">
        <f t="shared" si="113"/>
        <v>103.95567188796255</v>
      </c>
      <c r="AM495">
        <f t="shared" si="114"/>
        <v>93.734328112037446</v>
      </c>
    </row>
    <row r="496" spans="1:39" ht="16.5" x14ac:dyDescent="0.25">
      <c r="A496" s="1">
        <v>44988</v>
      </c>
      <c r="B496" s="5">
        <v>101.48</v>
      </c>
      <c r="C496" s="4">
        <v>99.5</v>
      </c>
      <c r="D496" s="4">
        <v>102.02</v>
      </c>
      <c r="E496" s="4">
        <v>99.35</v>
      </c>
      <c r="F496" s="4" t="s">
        <v>417</v>
      </c>
      <c r="G496" s="2" t="s">
        <v>732</v>
      </c>
      <c r="I496">
        <f t="shared" si="101"/>
        <v>98.624999999999986</v>
      </c>
      <c r="J496">
        <f t="shared" si="102"/>
        <v>95.904054054054043</v>
      </c>
      <c r="L496">
        <f t="shared" si="103"/>
        <v>1</v>
      </c>
      <c r="M496">
        <f t="shared" si="104"/>
        <v>0</v>
      </c>
      <c r="O496">
        <f t="shared" si="105"/>
        <v>1.980000000000004</v>
      </c>
      <c r="P496">
        <f t="shared" si="106"/>
        <v>0</v>
      </c>
      <c r="R496">
        <f t="shared" si="107"/>
        <v>0.94714285714286051</v>
      </c>
      <c r="S496">
        <f t="shared" si="108"/>
        <v>0.68000000000000271</v>
      </c>
      <c r="U496">
        <f t="shared" si="109"/>
        <v>58.208955223880587</v>
      </c>
      <c r="AH496">
        <f t="shared" si="110"/>
        <v>2.4717630096233996</v>
      </c>
      <c r="AI496">
        <f t="shared" si="111"/>
        <v>87.384866790175153</v>
      </c>
      <c r="AJ496">
        <f t="shared" si="112"/>
        <v>109.86513320982482</v>
      </c>
      <c r="AL496">
        <f t="shared" si="113"/>
        <v>103.56852601924679</v>
      </c>
      <c r="AM496">
        <f t="shared" si="114"/>
        <v>93.681473980753182</v>
      </c>
    </row>
    <row r="497" spans="1:39" ht="16.5" x14ac:dyDescent="0.25">
      <c r="A497" s="1">
        <v>44987</v>
      </c>
      <c r="B497" s="5">
        <v>99.35</v>
      </c>
      <c r="C497" s="4">
        <v>98.89</v>
      </c>
      <c r="D497" s="4">
        <v>99.35</v>
      </c>
      <c r="E497" s="4">
        <v>97.59</v>
      </c>
      <c r="F497" s="4" t="s">
        <v>733</v>
      </c>
      <c r="G497" s="2" t="s">
        <v>734</v>
      </c>
      <c r="I497">
        <f t="shared" si="101"/>
        <v>98.429999999999993</v>
      </c>
      <c r="J497">
        <f t="shared" si="102"/>
        <v>95.749166666666653</v>
      </c>
      <c r="L497">
        <f t="shared" si="103"/>
        <v>1</v>
      </c>
      <c r="M497">
        <f t="shared" si="104"/>
        <v>0</v>
      </c>
      <c r="O497">
        <f t="shared" si="105"/>
        <v>0.45999999999999375</v>
      </c>
      <c r="P497">
        <f t="shared" si="106"/>
        <v>0</v>
      </c>
      <c r="R497">
        <f t="shared" si="107"/>
        <v>0.77500000000000335</v>
      </c>
      <c r="S497">
        <f t="shared" si="108"/>
        <v>0.68125000000000213</v>
      </c>
      <c r="U497">
        <f t="shared" si="109"/>
        <v>53.218884120171701</v>
      </c>
      <c r="AH497">
        <f t="shared" si="110"/>
        <v>2.3855009072039541</v>
      </c>
      <c r="AI497">
        <f t="shared" si="111"/>
        <v>87.189866790175159</v>
      </c>
      <c r="AJ497">
        <f t="shared" si="112"/>
        <v>109.67013320982483</v>
      </c>
      <c r="AL497">
        <f t="shared" si="113"/>
        <v>103.2010018144079</v>
      </c>
      <c r="AM497">
        <f t="shared" si="114"/>
        <v>93.658998185592083</v>
      </c>
    </row>
    <row r="498" spans="1:39" ht="16.5" x14ac:dyDescent="0.25">
      <c r="A498" s="1">
        <v>44986</v>
      </c>
      <c r="B498" s="5">
        <v>99.34</v>
      </c>
      <c r="C498" s="4">
        <v>98.29</v>
      </c>
      <c r="D498" s="4">
        <v>100.62</v>
      </c>
      <c r="E498" s="4">
        <v>98.22</v>
      </c>
      <c r="F498" s="4" t="s">
        <v>33</v>
      </c>
      <c r="G498" s="2" t="s">
        <v>672</v>
      </c>
      <c r="I498">
        <f t="shared" si="101"/>
        <v>98.35199999999999</v>
      </c>
      <c r="J498">
        <f t="shared" si="102"/>
        <v>95.646285714285696</v>
      </c>
      <c r="L498">
        <f t="shared" si="103"/>
        <v>1</v>
      </c>
      <c r="M498">
        <f t="shared" si="104"/>
        <v>0</v>
      </c>
      <c r="O498">
        <f t="shared" si="105"/>
        <v>1.0499999999999972</v>
      </c>
      <c r="P498">
        <f t="shared" si="106"/>
        <v>0</v>
      </c>
      <c r="R498">
        <f t="shared" si="107"/>
        <v>0.83800000000000519</v>
      </c>
      <c r="S498">
        <f t="shared" si="108"/>
        <v>0.77111111111111397</v>
      </c>
      <c r="U498">
        <f t="shared" si="109"/>
        <v>52.078442204115518</v>
      </c>
      <c r="AH498">
        <f t="shared" si="110"/>
        <v>2.2946506848214843</v>
      </c>
      <c r="AI498">
        <f t="shared" si="111"/>
        <v>87.111866790175156</v>
      </c>
      <c r="AJ498">
        <f t="shared" si="112"/>
        <v>109.59213320982482</v>
      </c>
      <c r="AL498">
        <f t="shared" si="113"/>
        <v>102.94130136964296</v>
      </c>
      <c r="AM498">
        <f t="shared" si="114"/>
        <v>93.762698630357022</v>
      </c>
    </row>
    <row r="499" spans="1:39" ht="16.5" x14ac:dyDescent="0.25">
      <c r="A499" s="1">
        <v>44985</v>
      </c>
      <c r="B499" s="5">
        <v>97.75</v>
      </c>
      <c r="C499" s="4">
        <v>97.95</v>
      </c>
      <c r="D499" s="4">
        <v>98.74</v>
      </c>
      <c r="E499" s="4">
        <v>97.01</v>
      </c>
      <c r="F499" s="4" t="s">
        <v>735</v>
      </c>
      <c r="G499" s="2" t="s">
        <v>736</v>
      </c>
      <c r="I499">
        <f t="shared" si="101"/>
        <v>98.148499999999984</v>
      </c>
      <c r="J499">
        <f t="shared" si="102"/>
        <v>95.537647058823509</v>
      </c>
      <c r="L499">
        <f t="shared" si="103"/>
        <v>0</v>
      </c>
      <c r="M499">
        <f t="shared" si="104"/>
        <v>1</v>
      </c>
      <c r="O499">
        <f t="shared" si="105"/>
        <v>0</v>
      </c>
      <c r="P499">
        <f t="shared" si="106"/>
        <v>0.20000000000000284</v>
      </c>
      <c r="R499">
        <f t="shared" si="107"/>
        <v>0.90200000000000391</v>
      </c>
      <c r="S499">
        <f t="shared" si="108"/>
        <v>0.77111111111111397</v>
      </c>
      <c r="U499">
        <f t="shared" si="109"/>
        <v>53.911542037455185</v>
      </c>
      <c r="AH499">
        <f t="shared" si="110"/>
        <v>2.1910065065387032</v>
      </c>
      <c r="AI499">
        <f t="shared" si="111"/>
        <v>86.908366790175151</v>
      </c>
      <c r="AJ499">
        <f t="shared" si="112"/>
        <v>109.38863320982482</v>
      </c>
      <c r="AL499">
        <f t="shared" si="113"/>
        <v>102.5305130130774</v>
      </c>
      <c r="AM499">
        <f t="shared" si="114"/>
        <v>93.766486986922573</v>
      </c>
    </row>
    <row r="500" spans="1:39" ht="16.5" x14ac:dyDescent="0.25">
      <c r="A500" s="1">
        <v>44984</v>
      </c>
      <c r="B500" s="5">
        <v>98.16</v>
      </c>
      <c r="C500" s="4">
        <v>98.34</v>
      </c>
      <c r="D500" s="4">
        <v>98.84</v>
      </c>
      <c r="E500" s="4">
        <v>97.85</v>
      </c>
      <c r="F500" s="4" t="s">
        <v>737</v>
      </c>
      <c r="G500" s="2" t="s">
        <v>554</v>
      </c>
      <c r="I500">
        <f t="shared" si="101"/>
        <v>97.922499999999985</v>
      </c>
      <c r="J500">
        <f t="shared" si="102"/>
        <v>95.470606060606045</v>
      </c>
      <c r="L500">
        <f t="shared" si="103"/>
        <v>0</v>
      </c>
      <c r="M500">
        <f t="shared" si="104"/>
        <v>1</v>
      </c>
      <c r="O500">
        <f t="shared" si="105"/>
        <v>0</v>
      </c>
      <c r="P500">
        <f t="shared" si="106"/>
        <v>0.18000000000000682</v>
      </c>
      <c r="R500">
        <f t="shared" si="107"/>
        <v>0.76333333333333542</v>
      </c>
      <c r="S500">
        <f t="shared" si="108"/>
        <v>0.84250000000000291</v>
      </c>
      <c r="U500">
        <f t="shared" si="109"/>
        <v>47.535028541774764</v>
      </c>
      <c r="AH500">
        <f t="shared" si="110"/>
        <v>2.0800319695903715</v>
      </c>
      <c r="AI500">
        <f t="shared" si="111"/>
        <v>86.682366790175152</v>
      </c>
      <c r="AJ500">
        <f t="shared" si="112"/>
        <v>109.16263320982482</v>
      </c>
      <c r="AL500">
        <f t="shared" si="113"/>
        <v>102.08256393918073</v>
      </c>
      <c r="AM500">
        <f t="shared" si="114"/>
        <v>93.76243606081924</v>
      </c>
    </row>
    <row r="501" spans="1:39" ht="16.5" x14ac:dyDescent="0.25">
      <c r="A501" s="1">
        <v>44981</v>
      </c>
      <c r="B501" s="5">
        <v>97.19</v>
      </c>
      <c r="C501" s="4">
        <v>99.86</v>
      </c>
      <c r="D501" s="4">
        <v>99.92</v>
      </c>
      <c r="E501" s="4">
        <v>97.19</v>
      </c>
      <c r="F501" s="4" t="s">
        <v>738</v>
      </c>
      <c r="G501" s="2" t="s">
        <v>739</v>
      </c>
      <c r="I501">
        <f t="shared" si="101"/>
        <v>97.588499999999996</v>
      </c>
      <c r="J501">
        <f t="shared" si="102"/>
        <v>95.386562499999982</v>
      </c>
      <c r="L501">
        <f t="shared" si="103"/>
        <v>0</v>
      </c>
      <c r="M501">
        <f t="shared" si="104"/>
        <v>1</v>
      </c>
      <c r="O501">
        <f t="shared" si="105"/>
        <v>0</v>
      </c>
      <c r="P501">
        <f t="shared" si="106"/>
        <v>2.6700000000000017</v>
      </c>
      <c r="R501">
        <f t="shared" si="107"/>
        <v>0.67428571428571615</v>
      </c>
      <c r="S501">
        <f t="shared" si="108"/>
        <v>0.9371428571428595</v>
      </c>
      <c r="U501">
        <f t="shared" si="109"/>
        <v>41.843971631205683</v>
      </c>
      <c r="AH501">
        <f t="shared" si="110"/>
        <v>1.9616883581458036</v>
      </c>
      <c r="AI501">
        <f t="shared" si="111"/>
        <v>86.348366790175163</v>
      </c>
      <c r="AJ501">
        <f t="shared" si="112"/>
        <v>108.82863320982483</v>
      </c>
      <c r="AL501">
        <f t="shared" si="113"/>
        <v>101.51187671629161</v>
      </c>
      <c r="AM501">
        <f t="shared" si="114"/>
        <v>93.665123283708382</v>
      </c>
    </row>
    <row r="502" spans="1:39" ht="16.5" x14ac:dyDescent="0.25">
      <c r="A502" s="1">
        <v>44980</v>
      </c>
      <c r="B502" s="5">
        <v>99.65</v>
      </c>
      <c r="C502" s="4">
        <v>98.71</v>
      </c>
      <c r="D502" s="4">
        <v>100.04</v>
      </c>
      <c r="E502" s="4">
        <v>98.53</v>
      </c>
      <c r="F502" s="4" t="s">
        <v>740</v>
      </c>
      <c r="G502" s="2" t="s">
        <v>741</v>
      </c>
      <c r="I502">
        <f t="shared" si="101"/>
        <v>97.376000000000005</v>
      </c>
      <c r="J502">
        <f t="shared" si="102"/>
        <v>95.328387096774179</v>
      </c>
      <c r="L502">
        <f t="shared" si="103"/>
        <v>1</v>
      </c>
      <c r="M502">
        <f t="shared" si="104"/>
        <v>0</v>
      </c>
      <c r="O502">
        <f t="shared" si="105"/>
        <v>0.94000000000001194</v>
      </c>
      <c r="P502">
        <f t="shared" si="106"/>
        <v>0</v>
      </c>
      <c r="R502">
        <f t="shared" si="107"/>
        <v>0.67428571428571615</v>
      </c>
      <c r="S502">
        <f t="shared" si="108"/>
        <v>0.56285714285714461</v>
      </c>
      <c r="U502">
        <f t="shared" si="109"/>
        <v>54.50346420323325</v>
      </c>
      <c r="AH502">
        <f t="shared" si="110"/>
        <v>1.842592239943601</v>
      </c>
      <c r="AI502">
        <f t="shared" si="111"/>
        <v>86.135866790175172</v>
      </c>
      <c r="AJ502">
        <f t="shared" si="112"/>
        <v>108.61613320982484</v>
      </c>
      <c r="AL502">
        <f t="shared" si="113"/>
        <v>101.0611844798872</v>
      </c>
      <c r="AM502">
        <f t="shared" si="114"/>
        <v>93.690815520112807</v>
      </c>
    </row>
    <row r="503" spans="1:39" ht="16.5" x14ac:dyDescent="0.25">
      <c r="A503" s="1">
        <v>44979</v>
      </c>
      <c r="B503" s="5">
        <v>98.43</v>
      </c>
      <c r="C503" s="4">
        <v>98.3</v>
      </c>
      <c r="D503" s="4">
        <v>98.75</v>
      </c>
      <c r="E503" s="4">
        <v>97.66</v>
      </c>
      <c r="F503" s="4" t="s">
        <v>742</v>
      </c>
      <c r="G503" s="2" t="s">
        <v>544</v>
      </c>
      <c r="I503">
        <f t="shared" si="101"/>
        <v>97.010999999999996</v>
      </c>
      <c r="J503">
        <f t="shared" si="102"/>
        <v>95.184333333333328</v>
      </c>
      <c r="L503">
        <f t="shared" si="103"/>
        <v>1</v>
      </c>
      <c r="M503">
        <f t="shared" si="104"/>
        <v>0</v>
      </c>
      <c r="O503">
        <f t="shared" si="105"/>
        <v>0.13000000000000966</v>
      </c>
      <c r="P503">
        <f t="shared" si="106"/>
        <v>0</v>
      </c>
      <c r="R503">
        <f t="shared" si="107"/>
        <v>0.60999999999999943</v>
      </c>
      <c r="S503">
        <f t="shared" si="108"/>
        <v>0.56285714285714461</v>
      </c>
      <c r="U503">
        <f t="shared" si="109"/>
        <v>52.009744214372624</v>
      </c>
      <c r="AH503">
        <f t="shared" si="110"/>
        <v>1.7127104718829713</v>
      </c>
      <c r="AI503">
        <f t="shared" si="111"/>
        <v>85.770866790175162</v>
      </c>
      <c r="AJ503">
        <f t="shared" si="112"/>
        <v>108.25113320982483</v>
      </c>
      <c r="AL503">
        <f t="shared" si="113"/>
        <v>100.43642094376594</v>
      </c>
      <c r="AM503">
        <f t="shared" si="114"/>
        <v>93.585579056234053</v>
      </c>
    </row>
    <row r="504" spans="1:39" ht="16.5" x14ac:dyDescent="0.25">
      <c r="A504" s="1">
        <v>44978</v>
      </c>
      <c r="B504" s="5">
        <v>98.7</v>
      </c>
      <c r="C504" s="4">
        <v>99.59</v>
      </c>
      <c r="D504" s="4">
        <v>99.67</v>
      </c>
      <c r="E504" s="4">
        <v>97.97</v>
      </c>
      <c r="F504" s="4" t="s">
        <v>743</v>
      </c>
      <c r="G504" s="2" t="s">
        <v>429</v>
      </c>
      <c r="I504">
        <f t="shared" si="101"/>
        <v>96.679000000000002</v>
      </c>
      <c r="J504">
        <f t="shared" si="102"/>
        <v>95.072413793103436</v>
      </c>
      <c r="L504">
        <f t="shared" si="103"/>
        <v>0</v>
      </c>
      <c r="M504">
        <f t="shared" si="104"/>
        <v>1</v>
      </c>
      <c r="O504">
        <f t="shared" si="105"/>
        <v>0</v>
      </c>
      <c r="P504">
        <f t="shared" si="106"/>
        <v>0.89000000000000057</v>
      </c>
      <c r="R504">
        <f t="shared" si="107"/>
        <v>0.97857142857142776</v>
      </c>
      <c r="S504">
        <f t="shared" si="108"/>
        <v>0.56285714285714461</v>
      </c>
      <c r="U504">
        <f t="shared" si="109"/>
        <v>63.484708063021223</v>
      </c>
      <c r="AH504">
        <f t="shared" si="110"/>
        <v>1.582619517970423</v>
      </c>
      <c r="AI504">
        <f t="shared" si="111"/>
        <v>85.438866790175169</v>
      </c>
      <c r="AJ504">
        <f t="shared" si="112"/>
        <v>107.91913320982484</v>
      </c>
      <c r="AL504">
        <f t="shared" si="113"/>
        <v>99.844239035940845</v>
      </c>
      <c r="AM504">
        <f t="shared" si="114"/>
        <v>93.513760964059159</v>
      </c>
    </row>
    <row r="505" spans="1:39" ht="16.5" x14ac:dyDescent="0.25">
      <c r="A505" s="1">
        <v>44977</v>
      </c>
      <c r="B505" s="5">
        <v>99.67</v>
      </c>
      <c r="C505" s="4">
        <v>99.92</v>
      </c>
      <c r="D505" s="4">
        <v>100.52</v>
      </c>
      <c r="E505" s="4">
        <v>99.62</v>
      </c>
      <c r="F505" s="4" t="s">
        <v>744</v>
      </c>
      <c r="G505" s="2" t="s">
        <v>513</v>
      </c>
      <c r="I505">
        <f t="shared" si="101"/>
        <v>96.333499999999987</v>
      </c>
      <c r="J505">
        <f t="shared" si="102"/>
        <v>94.942857142857108</v>
      </c>
      <c r="L505">
        <f t="shared" si="103"/>
        <v>0</v>
      </c>
      <c r="M505">
        <f t="shared" si="104"/>
        <v>1</v>
      </c>
      <c r="O505">
        <f t="shared" si="105"/>
        <v>0</v>
      </c>
      <c r="P505">
        <f t="shared" si="106"/>
        <v>0.25</v>
      </c>
      <c r="R505">
        <f t="shared" si="107"/>
        <v>1.0249999999999986</v>
      </c>
      <c r="S505">
        <f t="shared" si="108"/>
        <v>0.50833333333333519</v>
      </c>
      <c r="U505">
        <f t="shared" si="109"/>
        <v>66.847826086956417</v>
      </c>
      <c r="AH505">
        <f t="shared" si="110"/>
        <v>1.449350394922321</v>
      </c>
      <c r="AI505">
        <f t="shared" si="111"/>
        <v>85.093366790175153</v>
      </c>
      <c r="AJ505">
        <f t="shared" si="112"/>
        <v>107.57363320982482</v>
      </c>
      <c r="AL505">
        <f t="shared" si="113"/>
        <v>99.232200789844626</v>
      </c>
      <c r="AM505">
        <f t="shared" si="114"/>
        <v>93.434799210155347</v>
      </c>
    </row>
    <row r="506" spans="1:39" ht="16.5" x14ac:dyDescent="0.25">
      <c r="A506" s="1">
        <v>44974</v>
      </c>
      <c r="B506" s="5">
        <v>99.75</v>
      </c>
      <c r="C506" s="4">
        <v>99.1</v>
      </c>
      <c r="D506" s="4">
        <v>99.91</v>
      </c>
      <c r="E506" s="4">
        <v>98.7</v>
      </c>
      <c r="F506" s="4" t="s">
        <v>95</v>
      </c>
      <c r="G506" s="2" t="s">
        <v>491</v>
      </c>
      <c r="I506">
        <f t="shared" si="101"/>
        <v>95.926500000000004</v>
      </c>
      <c r="J506">
        <f t="shared" si="102"/>
        <v>94.767777777777766</v>
      </c>
      <c r="L506">
        <f t="shared" si="103"/>
        <v>1</v>
      </c>
      <c r="M506">
        <f t="shared" si="104"/>
        <v>0</v>
      </c>
      <c r="O506">
        <f t="shared" si="105"/>
        <v>0.65000000000000568</v>
      </c>
      <c r="P506">
        <f t="shared" si="106"/>
        <v>0</v>
      </c>
      <c r="R506">
        <f t="shared" si="107"/>
        <v>1.099999999999999</v>
      </c>
      <c r="S506">
        <f t="shared" si="108"/>
        <v>0.56000000000000227</v>
      </c>
      <c r="U506">
        <f t="shared" si="109"/>
        <v>66.265060240963749</v>
      </c>
      <c r="AH506">
        <f t="shared" si="110"/>
        <v>1.3134760809247989</v>
      </c>
      <c r="AI506">
        <f t="shared" si="111"/>
        <v>84.686366790175171</v>
      </c>
      <c r="AJ506">
        <f t="shared" si="112"/>
        <v>107.16663320982484</v>
      </c>
      <c r="AL506">
        <f t="shared" si="113"/>
        <v>98.553452161849606</v>
      </c>
      <c r="AM506">
        <f t="shared" si="114"/>
        <v>93.299547838150403</v>
      </c>
    </row>
    <row r="507" spans="1:39" ht="16.5" x14ac:dyDescent="0.25">
      <c r="A507" s="1">
        <v>44973</v>
      </c>
      <c r="B507" s="5">
        <v>99.24</v>
      </c>
      <c r="C507" s="4">
        <v>99.6</v>
      </c>
      <c r="D507" s="4">
        <v>99.97</v>
      </c>
      <c r="E507" s="4">
        <v>98.29</v>
      </c>
      <c r="F507" s="4" t="s">
        <v>745</v>
      </c>
      <c r="G507" s="2" t="s">
        <v>746</v>
      </c>
      <c r="I507">
        <f t="shared" si="101"/>
        <v>95.4375</v>
      </c>
      <c r="J507">
        <f t="shared" si="102"/>
        <v>94.576153846153829</v>
      </c>
      <c r="L507">
        <f t="shared" si="103"/>
        <v>0</v>
      </c>
      <c r="M507">
        <f t="shared" si="104"/>
        <v>1</v>
      </c>
      <c r="O507">
        <f t="shared" si="105"/>
        <v>0</v>
      </c>
      <c r="P507">
        <f t="shared" si="106"/>
        <v>0.35999999999999943</v>
      </c>
      <c r="R507">
        <f t="shared" si="107"/>
        <v>1.0288888888888879</v>
      </c>
      <c r="S507">
        <f t="shared" si="108"/>
        <v>0.56000000000000227</v>
      </c>
      <c r="U507">
        <f t="shared" si="109"/>
        <v>64.755244755244632</v>
      </c>
      <c r="AH507">
        <f t="shared" si="110"/>
        <v>1.1811011671052922</v>
      </c>
      <c r="AI507">
        <f t="shared" si="111"/>
        <v>84.197366790175167</v>
      </c>
      <c r="AJ507">
        <f t="shared" si="112"/>
        <v>106.67763320982483</v>
      </c>
      <c r="AL507">
        <f t="shared" si="113"/>
        <v>97.799702334210579</v>
      </c>
      <c r="AM507">
        <f t="shared" si="114"/>
        <v>93.075297665789421</v>
      </c>
    </row>
    <row r="508" spans="1:39" ht="16.5" x14ac:dyDescent="0.25">
      <c r="A508" s="1">
        <v>44972</v>
      </c>
      <c r="B508" s="5">
        <v>99.18</v>
      </c>
      <c r="C508" s="4">
        <v>97.76</v>
      </c>
      <c r="D508" s="4">
        <v>99.23</v>
      </c>
      <c r="E508" s="4">
        <v>97.63</v>
      </c>
      <c r="F508" s="4" t="s">
        <v>747</v>
      </c>
      <c r="G508" s="2" t="s">
        <v>748</v>
      </c>
      <c r="I508">
        <f t="shared" si="101"/>
        <v>94.976500000000001</v>
      </c>
      <c r="J508">
        <f t="shared" si="102"/>
        <v>94.389599999999987</v>
      </c>
      <c r="L508">
        <f t="shared" si="103"/>
        <v>1</v>
      </c>
      <c r="M508">
        <f t="shared" si="104"/>
        <v>0</v>
      </c>
      <c r="O508">
        <f t="shared" si="105"/>
        <v>1.4200000000000017</v>
      </c>
      <c r="P508">
        <f t="shared" si="106"/>
        <v>0</v>
      </c>
      <c r="R508">
        <f t="shared" si="107"/>
        <v>0.94099999999999828</v>
      </c>
      <c r="S508">
        <f t="shared" si="108"/>
        <v>0.61000000000000298</v>
      </c>
      <c r="U508">
        <f t="shared" si="109"/>
        <v>60.670535138620089</v>
      </c>
      <c r="AH508">
        <f t="shared" si="110"/>
        <v>1.0630473906245186</v>
      </c>
      <c r="AI508">
        <f t="shared" si="111"/>
        <v>83.736366790175168</v>
      </c>
      <c r="AJ508">
        <f t="shared" si="112"/>
        <v>106.21663320982483</v>
      </c>
      <c r="AL508">
        <f t="shared" si="113"/>
        <v>97.102594781249039</v>
      </c>
      <c r="AM508">
        <f t="shared" si="114"/>
        <v>92.850405218750964</v>
      </c>
    </row>
    <row r="509" spans="1:39" ht="16.5" x14ac:dyDescent="0.25">
      <c r="A509" s="1">
        <v>44971</v>
      </c>
      <c r="B509" s="5">
        <v>97.74</v>
      </c>
      <c r="C509" s="4">
        <v>97.95</v>
      </c>
      <c r="D509" s="4">
        <v>98.52</v>
      </c>
      <c r="E509" s="4">
        <v>97.4</v>
      </c>
      <c r="F509" s="4" t="s">
        <v>749</v>
      </c>
      <c r="G509" s="2" t="s">
        <v>323</v>
      </c>
      <c r="I509">
        <f t="shared" si="101"/>
        <v>94.588999999999984</v>
      </c>
      <c r="J509">
        <f t="shared" si="102"/>
        <v>94.189999999999984</v>
      </c>
      <c r="L509">
        <f t="shared" si="103"/>
        <v>0</v>
      </c>
      <c r="M509">
        <f t="shared" si="104"/>
        <v>1</v>
      </c>
      <c r="O509">
        <f t="shared" si="105"/>
        <v>0</v>
      </c>
      <c r="P509">
        <f t="shared" si="106"/>
        <v>0.21000000000000796</v>
      </c>
      <c r="R509">
        <f t="shared" si="107"/>
        <v>0.80799999999999694</v>
      </c>
      <c r="S509">
        <f t="shared" si="108"/>
        <v>0.61000000000000298</v>
      </c>
      <c r="U509">
        <f t="shared" si="109"/>
        <v>56.981664315937728</v>
      </c>
      <c r="AH509">
        <f t="shared" si="110"/>
        <v>0.96070815647371177</v>
      </c>
      <c r="AI509">
        <f t="shared" si="111"/>
        <v>83.348866790175151</v>
      </c>
      <c r="AJ509">
        <f t="shared" si="112"/>
        <v>105.82913320982482</v>
      </c>
      <c r="AL509">
        <f t="shared" si="113"/>
        <v>96.510416312947413</v>
      </c>
      <c r="AM509">
        <f t="shared" si="114"/>
        <v>92.667583687052556</v>
      </c>
    </row>
    <row r="510" spans="1:39" ht="16.5" x14ac:dyDescent="0.25">
      <c r="A510" s="1">
        <v>44970</v>
      </c>
      <c r="B510" s="5">
        <v>97.61</v>
      </c>
      <c r="C510" s="4">
        <v>98.3</v>
      </c>
      <c r="D510" s="4">
        <v>98.83</v>
      </c>
      <c r="E510" s="4">
        <v>97.61</v>
      </c>
      <c r="F510" s="4" t="s">
        <v>750</v>
      </c>
      <c r="G510" s="2" t="s">
        <v>536</v>
      </c>
      <c r="I510">
        <f t="shared" si="101"/>
        <v>94.300999999999988</v>
      </c>
      <c r="J510">
        <f t="shared" si="102"/>
        <v>94.035652173913007</v>
      </c>
      <c r="L510">
        <f t="shared" si="103"/>
        <v>0</v>
      </c>
      <c r="M510">
        <f t="shared" si="104"/>
        <v>1</v>
      </c>
      <c r="O510">
        <f t="shared" si="105"/>
        <v>0</v>
      </c>
      <c r="P510">
        <f t="shared" si="106"/>
        <v>0.68999999999999773</v>
      </c>
      <c r="R510">
        <f t="shared" si="107"/>
        <v>0.75999999999999734</v>
      </c>
      <c r="S510">
        <f t="shared" si="108"/>
        <v>0.74333333333333462</v>
      </c>
      <c r="U510">
        <f t="shared" si="109"/>
        <v>50.554323725055312</v>
      </c>
      <c r="AH510">
        <f t="shared" si="110"/>
        <v>0.87045060578323252</v>
      </c>
      <c r="AI510">
        <f t="shared" si="111"/>
        <v>83.060866790175155</v>
      </c>
      <c r="AJ510">
        <f t="shared" si="112"/>
        <v>105.54113320982482</v>
      </c>
      <c r="AL510">
        <f t="shared" si="113"/>
        <v>96.041901211566454</v>
      </c>
      <c r="AM510">
        <f t="shared" si="114"/>
        <v>92.560098788433521</v>
      </c>
    </row>
    <row r="511" spans="1:39" ht="16.5" x14ac:dyDescent="0.25">
      <c r="A511" s="1">
        <v>44967</v>
      </c>
      <c r="B511" s="5">
        <v>97.77</v>
      </c>
      <c r="C511" s="4">
        <v>99.26</v>
      </c>
      <c r="D511" s="4">
        <v>99.49</v>
      </c>
      <c r="E511" s="4">
        <v>97.42</v>
      </c>
      <c r="F511" s="4" t="s">
        <v>150</v>
      </c>
      <c r="G511" s="2" t="s">
        <v>751</v>
      </c>
      <c r="I511">
        <f t="shared" si="101"/>
        <v>94.012499999999989</v>
      </c>
      <c r="J511">
        <f t="shared" si="102"/>
        <v>93.873181818181806</v>
      </c>
      <c r="L511">
        <f t="shared" si="103"/>
        <v>0</v>
      </c>
      <c r="M511">
        <f t="shared" si="104"/>
        <v>1</v>
      </c>
      <c r="O511">
        <f t="shared" si="105"/>
        <v>0</v>
      </c>
      <c r="P511">
        <f t="shared" si="106"/>
        <v>1.4900000000000091</v>
      </c>
      <c r="R511">
        <f t="shared" si="107"/>
        <v>0.69916666666666438</v>
      </c>
      <c r="S511">
        <f t="shared" si="108"/>
        <v>0.77000000000000313</v>
      </c>
      <c r="U511">
        <f t="shared" si="109"/>
        <v>47.589336358479677</v>
      </c>
      <c r="AH511">
        <f t="shared" si="110"/>
        <v>0.78444029208420896</v>
      </c>
      <c r="AI511">
        <f t="shared" si="111"/>
        <v>82.772366790175155</v>
      </c>
      <c r="AJ511">
        <f t="shared" si="112"/>
        <v>105.25263320982482</v>
      </c>
      <c r="AL511">
        <f t="shared" si="113"/>
        <v>95.5813805841684</v>
      </c>
      <c r="AM511">
        <f t="shared" si="114"/>
        <v>92.443619415831577</v>
      </c>
    </row>
    <row r="512" spans="1:39" ht="16.5" x14ac:dyDescent="0.25">
      <c r="A512" s="1">
        <v>44966</v>
      </c>
      <c r="B512" s="5">
        <v>99.46</v>
      </c>
      <c r="C512" s="4">
        <v>98.09</v>
      </c>
      <c r="D512" s="4">
        <v>99.46</v>
      </c>
      <c r="E512" s="4">
        <v>97.99</v>
      </c>
      <c r="F512" s="4" t="s">
        <v>41</v>
      </c>
      <c r="G512" s="2" t="s">
        <v>752</v>
      </c>
      <c r="I512">
        <f t="shared" si="101"/>
        <v>93.710999999999984</v>
      </c>
      <c r="J512">
        <f t="shared" si="102"/>
        <v>93.687619047619037</v>
      </c>
      <c r="L512">
        <f t="shared" si="103"/>
        <v>1</v>
      </c>
      <c r="M512">
        <f t="shared" si="104"/>
        <v>0</v>
      </c>
      <c r="O512">
        <f t="shared" si="105"/>
        <v>1.3699999999999903</v>
      </c>
      <c r="P512">
        <f t="shared" si="106"/>
        <v>0</v>
      </c>
      <c r="R512">
        <f t="shared" si="107"/>
        <v>0.73923076923076703</v>
      </c>
      <c r="S512">
        <f t="shared" si="108"/>
        <v>4.9999999999997158E-2</v>
      </c>
      <c r="U512">
        <f t="shared" si="109"/>
        <v>93.664717348928193</v>
      </c>
      <c r="AH512">
        <f t="shared" si="110"/>
        <v>0.70455047427390161</v>
      </c>
      <c r="AI512">
        <f t="shared" si="111"/>
        <v>82.470866790175151</v>
      </c>
      <c r="AJ512">
        <f t="shared" si="112"/>
        <v>104.95113320982482</v>
      </c>
      <c r="AL512">
        <f t="shared" si="113"/>
        <v>95.120100948547787</v>
      </c>
      <c r="AM512">
        <f t="shared" si="114"/>
        <v>92.301899051452182</v>
      </c>
    </row>
    <row r="513" spans="1:39" ht="16.5" x14ac:dyDescent="0.25">
      <c r="A513" s="1">
        <v>44965</v>
      </c>
      <c r="B513" s="5">
        <v>97.57</v>
      </c>
      <c r="C513" s="4">
        <v>97.5</v>
      </c>
      <c r="D513" s="4">
        <v>98.47</v>
      </c>
      <c r="E513" s="4">
        <v>96.55</v>
      </c>
      <c r="F513" s="4" t="s">
        <v>753</v>
      </c>
      <c r="G513" s="2" t="s">
        <v>408</v>
      </c>
      <c r="I513">
        <f t="shared" si="101"/>
        <v>93.399000000000001</v>
      </c>
      <c r="J513">
        <f t="shared" si="102"/>
        <v>93.399000000000001</v>
      </c>
      <c r="L513">
        <f t="shared" si="103"/>
        <v>1</v>
      </c>
      <c r="M513">
        <f t="shared" si="104"/>
        <v>0</v>
      </c>
      <c r="O513">
        <f t="shared" si="105"/>
        <v>6.9999999999993179E-2</v>
      </c>
      <c r="P513">
        <f t="shared" si="106"/>
        <v>0</v>
      </c>
      <c r="R513">
        <f t="shared" si="107"/>
        <v>0.68666666666666509</v>
      </c>
      <c r="S513">
        <f t="shared" si="108"/>
        <v>3.9999999999999147E-2</v>
      </c>
      <c r="U513">
        <f t="shared" si="109"/>
        <v>94.495412844036792</v>
      </c>
      <c r="AH513">
        <f t="shared" si="110"/>
        <v>0.63494304519670253</v>
      </c>
      <c r="AI513">
        <f t="shared" si="111"/>
        <v>82.158866790175168</v>
      </c>
      <c r="AJ513">
        <f t="shared" si="112"/>
        <v>104.63913320982483</v>
      </c>
      <c r="AL513">
        <f t="shared" si="113"/>
        <v>94.6688860903934</v>
      </c>
      <c r="AM513">
        <f t="shared" si="114"/>
        <v>92.129113909606602</v>
      </c>
    </row>
    <row r="514" spans="1:39" ht="16.5" x14ac:dyDescent="0.25">
      <c r="A514" s="1">
        <v>44964</v>
      </c>
      <c r="B514" s="5">
        <v>97.4</v>
      </c>
      <c r="C514" s="4">
        <v>97.26</v>
      </c>
      <c r="D514" s="4">
        <v>97.97</v>
      </c>
      <c r="E514" s="4">
        <v>96.78</v>
      </c>
      <c r="F514" s="4" t="s">
        <v>754</v>
      </c>
      <c r="G514" s="2" t="s">
        <v>755</v>
      </c>
      <c r="I514">
        <f t="shared" si="101"/>
        <v>93.179473684210535</v>
      </c>
      <c r="J514">
        <f t="shared" si="102"/>
        <v>93.179473684210535</v>
      </c>
      <c r="L514">
        <f t="shared" si="103"/>
        <v>1</v>
      </c>
      <c r="M514">
        <f t="shared" si="104"/>
        <v>0</v>
      </c>
      <c r="O514">
        <f t="shared" si="105"/>
        <v>0.14000000000000057</v>
      </c>
      <c r="P514">
        <f t="shared" si="106"/>
        <v>0</v>
      </c>
      <c r="R514">
        <f t="shared" si="107"/>
        <v>0.74272727272727157</v>
      </c>
      <c r="S514">
        <f t="shared" si="108"/>
        <v>0.2466666666666697</v>
      </c>
      <c r="U514">
        <f t="shared" si="109"/>
        <v>75.068912710566366</v>
      </c>
      <c r="AH514">
        <f t="shared" si="110"/>
        <v>0.580439767684922</v>
      </c>
      <c r="AI514">
        <f t="shared" si="111"/>
        <v>81.939340474385702</v>
      </c>
      <c r="AJ514">
        <f t="shared" si="112"/>
        <v>104.41960689403537</v>
      </c>
      <c r="AL514">
        <f t="shared" si="113"/>
        <v>94.340353219580379</v>
      </c>
      <c r="AM514">
        <f t="shared" si="114"/>
        <v>92.018594148840691</v>
      </c>
    </row>
    <row r="515" spans="1:39" ht="16.5" x14ac:dyDescent="0.25">
      <c r="A515" s="1">
        <v>44963</v>
      </c>
      <c r="B515" s="5">
        <v>97.06</v>
      </c>
      <c r="C515" s="4">
        <v>97.11</v>
      </c>
      <c r="D515" s="4">
        <v>98.02</v>
      </c>
      <c r="E515" s="4">
        <v>96.22</v>
      </c>
      <c r="F515" s="4" t="s">
        <v>756</v>
      </c>
      <c r="G515" s="2" t="s">
        <v>413</v>
      </c>
      <c r="I515">
        <f t="shared" ref="I515:I532" si="115">AVERAGE(B515:B534)</f>
        <v>92.944999999999993</v>
      </c>
      <c r="J515">
        <f t="shared" ref="J515:J532" si="116">AVERAGE(B515:B554)</f>
        <v>92.944999999999993</v>
      </c>
      <c r="L515">
        <f t="shared" ref="L515:L532" si="117">IF($C515&lt;$B515,1,0)</f>
        <v>0</v>
      </c>
      <c r="M515">
        <f t="shared" ref="M515:M532" si="118">IF($C515&lt;$B515,0,1)</f>
        <v>1</v>
      </c>
      <c r="O515">
        <f t="shared" ref="O515:O532" si="119">IF($C515&lt;$B515,B515-C515,0)</f>
        <v>0</v>
      </c>
      <c r="P515">
        <f t="shared" ref="P515:P532" si="120">IF($B515&lt;$C515,C515-B515,0)</f>
        <v>4.9999999999997158E-2</v>
      </c>
      <c r="R515">
        <f t="shared" ref="R515:R532" si="121">SUM(O515:O528)/SUM(L515:L528)</f>
        <v>0.80299999999999871</v>
      </c>
      <c r="S515">
        <f t="shared" ref="S515:S532" si="122">SUM(P515:P528)/SUM(M515:M528)</f>
        <v>0.23750000000000071</v>
      </c>
      <c r="U515">
        <f t="shared" ref="U515:U532" si="123">100-(100/(1+(R515/S515)))</f>
        <v>77.174435367611636</v>
      </c>
      <c r="AH515">
        <f t="shared" ref="AH515:AH532" si="124">_xlfn.STDEV.S(I515:I1045)</f>
        <v>0.53365133574840096</v>
      </c>
      <c r="AI515">
        <f t="shared" ref="AI515:AI532" si="125">I515-$AH$2</f>
        <v>81.70486679017516</v>
      </c>
      <c r="AJ515">
        <f t="shared" ref="AJ515:AJ532" si="126">I515+$AH$2</f>
        <v>104.18513320982483</v>
      </c>
      <c r="AL515">
        <f t="shared" ref="AL515:AL532" si="127">I515+(AH515*2)</f>
        <v>94.012302671496798</v>
      </c>
      <c r="AM515">
        <f t="shared" ref="AM515:AM532" si="128">I515-(AH515*2)</f>
        <v>91.877697328503189</v>
      </c>
    </row>
    <row r="516" spans="1:39" ht="16.5" x14ac:dyDescent="0.25">
      <c r="A516" s="1">
        <v>44960</v>
      </c>
      <c r="B516" s="5">
        <v>97.58</v>
      </c>
      <c r="C516" s="4">
        <v>97.09</v>
      </c>
      <c r="D516" s="4">
        <v>97.96</v>
      </c>
      <c r="E516" s="4">
        <v>96.5</v>
      </c>
      <c r="F516" s="4" t="s">
        <v>757</v>
      </c>
      <c r="G516" s="2" t="s">
        <v>69</v>
      </c>
      <c r="I516">
        <f t="shared" si="115"/>
        <v>92.702941176470574</v>
      </c>
      <c r="J516">
        <f t="shared" si="116"/>
        <v>92.702941176470574</v>
      </c>
      <c r="L516">
        <f t="shared" si="117"/>
        <v>1</v>
      </c>
      <c r="M516">
        <f t="shared" si="118"/>
        <v>0</v>
      </c>
      <c r="O516">
        <f t="shared" si="119"/>
        <v>0.48999999999999488</v>
      </c>
      <c r="P516">
        <f t="shared" si="120"/>
        <v>0</v>
      </c>
      <c r="R516">
        <f t="shared" si="121"/>
        <v>0.80299999999999871</v>
      </c>
      <c r="S516">
        <f t="shared" si="122"/>
        <v>0.22749999999999915</v>
      </c>
      <c r="U516">
        <f t="shared" si="123"/>
        <v>77.92333818534695</v>
      </c>
      <c r="AH516">
        <f t="shared" si="124"/>
        <v>0.49876931629437915</v>
      </c>
      <c r="AI516">
        <f t="shared" si="125"/>
        <v>81.462807966645741</v>
      </c>
      <c r="AJ516">
        <f t="shared" si="126"/>
        <v>103.94307438629541</v>
      </c>
      <c r="AL516">
        <f t="shared" si="127"/>
        <v>93.700479809059331</v>
      </c>
      <c r="AM516">
        <f t="shared" si="128"/>
        <v>91.705402543881817</v>
      </c>
    </row>
    <row r="517" spans="1:39" ht="16.5" x14ac:dyDescent="0.25">
      <c r="A517" s="1">
        <v>44959</v>
      </c>
      <c r="B517" s="5">
        <v>97.79</v>
      </c>
      <c r="C517" s="4">
        <v>95.08</v>
      </c>
      <c r="D517" s="4">
        <v>98.49</v>
      </c>
      <c r="E517" s="4">
        <v>94.58</v>
      </c>
      <c r="F517" s="4" t="s">
        <v>139</v>
      </c>
      <c r="G517" s="2" t="s">
        <v>758</v>
      </c>
      <c r="I517">
        <f t="shared" si="115"/>
        <v>92.398124999999993</v>
      </c>
      <c r="J517">
        <f t="shared" si="116"/>
        <v>92.398124999999993</v>
      </c>
      <c r="L517">
        <f t="shared" si="117"/>
        <v>1</v>
      </c>
      <c r="M517">
        <f t="shared" si="118"/>
        <v>0</v>
      </c>
      <c r="O517">
        <f t="shared" si="119"/>
        <v>2.710000000000008</v>
      </c>
      <c r="P517">
        <f t="shared" si="120"/>
        <v>0</v>
      </c>
      <c r="R517">
        <f t="shared" si="121"/>
        <v>0.83777777777777684</v>
      </c>
      <c r="S517">
        <f t="shared" si="122"/>
        <v>0.21199999999999761</v>
      </c>
      <c r="U517">
        <f t="shared" si="123"/>
        <v>79.805249788315152</v>
      </c>
      <c r="AH517">
        <f t="shared" si="124"/>
        <v>0.47892853776881839</v>
      </c>
      <c r="AI517">
        <f t="shared" si="125"/>
        <v>81.15799179017516</v>
      </c>
      <c r="AJ517">
        <f t="shared" si="126"/>
        <v>103.63825820982483</v>
      </c>
      <c r="AL517">
        <f t="shared" si="127"/>
        <v>93.355982075537625</v>
      </c>
      <c r="AM517">
        <f t="shared" si="128"/>
        <v>91.440267924462361</v>
      </c>
    </row>
    <row r="518" spans="1:39" ht="16.5" x14ac:dyDescent="0.25">
      <c r="A518" s="1">
        <v>44958</v>
      </c>
      <c r="B518" s="5">
        <v>95.27</v>
      </c>
      <c r="C518" s="4">
        <v>93.92</v>
      </c>
      <c r="D518" s="4">
        <v>95.27</v>
      </c>
      <c r="E518" s="4">
        <v>93.06</v>
      </c>
      <c r="F518" s="4" t="s">
        <v>759</v>
      </c>
      <c r="G518" s="2" t="s">
        <v>205</v>
      </c>
      <c r="I518">
        <f t="shared" si="115"/>
        <v>92.038666666666657</v>
      </c>
      <c r="J518">
        <f t="shared" si="116"/>
        <v>92.038666666666657</v>
      </c>
      <c r="L518">
        <f t="shared" si="117"/>
        <v>1</v>
      </c>
      <c r="M518">
        <f t="shared" si="118"/>
        <v>0</v>
      </c>
      <c r="O518">
        <f t="shared" si="119"/>
        <v>1.3499999999999943</v>
      </c>
      <c r="P518">
        <f t="shared" si="120"/>
        <v>0</v>
      </c>
      <c r="R518">
        <f t="shared" si="121"/>
        <v>0.60374999999999801</v>
      </c>
      <c r="S518">
        <f t="shared" si="122"/>
        <v>0.3016666666666647</v>
      </c>
      <c r="U518">
        <f t="shared" si="123"/>
        <v>66.682006442706012</v>
      </c>
      <c r="AH518">
        <f t="shared" si="124"/>
        <v>0.47974788513242722</v>
      </c>
      <c r="AI518">
        <f t="shared" si="125"/>
        <v>80.798533456841824</v>
      </c>
      <c r="AJ518">
        <f t="shared" si="126"/>
        <v>103.27879987649149</v>
      </c>
      <c r="AL518">
        <f t="shared" si="127"/>
        <v>92.998162436931509</v>
      </c>
      <c r="AM518">
        <f t="shared" si="128"/>
        <v>91.079170896401806</v>
      </c>
    </row>
    <row r="519" spans="1:39" ht="16.5" x14ac:dyDescent="0.25">
      <c r="A519" s="1">
        <v>44957</v>
      </c>
      <c r="B519" s="5">
        <v>93.23</v>
      </c>
      <c r="C519" s="4">
        <v>91.53</v>
      </c>
      <c r="D519" s="4">
        <v>93.24</v>
      </c>
      <c r="E519" s="4">
        <v>91.13</v>
      </c>
      <c r="F519" s="4" t="s">
        <v>109</v>
      </c>
      <c r="G519" s="2" t="s">
        <v>100</v>
      </c>
      <c r="I519">
        <f t="shared" si="115"/>
        <v>91.807857142857145</v>
      </c>
      <c r="J519">
        <f t="shared" si="116"/>
        <v>91.807857142857145</v>
      </c>
      <c r="L519">
        <f t="shared" si="117"/>
        <v>1</v>
      </c>
      <c r="M519">
        <f t="shared" si="118"/>
        <v>0</v>
      </c>
      <c r="O519">
        <f t="shared" si="119"/>
        <v>1.7000000000000028</v>
      </c>
      <c r="P519">
        <f t="shared" si="120"/>
        <v>0</v>
      </c>
      <c r="R519">
        <f t="shared" si="121"/>
        <v>0.59374999999999822</v>
      </c>
      <c r="S519">
        <f t="shared" si="122"/>
        <v>0.3016666666666647</v>
      </c>
      <c r="U519">
        <f t="shared" si="123"/>
        <v>66.309911586784636</v>
      </c>
      <c r="AH519">
        <f t="shared" si="124"/>
        <v>0.49660051267953803</v>
      </c>
      <c r="AI519">
        <f t="shared" si="125"/>
        <v>80.567723933032312</v>
      </c>
      <c r="AJ519">
        <f t="shared" si="126"/>
        <v>103.04799035268198</v>
      </c>
      <c r="AL519">
        <f t="shared" si="127"/>
        <v>92.801058168216215</v>
      </c>
      <c r="AM519">
        <f t="shared" si="128"/>
        <v>90.814656117498075</v>
      </c>
    </row>
    <row r="520" spans="1:39" ht="16.5" x14ac:dyDescent="0.25">
      <c r="A520" s="1">
        <v>44956</v>
      </c>
      <c r="B520" s="5">
        <v>91.48</v>
      </c>
      <c r="C520" s="4">
        <v>91.47</v>
      </c>
      <c r="D520" s="4">
        <v>92.5</v>
      </c>
      <c r="E520" s="4">
        <v>91.32</v>
      </c>
      <c r="F520" s="4" t="s">
        <v>216</v>
      </c>
      <c r="G520" s="2" t="s">
        <v>760</v>
      </c>
      <c r="I520">
        <f t="shared" si="115"/>
        <v>91.69846153846153</v>
      </c>
      <c r="J520">
        <f t="shared" si="116"/>
        <v>91.69846153846153</v>
      </c>
      <c r="L520">
        <f t="shared" si="117"/>
        <v>1</v>
      </c>
      <c r="M520">
        <f t="shared" si="118"/>
        <v>0</v>
      </c>
      <c r="O520">
        <f t="shared" si="119"/>
        <v>1.0000000000005116E-2</v>
      </c>
      <c r="P520">
        <f t="shared" si="120"/>
        <v>0</v>
      </c>
      <c r="R520">
        <f t="shared" si="121"/>
        <v>0.43571428571428328</v>
      </c>
      <c r="S520">
        <f t="shared" si="122"/>
        <v>0.3016666666666647</v>
      </c>
      <c r="U520">
        <f t="shared" si="123"/>
        <v>59.089441394898309</v>
      </c>
      <c r="AH520">
        <f t="shared" si="124"/>
        <v>0.51602944433929632</v>
      </c>
      <c r="AI520">
        <f t="shared" si="125"/>
        <v>80.458328328636696</v>
      </c>
      <c r="AJ520">
        <f t="shared" si="126"/>
        <v>102.93859474828636</v>
      </c>
      <c r="AL520">
        <f t="shared" si="127"/>
        <v>92.730520427140121</v>
      </c>
      <c r="AM520">
        <f t="shared" si="128"/>
        <v>90.666402649782938</v>
      </c>
    </row>
    <row r="521" spans="1:39" ht="16.5" x14ac:dyDescent="0.25">
      <c r="A521" s="1">
        <v>44953</v>
      </c>
      <c r="B521" s="5">
        <v>92.94</v>
      </c>
      <c r="C521" s="4">
        <v>92.79</v>
      </c>
      <c r="D521" s="4">
        <v>93.32</v>
      </c>
      <c r="E521" s="4">
        <v>92.39</v>
      </c>
      <c r="F521" s="4" t="s">
        <v>735</v>
      </c>
      <c r="G521" s="2" t="s">
        <v>678</v>
      </c>
      <c r="I521">
        <f t="shared" si="115"/>
        <v>91.716666666666654</v>
      </c>
      <c r="J521">
        <f t="shared" si="116"/>
        <v>91.716666666666654</v>
      </c>
      <c r="L521">
        <f t="shared" si="117"/>
        <v>1</v>
      </c>
      <c r="M521">
        <f t="shared" si="118"/>
        <v>0</v>
      </c>
      <c r="O521">
        <f t="shared" si="119"/>
        <v>0.14999999999999147</v>
      </c>
      <c r="P521">
        <f t="shared" si="120"/>
        <v>0</v>
      </c>
      <c r="R521">
        <f t="shared" si="121"/>
        <v>0.50666666666666293</v>
      </c>
      <c r="S521">
        <f t="shared" si="122"/>
        <v>0.3016666666666647</v>
      </c>
      <c r="U521">
        <f t="shared" si="123"/>
        <v>62.680412371133997</v>
      </c>
      <c r="AH521">
        <f t="shared" si="124"/>
        <v>0.53470208340636483</v>
      </c>
      <c r="AI521">
        <f t="shared" si="125"/>
        <v>80.476533456841821</v>
      </c>
      <c r="AJ521">
        <f t="shared" si="126"/>
        <v>102.95679987649149</v>
      </c>
      <c r="AL521">
        <f t="shared" si="127"/>
        <v>92.786070833479386</v>
      </c>
      <c r="AM521">
        <f t="shared" si="128"/>
        <v>90.647262499853923</v>
      </c>
    </row>
    <row r="522" spans="1:39" ht="16.5" x14ac:dyDescent="0.25">
      <c r="A522" s="1">
        <v>44952</v>
      </c>
      <c r="B522" s="5">
        <v>92.35</v>
      </c>
      <c r="C522" s="4">
        <v>92.26</v>
      </c>
      <c r="D522" s="4">
        <v>92.56</v>
      </c>
      <c r="E522" s="4">
        <v>91.89</v>
      </c>
      <c r="F522" s="4" t="s">
        <v>761</v>
      </c>
      <c r="G522" s="2" t="s">
        <v>104</v>
      </c>
      <c r="I522">
        <f t="shared" si="115"/>
        <v>91.605454545454563</v>
      </c>
      <c r="J522">
        <f t="shared" si="116"/>
        <v>91.605454545454563</v>
      </c>
      <c r="L522">
        <f t="shared" si="117"/>
        <v>1</v>
      </c>
      <c r="M522">
        <f t="shared" si="118"/>
        <v>0</v>
      </c>
      <c r="O522">
        <f t="shared" si="119"/>
        <v>8.99999999999892E-2</v>
      </c>
      <c r="P522">
        <f t="shared" si="120"/>
        <v>0</v>
      </c>
      <c r="R522">
        <f t="shared" si="121"/>
        <v>0.57799999999999729</v>
      </c>
      <c r="S522">
        <f t="shared" si="122"/>
        <v>0.3016666666666647</v>
      </c>
      <c r="U522">
        <f t="shared" si="123"/>
        <v>65.706707086017474</v>
      </c>
      <c r="AH522">
        <f t="shared" si="124"/>
        <v>0.55626004905246573</v>
      </c>
      <c r="AI522">
        <f t="shared" si="125"/>
        <v>80.36532133562973</v>
      </c>
      <c r="AJ522">
        <f t="shared" si="126"/>
        <v>102.8455877552794</v>
      </c>
      <c r="AL522">
        <f t="shared" si="127"/>
        <v>92.717974643559501</v>
      </c>
      <c r="AM522">
        <f t="shared" si="128"/>
        <v>90.492934447349626</v>
      </c>
    </row>
    <row r="523" spans="1:39" ht="16.5" x14ac:dyDescent="0.25">
      <c r="A523" s="1">
        <v>44951</v>
      </c>
      <c r="B523" s="5">
        <v>91.79</v>
      </c>
      <c r="C523" s="4">
        <v>91.51</v>
      </c>
      <c r="D523" s="4">
        <v>91.95</v>
      </c>
      <c r="E523" s="4">
        <v>91.1</v>
      </c>
      <c r="F523" s="4" t="s">
        <v>762</v>
      </c>
      <c r="G523" s="2" t="s">
        <v>365</v>
      </c>
      <c r="I523">
        <f t="shared" si="115"/>
        <v>91.531000000000006</v>
      </c>
      <c r="J523">
        <f t="shared" si="116"/>
        <v>91.531000000000006</v>
      </c>
      <c r="L523">
        <f t="shared" si="117"/>
        <v>1</v>
      </c>
      <c r="M523">
        <f t="shared" si="118"/>
        <v>0</v>
      </c>
      <c r="O523">
        <f t="shared" si="119"/>
        <v>0.28000000000000114</v>
      </c>
      <c r="P523">
        <f t="shared" si="120"/>
        <v>0</v>
      </c>
      <c r="R523">
        <f t="shared" si="121"/>
        <v>0.69999999999999929</v>
      </c>
      <c r="S523">
        <f t="shared" si="122"/>
        <v>0.3016666666666647</v>
      </c>
      <c r="U523">
        <f t="shared" si="123"/>
        <v>69.883527454243051</v>
      </c>
      <c r="AH523">
        <f t="shared" si="124"/>
        <v>0.57370500224575849</v>
      </c>
      <c r="AI523">
        <f t="shared" si="125"/>
        <v>80.290866790175173</v>
      </c>
      <c r="AJ523">
        <f t="shared" si="126"/>
        <v>102.77113320982484</v>
      </c>
      <c r="AL523">
        <f t="shared" si="127"/>
        <v>92.678410004491525</v>
      </c>
      <c r="AM523">
        <f t="shared" si="128"/>
        <v>90.383589995508487</v>
      </c>
    </row>
    <row r="524" spans="1:39" ht="16.5" x14ac:dyDescent="0.25">
      <c r="A524" s="1">
        <v>44950</v>
      </c>
      <c r="B524" s="5">
        <v>91.79</v>
      </c>
      <c r="C524" s="4">
        <v>91.76</v>
      </c>
      <c r="D524" s="4">
        <v>91.98</v>
      </c>
      <c r="E524" s="4">
        <v>90.89</v>
      </c>
      <c r="F524" s="4" t="s">
        <v>763</v>
      </c>
      <c r="G524" s="2" t="s">
        <v>399</v>
      </c>
      <c r="I524">
        <f t="shared" si="115"/>
        <v>91.502222222222215</v>
      </c>
      <c r="J524">
        <f t="shared" si="116"/>
        <v>91.502222222222215</v>
      </c>
      <c r="L524">
        <f t="shared" si="117"/>
        <v>1</v>
      </c>
      <c r="M524">
        <f t="shared" si="118"/>
        <v>0</v>
      </c>
      <c r="O524">
        <f t="shared" si="119"/>
        <v>3.0000000000001137E-2</v>
      </c>
      <c r="P524">
        <f t="shared" si="120"/>
        <v>0</v>
      </c>
      <c r="R524">
        <f t="shared" si="121"/>
        <v>0.83999999999999864</v>
      </c>
      <c r="S524">
        <f t="shared" si="122"/>
        <v>0.3016666666666647</v>
      </c>
      <c r="U524">
        <f t="shared" si="123"/>
        <v>73.576642335766522</v>
      </c>
      <c r="AH524">
        <f t="shared" si="124"/>
        <v>0.58434522495949504</v>
      </c>
      <c r="AI524">
        <f t="shared" si="125"/>
        <v>80.262089012397382</v>
      </c>
      <c r="AJ524">
        <f t="shared" si="126"/>
        <v>102.74235543204705</v>
      </c>
      <c r="AL524">
        <f t="shared" si="127"/>
        <v>92.670912672141199</v>
      </c>
      <c r="AM524">
        <f t="shared" si="128"/>
        <v>90.333531772303232</v>
      </c>
    </row>
    <row r="525" spans="1:39" ht="16.5" x14ac:dyDescent="0.25">
      <c r="A525" s="1">
        <v>44949</v>
      </c>
      <c r="B525" s="5">
        <v>91.53</v>
      </c>
      <c r="C525" s="4">
        <v>90.31</v>
      </c>
      <c r="D525" s="4">
        <v>91.68</v>
      </c>
      <c r="E525" s="4">
        <v>90.02</v>
      </c>
      <c r="F525" s="4" t="s">
        <v>764</v>
      </c>
      <c r="G525" s="2" t="s">
        <v>502</v>
      </c>
      <c r="I525">
        <f t="shared" si="115"/>
        <v>91.466250000000002</v>
      </c>
      <c r="J525">
        <f t="shared" si="116"/>
        <v>91.466250000000002</v>
      </c>
      <c r="L525">
        <f t="shared" si="117"/>
        <v>1</v>
      </c>
      <c r="M525">
        <f t="shared" si="118"/>
        <v>0</v>
      </c>
      <c r="O525">
        <f t="shared" si="119"/>
        <v>1.2199999999999989</v>
      </c>
      <c r="P525">
        <f t="shared" si="120"/>
        <v>0</v>
      </c>
      <c r="R525">
        <f t="shared" si="121"/>
        <v>1.2449999999999974</v>
      </c>
      <c r="S525">
        <f t="shared" si="122"/>
        <v>0.3016666666666647</v>
      </c>
      <c r="U525">
        <f t="shared" si="123"/>
        <v>80.495689655172484</v>
      </c>
      <c r="AH525">
        <f t="shared" si="124"/>
        <v>0.58673036759009201</v>
      </c>
      <c r="AI525">
        <f t="shared" si="125"/>
        <v>80.226116790175169</v>
      </c>
      <c r="AJ525">
        <f t="shared" si="126"/>
        <v>102.70638320982484</v>
      </c>
      <c r="AL525">
        <f t="shared" si="127"/>
        <v>92.639710735180188</v>
      </c>
      <c r="AM525">
        <f t="shared" si="128"/>
        <v>90.292789264819817</v>
      </c>
    </row>
    <row r="526" spans="1:39" ht="16.5" x14ac:dyDescent="0.25">
      <c r="A526" s="1">
        <v>44946</v>
      </c>
      <c r="B526" s="5">
        <v>89.97</v>
      </c>
      <c r="C526" s="4">
        <v>90</v>
      </c>
      <c r="D526" s="4">
        <v>90.66</v>
      </c>
      <c r="E526" s="4">
        <v>89.32</v>
      </c>
      <c r="F526" s="4" t="s">
        <v>103</v>
      </c>
      <c r="G526" s="2" t="s">
        <v>553</v>
      </c>
      <c r="I526">
        <f t="shared" si="115"/>
        <v>91.45714285714287</v>
      </c>
      <c r="J526">
        <f t="shared" si="116"/>
        <v>91.45714285714287</v>
      </c>
      <c r="L526">
        <f t="shared" si="117"/>
        <v>0</v>
      </c>
      <c r="M526">
        <f t="shared" si="118"/>
        <v>1</v>
      </c>
      <c r="O526">
        <f t="shared" si="119"/>
        <v>0</v>
      </c>
      <c r="P526">
        <f t="shared" si="120"/>
        <v>3.0000000000001137E-2</v>
      </c>
      <c r="R526">
        <f t="shared" si="121"/>
        <v>1.269999999999996</v>
      </c>
      <c r="S526">
        <f t="shared" si="122"/>
        <v>0.3016666666666647</v>
      </c>
      <c r="U526">
        <f t="shared" si="123"/>
        <v>80.805938494167606</v>
      </c>
      <c r="AH526">
        <f t="shared" si="124"/>
        <v>0.56934584989529724</v>
      </c>
      <c r="AI526">
        <f t="shared" si="125"/>
        <v>80.217009647318037</v>
      </c>
      <c r="AJ526">
        <f t="shared" si="126"/>
        <v>102.6972760669677</v>
      </c>
      <c r="AL526">
        <f t="shared" si="127"/>
        <v>92.595834556933468</v>
      </c>
      <c r="AM526">
        <f t="shared" si="128"/>
        <v>90.318451157352271</v>
      </c>
    </row>
    <row r="527" spans="1:39" ht="16.5" x14ac:dyDescent="0.25">
      <c r="A527" s="1">
        <v>44945</v>
      </c>
      <c r="B527" s="5">
        <v>90.02</v>
      </c>
      <c r="C527" s="4">
        <v>90.68</v>
      </c>
      <c r="D527" s="4">
        <v>90.97</v>
      </c>
      <c r="E527" s="4">
        <v>89.58</v>
      </c>
      <c r="F527" s="4" t="s">
        <v>113</v>
      </c>
      <c r="G527" s="2" t="s">
        <v>317</v>
      </c>
      <c r="I527">
        <f t="shared" si="115"/>
        <v>91.704999999999998</v>
      </c>
      <c r="J527">
        <f t="shared" si="116"/>
        <v>91.704999999999998</v>
      </c>
      <c r="L527">
        <f t="shared" si="117"/>
        <v>0</v>
      </c>
      <c r="M527">
        <f t="shared" si="118"/>
        <v>1</v>
      </c>
      <c r="O527">
        <f t="shared" si="119"/>
        <v>0</v>
      </c>
      <c r="P527">
        <f t="shared" si="120"/>
        <v>0.6600000000000108</v>
      </c>
      <c r="R527">
        <f t="shared" si="121"/>
        <v>1.269999999999996</v>
      </c>
      <c r="S527">
        <f t="shared" si="122"/>
        <v>0.35599999999999737</v>
      </c>
      <c r="U527">
        <f t="shared" si="123"/>
        <v>78.105781057810646</v>
      </c>
      <c r="AH527">
        <f t="shared" si="124"/>
        <v>0.51177280839001915</v>
      </c>
      <c r="AI527">
        <f t="shared" si="125"/>
        <v>80.464866790175165</v>
      </c>
      <c r="AJ527">
        <f t="shared" si="126"/>
        <v>102.94513320982483</v>
      </c>
      <c r="AL527">
        <f t="shared" si="127"/>
        <v>92.728545616780039</v>
      </c>
      <c r="AM527">
        <f t="shared" si="128"/>
        <v>90.681454383219958</v>
      </c>
    </row>
    <row r="528" spans="1:39" ht="16.5" x14ac:dyDescent="0.25">
      <c r="A528" s="1">
        <v>44944</v>
      </c>
      <c r="B528" s="5">
        <v>91.43</v>
      </c>
      <c r="C528" s="4">
        <v>91.64</v>
      </c>
      <c r="D528" s="4">
        <v>92.15</v>
      </c>
      <c r="E528" s="4">
        <v>91.13</v>
      </c>
      <c r="F528" s="4" t="s">
        <v>765</v>
      </c>
      <c r="G528" s="2" t="s">
        <v>766</v>
      </c>
      <c r="I528">
        <f t="shared" si="115"/>
        <v>92.042000000000002</v>
      </c>
      <c r="J528">
        <f t="shared" si="116"/>
        <v>92.042000000000002</v>
      </c>
      <c r="L528">
        <f t="shared" si="117"/>
        <v>0</v>
      </c>
      <c r="M528">
        <f t="shared" si="118"/>
        <v>1</v>
      </c>
      <c r="O528">
        <f t="shared" si="119"/>
        <v>0</v>
      </c>
      <c r="P528">
        <f t="shared" si="120"/>
        <v>0.20999999999999375</v>
      </c>
      <c r="R528">
        <f t="shared" si="121"/>
        <v>1.269999999999996</v>
      </c>
      <c r="S528">
        <f t="shared" si="122"/>
        <v>0.27999999999999403</v>
      </c>
      <c r="U528">
        <f t="shared" si="123"/>
        <v>81.935483870968014</v>
      </c>
      <c r="AH528">
        <f t="shared" si="124"/>
        <v>0.46326848467048787</v>
      </c>
      <c r="AI528">
        <f t="shared" si="125"/>
        <v>80.801866790175168</v>
      </c>
      <c r="AJ528">
        <f t="shared" si="126"/>
        <v>103.28213320982483</v>
      </c>
      <c r="AL528">
        <f t="shared" si="127"/>
        <v>92.968536969340974</v>
      </c>
      <c r="AM528">
        <f t="shared" si="128"/>
        <v>91.115463030659029</v>
      </c>
    </row>
    <row r="529" spans="1:39" ht="16.5" x14ac:dyDescent="0.25">
      <c r="A529" s="1">
        <v>44943</v>
      </c>
      <c r="B529" s="5">
        <v>91.98</v>
      </c>
      <c r="C529" s="4">
        <v>91.99</v>
      </c>
      <c r="D529" s="4">
        <v>92.56</v>
      </c>
      <c r="E529" s="4">
        <v>90.52</v>
      </c>
      <c r="F529" s="4" t="s">
        <v>103</v>
      </c>
      <c r="G529" s="2" t="s">
        <v>454</v>
      </c>
      <c r="I529">
        <f t="shared" si="115"/>
        <v>92.194999999999993</v>
      </c>
      <c r="J529">
        <f t="shared" si="116"/>
        <v>92.194999999999993</v>
      </c>
      <c r="L529">
        <f t="shared" si="117"/>
        <v>0</v>
      </c>
      <c r="M529">
        <f t="shared" si="118"/>
        <v>1</v>
      </c>
      <c r="O529">
        <f t="shared" si="119"/>
        <v>0</v>
      </c>
      <c r="P529">
        <f t="shared" si="120"/>
        <v>9.9999999999909051E-3</v>
      </c>
      <c r="R529">
        <f t="shared" si="121"/>
        <v>1.269999999999996</v>
      </c>
      <c r="S529">
        <f t="shared" si="122"/>
        <v>0.30333333333332746</v>
      </c>
      <c r="U529">
        <f t="shared" si="123"/>
        <v>80.720338983051107</v>
      </c>
      <c r="AH529">
        <f t="shared" si="124"/>
        <v>0.46894755096445462</v>
      </c>
      <c r="AI529">
        <f t="shared" si="125"/>
        <v>80.95486679017516</v>
      </c>
      <c r="AJ529">
        <f t="shared" si="126"/>
        <v>103.43513320982483</v>
      </c>
      <c r="AL529">
        <f t="shared" si="127"/>
        <v>93.132895101928909</v>
      </c>
      <c r="AM529">
        <f t="shared" si="128"/>
        <v>91.257104898071077</v>
      </c>
    </row>
    <row r="530" spans="1:39" ht="16.5" x14ac:dyDescent="0.25">
      <c r="A530" s="1">
        <v>44942</v>
      </c>
      <c r="B530" s="5">
        <v>91.84</v>
      </c>
      <c r="C530" s="4">
        <v>91.99</v>
      </c>
      <c r="D530" s="4">
        <v>92.22</v>
      </c>
      <c r="E530" s="4">
        <v>91.31</v>
      </c>
      <c r="F530" s="4" t="s">
        <v>767</v>
      </c>
      <c r="G530" s="2" t="s">
        <v>336</v>
      </c>
      <c r="I530">
        <f t="shared" si="115"/>
        <v>92.266666666666652</v>
      </c>
      <c r="J530">
        <f t="shared" si="116"/>
        <v>92.266666666666652</v>
      </c>
      <c r="L530">
        <f t="shared" si="117"/>
        <v>0</v>
      </c>
      <c r="M530">
        <f t="shared" si="118"/>
        <v>1</v>
      </c>
      <c r="O530">
        <f t="shared" si="119"/>
        <v>0</v>
      </c>
      <c r="P530">
        <f t="shared" si="120"/>
        <v>0.14999999999999147</v>
      </c>
      <c r="R530">
        <f t="shared" si="121"/>
        <v>1.269999999999996</v>
      </c>
      <c r="S530">
        <f t="shared" si="122"/>
        <v>0.44999999999999574</v>
      </c>
      <c r="U530">
        <f t="shared" si="123"/>
        <v>73.837209302325704</v>
      </c>
      <c r="AH530">
        <f t="shared" si="124"/>
        <v>0.50032581976741219</v>
      </c>
      <c r="AI530">
        <f t="shared" si="125"/>
        <v>81.026533456841818</v>
      </c>
      <c r="AJ530">
        <f t="shared" si="126"/>
        <v>103.50679987649148</v>
      </c>
      <c r="AL530">
        <f t="shared" si="127"/>
        <v>93.267318306201474</v>
      </c>
      <c r="AM530">
        <f t="shared" si="128"/>
        <v>91.266015027131829</v>
      </c>
    </row>
    <row r="531" spans="1:39" ht="16.5" x14ac:dyDescent="0.25">
      <c r="A531" s="1">
        <v>44939</v>
      </c>
      <c r="B531" s="5">
        <v>91.74</v>
      </c>
      <c r="C531" s="4">
        <v>92.49</v>
      </c>
      <c r="D531" s="4">
        <v>92.49</v>
      </c>
      <c r="E531" s="4">
        <v>90.73</v>
      </c>
      <c r="F531" s="4" t="s">
        <v>202</v>
      </c>
      <c r="G531" s="2" t="s">
        <v>768</v>
      </c>
      <c r="I531">
        <f t="shared" si="115"/>
        <v>92.47999999999999</v>
      </c>
      <c r="J531">
        <f t="shared" si="116"/>
        <v>92.47999999999999</v>
      </c>
      <c r="L531">
        <f t="shared" si="117"/>
        <v>0</v>
      </c>
      <c r="M531">
        <f t="shared" si="118"/>
        <v>1</v>
      </c>
      <c r="O531">
        <f t="shared" si="119"/>
        <v>0</v>
      </c>
      <c r="P531">
        <f t="shared" si="120"/>
        <v>0.75</v>
      </c>
      <c r="R531">
        <f t="shared" si="121"/>
        <v>1.269999999999996</v>
      </c>
      <c r="S531">
        <f t="shared" si="122"/>
        <v>0.75</v>
      </c>
      <c r="U531">
        <f t="shared" si="123"/>
        <v>62.871287128712801</v>
      </c>
      <c r="AH531">
        <f t="shared" si="124"/>
        <v>0.52325901807805153</v>
      </c>
      <c r="AI531">
        <f t="shared" si="125"/>
        <v>81.239866790175157</v>
      </c>
      <c r="AJ531">
        <f t="shared" si="126"/>
        <v>103.72013320982482</v>
      </c>
      <c r="AL531">
        <f t="shared" si="127"/>
        <v>93.526518036156091</v>
      </c>
      <c r="AM531">
        <f t="shared" si="128"/>
        <v>91.433481963843889</v>
      </c>
    </row>
    <row r="532" spans="1:39" ht="16.5" x14ac:dyDescent="0.25">
      <c r="A532" s="1">
        <v>44938</v>
      </c>
      <c r="B532" s="5">
        <v>93.22</v>
      </c>
      <c r="C532" s="4">
        <v>91.95</v>
      </c>
      <c r="D532" s="4">
        <v>93.36</v>
      </c>
      <c r="E532" s="4">
        <v>91.64</v>
      </c>
      <c r="F532" s="4" t="s">
        <v>152</v>
      </c>
      <c r="G532" s="2" t="s">
        <v>769</v>
      </c>
      <c r="I532">
        <f t="shared" si="115"/>
        <v>93.22</v>
      </c>
      <c r="J532">
        <f t="shared" si="116"/>
        <v>93.22</v>
      </c>
      <c r="L532">
        <f t="shared" si="117"/>
        <v>1</v>
      </c>
      <c r="M532">
        <f t="shared" si="118"/>
        <v>0</v>
      </c>
      <c r="O532">
        <f t="shared" si="119"/>
        <v>1.269999999999996</v>
      </c>
      <c r="P532">
        <f t="shared" si="120"/>
        <v>0</v>
      </c>
      <c r="R532">
        <f t="shared" si="121"/>
        <v>1.269999999999996</v>
      </c>
      <c r="S532" t="e">
        <f t="shared" si="122"/>
        <v>#DIV/0!</v>
      </c>
      <c r="U532" t="e">
        <f t="shared" si="123"/>
        <v>#DIV/0!</v>
      </c>
      <c r="AH532" t="e">
        <f t="shared" si="124"/>
        <v>#DIV/0!</v>
      </c>
      <c r="AI532">
        <f t="shared" si="125"/>
        <v>81.979866790175166</v>
      </c>
      <c r="AJ532">
        <f t="shared" si="126"/>
        <v>104.46013320982483</v>
      </c>
      <c r="AL532" t="e">
        <f t="shared" si="127"/>
        <v>#DIV/0!</v>
      </c>
      <c r="AM532" t="e">
        <f t="shared" si="128"/>
        <v>#DIV/0!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34D9-7040-4DA8-AAF9-C060E4C54089}">
  <dimension ref="A1:AM531"/>
  <sheetViews>
    <sheetView topLeftCell="Q1" zoomScale="85" zoomScaleNormal="85" workbookViewId="0">
      <selection activeCell="AM2" sqref="AM2"/>
    </sheetView>
  </sheetViews>
  <sheetFormatPr baseColWidth="10" defaultColWidth="11.42578125" defaultRowHeight="15" x14ac:dyDescent="0.25"/>
  <sheetData>
    <row r="1" spans="1:39" ht="49.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4" t="s">
        <v>770</v>
      </c>
      <c r="J1" s="4" t="s">
        <v>771</v>
      </c>
      <c r="L1" s="4" t="s">
        <v>772</v>
      </c>
      <c r="M1" s="4" t="s">
        <v>773</v>
      </c>
      <c r="O1" s="4" t="s">
        <v>774</v>
      </c>
      <c r="P1" s="4" t="s">
        <v>12</v>
      </c>
      <c r="R1" s="4" t="s">
        <v>775</v>
      </c>
      <c r="S1" s="4" t="s">
        <v>776</v>
      </c>
      <c r="T1" s="4"/>
      <c r="U1" s="4" t="s">
        <v>15</v>
      </c>
      <c r="V1" s="4" t="s">
        <v>16</v>
      </c>
      <c r="W1" s="4" t="s">
        <v>777</v>
      </c>
      <c r="AB1" t="s">
        <v>778</v>
      </c>
      <c r="AC1" s="6" t="s">
        <v>779</v>
      </c>
      <c r="AH1" t="s">
        <v>20</v>
      </c>
      <c r="AI1" t="s">
        <v>21</v>
      </c>
      <c r="AJ1" t="s">
        <v>780</v>
      </c>
      <c r="AL1" s="6" t="s">
        <v>781</v>
      </c>
      <c r="AM1" s="6" t="s">
        <v>782</v>
      </c>
    </row>
    <row r="2" spans="1:39" ht="16.5" x14ac:dyDescent="0.25">
      <c r="A2" s="1">
        <v>45700</v>
      </c>
      <c r="B2" s="5">
        <v>19.09</v>
      </c>
      <c r="C2" s="4">
        <v>18.975000000000001</v>
      </c>
      <c r="D2" s="4">
        <v>19.13</v>
      </c>
      <c r="E2" s="4">
        <v>18.899999999999999</v>
      </c>
      <c r="F2" s="4" t="s">
        <v>738</v>
      </c>
      <c r="G2" s="2" t="s">
        <v>783</v>
      </c>
      <c r="I2">
        <f t="shared" ref="I2:I65" si="0">AVERAGE(B2:B21)</f>
        <v>18.750099999999996</v>
      </c>
      <c r="J2">
        <f t="shared" ref="J2:J65" si="1">AVERAGE(B2:B41)</f>
        <v>17.842749999999999</v>
      </c>
      <c r="L2">
        <f t="shared" ref="L2:L65" si="2">IF($C2&lt;$B2,1,0)</f>
        <v>1</v>
      </c>
      <c r="M2">
        <f t="shared" ref="M2:M65" si="3">IF($C2&lt;$B2,0,1)</f>
        <v>0</v>
      </c>
      <c r="O2">
        <f t="shared" ref="O2:O65" si="4">IF($C2&lt;$B2,B2-C2,0)</f>
        <v>0.11499999999999844</v>
      </c>
      <c r="P2">
        <f t="shared" ref="P2:P65" si="5">IF($B2&lt;$C2,C2-B2,0)</f>
        <v>0</v>
      </c>
      <c r="R2">
        <f t="shared" ref="R2:R65" si="6">SUM(O2:O15)/SUM(L2:L15)</f>
        <v>0.19785714285714359</v>
      </c>
      <c r="S2">
        <f t="shared" ref="S2:S65" si="7">SUM(P2:P15)/SUM(M2:M15)</f>
        <v>0.14571428571428516</v>
      </c>
      <c r="U2">
        <f t="shared" ref="U2:U65" si="8">100-(100/(1+(R2/S2)))</f>
        <v>57.588357588357773</v>
      </c>
      <c r="V2">
        <v>86</v>
      </c>
      <c r="W2">
        <v>57</v>
      </c>
      <c r="AB2">
        <f>((B2-E2)/(D2-E2))*100</f>
        <v>82.608695652174319</v>
      </c>
      <c r="AC2">
        <f>AVERAGE(AB2:AB16)</f>
        <v>54.105041721222847</v>
      </c>
      <c r="AH2">
        <f>_xlfn.STDEV.S(I2:I532)</f>
        <v>2.5778339270504445</v>
      </c>
      <c r="AI2">
        <f>I2-$AH$2</f>
        <v>16.172266072949551</v>
      </c>
      <c r="AJ2">
        <f>I2+$AH$2</f>
        <v>21.327933927050442</v>
      </c>
      <c r="AL2" s="6">
        <f>I2+(AH2*2)</f>
        <v>23.905767854100887</v>
      </c>
      <c r="AM2">
        <f>I2-(AH2*2)</f>
        <v>13.594432145899107</v>
      </c>
    </row>
    <row r="3" spans="1:39" ht="16.5" x14ac:dyDescent="0.25">
      <c r="A3" s="1">
        <v>45699</v>
      </c>
      <c r="B3" s="5">
        <v>18.792000000000002</v>
      </c>
      <c r="C3" s="4">
        <v>18.510000000000002</v>
      </c>
      <c r="D3" s="4">
        <v>18.832000000000001</v>
      </c>
      <c r="E3" s="4">
        <v>18.474</v>
      </c>
      <c r="F3" s="4" t="s">
        <v>784</v>
      </c>
      <c r="G3" s="2" t="s">
        <v>785</v>
      </c>
      <c r="I3">
        <f t="shared" si="0"/>
        <v>18.7044</v>
      </c>
      <c r="J3">
        <f t="shared" si="1"/>
        <v>17.790649999999999</v>
      </c>
      <c r="L3">
        <f t="shared" si="2"/>
        <v>1</v>
      </c>
      <c r="M3">
        <f t="shared" si="3"/>
        <v>0</v>
      </c>
      <c r="O3">
        <f t="shared" si="4"/>
        <v>0.28200000000000003</v>
      </c>
      <c r="P3">
        <f t="shared" si="5"/>
        <v>0</v>
      </c>
      <c r="R3">
        <f t="shared" si="6"/>
        <v>0.21600000000000108</v>
      </c>
      <c r="S3">
        <f t="shared" si="7"/>
        <v>0.14571428571428516</v>
      </c>
      <c r="U3">
        <f t="shared" si="8"/>
        <v>59.715639810426758</v>
      </c>
      <c r="V3">
        <v>86</v>
      </c>
      <c r="W3">
        <v>57</v>
      </c>
      <c r="AB3">
        <f t="shared" ref="AB3:AB15" si="9">((B3-E3)/(D3-E3))*100</f>
        <v>88.826815642458357</v>
      </c>
      <c r="AC3">
        <f t="shared" ref="AC3:AC15" si="10">AVERAGE(AB3:AB17)</f>
        <v>51.912452957303501</v>
      </c>
      <c r="AH3">
        <f t="shared" ref="AH3:AH66" si="11">_xlfn.STDEV.S(I3:I533)</f>
        <v>2.5669340710302788</v>
      </c>
      <c r="AI3">
        <f t="shared" ref="AI3:AI66" si="12">I3-$AH$2</f>
        <v>16.126566072949554</v>
      </c>
      <c r="AJ3">
        <f t="shared" ref="AJ3:AJ66" si="13">I3+$AH$2</f>
        <v>21.282233927050445</v>
      </c>
      <c r="AL3" s="6">
        <f t="shared" ref="AL3:AL66" si="14">I3+(AH3*2)</f>
        <v>23.838268142060556</v>
      </c>
      <c r="AM3">
        <f t="shared" ref="AM3:AM66" si="15">I3-(AH3*2)</f>
        <v>13.570531857939443</v>
      </c>
    </row>
    <row r="4" spans="1:39" ht="16.5" x14ac:dyDescent="0.25">
      <c r="A4" s="1">
        <v>45698</v>
      </c>
      <c r="B4" s="5">
        <v>18.507999999999999</v>
      </c>
      <c r="C4" s="4">
        <v>18.62</v>
      </c>
      <c r="D4" s="4">
        <v>18.786000000000001</v>
      </c>
      <c r="E4" s="4">
        <v>18.507999999999999</v>
      </c>
      <c r="F4" s="4" t="s">
        <v>786</v>
      </c>
      <c r="G4" s="2" t="s">
        <v>652</v>
      </c>
      <c r="I4">
        <f t="shared" si="0"/>
        <v>18.6447</v>
      </c>
      <c r="J4">
        <f t="shared" si="1"/>
        <v>17.746850000000002</v>
      </c>
      <c r="L4">
        <f t="shared" si="2"/>
        <v>0</v>
      </c>
      <c r="M4">
        <f t="shared" si="3"/>
        <v>1</v>
      </c>
      <c r="O4">
        <f t="shared" si="4"/>
        <v>0</v>
      </c>
      <c r="P4">
        <f t="shared" si="5"/>
        <v>0.11200000000000188</v>
      </c>
      <c r="R4">
        <f t="shared" si="6"/>
        <v>0.20500000000000126</v>
      </c>
      <c r="S4">
        <f t="shared" si="7"/>
        <v>0.1324999999999994</v>
      </c>
      <c r="U4">
        <f t="shared" si="8"/>
        <v>60.740740740740996</v>
      </c>
      <c r="V4">
        <v>86</v>
      </c>
      <c r="W4">
        <v>57</v>
      </c>
      <c r="AB4">
        <f t="shared" si="9"/>
        <v>0</v>
      </c>
      <c r="AC4">
        <f t="shared" si="10"/>
        <v>48.836256066873922</v>
      </c>
      <c r="AH4">
        <f t="shared" si="11"/>
        <v>2.5560992087825665</v>
      </c>
      <c r="AI4">
        <f t="shared" si="12"/>
        <v>16.066866072949555</v>
      </c>
      <c r="AJ4">
        <f t="shared" si="13"/>
        <v>21.222533927050446</v>
      </c>
      <c r="AL4" s="6">
        <f t="shared" si="14"/>
        <v>23.756898417565132</v>
      </c>
      <c r="AM4">
        <f t="shared" si="15"/>
        <v>13.532501582434868</v>
      </c>
    </row>
    <row r="5" spans="1:39" ht="16.5" x14ac:dyDescent="0.25">
      <c r="A5" s="1">
        <v>45695</v>
      </c>
      <c r="B5" s="5">
        <v>18.591999999999999</v>
      </c>
      <c r="C5" s="4">
        <v>18.745999999999999</v>
      </c>
      <c r="D5" s="4">
        <v>18.78</v>
      </c>
      <c r="E5" s="4">
        <v>18.533999999999999</v>
      </c>
      <c r="F5" s="4" t="s">
        <v>787</v>
      </c>
      <c r="G5" s="2" t="s">
        <v>788</v>
      </c>
      <c r="I5">
        <f t="shared" si="0"/>
        <v>18.570700000000002</v>
      </c>
      <c r="J5">
        <f t="shared" si="1"/>
        <v>17.705349999999999</v>
      </c>
      <c r="L5">
        <f t="shared" si="2"/>
        <v>0</v>
      </c>
      <c r="M5">
        <f t="shared" si="3"/>
        <v>1</v>
      </c>
      <c r="O5">
        <f t="shared" si="4"/>
        <v>0</v>
      </c>
      <c r="P5">
        <f t="shared" si="5"/>
        <v>0.15399999999999991</v>
      </c>
      <c r="R5">
        <f t="shared" si="6"/>
        <v>0.20500000000000126</v>
      </c>
      <c r="S5">
        <f t="shared" si="7"/>
        <v>0.12049999999999894</v>
      </c>
      <c r="U5">
        <f t="shared" si="8"/>
        <v>62.980030721966557</v>
      </c>
      <c r="V5">
        <v>86</v>
      </c>
      <c r="W5">
        <v>57</v>
      </c>
      <c r="AB5">
        <f t="shared" si="9"/>
        <v>23.57723577235744</v>
      </c>
      <c r="AC5">
        <f t="shared" si="10"/>
        <v>53.275915709317012</v>
      </c>
      <c r="AH5">
        <f t="shared" si="11"/>
        <v>2.5453923490448456</v>
      </c>
      <c r="AI5">
        <f t="shared" si="12"/>
        <v>15.992866072949557</v>
      </c>
      <c r="AJ5">
        <f t="shared" si="13"/>
        <v>21.148533927050448</v>
      </c>
      <c r="AL5" s="6">
        <f t="shared" si="14"/>
        <v>23.661484698089694</v>
      </c>
      <c r="AM5">
        <f t="shared" si="15"/>
        <v>13.47991530191031</v>
      </c>
    </row>
    <row r="6" spans="1:39" ht="16.5" x14ac:dyDescent="0.25">
      <c r="A6" s="1">
        <v>45694</v>
      </c>
      <c r="B6" s="5">
        <v>18.681999999999999</v>
      </c>
      <c r="C6" s="4">
        <v>18.22</v>
      </c>
      <c r="D6" s="4">
        <v>18.739999999999998</v>
      </c>
      <c r="E6" s="4">
        <v>18.085999999999999</v>
      </c>
      <c r="F6" s="4" t="s">
        <v>789</v>
      </c>
      <c r="G6" s="2" t="s">
        <v>790</v>
      </c>
      <c r="I6">
        <f t="shared" si="0"/>
        <v>18.495900000000002</v>
      </c>
      <c r="J6">
        <f t="shared" si="1"/>
        <v>17.661899999999999</v>
      </c>
      <c r="L6">
        <f t="shared" si="2"/>
        <v>1</v>
      </c>
      <c r="M6">
        <f t="shared" si="3"/>
        <v>0</v>
      </c>
      <c r="O6">
        <f t="shared" si="4"/>
        <v>0.46199999999999974</v>
      </c>
      <c r="P6">
        <f t="shared" si="5"/>
        <v>0</v>
      </c>
      <c r="R6">
        <f t="shared" si="6"/>
        <v>0.20600000000000104</v>
      </c>
      <c r="S6">
        <f t="shared" si="7"/>
        <v>0.11571428571428452</v>
      </c>
      <c r="U6">
        <f t="shared" si="8"/>
        <v>64.031971580817412</v>
      </c>
      <c r="V6">
        <v>86</v>
      </c>
      <c r="W6">
        <v>57</v>
      </c>
      <c r="AB6">
        <f t="shared" si="9"/>
        <v>91.131498470948031</v>
      </c>
      <c r="AC6">
        <f t="shared" si="10"/>
        <v>56.245783703012968</v>
      </c>
      <c r="AH6">
        <f t="shared" si="11"/>
        <v>2.5348779369271943</v>
      </c>
      <c r="AI6">
        <f t="shared" si="12"/>
        <v>15.918066072949557</v>
      </c>
      <c r="AJ6">
        <f t="shared" si="13"/>
        <v>21.073733927050448</v>
      </c>
      <c r="AL6" s="6">
        <f t="shared" si="14"/>
        <v>23.565655873854389</v>
      </c>
      <c r="AM6">
        <f t="shared" si="15"/>
        <v>13.426144126145614</v>
      </c>
    </row>
    <row r="7" spans="1:39" ht="16.5" x14ac:dyDescent="0.25">
      <c r="A7" s="1">
        <v>45693</v>
      </c>
      <c r="B7" s="5">
        <v>18.074000000000002</v>
      </c>
      <c r="C7" s="4">
        <v>18.2</v>
      </c>
      <c r="D7" s="4">
        <v>18.344000000000001</v>
      </c>
      <c r="E7" s="4">
        <v>17.952000000000002</v>
      </c>
      <c r="F7" s="4" t="s">
        <v>791</v>
      </c>
      <c r="G7" s="2" t="s">
        <v>792</v>
      </c>
      <c r="I7">
        <f t="shared" si="0"/>
        <v>18.418600000000005</v>
      </c>
      <c r="J7">
        <f t="shared" si="1"/>
        <v>17.619</v>
      </c>
      <c r="L7">
        <f t="shared" si="2"/>
        <v>0</v>
      </c>
      <c r="M7">
        <f t="shared" si="3"/>
        <v>1</v>
      </c>
      <c r="O7">
        <f t="shared" si="4"/>
        <v>0</v>
      </c>
      <c r="P7">
        <f t="shared" si="5"/>
        <v>0.12599999999999767</v>
      </c>
      <c r="R7">
        <f t="shared" si="6"/>
        <v>0.1720000000000006</v>
      </c>
      <c r="S7">
        <f t="shared" si="7"/>
        <v>0.11571428571428452</v>
      </c>
      <c r="U7">
        <f t="shared" si="8"/>
        <v>59.78152929493578</v>
      </c>
      <c r="V7">
        <v>86</v>
      </c>
      <c r="W7">
        <v>57</v>
      </c>
      <c r="AB7">
        <f t="shared" si="9"/>
        <v>31.122448979591848</v>
      </c>
      <c r="AC7">
        <f t="shared" si="10"/>
        <v>52.3695931732424</v>
      </c>
      <c r="AH7">
        <f t="shared" si="11"/>
        <v>2.5245607123797114</v>
      </c>
      <c r="AI7">
        <f t="shared" si="12"/>
        <v>15.84076607294956</v>
      </c>
      <c r="AJ7">
        <f t="shared" si="13"/>
        <v>20.99643392705045</v>
      </c>
      <c r="AL7" s="6">
        <f t="shared" si="14"/>
        <v>23.467721424759429</v>
      </c>
      <c r="AM7">
        <f t="shared" si="15"/>
        <v>13.369478575240581</v>
      </c>
    </row>
    <row r="8" spans="1:39" ht="16.5" x14ac:dyDescent="0.25">
      <c r="A8" s="1">
        <v>45692</v>
      </c>
      <c r="B8" s="5">
        <v>18.22</v>
      </c>
      <c r="C8" s="4">
        <v>18.428000000000001</v>
      </c>
      <c r="D8" s="4">
        <v>18.513999999999999</v>
      </c>
      <c r="E8" s="4">
        <v>18.036000000000001</v>
      </c>
      <c r="F8" s="4" t="s">
        <v>793</v>
      </c>
      <c r="G8" s="2" t="s">
        <v>794</v>
      </c>
      <c r="I8">
        <f t="shared" si="0"/>
        <v>18.356000000000002</v>
      </c>
      <c r="J8">
        <f t="shared" si="1"/>
        <v>17.584299999999999</v>
      </c>
      <c r="L8">
        <f t="shared" si="2"/>
        <v>0</v>
      </c>
      <c r="M8">
        <f t="shared" si="3"/>
        <v>1</v>
      </c>
      <c r="O8">
        <f t="shared" si="4"/>
        <v>0</v>
      </c>
      <c r="P8">
        <f t="shared" si="5"/>
        <v>0.20800000000000196</v>
      </c>
      <c r="R8">
        <f t="shared" si="6"/>
        <v>0.1720000000000006</v>
      </c>
      <c r="S8">
        <f t="shared" si="7"/>
        <v>0.12028571428571359</v>
      </c>
      <c r="U8">
        <f t="shared" si="8"/>
        <v>58.846529814271975</v>
      </c>
      <c r="V8">
        <v>86</v>
      </c>
      <c r="W8">
        <v>57</v>
      </c>
      <c r="AB8">
        <f t="shared" si="9"/>
        <v>38.493723849372024</v>
      </c>
      <c r="AC8">
        <f t="shared" si="10"/>
        <v>55.025486197448721</v>
      </c>
      <c r="AH8">
        <f t="shared" si="11"/>
        <v>2.5144527795872014</v>
      </c>
      <c r="AI8">
        <f t="shared" si="12"/>
        <v>15.778166072949556</v>
      </c>
      <c r="AJ8">
        <f t="shared" si="13"/>
        <v>20.933833927050447</v>
      </c>
      <c r="AL8" s="6">
        <f t="shared" si="14"/>
        <v>23.384905559174406</v>
      </c>
      <c r="AM8">
        <f t="shared" si="15"/>
        <v>13.327094440825599</v>
      </c>
    </row>
    <row r="9" spans="1:39" ht="16.5" x14ac:dyDescent="0.25">
      <c r="A9" s="1">
        <v>45691</v>
      </c>
      <c r="B9" s="5">
        <v>18.344000000000001</v>
      </c>
      <c r="C9" s="4">
        <v>18.545999999999999</v>
      </c>
      <c r="D9" s="4">
        <v>18.675999999999998</v>
      </c>
      <c r="E9" s="4">
        <v>18.103999999999999</v>
      </c>
      <c r="F9" s="4" t="s">
        <v>795</v>
      </c>
      <c r="G9" s="2" t="s">
        <v>196</v>
      </c>
      <c r="I9">
        <f t="shared" si="0"/>
        <v>18.288400000000003</v>
      </c>
      <c r="J9">
        <f t="shared" si="1"/>
        <v>17.547050000000002</v>
      </c>
      <c r="L9">
        <f t="shared" si="2"/>
        <v>0</v>
      </c>
      <c r="M9">
        <f t="shared" si="3"/>
        <v>1</v>
      </c>
      <c r="O9">
        <f t="shared" si="4"/>
        <v>0</v>
      </c>
      <c r="P9">
        <f t="shared" si="5"/>
        <v>0.20199999999999818</v>
      </c>
      <c r="R9">
        <f t="shared" si="6"/>
        <v>0.21150000000000047</v>
      </c>
      <c r="S9">
        <f t="shared" si="7"/>
        <v>0.10566666666666553</v>
      </c>
      <c r="U9">
        <f t="shared" si="8"/>
        <v>66.684182869154256</v>
      </c>
      <c r="V9">
        <v>86</v>
      </c>
      <c r="W9">
        <v>57</v>
      </c>
      <c r="AB9">
        <f t="shared" si="9"/>
        <v>41.958041958042365</v>
      </c>
      <c r="AC9">
        <f t="shared" si="10"/>
        <v>57.387166532888251</v>
      </c>
      <c r="AH9">
        <f t="shared" si="11"/>
        <v>2.5044912207159213</v>
      </c>
      <c r="AI9">
        <f t="shared" si="12"/>
        <v>15.710566072949558</v>
      </c>
      <c r="AJ9">
        <f t="shared" si="13"/>
        <v>20.866233927050448</v>
      </c>
      <c r="AL9" s="6">
        <f t="shared" si="14"/>
        <v>23.297382441431846</v>
      </c>
      <c r="AM9">
        <f t="shared" si="15"/>
        <v>13.279417558568159</v>
      </c>
    </row>
    <row r="10" spans="1:39" ht="16.5" x14ac:dyDescent="0.25">
      <c r="A10" s="1">
        <v>45688</v>
      </c>
      <c r="B10" s="5">
        <v>18.940000000000001</v>
      </c>
      <c r="C10" s="4">
        <v>19.058</v>
      </c>
      <c r="D10" s="4">
        <v>19.190000000000001</v>
      </c>
      <c r="E10" s="4">
        <v>18.783999999999999</v>
      </c>
      <c r="F10" s="4" t="s">
        <v>796</v>
      </c>
      <c r="G10" s="2" t="s">
        <v>98</v>
      </c>
      <c r="I10">
        <f t="shared" si="0"/>
        <v>18.2224</v>
      </c>
      <c r="J10">
        <f t="shared" si="1"/>
        <v>17.4954</v>
      </c>
      <c r="L10">
        <f t="shared" si="2"/>
        <v>0</v>
      </c>
      <c r="M10">
        <f t="shared" si="3"/>
        <v>1</v>
      </c>
      <c r="O10">
        <f t="shared" si="4"/>
        <v>0</v>
      </c>
      <c r="P10">
        <f t="shared" si="5"/>
        <v>0.11799999999999855</v>
      </c>
      <c r="R10">
        <f t="shared" si="6"/>
        <v>0.23466666666666688</v>
      </c>
      <c r="S10">
        <f t="shared" si="7"/>
        <v>8.6399999999999005E-2</v>
      </c>
      <c r="U10">
        <f t="shared" si="8"/>
        <v>73.08970099667799</v>
      </c>
      <c r="V10">
        <v>86</v>
      </c>
      <c r="W10">
        <v>57</v>
      </c>
      <c r="AB10">
        <f t="shared" si="9"/>
        <v>38.423645320197402</v>
      </c>
      <c r="AC10">
        <f t="shared" si="10"/>
        <v>59.958687295362559</v>
      </c>
      <c r="AH10">
        <f t="shared" si="11"/>
        <v>2.4946988708421221</v>
      </c>
      <c r="AI10">
        <f t="shared" si="12"/>
        <v>15.644566072949555</v>
      </c>
      <c r="AJ10">
        <f t="shared" si="13"/>
        <v>20.800233927050446</v>
      </c>
      <c r="AL10" s="6">
        <f t="shared" si="14"/>
        <v>23.211797741684244</v>
      </c>
      <c r="AM10">
        <f t="shared" si="15"/>
        <v>13.233002258315757</v>
      </c>
    </row>
    <row r="11" spans="1:39" ht="16.5" x14ac:dyDescent="0.25">
      <c r="A11" s="1">
        <v>45687</v>
      </c>
      <c r="B11" s="5">
        <v>18.896000000000001</v>
      </c>
      <c r="C11" s="4">
        <v>18.841999999999999</v>
      </c>
      <c r="D11" s="4">
        <v>19.094000000000001</v>
      </c>
      <c r="E11" s="4">
        <v>18.295999999999999</v>
      </c>
      <c r="F11" s="4" t="s">
        <v>797</v>
      </c>
      <c r="G11" s="2" t="s">
        <v>798</v>
      </c>
      <c r="I11">
        <f t="shared" si="0"/>
        <v>18.123800000000003</v>
      </c>
      <c r="J11">
        <f t="shared" si="1"/>
        <v>17.423749999999998</v>
      </c>
      <c r="L11">
        <f t="shared" si="2"/>
        <v>1</v>
      </c>
      <c r="M11">
        <f t="shared" si="3"/>
        <v>0</v>
      </c>
      <c r="O11">
        <f t="shared" si="4"/>
        <v>5.4000000000002046E-2</v>
      </c>
      <c r="P11">
        <f t="shared" si="5"/>
        <v>0</v>
      </c>
      <c r="R11">
        <f t="shared" si="6"/>
        <v>0.21640000000000015</v>
      </c>
      <c r="S11">
        <f t="shared" si="7"/>
        <v>7.8499999999999126E-2</v>
      </c>
      <c r="U11">
        <f t="shared" si="8"/>
        <v>73.380807053238613</v>
      </c>
      <c r="V11">
        <v>86</v>
      </c>
      <c r="W11">
        <v>57</v>
      </c>
      <c r="AB11">
        <f t="shared" si="9"/>
        <v>75.187969924812037</v>
      </c>
      <c r="AC11">
        <f t="shared" si="10"/>
        <v>64.265695690395603</v>
      </c>
      <c r="AH11">
        <f t="shared" si="11"/>
        <v>2.485069910270826</v>
      </c>
      <c r="AI11">
        <f t="shared" si="12"/>
        <v>15.545966072949557</v>
      </c>
      <c r="AJ11">
        <f t="shared" si="13"/>
        <v>20.701633927050448</v>
      </c>
      <c r="AL11" s="6">
        <f t="shared" si="14"/>
        <v>23.093939820541657</v>
      </c>
      <c r="AM11">
        <f t="shared" si="15"/>
        <v>13.153660179458351</v>
      </c>
    </row>
    <row r="12" spans="1:39" ht="16.5" x14ac:dyDescent="0.25">
      <c r="A12" s="1">
        <v>45686</v>
      </c>
      <c r="B12" s="5">
        <v>19.524000000000001</v>
      </c>
      <c r="C12" s="4">
        <v>19.303999999999998</v>
      </c>
      <c r="D12" s="4">
        <v>19.628</v>
      </c>
      <c r="E12" s="4">
        <v>19.242000000000001</v>
      </c>
      <c r="F12" s="4" t="s">
        <v>799</v>
      </c>
      <c r="G12" s="2" t="s">
        <v>800</v>
      </c>
      <c r="I12">
        <f t="shared" si="0"/>
        <v>18.019399999999997</v>
      </c>
      <c r="J12">
        <f t="shared" si="1"/>
        <v>17.345199999999998</v>
      </c>
      <c r="L12">
        <f t="shared" si="2"/>
        <v>1</v>
      </c>
      <c r="M12">
        <f t="shared" si="3"/>
        <v>0</v>
      </c>
      <c r="O12">
        <f t="shared" si="4"/>
        <v>0.22000000000000242</v>
      </c>
      <c r="P12">
        <f t="shared" si="5"/>
        <v>0</v>
      </c>
      <c r="R12">
        <f t="shared" si="6"/>
        <v>0.23444444444444437</v>
      </c>
      <c r="S12">
        <f t="shared" si="7"/>
        <v>6.4399999999999125E-2</v>
      </c>
      <c r="U12">
        <f t="shared" si="8"/>
        <v>78.450327186198919</v>
      </c>
      <c r="V12">
        <v>86</v>
      </c>
      <c r="W12">
        <v>57</v>
      </c>
      <c r="AB12">
        <f t="shared" si="9"/>
        <v>73.056994818652996</v>
      </c>
      <c r="AC12">
        <f t="shared" si="10"/>
        <v>61.535127131791484</v>
      </c>
      <c r="AH12">
        <f t="shared" si="11"/>
        <v>2.4757453497976383</v>
      </c>
      <c r="AI12">
        <f t="shared" si="12"/>
        <v>15.441566072949552</v>
      </c>
      <c r="AJ12">
        <f t="shared" si="13"/>
        <v>20.597233927050443</v>
      </c>
      <c r="AL12" s="6">
        <f t="shared" si="14"/>
        <v>22.970890699595273</v>
      </c>
      <c r="AM12">
        <f t="shared" si="15"/>
        <v>13.067909300404722</v>
      </c>
    </row>
    <row r="13" spans="1:39" ht="16.5" x14ac:dyDescent="0.25">
      <c r="A13" s="1">
        <v>45685</v>
      </c>
      <c r="B13" s="5">
        <v>19.25</v>
      </c>
      <c r="C13" s="4">
        <v>19.015999999999998</v>
      </c>
      <c r="D13" s="4">
        <v>19.344000000000001</v>
      </c>
      <c r="E13" s="4">
        <v>18.896000000000001</v>
      </c>
      <c r="F13" s="4" t="s">
        <v>801</v>
      </c>
      <c r="G13" s="2" t="s">
        <v>667</v>
      </c>
      <c r="I13">
        <f t="shared" si="0"/>
        <v>17.8752</v>
      </c>
      <c r="J13">
        <f t="shared" si="1"/>
        <v>17.243449999999999</v>
      </c>
      <c r="L13">
        <f t="shared" si="2"/>
        <v>1</v>
      </c>
      <c r="M13">
        <f t="shared" si="3"/>
        <v>0</v>
      </c>
      <c r="O13">
        <f t="shared" si="4"/>
        <v>0.23400000000000176</v>
      </c>
      <c r="P13">
        <f t="shared" si="5"/>
        <v>0</v>
      </c>
      <c r="R13">
        <f t="shared" si="6"/>
        <v>0.25177777777777721</v>
      </c>
      <c r="S13">
        <f t="shared" si="7"/>
        <v>6.4399999999999125E-2</v>
      </c>
      <c r="U13">
        <f t="shared" si="8"/>
        <v>79.63171211695267</v>
      </c>
      <c r="V13">
        <v>86</v>
      </c>
      <c r="W13">
        <v>57</v>
      </c>
      <c r="AB13">
        <f t="shared" si="9"/>
        <v>79.017857142856897</v>
      </c>
      <c r="AC13">
        <f t="shared" si="10"/>
        <v>57.694504569504318</v>
      </c>
      <c r="AH13">
        <f t="shared" si="11"/>
        <v>2.4667497499422719</v>
      </c>
      <c r="AI13">
        <f t="shared" si="12"/>
        <v>15.297366072949554</v>
      </c>
      <c r="AJ13">
        <f t="shared" si="13"/>
        <v>20.453033927050445</v>
      </c>
      <c r="AL13" s="6">
        <f t="shared" si="14"/>
        <v>22.808699499884543</v>
      </c>
      <c r="AM13">
        <f t="shared" si="15"/>
        <v>12.941700500115456</v>
      </c>
    </row>
    <row r="14" spans="1:39" ht="16.5" x14ac:dyDescent="0.25">
      <c r="A14" s="1">
        <v>45684</v>
      </c>
      <c r="B14" s="5">
        <v>18.956</v>
      </c>
      <c r="C14" s="4">
        <v>18.937999999999999</v>
      </c>
      <c r="D14" s="4">
        <v>19.126000000000001</v>
      </c>
      <c r="E14" s="4">
        <v>18.774000000000001</v>
      </c>
      <c r="F14" s="4" t="s">
        <v>802</v>
      </c>
      <c r="G14" s="2" t="s">
        <v>354</v>
      </c>
      <c r="I14">
        <f t="shared" si="0"/>
        <v>17.739299999999997</v>
      </c>
      <c r="J14">
        <f t="shared" si="1"/>
        <v>17.151</v>
      </c>
      <c r="L14">
        <f t="shared" si="2"/>
        <v>1</v>
      </c>
      <c r="M14">
        <f t="shared" si="3"/>
        <v>0</v>
      </c>
      <c r="O14">
        <f t="shared" si="4"/>
        <v>1.8000000000000682E-2</v>
      </c>
      <c r="P14">
        <f t="shared" si="5"/>
        <v>0</v>
      </c>
      <c r="R14">
        <f t="shared" si="6"/>
        <v>0.25399999999999912</v>
      </c>
      <c r="S14">
        <f t="shared" si="7"/>
        <v>5.5333333333332867E-2</v>
      </c>
      <c r="U14">
        <f t="shared" si="8"/>
        <v>82.112068965517309</v>
      </c>
      <c r="V14">
        <v>86</v>
      </c>
      <c r="W14">
        <v>57</v>
      </c>
      <c r="AB14">
        <f t="shared" si="9"/>
        <v>51.704545454545013</v>
      </c>
      <c r="AC14">
        <f t="shared" si="10"/>
        <v>47.032828282828021</v>
      </c>
      <c r="AH14">
        <f t="shared" si="11"/>
        <v>2.4582482747143595</v>
      </c>
      <c r="AI14">
        <f t="shared" si="12"/>
        <v>15.161466072949551</v>
      </c>
      <c r="AJ14">
        <f t="shared" si="13"/>
        <v>20.317133927050442</v>
      </c>
      <c r="AL14" s="6">
        <f t="shared" si="14"/>
        <v>22.655796549428715</v>
      </c>
      <c r="AM14">
        <f t="shared" si="15"/>
        <v>12.822803450571278</v>
      </c>
    </row>
    <row r="15" spans="1:39" ht="16.5" x14ac:dyDescent="0.25">
      <c r="A15" s="1">
        <v>45681</v>
      </c>
      <c r="B15" s="5">
        <v>19.05</v>
      </c>
      <c r="C15" s="4">
        <v>19.149999999999999</v>
      </c>
      <c r="D15" s="4">
        <v>19.216000000000001</v>
      </c>
      <c r="E15" s="4">
        <v>18.928000000000001</v>
      </c>
      <c r="F15" s="4" t="s">
        <v>803</v>
      </c>
      <c r="G15" s="2" t="s">
        <v>365</v>
      </c>
      <c r="I15">
        <f t="shared" si="0"/>
        <v>17.606899999999996</v>
      </c>
      <c r="J15">
        <f t="shared" si="1"/>
        <v>17.069800000000001</v>
      </c>
      <c r="L15">
        <f t="shared" si="2"/>
        <v>0</v>
      </c>
      <c r="M15">
        <f t="shared" si="3"/>
        <v>1</v>
      </c>
      <c r="O15">
        <f t="shared" si="4"/>
        <v>0</v>
      </c>
      <c r="P15">
        <f t="shared" si="5"/>
        <v>9.9999999999997868E-2</v>
      </c>
      <c r="R15">
        <f t="shared" si="6"/>
        <v>0.28771428571428459</v>
      </c>
      <c r="S15">
        <f t="shared" si="7"/>
        <v>5.7714285714285704E-2</v>
      </c>
      <c r="U15">
        <f t="shared" si="8"/>
        <v>83.291976840363887</v>
      </c>
      <c r="V15">
        <v>86</v>
      </c>
      <c r="W15">
        <v>57</v>
      </c>
      <c r="AB15">
        <f t="shared" si="9"/>
        <v>42.361111111111036</v>
      </c>
      <c r="AC15">
        <f t="shared" si="10"/>
        <v>42.361111111111036</v>
      </c>
      <c r="AH15">
        <f t="shared" si="11"/>
        <v>2.4502021752006251</v>
      </c>
      <c r="AI15">
        <f t="shared" si="12"/>
        <v>15.029066072949551</v>
      </c>
      <c r="AJ15">
        <f t="shared" si="13"/>
        <v>20.184733927050441</v>
      </c>
      <c r="AL15" s="6">
        <f t="shared" si="14"/>
        <v>22.507304350401245</v>
      </c>
      <c r="AM15">
        <f t="shared" si="15"/>
        <v>12.706495649598747</v>
      </c>
    </row>
    <row r="16" spans="1:39" ht="16.5" x14ac:dyDescent="0.25">
      <c r="A16" s="1">
        <v>45680</v>
      </c>
      <c r="B16" s="5">
        <v>19.05</v>
      </c>
      <c r="C16" s="4">
        <v>18.808</v>
      </c>
      <c r="D16" s="4">
        <v>19.106000000000002</v>
      </c>
      <c r="E16" s="4">
        <v>18.806000000000001</v>
      </c>
      <c r="F16" s="4" t="s">
        <v>804</v>
      </c>
      <c r="G16" s="2" t="s">
        <v>235</v>
      </c>
      <c r="I16">
        <f t="shared" si="0"/>
        <v>17.466899999999999</v>
      </c>
      <c r="J16">
        <f t="shared" si="1"/>
        <v>16.982350000000004</v>
      </c>
      <c r="L16">
        <f t="shared" si="2"/>
        <v>1</v>
      </c>
      <c r="M16">
        <f t="shared" si="3"/>
        <v>0</v>
      </c>
      <c r="O16">
        <f t="shared" si="4"/>
        <v>0.24200000000000088</v>
      </c>
      <c r="P16">
        <f t="shared" si="5"/>
        <v>0</v>
      </c>
      <c r="R16">
        <f t="shared" si="6"/>
        <v>0.28771428571428459</v>
      </c>
      <c r="S16">
        <f t="shared" si="7"/>
        <v>4.857142857142855E-2</v>
      </c>
      <c r="U16">
        <f t="shared" si="8"/>
        <v>85.556499575191125</v>
      </c>
      <c r="V16">
        <v>86</v>
      </c>
      <c r="W16">
        <v>57</v>
      </c>
      <c r="AH16">
        <f t="shared" si="11"/>
        <v>2.4425931173002606</v>
      </c>
      <c r="AI16">
        <f t="shared" si="12"/>
        <v>14.889066072949554</v>
      </c>
      <c r="AJ16">
        <f t="shared" si="13"/>
        <v>20.044733927050444</v>
      </c>
      <c r="AL16" s="6">
        <f t="shared" si="14"/>
        <v>22.35208623460052</v>
      </c>
      <c r="AM16">
        <f t="shared" si="15"/>
        <v>12.581713765399478</v>
      </c>
    </row>
    <row r="17" spans="1:39" ht="16.5" x14ac:dyDescent="0.25">
      <c r="A17" s="1">
        <v>45679</v>
      </c>
      <c r="B17" s="5">
        <v>18.77</v>
      </c>
      <c r="C17" s="4">
        <v>18.809999999999999</v>
      </c>
      <c r="D17" s="4">
        <v>18.978000000000002</v>
      </c>
      <c r="E17" s="4">
        <v>18.706</v>
      </c>
      <c r="F17" s="4" t="s">
        <v>805</v>
      </c>
      <c r="G17" s="2" t="s">
        <v>454</v>
      </c>
      <c r="I17">
        <f t="shared" si="0"/>
        <v>17.343799999999998</v>
      </c>
      <c r="J17">
        <f t="shared" si="1"/>
        <v>16.90635</v>
      </c>
      <c r="L17">
        <f t="shared" si="2"/>
        <v>0</v>
      </c>
      <c r="M17">
        <f t="shared" si="3"/>
        <v>1</v>
      </c>
      <c r="O17">
        <f t="shared" si="4"/>
        <v>0</v>
      </c>
      <c r="P17">
        <f t="shared" si="5"/>
        <v>3.9999999999999147E-2</v>
      </c>
      <c r="R17">
        <f t="shared" si="6"/>
        <v>0.28971428571428454</v>
      </c>
      <c r="S17">
        <f t="shared" si="7"/>
        <v>4.857142857142855E-2</v>
      </c>
      <c r="U17">
        <f t="shared" si="8"/>
        <v>85.641891891891845</v>
      </c>
      <c r="AH17">
        <f t="shared" si="11"/>
        <v>2.4354464866505832</v>
      </c>
      <c r="AI17">
        <f t="shared" si="12"/>
        <v>14.765966072949553</v>
      </c>
      <c r="AJ17">
        <f t="shared" si="13"/>
        <v>19.921633927050443</v>
      </c>
      <c r="AL17" s="6">
        <f t="shared" si="14"/>
        <v>22.214692973301165</v>
      </c>
      <c r="AM17">
        <f t="shared" si="15"/>
        <v>12.472907026698831</v>
      </c>
    </row>
    <row r="18" spans="1:39" ht="16.5" x14ac:dyDescent="0.25">
      <c r="A18" s="1">
        <v>45678</v>
      </c>
      <c r="B18" s="5">
        <v>18.742000000000001</v>
      </c>
      <c r="C18" s="4">
        <v>18.757999999999999</v>
      </c>
      <c r="D18" s="4">
        <v>18.948</v>
      </c>
      <c r="E18" s="4">
        <v>18.681999999999999</v>
      </c>
      <c r="F18" s="4" t="s">
        <v>805</v>
      </c>
      <c r="G18" s="2" t="s">
        <v>471</v>
      </c>
      <c r="I18">
        <f t="shared" si="0"/>
        <v>17.250899999999998</v>
      </c>
      <c r="J18">
        <f t="shared" si="1"/>
        <v>16.83455</v>
      </c>
      <c r="L18">
        <f t="shared" si="2"/>
        <v>0</v>
      </c>
      <c r="M18">
        <f t="shared" si="3"/>
        <v>1</v>
      </c>
      <c r="O18">
        <f t="shared" si="4"/>
        <v>0</v>
      </c>
      <c r="P18">
        <f t="shared" si="5"/>
        <v>1.5999999999998238E-2</v>
      </c>
      <c r="R18">
        <f t="shared" si="6"/>
        <v>0.28199999999999914</v>
      </c>
      <c r="S18">
        <f t="shared" si="7"/>
        <v>5.0000000000000121E-2</v>
      </c>
      <c r="U18">
        <f t="shared" si="8"/>
        <v>84.939759036144508</v>
      </c>
      <c r="AH18">
        <f t="shared" si="11"/>
        <v>2.4286917679858617</v>
      </c>
      <c r="AI18">
        <f t="shared" si="12"/>
        <v>14.673066072949553</v>
      </c>
      <c r="AJ18">
        <f t="shared" si="13"/>
        <v>19.828733927050443</v>
      </c>
      <c r="AL18" s="6">
        <f t="shared" si="14"/>
        <v>22.108283535971722</v>
      </c>
      <c r="AM18">
        <f t="shared" si="15"/>
        <v>12.393516464028274</v>
      </c>
    </row>
    <row r="19" spans="1:39" ht="16.5" x14ac:dyDescent="0.25">
      <c r="A19" s="1">
        <v>45677</v>
      </c>
      <c r="B19" s="5">
        <v>18.806000000000001</v>
      </c>
      <c r="C19" s="4">
        <v>18.594000000000001</v>
      </c>
      <c r="D19" s="4">
        <v>18.834</v>
      </c>
      <c r="E19" s="4">
        <v>18.594000000000001</v>
      </c>
      <c r="F19" s="4" t="s">
        <v>806</v>
      </c>
      <c r="G19" s="2" t="s">
        <v>769</v>
      </c>
      <c r="I19">
        <f t="shared" si="0"/>
        <v>17.153299999999998</v>
      </c>
      <c r="J19">
        <f t="shared" si="1"/>
        <v>16.763399999999997</v>
      </c>
      <c r="L19">
        <f t="shared" si="2"/>
        <v>1</v>
      </c>
      <c r="M19">
        <f t="shared" si="3"/>
        <v>0</v>
      </c>
      <c r="O19">
        <f t="shared" si="4"/>
        <v>0.21199999999999974</v>
      </c>
      <c r="P19">
        <f t="shared" si="5"/>
        <v>0</v>
      </c>
      <c r="R19">
        <f t="shared" si="6"/>
        <v>0.27177777777777717</v>
      </c>
      <c r="S19">
        <f t="shared" si="7"/>
        <v>5.6800000000000496E-2</v>
      </c>
      <c r="U19">
        <f t="shared" si="8"/>
        <v>82.713377519274829</v>
      </c>
      <c r="AH19">
        <f t="shared" si="11"/>
        <v>2.4222110574698474</v>
      </c>
      <c r="AI19">
        <f t="shared" si="12"/>
        <v>14.575466072949553</v>
      </c>
      <c r="AJ19">
        <f t="shared" si="13"/>
        <v>19.731133927050443</v>
      </c>
      <c r="AL19" s="6">
        <f t="shared" si="14"/>
        <v>21.997722114939691</v>
      </c>
      <c r="AM19">
        <f t="shared" si="15"/>
        <v>12.308877885060303</v>
      </c>
    </row>
    <row r="20" spans="1:39" ht="16.5" x14ac:dyDescent="0.25">
      <c r="A20" s="1">
        <v>45674</v>
      </c>
      <c r="B20" s="5">
        <v>18.515999999999998</v>
      </c>
      <c r="C20" s="4">
        <v>18.292000000000002</v>
      </c>
      <c r="D20" s="4">
        <v>18.55</v>
      </c>
      <c r="E20" s="4">
        <v>18.268000000000001</v>
      </c>
      <c r="F20" s="4" t="s">
        <v>807</v>
      </c>
      <c r="G20" s="2" t="s">
        <v>657</v>
      </c>
      <c r="I20">
        <f t="shared" si="0"/>
        <v>17.070400000000003</v>
      </c>
      <c r="J20">
        <f t="shared" si="1"/>
        <v>16.697849999999999</v>
      </c>
      <c r="L20">
        <f t="shared" si="2"/>
        <v>1</v>
      </c>
      <c r="M20">
        <f t="shared" si="3"/>
        <v>0</v>
      </c>
      <c r="O20">
        <f t="shared" si="4"/>
        <v>0.22399999999999665</v>
      </c>
      <c r="P20">
        <f t="shared" si="5"/>
        <v>0</v>
      </c>
      <c r="R20">
        <f t="shared" si="6"/>
        <v>0.27399999999999936</v>
      </c>
      <c r="S20">
        <f t="shared" si="7"/>
        <v>5.6800000000000496E-2</v>
      </c>
      <c r="U20">
        <f t="shared" si="8"/>
        <v>82.829504232164297</v>
      </c>
      <c r="AH20">
        <f t="shared" si="11"/>
        <v>2.4160206950589065</v>
      </c>
      <c r="AI20">
        <f t="shared" si="12"/>
        <v>14.492566072949558</v>
      </c>
      <c r="AJ20">
        <f t="shared" si="13"/>
        <v>19.648233927050448</v>
      </c>
      <c r="AL20" s="6">
        <f t="shared" si="14"/>
        <v>21.902441390117815</v>
      </c>
      <c r="AM20">
        <f t="shared" si="15"/>
        <v>12.238358609882191</v>
      </c>
    </row>
    <row r="21" spans="1:39" ht="16.5" x14ac:dyDescent="0.25">
      <c r="A21" s="1">
        <v>45673</v>
      </c>
      <c r="B21" s="5">
        <v>18.2</v>
      </c>
      <c r="C21" s="4">
        <v>18.358000000000001</v>
      </c>
      <c r="D21" s="4">
        <v>18.437999999999999</v>
      </c>
      <c r="E21" s="4">
        <v>18.114000000000001</v>
      </c>
      <c r="F21" s="4" t="s">
        <v>808</v>
      </c>
      <c r="G21" s="2" t="s">
        <v>323</v>
      </c>
      <c r="I21">
        <f t="shared" si="0"/>
        <v>16.997800000000002</v>
      </c>
      <c r="J21">
        <f t="shared" si="1"/>
        <v>16.636449999999996</v>
      </c>
      <c r="L21">
        <f t="shared" si="2"/>
        <v>0</v>
      </c>
      <c r="M21">
        <f t="shared" si="3"/>
        <v>1</v>
      </c>
      <c r="O21">
        <f t="shared" si="4"/>
        <v>0</v>
      </c>
      <c r="P21">
        <f t="shared" si="5"/>
        <v>0.15800000000000125</v>
      </c>
      <c r="R21">
        <f t="shared" si="6"/>
        <v>0.28024999999999967</v>
      </c>
      <c r="S21">
        <f t="shared" si="7"/>
        <v>5.1333333333333897E-2</v>
      </c>
      <c r="U21">
        <f t="shared" si="8"/>
        <v>84.518723297310714</v>
      </c>
      <c r="AH21">
        <f t="shared" si="11"/>
        <v>2.4100648155436009</v>
      </c>
      <c r="AI21">
        <f t="shared" si="12"/>
        <v>14.419966072949556</v>
      </c>
      <c r="AJ21">
        <f t="shared" si="13"/>
        <v>19.575633927050447</v>
      </c>
      <c r="AL21" s="6">
        <f t="shared" si="14"/>
        <v>21.817929631087203</v>
      </c>
      <c r="AM21">
        <f t="shared" si="15"/>
        <v>12.1776703689128</v>
      </c>
    </row>
    <row r="22" spans="1:39" ht="16.5" x14ac:dyDescent="0.25">
      <c r="A22" s="1">
        <v>45672</v>
      </c>
      <c r="B22" s="5">
        <v>18.175999999999998</v>
      </c>
      <c r="C22" s="4">
        <v>17.687999999999999</v>
      </c>
      <c r="D22" s="4">
        <v>18.260000000000002</v>
      </c>
      <c r="E22" s="4">
        <v>17.687999999999999</v>
      </c>
      <c r="F22" s="4" t="s">
        <v>809</v>
      </c>
      <c r="G22" s="2" t="s">
        <v>810</v>
      </c>
      <c r="I22">
        <f t="shared" si="0"/>
        <v>16.935400000000001</v>
      </c>
      <c r="J22">
        <f t="shared" si="1"/>
        <v>16.579150000000002</v>
      </c>
      <c r="L22">
        <f t="shared" si="2"/>
        <v>1</v>
      </c>
      <c r="M22">
        <f t="shared" si="3"/>
        <v>0</v>
      </c>
      <c r="O22">
        <f t="shared" si="4"/>
        <v>0.48799999999999955</v>
      </c>
      <c r="P22">
        <f t="shared" si="5"/>
        <v>0</v>
      </c>
      <c r="R22">
        <f t="shared" si="6"/>
        <v>0.28024999999999967</v>
      </c>
      <c r="S22">
        <f t="shared" si="7"/>
        <v>4.5000000000000519E-2</v>
      </c>
      <c r="U22">
        <f t="shared" si="8"/>
        <v>86.164488854726983</v>
      </c>
      <c r="AH22">
        <f t="shared" si="11"/>
        <v>2.4043050717677077</v>
      </c>
      <c r="AI22">
        <f t="shared" si="12"/>
        <v>14.357566072949556</v>
      </c>
      <c r="AJ22">
        <f t="shared" si="13"/>
        <v>19.513233927050447</v>
      </c>
      <c r="AL22" s="6">
        <f t="shared" si="14"/>
        <v>21.744010143535416</v>
      </c>
      <c r="AM22">
        <f t="shared" si="15"/>
        <v>12.126789856464587</v>
      </c>
    </row>
    <row r="23" spans="1:39" ht="16.5" x14ac:dyDescent="0.25">
      <c r="A23" s="1">
        <v>45671</v>
      </c>
      <c r="B23" s="5">
        <v>17.597999999999999</v>
      </c>
      <c r="C23" s="4">
        <v>17.178000000000001</v>
      </c>
      <c r="D23" s="4">
        <v>17.617999999999999</v>
      </c>
      <c r="E23" s="4">
        <v>17.141999999999999</v>
      </c>
      <c r="F23" s="4" t="s">
        <v>811</v>
      </c>
      <c r="G23" s="2" t="s">
        <v>812</v>
      </c>
      <c r="I23">
        <f t="shared" si="0"/>
        <v>16.876899999999999</v>
      </c>
      <c r="J23">
        <f t="shared" si="1"/>
        <v>16.514250000000001</v>
      </c>
      <c r="L23">
        <f t="shared" si="2"/>
        <v>1</v>
      </c>
      <c r="M23">
        <f t="shared" si="3"/>
        <v>0</v>
      </c>
      <c r="O23">
        <f t="shared" si="4"/>
        <v>0.41999999999999815</v>
      </c>
      <c r="P23">
        <f t="shared" si="5"/>
        <v>0</v>
      </c>
      <c r="R23">
        <f t="shared" si="6"/>
        <v>0.25057142857142828</v>
      </c>
      <c r="S23">
        <f t="shared" si="7"/>
        <v>4.3714285714285851E-2</v>
      </c>
      <c r="U23">
        <f t="shared" si="8"/>
        <v>85.145631067961105</v>
      </c>
      <c r="AH23">
        <f t="shared" si="11"/>
        <v>2.3987042679325699</v>
      </c>
      <c r="AI23">
        <f t="shared" si="12"/>
        <v>14.299066072949554</v>
      </c>
      <c r="AJ23">
        <f t="shared" si="13"/>
        <v>19.454733927050444</v>
      </c>
      <c r="AL23" s="6">
        <f t="shared" si="14"/>
        <v>21.674308535865137</v>
      </c>
      <c r="AM23">
        <f t="shared" si="15"/>
        <v>12.079491464134859</v>
      </c>
    </row>
    <row r="24" spans="1:39" ht="16.5" x14ac:dyDescent="0.25">
      <c r="A24" s="1">
        <v>45670</v>
      </c>
      <c r="B24" s="5">
        <v>17.027999999999999</v>
      </c>
      <c r="C24" s="4">
        <v>16.975999999999999</v>
      </c>
      <c r="D24" s="4">
        <v>17.077999999999999</v>
      </c>
      <c r="E24" s="4">
        <v>16.654</v>
      </c>
      <c r="F24" s="4" t="s">
        <v>813</v>
      </c>
      <c r="G24" s="2" t="s">
        <v>814</v>
      </c>
      <c r="I24">
        <f t="shared" si="0"/>
        <v>16.849000000000004</v>
      </c>
      <c r="J24">
        <f t="shared" si="1"/>
        <v>16.469650000000001</v>
      </c>
      <c r="L24">
        <f t="shared" si="2"/>
        <v>1</v>
      </c>
      <c r="M24">
        <f t="shared" si="3"/>
        <v>0</v>
      </c>
      <c r="O24">
        <f t="shared" si="4"/>
        <v>5.1999999999999602E-2</v>
      </c>
      <c r="P24">
        <f t="shared" si="5"/>
        <v>0</v>
      </c>
      <c r="R24">
        <f t="shared" si="6"/>
        <v>0.2077142857142853</v>
      </c>
      <c r="S24">
        <f t="shared" si="7"/>
        <v>4.3714285714285851E-2</v>
      </c>
      <c r="U24">
        <f t="shared" si="8"/>
        <v>82.613636363636289</v>
      </c>
      <c r="AH24">
        <f t="shared" si="11"/>
        <v>2.3932484646500343</v>
      </c>
      <c r="AI24">
        <f t="shared" si="12"/>
        <v>14.271166072949558</v>
      </c>
      <c r="AJ24">
        <f t="shared" si="13"/>
        <v>19.426833927050449</v>
      </c>
      <c r="AL24" s="6">
        <f t="shared" si="14"/>
        <v>21.635496929300071</v>
      </c>
      <c r="AM24">
        <f t="shared" si="15"/>
        <v>12.062503070699936</v>
      </c>
    </row>
    <row r="25" spans="1:39" ht="16.5" x14ac:dyDescent="0.25">
      <c r="A25" s="1">
        <v>45667</v>
      </c>
      <c r="B25" s="5">
        <v>17.096</v>
      </c>
      <c r="C25" s="4">
        <v>17.103999999999999</v>
      </c>
      <c r="D25" s="4">
        <v>17.404</v>
      </c>
      <c r="E25" s="4">
        <v>16.904</v>
      </c>
      <c r="F25" s="4" t="s">
        <v>815</v>
      </c>
      <c r="G25" s="2" t="s">
        <v>816</v>
      </c>
      <c r="I25">
        <f t="shared" si="0"/>
        <v>16.840000000000003</v>
      </c>
      <c r="J25">
        <f t="shared" si="1"/>
        <v>16.447400000000002</v>
      </c>
      <c r="L25">
        <f t="shared" si="2"/>
        <v>0</v>
      </c>
      <c r="M25">
        <f t="shared" si="3"/>
        <v>1</v>
      </c>
      <c r="O25">
        <f t="shared" si="4"/>
        <v>0</v>
      </c>
      <c r="P25">
        <f t="shared" si="5"/>
        <v>7.9999999999991189E-3</v>
      </c>
      <c r="R25">
        <f t="shared" si="6"/>
        <v>0.23366666666666625</v>
      </c>
      <c r="S25">
        <f t="shared" si="7"/>
        <v>7.0750000000000313E-2</v>
      </c>
      <c r="U25">
        <f t="shared" si="8"/>
        <v>76.758828360251727</v>
      </c>
      <c r="AH25">
        <f t="shared" si="11"/>
        <v>2.3878281786409521</v>
      </c>
      <c r="AI25">
        <f t="shared" si="12"/>
        <v>14.262166072949558</v>
      </c>
      <c r="AJ25">
        <f t="shared" si="13"/>
        <v>19.417833927050449</v>
      </c>
      <c r="AL25" s="6">
        <f t="shared" si="14"/>
        <v>21.615656357281907</v>
      </c>
      <c r="AM25">
        <f t="shared" si="15"/>
        <v>12.0643436427181</v>
      </c>
    </row>
    <row r="26" spans="1:39" ht="16.5" x14ac:dyDescent="0.25">
      <c r="A26" s="1">
        <v>45666</v>
      </c>
      <c r="B26" s="5">
        <v>17.135999999999999</v>
      </c>
      <c r="C26" s="4">
        <v>16.760000000000002</v>
      </c>
      <c r="D26" s="4">
        <v>17.184000000000001</v>
      </c>
      <c r="E26" s="4">
        <v>16.510000000000002</v>
      </c>
      <c r="F26" s="4" t="s">
        <v>817</v>
      </c>
      <c r="G26" s="2" t="s">
        <v>451</v>
      </c>
      <c r="I26">
        <f t="shared" si="0"/>
        <v>16.827900000000003</v>
      </c>
      <c r="J26">
        <f t="shared" si="1"/>
        <v>16.408050000000006</v>
      </c>
      <c r="L26">
        <f t="shared" si="2"/>
        <v>1</v>
      </c>
      <c r="M26">
        <f t="shared" si="3"/>
        <v>0</v>
      </c>
      <c r="O26">
        <f t="shared" si="4"/>
        <v>0.37599999999999767</v>
      </c>
      <c r="P26">
        <f t="shared" si="5"/>
        <v>0</v>
      </c>
      <c r="R26">
        <f t="shared" si="6"/>
        <v>0.21828571428571411</v>
      </c>
      <c r="S26">
        <f t="shared" si="7"/>
        <v>7.9714285714286195E-2</v>
      </c>
      <c r="U26">
        <f t="shared" si="8"/>
        <v>73.250239693192583</v>
      </c>
      <c r="AH26">
        <f t="shared" si="11"/>
        <v>2.3823756051020193</v>
      </c>
      <c r="AI26">
        <f t="shared" si="12"/>
        <v>14.250066072949558</v>
      </c>
      <c r="AJ26">
        <f t="shared" si="13"/>
        <v>19.405733927050449</v>
      </c>
      <c r="AL26" s="6">
        <f t="shared" si="14"/>
        <v>21.592651210204043</v>
      </c>
      <c r="AM26">
        <f t="shared" si="15"/>
        <v>12.063148789795964</v>
      </c>
    </row>
    <row r="27" spans="1:39" ht="16.5" x14ac:dyDescent="0.25">
      <c r="A27" s="1">
        <v>45665</v>
      </c>
      <c r="B27" s="5">
        <v>16.821999999999999</v>
      </c>
      <c r="C27" s="4">
        <v>16.832000000000001</v>
      </c>
      <c r="D27" s="4">
        <v>17.149999999999999</v>
      </c>
      <c r="E27" s="4">
        <v>16.684000000000001</v>
      </c>
      <c r="F27" s="4" t="s">
        <v>818</v>
      </c>
      <c r="G27" s="2" t="s">
        <v>544</v>
      </c>
      <c r="I27">
        <f t="shared" si="0"/>
        <v>16.819399999999998</v>
      </c>
      <c r="J27">
        <f t="shared" si="1"/>
        <v>16.379300000000001</v>
      </c>
      <c r="L27">
        <f t="shared" si="2"/>
        <v>0</v>
      </c>
      <c r="M27">
        <f t="shared" si="3"/>
        <v>1</v>
      </c>
      <c r="O27">
        <f t="shared" si="4"/>
        <v>0</v>
      </c>
      <c r="P27">
        <f t="shared" si="5"/>
        <v>1.0000000000001563E-2</v>
      </c>
      <c r="R27">
        <f t="shared" si="6"/>
        <v>0.17942857142857147</v>
      </c>
      <c r="S27">
        <f t="shared" si="7"/>
        <v>7.9714285714286195E-2</v>
      </c>
      <c r="U27">
        <f t="shared" si="8"/>
        <v>69.239250275633836</v>
      </c>
      <c r="AH27">
        <f t="shared" si="11"/>
        <v>2.376901581541603</v>
      </c>
      <c r="AI27">
        <f t="shared" si="12"/>
        <v>14.241566072949553</v>
      </c>
      <c r="AJ27">
        <f t="shared" si="13"/>
        <v>19.397233927050443</v>
      </c>
      <c r="AL27" s="6">
        <f t="shared" si="14"/>
        <v>21.573203163083203</v>
      </c>
      <c r="AM27">
        <f t="shared" si="15"/>
        <v>12.065596836916793</v>
      </c>
    </row>
    <row r="28" spans="1:39" ht="16.5" x14ac:dyDescent="0.25">
      <c r="A28" s="1">
        <v>45664</v>
      </c>
      <c r="B28" s="5">
        <v>16.867999999999999</v>
      </c>
      <c r="C28" s="4">
        <v>16.940000000000001</v>
      </c>
      <c r="D28" s="4">
        <v>17.033999999999999</v>
      </c>
      <c r="E28" s="4">
        <v>16.538</v>
      </c>
      <c r="F28" s="4" t="s">
        <v>819</v>
      </c>
      <c r="G28" s="2" t="s">
        <v>92</v>
      </c>
      <c r="I28">
        <f t="shared" si="0"/>
        <v>16.812599999999996</v>
      </c>
      <c r="J28">
        <f t="shared" si="1"/>
        <v>16.362900000000003</v>
      </c>
      <c r="L28">
        <f t="shared" si="2"/>
        <v>0</v>
      </c>
      <c r="M28">
        <f t="shared" si="3"/>
        <v>1</v>
      </c>
      <c r="O28">
        <f t="shared" si="4"/>
        <v>0</v>
      </c>
      <c r="P28">
        <f t="shared" si="5"/>
        <v>7.2000000000002728E-2</v>
      </c>
      <c r="R28">
        <f t="shared" si="6"/>
        <v>0.17942857142857147</v>
      </c>
      <c r="S28">
        <f t="shared" si="7"/>
        <v>8.5142857142857159E-2</v>
      </c>
      <c r="U28">
        <f t="shared" si="8"/>
        <v>67.818574514038872</v>
      </c>
      <c r="AH28">
        <f t="shared" si="11"/>
        <v>2.3713927632081262</v>
      </c>
      <c r="AI28">
        <f t="shared" si="12"/>
        <v>14.234766072949551</v>
      </c>
      <c r="AJ28">
        <f t="shared" si="13"/>
        <v>19.390433927050442</v>
      </c>
      <c r="AL28" s="6">
        <f t="shared" si="14"/>
        <v>21.555385526416249</v>
      </c>
      <c r="AM28">
        <f t="shared" si="15"/>
        <v>12.069814473583744</v>
      </c>
    </row>
    <row r="29" spans="1:39" ht="16.5" x14ac:dyDescent="0.25">
      <c r="A29" s="1">
        <v>45663</v>
      </c>
      <c r="B29" s="5">
        <v>17.024000000000001</v>
      </c>
      <c r="C29" s="4">
        <v>17.059999999999999</v>
      </c>
      <c r="D29" s="4">
        <v>17.128</v>
      </c>
      <c r="E29" s="4">
        <v>16.702000000000002</v>
      </c>
      <c r="F29" s="4" t="s">
        <v>820</v>
      </c>
      <c r="G29" s="2" t="s">
        <v>821</v>
      </c>
      <c r="I29">
        <f t="shared" si="0"/>
        <v>16.805699999999998</v>
      </c>
      <c r="J29">
        <f t="shared" si="1"/>
        <v>16.339100000000009</v>
      </c>
      <c r="L29">
        <f t="shared" si="2"/>
        <v>0</v>
      </c>
      <c r="M29">
        <f t="shared" si="3"/>
        <v>1</v>
      </c>
      <c r="O29">
        <f t="shared" si="4"/>
        <v>0</v>
      </c>
      <c r="P29">
        <f t="shared" si="5"/>
        <v>3.5999999999997812E-2</v>
      </c>
      <c r="R29">
        <f t="shared" si="6"/>
        <v>0.17942857142857147</v>
      </c>
      <c r="S29">
        <f t="shared" si="7"/>
        <v>8.5428571428570771E-2</v>
      </c>
      <c r="U29">
        <f t="shared" si="8"/>
        <v>67.745415318231025</v>
      </c>
      <c r="AH29">
        <f t="shared" si="11"/>
        <v>2.3658424963484554</v>
      </c>
      <c r="AI29">
        <f t="shared" si="12"/>
        <v>14.227866072949553</v>
      </c>
      <c r="AJ29">
        <f t="shared" si="13"/>
        <v>19.383533927050443</v>
      </c>
      <c r="AL29" s="6">
        <f t="shared" si="14"/>
        <v>21.537384992696907</v>
      </c>
      <c r="AM29">
        <f t="shared" si="15"/>
        <v>12.074015007303087</v>
      </c>
    </row>
    <row r="30" spans="1:39" ht="16.5" x14ac:dyDescent="0.25">
      <c r="A30" s="1">
        <v>45660</v>
      </c>
      <c r="B30" s="5">
        <v>16.968</v>
      </c>
      <c r="C30" s="4">
        <v>16.712</v>
      </c>
      <c r="D30" s="4">
        <v>17.068000000000001</v>
      </c>
      <c r="E30" s="4">
        <v>16.71</v>
      </c>
      <c r="F30" s="4" t="s">
        <v>822</v>
      </c>
      <c r="G30" s="2" t="s">
        <v>94</v>
      </c>
      <c r="I30">
        <f t="shared" si="0"/>
        <v>16.7684</v>
      </c>
      <c r="J30">
        <f t="shared" si="1"/>
        <v>16.307650000000006</v>
      </c>
      <c r="L30">
        <f t="shared" si="2"/>
        <v>1</v>
      </c>
      <c r="M30">
        <f t="shared" si="3"/>
        <v>0</v>
      </c>
      <c r="O30">
        <f t="shared" si="4"/>
        <v>0.25600000000000023</v>
      </c>
      <c r="P30">
        <f t="shared" si="5"/>
        <v>0</v>
      </c>
      <c r="R30">
        <f t="shared" si="6"/>
        <v>0.18674999999999997</v>
      </c>
      <c r="S30">
        <f t="shared" si="7"/>
        <v>9.3666666666666273E-2</v>
      </c>
      <c r="U30">
        <f t="shared" si="8"/>
        <v>66.597325408618218</v>
      </c>
      <c r="AH30">
        <f t="shared" si="11"/>
        <v>2.3602506053565264</v>
      </c>
      <c r="AI30">
        <f t="shared" si="12"/>
        <v>14.190566072949554</v>
      </c>
      <c r="AJ30">
        <f t="shared" si="13"/>
        <v>19.346233927050445</v>
      </c>
      <c r="AL30" s="6">
        <f t="shared" si="14"/>
        <v>21.488901210713053</v>
      </c>
      <c r="AM30">
        <f t="shared" si="15"/>
        <v>12.047898789286947</v>
      </c>
    </row>
    <row r="31" spans="1:39" ht="16.5" x14ac:dyDescent="0.25">
      <c r="A31" s="1">
        <v>45659</v>
      </c>
      <c r="B31" s="5">
        <v>16.808</v>
      </c>
      <c r="C31" s="4">
        <v>16.579999999999998</v>
      </c>
      <c r="D31" s="4">
        <v>16.808</v>
      </c>
      <c r="E31" s="4">
        <v>16.294</v>
      </c>
      <c r="F31" s="4" t="s">
        <v>823</v>
      </c>
      <c r="G31" s="2" t="s">
        <v>524</v>
      </c>
      <c r="I31">
        <f t="shared" si="0"/>
        <v>16.723700000000001</v>
      </c>
      <c r="J31">
        <f t="shared" si="1"/>
        <v>16.278850000000009</v>
      </c>
      <c r="L31">
        <f t="shared" si="2"/>
        <v>1</v>
      </c>
      <c r="M31">
        <f t="shared" si="3"/>
        <v>0</v>
      </c>
      <c r="O31">
        <f t="shared" si="4"/>
        <v>0.22800000000000153</v>
      </c>
      <c r="P31">
        <f t="shared" si="5"/>
        <v>0</v>
      </c>
      <c r="R31">
        <f t="shared" si="6"/>
        <v>0.1768571428571428</v>
      </c>
      <c r="S31">
        <f t="shared" si="7"/>
        <v>9.9714285714285769E-2</v>
      </c>
      <c r="U31">
        <f t="shared" si="8"/>
        <v>63.94628099173552</v>
      </c>
      <c r="AH31">
        <f t="shared" si="11"/>
        <v>2.3547283757587927</v>
      </c>
      <c r="AI31">
        <f t="shared" si="12"/>
        <v>14.145866072949556</v>
      </c>
      <c r="AJ31">
        <f t="shared" si="13"/>
        <v>19.301533927050446</v>
      </c>
      <c r="AL31" s="6">
        <f t="shared" si="14"/>
        <v>21.433156751517586</v>
      </c>
      <c r="AM31">
        <f t="shared" si="15"/>
        <v>12.014243248482416</v>
      </c>
    </row>
    <row r="32" spans="1:39" ht="16.5" x14ac:dyDescent="0.25">
      <c r="A32" s="1">
        <v>45656</v>
      </c>
      <c r="B32" s="5">
        <v>16.64</v>
      </c>
      <c r="C32" s="4">
        <v>16.45</v>
      </c>
      <c r="D32" s="4">
        <v>16.795999999999999</v>
      </c>
      <c r="E32" s="4">
        <v>16.367999999999999</v>
      </c>
      <c r="F32" s="4" t="s">
        <v>824</v>
      </c>
      <c r="G32" s="2" t="s">
        <v>825</v>
      </c>
      <c r="I32">
        <f t="shared" si="0"/>
        <v>16.670999999999999</v>
      </c>
      <c r="J32">
        <f t="shared" si="1"/>
        <v>16.249250000000011</v>
      </c>
      <c r="L32">
        <f t="shared" si="2"/>
        <v>1</v>
      </c>
      <c r="M32">
        <f t="shared" si="3"/>
        <v>0</v>
      </c>
      <c r="O32">
        <f t="shared" si="4"/>
        <v>0.19000000000000128</v>
      </c>
      <c r="P32">
        <f t="shared" si="5"/>
        <v>0</v>
      </c>
      <c r="R32">
        <f t="shared" si="6"/>
        <v>0.168333333333333</v>
      </c>
      <c r="S32">
        <f t="shared" si="7"/>
        <v>0.10824999999999996</v>
      </c>
      <c r="U32">
        <f t="shared" si="8"/>
        <v>60.861705332931564</v>
      </c>
      <c r="AH32">
        <f t="shared" si="11"/>
        <v>2.3493032817496511</v>
      </c>
      <c r="AI32">
        <f t="shared" si="12"/>
        <v>14.093166072949554</v>
      </c>
      <c r="AJ32">
        <f t="shared" si="13"/>
        <v>19.248833927050445</v>
      </c>
      <c r="AL32" s="6">
        <f t="shared" si="14"/>
        <v>21.369606563499303</v>
      </c>
      <c r="AM32">
        <f t="shared" si="15"/>
        <v>11.972393436500697</v>
      </c>
    </row>
    <row r="33" spans="1:39" ht="16.5" x14ac:dyDescent="0.25">
      <c r="A33" s="1">
        <v>45653</v>
      </c>
      <c r="B33" s="5">
        <v>16.532</v>
      </c>
      <c r="C33" s="4">
        <v>16.3</v>
      </c>
      <c r="D33" s="4">
        <v>16.55</v>
      </c>
      <c r="E33" s="4">
        <v>16.263999999999999</v>
      </c>
      <c r="F33" s="4" t="s">
        <v>826</v>
      </c>
      <c r="G33" s="2" t="s">
        <v>420</v>
      </c>
      <c r="I33">
        <f t="shared" si="0"/>
        <v>16.611700000000003</v>
      </c>
      <c r="J33">
        <f t="shared" si="1"/>
        <v>16.22075000000001</v>
      </c>
      <c r="L33">
        <f t="shared" si="2"/>
        <v>1</v>
      </c>
      <c r="M33">
        <f t="shared" si="3"/>
        <v>0</v>
      </c>
      <c r="O33">
        <f t="shared" si="4"/>
        <v>0.23199999999999932</v>
      </c>
      <c r="P33">
        <f t="shared" si="5"/>
        <v>0</v>
      </c>
      <c r="R33">
        <f t="shared" si="6"/>
        <v>0.18933333333333321</v>
      </c>
      <c r="S33">
        <f t="shared" si="7"/>
        <v>0.10824999999999996</v>
      </c>
      <c r="U33">
        <f t="shared" si="8"/>
        <v>63.623634836180337</v>
      </c>
      <c r="AH33">
        <f t="shared" si="11"/>
        <v>2.3440047993610418</v>
      </c>
      <c r="AI33">
        <f t="shared" si="12"/>
        <v>14.033866072949557</v>
      </c>
      <c r="AJ33">
        <f t="shared" si="13"/>
        <v>19.189533927050448</v>
      </c>
      <c r="AL33" s="6">
        <f t="shared" si="14"/>
        <v>21.299709598722085</v>
      </c>
      <c r="AM33">
        <f t="shared" si="15"/>
        <v>11.92369040127792</v>
      </c>
    </row>
    <row r="34" spans="1:39" ht="16.5" x14ac:dyDescent="0.25">
      <c r="A34" s="1">
        <v>45649</v>
      </c>
      <c r="B34" s="5">
        <v>16.308</v>
      </c>
      <c r="C34" s="4">
        <v>16.332000000000001</v>
      </c>
      <c r="D34" s="4">
        <v>16.436</v>
      </c>
      <c r="E34" s="4">
        <v>16.202000000000002</v>
      </c>
      <c r="F34" s="4" t="s">
        <v>827</v>
      </c>
      <c r="G34" s="2" t="s">
        <v>375</v>
      </c>
      <c r="I34">
        <f t="shared" si="0"/>
        <v>16.5627</v>
      </c>
      <c r="J34">
        <f t="shared" si="1"/>
        <v>16.200600000000005</v>
      </c>
      <c r="L34">
        <f t="shared" si="2"/>
        <v>0</v>
      </c>
      <c r="M34">
        <f t="shared" si="3"/>
        <v>1</v>
      </c>
      <c r="O34">
        <f t="shared" si="4"/>
        <v>0</v>
      </c>
      <c r="P34">
        <f t="shared" si="5"/>
        <v>2.4000000000000909E-2</v>
      </c>
      <c r="R34">
        <f t="shared" si="6"/>
        <v>0.18079999999999999</v>
      </c>
      <c r="S34">
        <f t="shared" si="7"/>
        <v>0.10533333333333338</v>
      </c>
      <c r="U34">
        <f t="shared" si="8"/>
        <v>63.187325256290762</v>
      </c>
      <c r="AH34">
        <f t="shared" si="11"/>
        <v>2.3388569867252391</v>
      </c>
      <c r="AI34">
        <f t="shared" si="12"/>
        <v>13.984866072949554</v>
      </c>
      <c r="AJ34">
        <f t="shared" si="13"/>
        <v>19.140533927050445</v>
      </c>
      <c r="AL34" s="6">
        <f t="shared" si="14"/>
        <v>21.24041397345048</v>
      </c>
      <c r="AM34">
        <f t="shared" si="15"/>
        <v>11.884986026549521</v>
      </c>
    </row>
    <row r="35" spans="1:39" ht="16.5" x14ac:dyDescent="0.25">
      <c r="A35" s="1">
        <v>45646</v>
      </c>
      <c r="B35" s="5">
        <v>16.25</v>
      </c>
      <c r="C35" s="4">
        <v>16.37</v>
      </c>
      <c r="D35" s="4">
        <v>16.37</v>
      </c>
      <c r="E35" s="4">
        <v>15.938000000000001</v>
      </c>
      <c r="F35" s="4" t="s">
        <v>828</v>
      </c>
      <c r="G35" s="2" t="s">
        <v>829</v>
      </c>
      <c r="I35">
        <f t="shared" si="0"/>
        <v>16.532699999999998</v>
      </c>
      <c r="J35">
        <f t="shared" si="1"/>
        <v>16.189150000000005</v>
      </c>
      <c r="L35">
        <f t="shared" si="2"/>
        <v>0</v>
      </c>
      <c r="M35">
        <f t="shared" si="3"/>
        <v>1</v>
      </c>
      <c r="O35">
        <f t="shared" si="4"/>
        <v>0</v>
      </c>
      <c r="P35">
        <f t="shared" si="5"/>
        <v>0.12000000000000099</v>
      </c>
      <c r="R35">
        <f t="shared" si="6"/>
        <v>0.21566666666666676</v>
      </c>
      <c r="S35">
        <f t="shared" si="7"/>
        <v>0.11549999999999994</v>
      </c>
      <c r="U35">
        <f t="shared" si="8"/>
        <v>65.123301459486683</v>
      </c>
      <c r="AH35">
        <f t="shared" si="11"/>
        <v>2.3338230700960954</v>
      </c>
      <c r="AI35">
        <f t="shared" si="12"/>
        <v>13.954866072949553</v>
      </c>
      <c r="AJ35">
        <f t="shared" si="13"/>
        <v>19.110533927050444</v>
      </c>
      <c r="AL35" s="6">
        <f t="shared" si="14"/>
        <v>21.200346140192188</v>
      </c>
      <c r="AM35">
        <f t="shared" si="15"/>
        <v>11.865053859807809</v>
      </c>
    </row>
    <row r="36" spans="1:39" ht="16.5" x14ac:dyDescent="0.25">
      <c r="A36" s="1">
        <v>45645</v>
      </c>
      <c r="B36" s="5">
        <v>16.588000000000001</v>
      </c>
      <c r="C36" s="4">
        <v>16.623999999999999</v>
      </c>
      <c r="D36" s="4">
        <v>16.795999999999999</v>
      </c>
      <c r="E36" s="4">
        <v>16.492000000000001</v>
      </c>
      <c r="F36" s="4" t="s">
        <v>143</v>
      </c>
      <c r="G36" s="2" t="s">
        <v>382</v>
      </c>
      <c r="I36">
        <f t="shared" si="0"/>
        <v>16.497800000000005</v>
      </c>
      <c r="J36">
        <f t="shared" si="1"/>
        <v>16.174800000000008</v>
      </c>
      <c r="L36">
        <f t="shared" si="2"/>
        <v>0</v>
      </c>
      <c r="M36">
        <f t="shared" si="3"/>
        <v>1</v>
      </c>
      <c r="O36">
        <f t="shared" si="4"/>
        <v>0</v>
      </c>
      <c r="P36">
        <f t="shared" si="5"/>
        <v>3.5999999999997812E-2</v>
      </c>
      <c r="R36">
        <f t="shared" si="6"/>
        <v>0.23828571428571418</v>
      </c>
      <c r="S36">
        <f t="shared" si="7"/>
        <v>0.11485714285714264</v>
      </c>
      <c r="U36">
        <f t="shared" si="8"/>
        <v>67.475728155339837</v>
      </c>
      <c r="AH36">
        <f t="shared" si="11"/>
        <v>2.328835563401412</v>
      </c>
      <c r="AI36">
        <f t="shared" si="12"/>
        <v>13.91996607294956</v>
      </c>
      <c r="AJ36">
        <f t="shared" si="13"/>
        <v>19.07563392705045</v>
      </c>
      <c r="AL36" s="6">
        <f t="shared" si="14"/>
        <v>21.15547112680283</v>
      </c>
      <c r="AM36">
        <f t="shared" si="15"/>
        <v>11.84012887319718</v>
      </c>
    </row>
    <row r="37" spans="1:39" ht="16.5" x14ac:dyDescent="0.25">
      <c r="A37" s="1">
        <v>45644</v>
      </c>
      <c r="B37" s="5">
        <v>16.911999999999999</v>
      </c>
      <c r="C37" s="4">
        <v>16.792000000000002</v>
      </c>
      <c r="D37" s="4">
        <v>17.007999999999999</v>
      </c>
      <c r="E37" s="4">
        <v>16.731999999999999</v>
      </c>
      <c r="F37" s="4" t="s">
        <v>830</v>
      </c>
      <c r="G37" s="2" t="s">
        <v>43</v>
      </c>
      <c r="I37">
        <f t="shared" si="0"/>
        <v>16.468900000000001</v>
      </c>
      <c r="J37">
        <f t="shared" si="1"/>
        <v>16.154800000000005</v>
      </c>
      <c r="L37">
        <f t="shared" si="2"/>
        <v>1</v>
      </c>
      <c r="M37">
        <f t="shared" si="3"/>
        <v>0</v>
      </c>
      <c r="O37">
        <f t="shared" si="4"/>
        <v>0.11999999999999744</v>
      </c>
      <c r="P37">
        <f t="shared" si="5"/>
        <v>0</v>
      </c>
      <c r="R37">
        <f t="shared" si="6"/>
        <v>0.25275000000000003</v>
      </c>
      <c r="S37">
        <f t="shared" si="7"/>
        <v>0.12800000000000011</v>
      </c>
      <c r="U37">
        <f t="shared" si="8"/>
        <v>66.38214051214706</v>
      </c>
      <c r="AH37">
        <f t="shared" si="11"/>
        <v>2.3239122918004647</v>
      </c>
      <c r="AI37">
        <f t="shared" si="12"/>
        <v>13.891066072949556</v>
      </c>
      <c r="AJ37">
        <f t="shared" si="13"/>
        <v>19.046733927050447</v>
      </c>
      <c r="AL37" s="6">
        <f t="shared" si="14"/>
        <v>21.116724583600931</v>
      </c>
      <c r="AM37">
        <f t="shared" si="15"/>
        <v>11.821075416399072</v>
      </c>
    </row>
    <row r="38" spans="1:39" ht="16.5" x14ac:dyDescent="0.25">
      <c r="A38" s="1">
        <v>45643</v>
      </c>
      <c r="B38" s="5">
        <v>16.79</v>
      </c>
      <c r="C38" s="4">
        <v>17.05</v>
      </c>
      <c r="D38" s="4">
        <v>17.12</v>
      </c>
      <c r="E38" s="4">
        <v>16.774000000000001</v>
      </c>
      <c r="F38" s="4" t="s">
        <v>831</v>
      </c>
      <c r="G38" s="2" t="s">
        <v>832</v>
      </c>
      <c r="I38">
        <f t="shared" si="0"/>
        <v>16.418200000000006</v>
      </c>
      <c r="J38">
        <f t="shared" si="1"/>
        <v>16.136400000000005</v>
      </c>
      <c r="L38">
        <f t="shared" si="2"/>
        <v>0</v>
      </c>
      <c r="M38">
        <f t="shared" si="3"/>
        <v>1</v>
      </c>
      <c r="O38">
        <f t="shared" si="4"/>
        <v>0</v>
      </c>
      <c r="P38">
        <f t="shared" si="5"/>
        <v>0.26000000000000156</v>
      </c>
      <c r="R38">
        <f t="shared" si="6"/>
        <v>0.26975000000000038</v>
      </c>
      <c r="S38">
        <f t="shared" si="7"/>
        <v>0.12800000000000011</v>
      </c>
      <c r="U38">
        <f t="shared" si="8"/>
        <v>67.818981772470153</v>
      </c>
      <c r="AH38">
        <f t="shared" si="11"/>
        <v>2.3190322641836025</v>
      </c>
      <c r="AI38">
        <f t="shared" si="12"/>
        <v>13.840366072949561</v>
      </c>
      <c r="AJ38">
        <f t="shared" si="13"/>
        <v>18.996033927050451</v>
      </c>
      <c r="AL38" s="6">
        <f t="shared" si="14"/>
        <v>21.056264528367212</v>
      </c>
      <c r="AM38">
        <f t="shared" si="15"/>
        <v>11.7801354716328</v>
      </c>
    </row>
    <row r="39" spans="1:39" ht="16.5" x14ac:dyDescent="0.25">
      <c r="A39" s="1">
        <v>45642</v>
      </c>
      <c r="B39" s="5">
        <v>17.148</v>
      </c>
      <c r="C39" s="4">
        <v>17.021999999999998</v>
      </c>
      <c r="D39" s="4">
        <v>17.308</v>
      </c>
      <c r="E39" s="4">
        <v>17.02</v>
      </c>
      <c r="F39" s="4" t="s">
        <v>833</v>
      </c>
      <c r="G39" s="2" t="s">
        <v>55</v>
      </c>
      <c r="I39">
        <f t="shared" si="0"/>
        <v>16.373500000000003</v>
      </c>
      <c r="J39">
        <f t="shared" si="1"/>
        <v>16.124500000000005</v>
      </c>
      <c r="L39">
        <f t="shared" si="2"/>
        <v>1</v>
      </c>
      <c r="M39">
        <f t="shared" si="3"/>
        <v>0</v>
      </c>
      <c r="O39">
        <f t="shared" si="4"/>
        <v>0.12600000000000122</v>
      </c>
      <c r="P39">
        <f t="shared" si="5"/>
        <v>0</v>
      </c>
      <c r="R39">
        <f t="shared" si="6"/>
        <v>0.26975000000000038</v>
      </c>
      <c r="S39">
        <f t="shared" si="7"/>
        <v>8.7666666666666337E-2</v>
      </c>
      <c r="U39">
        <f t="shared" si="8"/>
        <v>75.472138027512329</v>
      </c>
      <c r="AH39">
        <f t="shared" si="11"/>
        <v>2.3142732096864793</v>
      </c>
      <c r="AI39">
        <f t="shared" si="12"/>
        <v>13.795666072949558</v>
      </c>
      <c r="AJ39">
        <f t="shared" si="13"/>
        <v>18.951333927050449</v>
      </c>
      <c r="AL39" s="6">
        <f t="shared" si="14"/>
        <v>21.002046419372963</v>
      </c>
      <c r="AM39">
        <f t="shared" si="15"/>
        <v>11.744953580627044</v>
      </c>
    </row>
    <row r="40" spans="1:39" ht="16.5" x14ac:dyDescent="0.25">
      <c r="A40" s="1">
        <v>45639</v>
      </c>
      <c r="B40" s="5">
        <v>17.064</v>
      </c>
      <c r="C40" s="4">
        <v>16.96</v>
      </c>
      <c r="D40" s="4">
        <v>17.146000000000001</v>
      </c>
      <c r="E40" s="4">
        <v>16.96</v>
      </c>
      <c r="F40" s="4" t="s">
        <v>834</v>
      </c>
      <c r="G40" s="2" t="s">
        <v>835</v>
      </c>
      <c r="I40">
        <f t="shared" si="0"/>
        <v>16.325300000000006</v>
      </c>
      <c r="J40">
        <f t="shared" si="1"/>
        <v>16.098700000000001</v>
      </c>
      <c r="L40">
        <f t="shared" si="2"/>
        <v>1</v>
      </c>
      <c r="M40">
        <f t="shared" si="3"/>
        <v>0</v>
      </c>
      <c r="O40">
        <f t="shared" si="4"/>
        <v>0.1039999999999992</v>
      </c>
      <c r="P40">
        <f t="shared" si="5"/>
        <v>0</v>
      </c>
      <c r="R40">
        <f t="shared" si="6"/>
        <v>0.29028571428571454</v>
      </c>
      <c r="S40">
        <f t="shared" si="7"/>
        <v>8.399999999999988E-2</v>
      </c>
      <c r="U40">
        <f t="shared" si="8"/>
        <v>77.557251908396992</v>
      </c>
      <c r="AH40">
        <f t="shared" si="11"/>
        <v>2.3096142066143353</v>
      </c>
      <c r="AI40">
        <f t="shared" si="12"/>
        <v>13.74746607294956</v>
      </c>
      <c r="AJ40">
        <f t="shared" si="13"/>
        <v>18.903133927050451</v>
      </c>
      <c r="AL40" s="6">
        <f t="shared" si="14"/>
        <v>20.944528413228674</v>
      </c>
      <c r="AM40">
        <f t="shared" si="15"/>
        <v>11.706071586771335</v>
      </c>
    </row>
    <row r="41" spans="1:39" ht="16.5" x14ac:dyDescent="0.25">
      <c r="A41" s="1">
        <v>45638</v>
      </c>
      <c r="B41" s="5">
        <v>16.952000000000002</v>
      </c>
      <c r="C41" s="4">
        <v>17</v>
      </c>
      <c r="D41" s="4">
        <v>17.13</v>
      </c>
      <c r="E41" s="4">
        <v>16.934000000000001</v>
      </c>
      <c r="F41" s="4" t="s">
        <v>836</v>
      </c>
      <c r="G41" s="2" t="s">
        <v>296</v>
      </c>
      <c r="I41">
        <f t="shared" si="0"/>
        <v>16.275100000000002</v>
      </c>
      <c r="J41">
        <f t="shared" si="1"/>
        <v>16.077300000000001</v>
      </c>
      <c r="L41">
        <f t="shared" si="2"/>
        <v>0</v>
      </c>
      <c r="M41">
        <f t="shared" si="3"/>
        <v>1</v>
      </c>
      <c r="O41">
        <f t="shared" si="4"/>
        <v>0</v>
      </c>
      <c r="P41">
        <f t="shared" si="5"/>
        <v>4.7999999999998266E-2</v>
      </c>
      <c r="R41">
        <f t="shared" si="6"/>
        <v>0.28342857142857192</v>
      </c>
      <c r="S41">
        <f t="shared" si="7"/>
        <v>8.399999999999988E-2</v>
      </c>
      <c r="U41">
        <f t="shared" si="8"/>
        <v>77.138413685847638</v>
      </c>
      <c r="AH41">
        <f t="shared" si="11"/>
        <v>2.3050678170900749</v>
      </c>
      <c r="AI41">
        <f t="shared" si="12"/>
        <v>13.697266072949557</v>
      </c>
      <c r="AJ41">
        <f t="shared" si="13"/>
        <v>18.852933927050447</v>
      </c>
      <c r="AL41" s="6">
        <f t="shared" si="14"/>
        <v>20.885235634180152</v>
      </c>
      <c r="AM41">
        <f t="shared" si="15"/>
        <v>11.664964365819852</v>
      </c>
    </row>
    <row r="42" spans="1:39" ht="16.5" x14ac:dyDescent="0.25">
      <c r="A42" s="1">
        <v>45637</v>
      </c>
      <c r="B42" s="5">
        <v>17.006</v>
      </c>
      <c r="C42" s="4">
        <v>17.079999999999998</v>
      </c>
      <c r="D42" s="4">
        <v>17.14</v>
      </c>
      <c r="E42" s="4">
        <v>16.884</v>
      </c>
      <c r="F42" s="4" t="s">
        <v>837</v>
      </c>
      <c r="G42" s="2" t="s">
        <v>321</v>
      </c>
      <c r="I42">
        <f t="shared" si="0"/>
        <v>16.222900000000003</v>
      </c>
      <c r="J42">
        <f t="shared" si="1"/>
        <v>16.057350000000003</v>
      </c>
      <c r="L42">
        <f t="shared" si="2"/>
        <v>0</v>
      </c>
      <c r="M42">
        <f t="shared" si="3"/>
        <v>1</v>
      </c>
      <c r="O42">
        <f t="shared" si="4"/>
        <v>0</v>
      </c>
      <c r="P42">
        <f t="shared" si="5"/>
        <v>7.3999999999998067E-2</v>
      </c>
      <c r="R42">
        <f t="shared" si="6"/>
        <v>0.28342857142857192</v>
      </c>
      <c r="S42">
        <f t="shared" si="7"/>
        <v>0.15028571428571449</v>
      </c>
      <c r="U42">
        <f t="shared" si="8"/>
        <v>65.349143610013186</v>
      </c>
      <c r="AH42">
        <f t="shared" si="11"/>
        <v>2.3006412134499254</v>
      </c>
      <c r="AI42">
        <f t="shared" si="12"/>
        <v>13.645066072949557</v>
      </c>
      <c r="AJ42">
        <f t="shared" si="13"/>
        <v>18.800733927050448</v>
      </c>
      <c r="AL42" s="6">
        <f t="shared" si="14"/>
        <v>20.824182426899853</v>
      </c>
      <c r="AM42">
        <f t="shared" si="15"/>
        <v>11.621617573100153</v>
      </c>
    </row>
    <row r="43" spans="1:39" ht="16.5" x14ac:dyDescent="0.25">
      <c r="A43" s="1">
        <v>45636</v>
      </c>
      <c r="B43" s="5">
        <v>17.04</v>
      </c>
      <c r="C43" s="4">
        <v>16.802</v>
      </c>
      <c r="D43" s="4">
        <v>17.059999999999999</v>
      </c>
      <c r="E43" s="4">
        <v>16.75</v>
      </c>
      <c r="F43" s="4" t="s">
        <v>838</v>
      </c>
      <c r="G43" s="2" t="s">
        <v>71</v>
      </c>
      <c r="I43">
        <f t="shared" si="0"/>
        <v>16.151600000000002</v>
      </c>
      <c r="J43">
        <f t="shared" si="1"/>
        <v>16.03425</v>
      </c>
      <c r="L43">
        <f t="shared" si="2"/>
        <v>1</v>
      </c>
      <c r="M43">
        <f t="shared" si="3"/>
        <v>0</v>
      </c>
      <c r="O43">
        <f t="shared" si="4"/>
        <v>0.23799999999999955</v>
      </c>
      <c r="P43">
        <f t="shared" si="5"/>
        <v>0</v>
      </c>
      <c r="R43">
        <f t="shared" si="6"/>
        <v>0.26450000000000062</v>
      </c>
      <c r="S43">
        <f t="shared" si="7"/>
        <v>0.16300000000000056</v>
      </c>
      <c r="U43">
        <f t="shared" si="8"/>
        <v>61.871345029239741</v>
      </c>
      <c r="AH43">
        <f t="shared" si="11"/>
        <v>2.2963414407144596</v>
      </c>
      <c r="AI43">
        <f t="shared" si="12"/>
        <v>13.573766072949557</v>
      </c>
      <c r="AJ43">
        <f t="shared" si="13"/>
        <v>18.729433927050447</v>
      </c>
      <c r="AL43" s="6">
        <f t="shared" si="14"/>
        <v>20.744282881428923</v>
      </c>
      <c r="AM43">
        <f t="shared" si="15"/>
        <v>11.558917118571083</v>
      </c>
    </row>
    <row r="44" spans="1:39" ht="16.5" x14ac:dyDescent="0.25">
      <c r="A44" s="1">
        <v>45635</v>
      </c>
      <c r="B44" s="5">
        <v>16.847999999999999</v>
      </c>
      <c r="C44" s="4">
        <v>16.984000000000002</v>
      </c>
      <c r="D44" s="4">
        <v>17.091999999999999</v>
      </c>
      <c r="E44" s="4">
        <v>16.829999999999998</v>
      </c>
      <c r="F44" s="4" t="s">
        <v>839</v>
      </c>
      <c r="G44" s="2" t="s">
        <v>729</v>
      </c>
      <c r="I44">
        <f t="shared" si="0"/>
        <v>16.090300000000003</v>
      </c>
      <c r="J44">
        <f t="shared" si="1"/>
        <v>16.006149999999998</v>
      </c>
      <c r="L44">
        <f t="shared" si="2"/>
        <v>0</v>
      </c>
      <c r="M44">
        <f t="shared" si="3"/>
        <v>1</v>
      </c>
      <c r="O44">
        <f t="shared" si="4"/>
        <v>0</v>
      </c>
      <c r="P44">
        <f t="shared" si="5"/>
        <v>0.13600000000000279</v>
      </c>
      <c r="R44">
        <f t="shared" si="6"/>
        <v>0.26828571428571507</v>
      </c>
      <c r="S44">
        <f t="shared" si="7"/>
        <v>0.14600000000000055</v>
      </c>
      <c r="U44">
        <f t="shared" si="8"/>
        <v>64.758620689655146</v>
      </c>
      <c r="AH44">
        <f t="shared" si="11"/>
        <v>2.2922338232303408</v>
      </c>
      <c r="AI44">
        <f t="shared" si="12"/>
        <v>13.512466072949557</v>
      </c>
      <c r="AJ44">
        <f t="shared" si="13"/>
        <v>18.668133927050448</v>
      </c>
      <c r="AL44" s="6">
        <f t="shared" si="14"/>
        <v>20.674767646460683</v>
      </c>
      <c r="AM44">
        <f t="shared" si="15"/>
        <v>11.505832353539322</v>
      </c>
    </row>
    <row r="45" spans="1:39" ht="16.5" x14ac:dyDescent="0.25">
      <c r="A45" s="1">
        <v>45632</v>
      </c>
      <c r="B45" s="5">
        <v>16.853999999999999</v>
      </c>
      <c r="C45" s="4">
        <v>17.021999999999998</v>
      </c>
      <c r="D45" s="4">
        <v>17.138000000000002</v>
      </c>
      <c r="E45" s="4">
        <v>16.803999999999998</v>
      </c>
      <c r="F45" s="4" t="s">
        <v>840</v>
      </c>
      <c r="G45" s="2" t="s">
        <v>292</v>
      </c>
      <c r="I45">
        <f t="shared" si="0"/>
        <v>16.054799999999997</v>
      </c>
      <c r="J45">
        <f t="shared" si="1"/>
        <v>15.993349999999998</v>
      </c>
      <c r="L45">
        <f t="shared" si="2"/>
        <v>0</v>
      </c>
      <c r="M45">
        <f t="shared" si="3"/>
        <v>1</v>
      </c>
      <c r="O45">
        <f t="shared" si="4"/>
        <v>0</v>
      </c>
      <c r="P45">
        <f t="shared" si="5"/>
        <v>0.16799999999999926</v>
      </c>
      <c r="R45">
        <f t="shared" si="6"/>
        <v>0.26828571428571507</v>
      </c>
      <c r="S45">
        <f t="shared" si="7"/>
        <v>0.16571428571428598</v>
      </c>
      <c r="U45">
        <f t="shared" si="8"/>
        <v>61.816984858459541</v>
      </c>
      <c r="AH45">
        <f t="shared" si="11"/>
        <v>2.288283704523741</v>
      </c>
      <c r="AI45">
        <f t="shared" si="12"/>
        <v>13.476966072949551</v>
      </c>
      <c r="AJ45">
        <f t="shared" si="13"/>
        <v>18.632633927050442</v>
      </c>
      <c r="AL45" s="6">
        <f t="shared" si="14"/>
        <v>20.631367409047478</v>
      </c>
      <c r="AM45">
        <f t="shared" si="15"/>
        <v>11.478232590952516</v>
      </c>
    </row>
    <row r="46" spans="1:39" ht="16.5" x14ac:dyDescent="0.25">
      <c r="A46" s="1">
        <v>45631</v>
      </c>
      <c r="B46" s="5">
        <v>16.966000000000001</v>
      </c>
      <c r="C46" s="4">
        <v>16.649999999999999</v>
      </c>
      <c r="D46" s="4">
        <v>17.018000000000001</v>
      </c>
      <c r="E46" s="4">
        <v>16.635999999999999</v>
      </c>
      <c r="F46" s="4" t="s">
        <v>841</v>
      </c>
      <c r="G46" s="2" t="s">
        <v>287</v>
      </c>
      <c r="I46">
        <f t="shared" si="0"/>
        <v>15.988199999999997</v>
      </c>
      <c r="J46">
        <f t="shared" si="1"/>
        <v>15.97845</v>
      </c>
      <c r="L46">
        <f t="shared" si="2"/>
        <v>1</v>
      </c>
      <c r="M46">
        <f t="shared" si="3"/>
        <v>0</v>
      </c>
      <c r="O46">
        <f t="shared" si="4"/>
        <v>0.3160000000000025</v>
      </c>
      <c r="P46">
        <f t="shared" si="5"/>
        <v>0</v>
      </c>
      <c r="R46">
        <f t="shared" si="6"/>
        <v>0.25775000000000081</v>
      </c>
      <c r="S46">
        <f t="shared" si="7"/>
        <v>0.16533333333333378</v>
      </c>
      <c r="U46">
        <f t="shared" si="8"/>
        <v>60.921804215087661</v>
      </c>
      <c r="AH46">
        <f t="shared" si="11"/>
        <v>2.2844042303677292</v>
      </c>
      <c r="AI46">
        <f t="shared" si="12"/>
        <v>13.410366072949554</v>
      </c>
      <c r="AJ46">
        <f t="shared" si="13"/>
        <v>18.566033927050441</v>
      </c>
      <c r="AL46" s="6">
        <f t="shared" si="14"/>
        <v>20.557008460735457</v>
      </c>
      <c r="AM46">
        <f t="shared" si="15"/>
        <v>11.419391539264538</v>
      </c>
    </row>
    <row r="47" spans="1:39" ht="16.5" x14ac:dyDescent="0.25">
      <c r="A47" s="1">
        <v>45630</v>
      </c>
      <c r="B47" s="5">
        <v>16.686</v>
      </c>
      <c r="C47" s="4">
        <v>16.768000000000001</v>
      </c>
      <c r="D47" s="4">
        <v>16.936</v>
      </c>
      <c r="E47" s="4">
        <v>16.623999999999999</v>
      </c>
      <c r="F47" s="4" t="s">
        <v>842</v>
      </c>
      <c r="G47" s="2" t="s">
        <v>843</v>
      </c>
      <c r="I47">
        <f t="shared" si="0"/>
        <v>15.939199999999996</v>
      </c>
      <c r="J47">
        <f t="shared" si="1"/>
        <v>15.956700000000001</v>
      </c>
      <c r="L47">
        <f t="shared" si="2"/>
        <v>0</v>
      </c>
      <c r="M47">
        <f t="shared" si="3"/>
        <v>1</v>
      </c>
      <c r="O47">
        <f t="shared" si="4"/>
        <v>0</v>
      </c>
      <c r="P47">
        <f t="shared" si="5"/>
        <v>8.2000000000000739E-2</v>
      </c>
      <c r="R47">
        <f t="shared" si="6"/>
        <v>0.24700000000000033</v>
      </c>
      <c r="S47">
        <f t="shared" si="7"/>
        <v>0.16533333333333378</v>
      </c>
      <c r="U47">
        <f t="shared" si="8"/>
        <v>59.902991107518154</v>
      </c>
      <c r="AH47">
        <f t="shared" si="11"/>
        <v>2.280699377477541</v>
      </c>
      <c r="AI47">
        <f t="shared" si="12"/>
        <v>13.361366072949551</v>
      </c>
      <c r="AJ47">
        <f t="shared" si="13"/>
        <v>18.517033927050441</v>
      </c>
      <c r="AL47" s="6">
        <f t="shared" si="14"/>
        <v>20.500598754955078</v>
      </c>
      <c r="AM47">
        <f t="shared" si="15"/>
        <v>11.377801245044914</v>
      </c>
    </row>
    <row r="48" spans="1:39" ht="16.5" x14ac:dyDescent="0.25">
      <c r="A48" s="1">
        <v>45629</v>
      </c>
      <c r="B48" s="5">
        <v>16.73</v>
      </c>
      <c r="C48" s="4">
        <v>16.34</v>
      </c>
      <c r="D48" s="4">
        <v>16.827999999999999</v>
      </c>
      <c r="E48" s="4">
        <v>16.332000000000001</v>
      </c>
      <c r="F48" s="4" t="s">
        <v>844</v>
      </c>
      <c r="G48" s="2" t="s">
        <v>845</v>
      </c>
      <c r="I48">
        <f t="shared" si="0"/>
        <v>15.913199999999994</v>
      </c>
      <c r="J48">
        <f t="shared" si="1"/>
        <v>15.93965</v>
      </c>
      <c r="L48">
        <f t="shared" si="2"/>
        <v>1</v>
      </c>
      <c r="M48">
        <f t="shared" si="3"/>
        <v>0</v>
      </c>
      <c r="O48">
        <f t="shared" si="4"/>
        <v>0.39000000000000057</v>
      </c>
      <c r="P48">
        <f t="shared" si="5"/>
        <v>0</v>
      </c>
      <c r="R48">
        <f t="shared" si="6"/>
        <v>0.24800000000000033</v>
      </c>
      <c r="S48">
        <f t="shared" si="7"/>
        <v>0.18200000000000038</v>
      </c>
      <c r="U48">
        <f t="shared" si="8"/>
        <v>57.674418604651137</v>
      </c>
      <c r="AH48">
        <f t="shared" si="11"/>
        <v>2.2771104659109396</v>
      </c>
      <c r="AI48">
        <f t="shared" si="12"/>
        <v>13.335366072949551</v>
      </c>
      <c r="AJ48">
        <f t="shared" si="13"/>
        <v>18.491033927050438</v>
      </c>
      <c r="AL48" s="6">
        <f t="shared" si="14"/>
        <v>20.467420931821874</v>
      </c>
      <c r="AM48">
        <f t="shared" si="15"/>
        <v>11.358979068178115</v>
      </c>
    </row>
    <row r="49" spans="1:39" ht="16.5" x14ac:dyDescent="0.25">
      <c r="A49" s="1">
        <v>45628</v>
      </c>
      <c r="B49" s="5">
        <v>16.277999999999999</v>
      </c>
      <c r="C49" s="4">
        <v>15.904</v>
      </c>
      <c r="D49" s="4">
        <v>16.489999999999998</v>
      </c>
      <c r="E49" s="4">
        <v>15.904</v>
      </c>
      <c r="F49" s="4" t="s">
        <v>846</v>
      </c>
      <c r="G49" s="2" t="s">
        <v>847</v>
      </c>
      <c r="I49">
        <f t="shared" si="0"/>
        <v>15.872499999999999</v>
      </c>
      <c r="J49">
        <f t="shared" si="1"/>
        <v>15.916700000000002</v>
      </c>
      <c r="L49">
        <f t="shared" si="2"/>
        <v>1</v>
      </c>
      <c r="M49">
        <f t="shared" si="3"/>
        <v>0</v>
      </c>
      <c r="O49">
        <f t="shared" si="4"/>
        <v>0.37399999999999878</v>
      </c>
      <c r="P49">
        <f t="shared" si="5"/>
        <v>0</v>
      </c>
      <c r="R49">
        <f t="shared" si="6"/>
        <v>0.23025000000000029</v>
      </c>
      <c r="S49">
        <f t="shared" si="7"/>
        <v>0.17866666666666711</v>
      </c>
      <c r="U49">
        <f t="shared" si="8"/>
        <v>56.307316079070681</v>
      </c>
      <c r="AH49">
        <f t="shared" si="11"/>
        <v>2.2735620464805222</v>
      </c>
      <c r="AI49">
        <f t="shared" si="12"/>
        <v>13.294666072949553</v>
      </c>
      <c r="AJ49">
        <f t="shared" si="13"/>
        <v>18.450333927050444</v>
      </c>
      <c r="AL49" s="6">
        <f t="shared" si="14"/>
        <v>20.419624092961044</v>
      </c>
      <c r="AM49">
        <f t="shared" si="15"/>
        <v>11.325375907038953</v>
      </c>
    </row>
    <row r="50" spans="1:39" ht="16.5" x14ac:dyDescent="0.25">
      <c r="A50" s="1">
        <v>45625</v>
      </c>
      <c r="B50" s="5">
        <v>16.074000000000002</v>
      </c>
      <c r="C50" s="4">
        <v>15.72</v>
      </c>
      <c r="D50" s="4">
        <v>16.11</v>
      </c>
      <c r="E50" s="4">
        <v>15.704000000000001</v>
      </c>
      <c r="F50" s="4" t="s">
        <v>848</v>
      </c>
      <c r="G50" s="2" t="s">
        <v>849</v>
      </c>
      <c r="I50">
        <f t="shared" si="0"/>
        <v>15.8469</v>
      </c>
      <c r="J50">
        <f t="shared" si="1"/>
        <v>15.908900000000003</v>
      </c>
      <c r="L50">
        <f t="shared" si="2"/>
        <v>1</v>
      </c>
      <c r="M50">
        <f t="shared" si="3"/>
        <v>0</v>
      </c>
      <c r="O50">
        <f t="shared" si="4"/>
        <v>0.35400000000000098</v>
      </c>
      <c r="P50">
        <f t="shared" si="5"/>
        <v>0</v>
      </c>
      <c r="R50">
        <f t="shared" si="6"/>
        <v>0.20971428571428621</v>
      </c>
      <c r="S50">
        <f t="shared" si="7"/>
        <v>0.18028571428571485</v>
      </c>
      <c r="U50">
        <f t="shared" si="8"/>
        <v>53.772893772893752</v>
      </c>
      <c r="AH50">
        <f t="shared" si="11"/>
        <v>2.2701025402475694</v>
      </c>
      <c r="AI50">
        <f t="shared" si="12"/>
        <v>13.269066072949556</v>
      </c>
      <c r="AJ50">
        <f t="shared" si="13"/>
        <v>18.424733927050443</v>
      </c>
      <c r="AL50" s="6">
        <f t="shared" si="14"/>
        <v>20.387105080495139</v>
      </c>
      <c r="AM50">
        <f t="shared" si="15"/>
        <v>11.30669491950486</v>
      </c>
    </row>
    <row r="51" spans="1:39" ht="16.5" x14ac:dyDescent="0.25">
      <c r="A51" s="1">
        <v>45624</v>
      </c>
      <c r="B51" s="5">
        <v>15.754</v>
      </c>
      <c r="C51" s="4">
        <v>15.497999999999999</v>
      </c>
      <c r="D51" s="4">
        <v>15.827999999999999</v>
      </c>
      <c r="E51" s="4">
        <v>15.464</v>
      </c>
      <c r="F51" s="4" t="s">
        <v>850</v>
      </c>
      <c r="G51" s="2" t="s">
        <v>752</v>
      </c>
      <c r="I51">
        <f t="shared" si="0"/>
        <v>15.834</v>
      </c>
      <c r="J51">
        <f t="shared" si="1"/>
        <v>15.901450000000002</v>
      </c>
      <c r="L51">
        <f t="shared" si="2"/>
        <v>1</v>
      </c>
      <c r="M51">
        <f t="shared" si="3"/>
        <v>0</v>
      </c>
      <c r="O51">
        <f t="shared" si="4"/>
        <v>0.25600000000000023</v>
      </c>
      <c r="P51">
        <f t="shared" si="5"/>
        <v>0</v>
      </c>
      <c r="R51">
        <f t="shared" si="6"/>
        <v>0.22685714285714351</v>
      </c>
      <c r="S51">
        <f t="shared" si="7"/>
        <v>0.18028571428571485</v>
      </c>
      <c r="U51">
        <f t="shared" si="8"/>
        <v>55.719298245614027</v>
      </c>
      <c r="AH51">
        <f t="shared" si="11"/>
        <v>2.2666828920703228</v>
      </c>
      <c r="AI51">
        <f t="shared" si="12"/>
        <v>13.256166072949554</v>
      </c>
      <c r="AJ51">
        <f t="shared" si="13"/>
        <v>18.411833927050445</v>
      </c>
      <c r="AL51" s="6">
        <f t="shared" si="14"/>
        <v>20.367365784140645</v>
      </c>
      <c r="AM51">
        <f t="shared" si="15"/>
        <v>11.300634215859354</v>
      </c>
    </row>
    <row r="52" spans="1:39" ht="16.5" x14ac:dyDescent="0.25">
      <c r="A52" s="1">
        <v>45623</v>
      </c>
      <c r="B52" s="5">
        <v>15.454000000000001</v>
      </c>
      <c r="C52" s="4">
        <v>15.472</v>
      </c>
      <c r="D52" s="4">
        <v>15.481999999999999</v>
      </c>
      <c r="E52" s="4">
        <v>15.298</v>
      </c>
      <c r="F52" s="4" t="s">
        <v>851</v>
      </c>
      <c r="G52" s="2" t="s">
        <v>147</v>
      </c>
      <c r="I52">
        <f t="shared" si="0"/>
        <v>15.827500000000001</v>
      </c>
      <c r="J52">
        <f t="shared" si="1"/>
        <v>15.8916</v>
      </c>
      <c r="L52">
        <f t="shared" si="2"/>
        <v>0</v>
      </c>
      <c r="M52">
        <f t="shared" si="3"/>
        <v>1</v>
      </c>
      <c r="O52">
        <f t="shared" si="4"/>
        <v>0</v>
      </c>
      <c r="P52">
        <f t="shared" si="5"/>
        <v>1.7999999999998906E-2</v>
      </c>
      <c r="R52">
        <f t="shared" si="6"/>
        <v>0.22200000000000072</v>
      </c>
      <c r="S52">
        <f t="shared" si="7"/>
        <v>0.21875000000000067</v>
      </c>
      <c r="U52">
        <f t="shared" si="8"/>
        <v>50.368689733408971</v>
      </c>
      <c r="AH52">
        <f t="shared" si="11"/>
        <v>2.2632618459333687</v>
      </c>
      <c r="AI52">
        <f t="shared" si="12"/>
        <v>13.249666072949555</v>
      </c>
      <c r="AJ52">
        <f t="shared" si="13"/>
        <v>18.405333927050446</v>
      </c>
      <c r="AL52" s="6">
        <f t="shared" si="14"/>
        <v>20.354023691866736</v>
      </c>
      <c r="AM52">
        <f t="shared" si="15"/>
        <v>11.300976308133263</v>
      </c>
    </row>
    <row r="53" spans="1:39" ht="16.5" x14ac:dyDescent="0.25">
      <c r="A53" s="1">
        <v>45622</v>
      </c>
      <c r="B53" s="5">
        <v>15.552</v>
      </c>
      <c r="C53" s="4">
        <v>15.614000000000001</v>
      </c>
      <c r="D53" s="4">
        <v>15.742000000000001</v>
      </c>
      <c r="E53" s="4">
        <v>15.336</v>
      </c>
      <c r="F53" s="4" t="s">
        <v>852</v>
      </c>
      <c r="G53" s="2" t="s">
        <v>274</v>
      </c>
      <c r="I53">
        <f t="shared" si="0"/>
        <v>15.829800000000001</v>
      </c>
      <c r="J53">
        <f t="shared" si="1"/>
        <v>15.890450000000001</v>
      </c>
      <c r="L53">
        <f t="shared" si="2"/>
        <v>0</v>
      </c>
      <c r="M53">
        <f t="shared" si="3"/>
        <v>1</v>
      </c>
      <c r="O53">
        <f t="shared" si="4"/>
        <v>0</v>
      </c>
      <c r="P53">
        <f t="shared" si="5"/>
        <v>6.2000000000001165E-2</v>
      </c>
      <c r="R53">
        <f t="shared" si="6"/>
        <v>0.22200000000000072</v>
      </c>
      <c r="S53">
        <f t="shared" si="7"/>
        <v>0.24150000000000071</v>
      </c>
      <c r="U53">
        <f t="shared" si="8"/>
        <v>47.89644012944985</v>
      </c>
      <c r="AH53">
        <f t="shared" si="11"/>
        <v>2.2598183716223157</v>
      </c>
      <c r="AI53">
        <f t="shared" si="12"/>
        <v>13.251966072949557</v>
      </c>
      <c r="AJ53">
        <f t="shared" si="13"/>
        <v>18.407633927050444</v>
      </c>
      <c r="AL53" s="6">
        <f t="shared" si="14"/>
        <v>20.349436743244631</v>
      </c>
      <c r="AM53">
        <f t="shared" si="15"/>
        <v>11.31016325675537</v>
      </c>
    </row>
    <row r="54" spans="1:39" ht="16.5" x14ac:dyDescent="0.25">
      <c r="A54" s="1">
        <v>45621</v>
      </c>
      <c r="B54" s="5">
        <v>15.708</v>
      </c>
      <c r="C54" s="4">
        <v>15.651999999999999</v>
      </c>
      <c r="D54" s="4">
        <v>15.772</v>
      </c>
      <c r="E54" s="4">
        <v>15.526</v>
      </c>
      <c r="F54" s="4" t="s">
        <v>853</v>
      </c>
      <c r="G54" s="2" t="s">
        <v>554</v>
      </c>
      <c r="I54">
        <f t="shared" si="0"/>
        <v>15.8385</v>
      </c>
      <c r="J54">
        <f t="shared" si="1"/>
        <v>15.885300000000001</v>
      </c>
      <c r="L54">
        <f t="shared" si="2"/>
        <v>1</v>
      </c>
      <c r="M54">
        <f t="shared" si="3"/>
        <v>0</v>
      </c>
      <c r="O54">
        <f t="shared" si="4"/>
        <v>5.6000000000000938E-2</v>
      </c>
      <c r="P54">
        <f t="shared" si="5"/>
        <v>0</v>
      </c>
      <c r="R54">
        <f t="shared" si="6"/>
        <v>0.22200000000000072</v>
      </c>
      <c r="S54">
        <f t="shared" si="7"/>
        <v>0.25325000000000042</v>
      </c>
      <c r="U54">
        <f t="shared" si="8"/>
        <v>46.712256706996357</v>
      </c>
      <c r="AH54">
        <f t="shared" si="11"/>
        <v>2.2563231409240028</v>
      </c>
      <c r="AI54">
        <f t="shared" si="12"/>
        <v>13.260666072949554</v>
      </c>
      <c r="AJ54">
        <f t="shared" si="13"/>
        <v>18.416333927050445</v>
      </c>
      <c r="AL54" s="6">
        <f t="shared" si="14"/>
        <v>20.351146281848006</v>
      </c>
      <c r="AM54">
        <f t="shared" si="15"/>
        <v>11.325853718151993</v>
      </c>
    </row>
    <row r="55" spans="1:39" ht="16.5" x14ac:dyDescent="0.25">
      <c r="A55" s="1">
        <v>45618</v>
      </c>
      <c r="B55" s="5">
        <v>15.552</v>
      </c>
      <c r="C55" s="4">
        <v>16.064</v>
      </c>
      <c r="D55" s="4">
        <v>16.239999999999998</v>
      </c>
      <c r="E55" s="4">
        <v>15.346</v>
      </c>
      <c r="F55" s="4" t="s">
        <v>854</v>
      </c>
      <c r="G55" s="2" t="s">
        <v>855</v>
      </c>
      <c r="I55">
        <f t="shared" si="0"/>
        <v>15.845600000000001</v>
      </c>
      <c r="J55">
        <f t="shared" si="1"/>
        <v>15.880050000000002</v>
      </c>
      <c r="L55">
        <f t="shared" si="2"/>
        <v>0</v>
      </c>
      <c r="M55">
        <f t="shared" si="3"/>
        <v>1</v>
      </c>
      <c r="O55">
        <f t="shared" si="4"/>
        <v>0</v>
      </c>
      <c r="P55">
        <f t="shared" si="5"/>
        <v>0.51200000000000045</v>
      </c>
      <c r="R55">
        <f t="shared" si="6"/>
        <v>0.23700000000000068</v>
      </c>
      <c r="S55">
        <f t="shared" si="7"/>
        <v>0.25325000000000042</v>
      </c>
      <c r="U55">
        <f t="shared" si="8"/>
        <v>48.342682304946493</v>
      </c>
      <c r="AH55">
        <f t="shared" si="11"/>
        <v>2.2527540965598405</v>
      </c>
      <c r="AI55">
        <f t="shared" si="12"/>
        <v>13.267766072949556</v>
      </c>
      <c r="AJ55">
        <f t="shared" si="13"/>
        <v>18.423433927050446</v>
      </c>
      <c r="AL55" s="6">
        <f t="shared" si="14"/>
        <v>20.351108193119682</v>
      </c>
      <c r="AM55">
        <f t="shared" si="15"/>
        <v>11.34009180688032</v>
      </c>
    </row>
    <row r="56" spans="1:39" ht="16.5" x14ac:dyDescent="0.25">
      <c r="A56" s="1">
        <v>45617</v>
      </c>
      <c r="B56" s="5">
        <v>16.010000000000002</v>
      </c>
      <c r="C56" s="4">
        <v>15.878</v>
      </c>
      <c r="D56" s="4">
        <v>16.04</v>
      </c>
      <c r="E56" s="4">
        <v>15.624000000000001</v>
      </c>
      <c r="F56" s="4" t="s">
        <v>805</v>
      </c>
      <c r="G56" s="2" t="s">
        <v>856</v>
      </c>
      <c r="I56">
        <f t="shared" si="0"/>
        <v>15.851800000000001</v>
      </c>
      <c r="J56">
        <f t="shared" si="1"/>
        <v>15.880100000000002</v>
      </c>
      <c r="L56">
        <f t="shared" si="2"/>
        <v>1</v>
      </c>
      <c r="M56">
        <f t="shared" si="3"/>
        <v>0</v>
      </c>
      <c r="O56">
        <f t="shared" si="4"/>
        <v>0.13200000000000145</v>
      </c>
      <c r="P56">
        <f t="shared" si="5"/>
        <v>0</v>
      </c>
      <c r="R56">
        <f t="shared" si="6"/>
        <v>0.23700000000000068</v>
      </c>
      <c r="S56">
        <f t="shared" si="7"/>
        <v>0.19425000000000026</v>
      </c>
      <c r="U56">
        <f t="shared" si="8"/>
        <v>54.956521739130473</v>
      </c>
      <c r="AH56">
        <f t="shared" si="11"/>
        <v>2.2491154206049995</v>
      </c>
      <c r="AI56">
        <f t="shared" si="12"/>
        <v>13.273966072949555</v>
      </c>
      <c r="AJ56">
        <f t="shared" si="13"/>
        <v>18.429633927050446</v>
      </c>
      <c r="AL56" s="6">
        <f t="shared" si="14"/>
        <v>20.35003084121</v>
      </c>
      <c r="AM56">
        <f t="shared" si="15"/>
        <v>11.353569158790002</v>
      </c>
    </row>
    <row r="57" spans="1:39" ht="16.5" x14ac:dyDescent="0.25">
      <c r="A57" s="1">
        <v>45616</v>
      </c>
      <c r="B57" s="5">
        <v>15.898</v>
      </c>
      <c r="C57" s="4">
        <v>15.942</v>
      </c>
      <c r="D57" s="4">
        <v>16.141999999999999</v>
      </c>
      <c r="E57" s="4">
        <v>15.836</v>
      </c>
      <c r="F57" s="4" t="s">
        <v>857</v>
      </c>
      <c r="G57" s="2" t="s">
        <v>734</v>
      </c>
      <c r="I57">
        <f t="shared" si="0"/>
        <v>15.840700000000002</v>
      </c>
      <c r="J57">
        <f t="shared" si="1"/>
        <v>15.867150000000001</v>
      </c>
      <c r="L57">
        <f t="shared" si="2"/>
        <v>0</v>
      </c>
      <c r="M57">
        <f t="shared" si="3"/>
        <v>1</v>
      </c>
      <c r="O57">
        <f t="shared" si="4"/>
        <v>0</v>
      </c>
      <c r="P57">
        <f t="shared" si="5"/>
        <v>4.4000000000000483E-2</v>
      </c>
      <c r="R57">
        <f t="shared" si="6"/>
        <v>0.24900000000000055</v>
      </c>
      <c r="S57">
        <f t="shared" si="7"/>
        <v>0.19425000000000026</v>
      </c>
      <c r="U57">
        <f t="shared" si="8"/>
        <v>56.175972927241979</v>
      </c>
      <c r="AH57">
        <f t="shared" si="11"/>
        <v>2.2454090585921196</v>
      </c>
      <c r="AI57">
        <f t="shared" si="12"/>
        <v>13.262866072949556</v>
      </c>
      <c r="AJ57">
        <f t="shared" si="13"/>
        <v>18.418533927050447</v>
      </c>
      <c r="AL57" s="6">
        <f t="shared" si="14"/>
        <v>20.331518117184242</v>
      </c>
      <c r="AM57">
        <f t="shared" si="15"/>
        <v>11.349881882815762</v>
      </c>
    </row>
    <row r="58" spans="1:39" ht="16.5" x14ac:dyDescent="0.25">
      <c r="A58" s="1">
        <v>45615</v>
      </c>
      <c r="B58" s="5">
        <v>15.896000000000001</v>
      </c>
      <c r="C58" s="4">
        <v>16.170000000000002</v>
      </c>
      <c r="D58" s="4">
        <v>16.21</v>
      </c>
      <c r="E58" s="4">
        <v>15.584</v>
      </c>
      <c r="F58" s="4" t="s">
        <v>858</v>
      </c>
      <c r="G58" s="2" t="s">
        <v>859</v>
      </c>
      <c r="I58">
        <f t="shared" si="0"/>
        <v>15.8546</v>
      </c>
      <c r="J58">
        <f t="shared" si="1"/>
        <v>15.850149999999999</v>
      </c>
      <c r="L58">
        <f t="shared" si="2"/>
        <v>0</v>
      </c>
      <c r="M58">
        <f t="shared" si="3"/>
        <v>1</v>
      </c>
      <c r="O58">
        <f t="shared" si="4"/>
        <v>0</v>
      </c>
      <c r="P58">
        <f t="shared" si="5"/>
        <v>0.27400000000000091</v>
      </c>
      <c r="R58">
        <f t="shared" si="6"/>
        <v>0.24542857142857194</v>
      </c>
      <c r="S58">
        <f t="shared" si="7"/>
        <v>0.21571428571428594</v>
      </c>
      <c r="U58">
        <f t="shared" si="8"/>
        <v>53.221809169764576</v>
      </c>
      <c r="AH58">
        <f t="shared" si="11"/>
        <v>2.2416928222212791</v>
      </c>
      <c r="AI58">
        <f t="shared" si="12"/>
        <v>13.276766072949556</v>
      </c>
      <c r="AJ58">
        <f t="shared" si="13"/>
        <v>18.432433927050443</v>
      </c>
      <c r="AL58" s="6">
        <f t="shared" si="14"/>
        <v>20.337985644442558</v>
      </c>
      <c r="AM58">
        <f t="shared" si="15"/>
        <v>11.371214355557441</v>
      </c>
    </row>
    <row r="59" spans="1:39" ht="16.5" x14ac:dyDescent="0.25">
      <c r="A59" s="1">
        <v>45614</v>
      </c>
      <c r="B59" s="5">
        <v>16.184000000000001</v>
      </c>
      <c r="C59" s="4">
        <v>16</v>
      </c>
      <c r="D59" s="4">
        <v>16.196000000000002</v>
      </c>
      <c r="E59" s="4">
        <v>15.997999999999999</v>
      </c>
      <c r="F59" s="4" t="s">
        <v>860</v>
      </c>
      <c r="G59" s="2" t="s">
        <v>861</v>
      </c>
      <c r="I59">
        <f t="shared" si="0"/>
        <v>15.875499999999999</v>
      </c>
      <c r="J59">
        <f t="shared" si="1"/>
        <v>15.834299999999995</v>
      </c>
      <c r="L59">
        <f t="shared" si="2"/>
        <v>1</v>
      </c>
      <c r="M59">
        <f t="shared" si="3"/>
        <v>0</v>
      </c>
      <c r="O59">
        <f t="shared" si="4"/>
        <v>0.18400000000000105</v>
      </c>
      <c r="P59">
        <f t="shared" si="5"/>
        <v>0</v>
      </c>
      <c r="R59">
        <f t="shared" si="6"/>
        <v>0.24542857142857194</v>
      </c>
      <c r="S59">
        <f t="shared" si="7"/>
        <v>0.20542857142857152</v>
      </c>
      <c r="U59">
        <f t="shared" si="8"/>
        <v>54.435994930291557</v>
      </c>
      <c r="AH59">
        <f t="shared" si="11"/>
        <v>2.2378811928223441</v>
      </c>
      <c r="AI59">
        <f t="shared" si="12"/>
        <v>13.297666072949553</v>
      </c>
      <c r="AJ59">
        <f t="shared" si="13"/>
        <v>18.453333927050444</v>
      </c>
      <c r="AL59" s="6">
        <f t="shared" si="14"/>
        <v>20.351262385644688</v>
      </c>
      <c r="AM59">
        <f t="shared" si="15"/>
        <v>11.39973761435531</v>
      </c>
    </row>
    <row r="60" spans="1:39" ht="16.5" x14ac:dyDescent="0.25">
      <c r="A60" s="1">
        <v>45611</v>
      </c>
      <c r="B60" s="5">
        <v>16.059999999999999</v>
      </c>
      <c r="C60" s="4">
        <v>15.83</v>
      </c>
      <c r="D60" s="4">
        <v>16.111999999999998</v>
      </c>
      <c r="E60" s="4">
        <v>15.8</v>
      </c>
      <c r="F60" s="4" t="s">
        <v>862</v>
      </c>
      <c r="G60" s="2" t="s">
        <v>863</v>
      </c>
      <c r="I60">
        <f t="shared" si="0"/>
        <v>15.872099999999998</v>
      </c>
      <c r="J60">
        <f t="shared" si="1"/>
        <v>15.809549999999996</v>
      </c>
      <c r="L60">
        <f t="shared" si="2"/>
        <v>1</v>
      </c>
      <c r="M60">
        <f t="shared" si="3"/>
        <v>0</v>
      </c>
      <c r="O60">
        <f t="shared" si="4"/>
        <v>0.22999999999999865</v>
      </c>
      <c r="P60">
        <f t="shared" si="5"/>
        <v>0</v>
      </c>
      <c r="R60">
        <f t="shared" si="6"/>
        <v>0.2556666666666671</v>
      </c>
      <c r="S60">
        <f t="shared" si="7"/>
        <v>0.20924999999999994</v>
      </c>
      <c r="U60">
        <f t="shared" si="8"/>
        <v>54.991934038358174</v>
      </c>
      <c r="AH60">
        <f t="shared" si="11"/>
        <v>2.2339482030285791</v>
      </c>
      <c r="AI60">
        <f t="shared" si="12"/>
        <v>13.294266072949554</v>
      </c>
      <c r="AJ60">
        <f t="shared" si="13"/>
        <v>18.449933927050441</v>
      </c>
      <c r="AL60" s="6">
        <f t="shared" si="14"/>
        <v>20.339996406057157</v>
      </c>
      <c r="AM60">
        <f t="shared" si="15"/>
        <v>11.404203593942839</v>
      </c>
    </row>
    <row r="61" spans="1:39" ht="16.5" x14ac:dyDescent="0.25">
      <c r="A61" s="1">
        <v>45610</v>
      </c>
      <c r="B61" s="5">
        <v>15.907999999999999</v>
      </c>
      <c r="C61" s="4">
        <v>15.651999999999999</v>
      </c>
      <c r="D61" s="4">
        <v>15.97</v>
      </c>
      <c r="E61" s="4">
        <v>15.651999999999999</v>
      </c>
      <c r="F61" s="4" t="s">
        <v>864</v>
      </c>
      <c r="G61" s="2" t="s">
        <v>865</v>
      </c>
      <c r="I61">
        <f t="shared" si="0"/>
        <v>15.879500000000002</v>
      </c>
      <c r="J61">
        <f t="shared" si="1"/>
        <v>15.787249999999997</v>
      </c>
      <c r="L61">
        <f t="shared" si="2"/>
        <v>1</v>
      </c>
      <c r="M61">
        <f t="shared" si="3"/>
        <v>0</v>
      </c>
      <c r="O61">
        <f t="shared" si="4"/>
        <v>0.25600000000000023</v>
      </c>
      <c r="P61">
        <f t="shared" si="5"/>
        <v>0</v>
      </c>
      <c r="R61">
        <f t="shared" si="6"/>
        <v>0.23466666666666716</v>
      </c>
      <c r="S61">
        <f t="shared" si="7"/>
        <v>0.20924999999999994</v>
      </c>
      <c r="U61">
        <f t="shared" si="8"/>
        <v>52.862774544771973</v>
      </c>
      <c r="AH61">
        <f t="shared" si="11"/>
        <v>2.2299764296603617</v>
      </c>
      <c r="AI61">
        <f t="shared" si="12"/>
        <v>13.301666072949558</v>
      </c>
      <c r="AJ61">
        <f t="shared" si="13"/>
        <v>18.457333927050446</v>
      </c>
      <c r="AL61" s="6">
        <f t="shared" si="14"/>
        <v>20.339452859320726</v>
      </c>
      <c r="AM61">
        <f t="shared" si="15"/>
        <v>11.419547140679278</v>
      </c>
    </row>
    <row r="62" spans="1:39" ht="16.5" x14ac:dyDescent="0.25">
      <c r="A62" s="1">
        <v>45609</v>
      </c>
      <c r="B62" s="5">
        <v>15.58</v>
      </c>
      <c r="C62" s="4">
        <v>15.742000000000001</v>
      </c>
      <c r="D62" s="4">
        <v>15.888</v>
      </c>
      <c r="E62" s="4">
        <v>15.42</v>
      </c>
      <c r="F62" s="4" t="s">
        <v>866</v>
      </c>
      <c r="G62" s="2" t="s">
        <v>867</v>
      </c>
      <c r="I62">
        <f t="shared" si="0"/>
        <v>15.891799999999995</v>
      </c>
      <c r="J62">
        <f t="shared" si="1"/>
        <v>15.770099999999994</v>
      </c>
      <c r="L62">
        <f t="shared" si="2"/>
        <v>0</v>
      </c>
      <c r="M62">
        <f t="shared" si="3"/>
        <v>1</v>
      </c>
      <c r="O62">
        <f t="shared" si="4"/>
        <v>0</v>
      </c>
      <c r="P62">
        <f t="shared" si="5"/>
        <v>0.16200000000000081</v>
      </c>
      <c r="R62">
        <f t="shared" si="6"/>
        <v>0.23040000000000055</v>
      </c>
      <c r="S62">
        <f t="shared" si="7"/>
        <v>0.20066666666666658</v>
      </c>
      <c r="U62">
        <f t="shared" si="8"/>
        <v>53.44880915558312</v>
      </c>
      <c r="AH62">
        <f t="shared" si="11"/>
        <v>2.2259274510095728</v>
      </c>
      <c r="AI62">
        <f t="shared" si="12"/>
        <v>13.313966072949551</v>
      </c>
      <c r="AJ62">
        <f t="shared" si="13"/>
        <v>18.469633927050438</v>
      </c>
      <c r="AL62" s="6">
        <f t="shared" si="14"/>
        <v>20.343654902019139</v>
      </c>
      <c r="AM62">
        <f t="shared" si="15"/>
        <v>11.43994509798085</v>
      </c>
    </row>
    <row r="63" spans="1:39" ht="16.5" x14ac:dyDescent="0.25">
      <c r="A63" s="1">
        <v>45608</v>
      </c>
      <c r="B63" s="5">
        <v>15.814</v>
      </c>
      <c r="C63" s="4">
        <v>16.004000000000001</v>
      </c>
      <c r="D63" s="4">
        <v>16.12</v>
      </c>
      <c r="E63" s="4">
        <v>15.742000000000001</v>
      </c>
      <c r="F63" s="4" t="s">
        <v>868</v>
      </c>
      <c r="G63" s="2" t="s">
        <v>277</v>
      </c>
      <c r="I63">
        <f t="shared" si="0"/>
        <v>15.916899999999998</v>
      </c>
      <c r="J63">
        <f t="shared" si="1"/>
        <v>15.754049999999996</v>
      </c>
      <c r="L63">
        <f t="shared" si="2"/>
        <v>0</v>
      </c>
      <c r="M63">
        <f t="shared" si="3"/>
        <v>1</v>
      </c>
      <c r="O63">
        <f t="shared" si="4"/>
        <v>0</v>
      </c>
      <c r="P63">
        <f t="shared" si="5"/>
        <v>0.19000000000000128</v>
      </c>
      <c r="R63">
        <f t="shared" si="6"/>
        <v>0.23040000000000055</v>
      </c>
      <c r="S63">
        <f t="shared" si="7"/>
        <v>0.23066666666666633</v>
      </c>
      <c r="U63">
        <f t="shared" si="8"/>
        <v>49.97108155002902</v>
      </c>
      <c r="AH63">
        <f t="shared" si="11"/>
        <v>2.2217826262759006</v>
      </c>
      <c r="AI63">
        <f t="shared" si="12"/>
        <v>13.339066072949553</v>
      </c>
      <c r="AJ63">
        <f t="shared" si="13"/>
        <v>18.494733927050444</v>
      </c>
      <c r="AL63" s="6">
        <f t="shared" si="14"/>
        <v>20.360465252551798</v>
      </c>
      <c r="AM63">
        <f t="shared" si="15"/>
        <v>11.473334747448197</v>
      </c>
    </row>
    <row r="64" spans="1:39" ht="16.5" x14ac:dyDescent="0.25">
      <c r="A64" s="1">
        <v>45607</v>
      </c>
      <c r="B64" s="5">
        <v>16.138000000000002</v>
      </c>
      <c r="C64" s="4">
        <v>15.664</v>
      </c>
      <c r="D64" s="4">
        <v>16.167999999999999</v>
      </c>
      <c r="E64" s="4">
        <v>15.664</v>
      </c>
      <c r="F64" s="4" t="s">
        <v>869</v>
      </c>
      <c r="G64" s="2" t="s">
        <v>870</v>
      </c>
      <c r="I64">
        <f t="shared" si="0"/>
        <v>15.922000000000001</v>
      </c>
      <c r="J64">
        <f t="shared" si="1"/>
        <v>15.733699999999999</v>
      </c>
      <c r="L64">
        <f t="shared" si="2"/>
        <v>1</v>
      </c>
      <c r="M64">
        <f t="shared" si="3"/>
        <v>0</v>
      </c>
      <c r="O64">
        <f t="shared" si="4"/>
        <v>0.47400000000000198</v>
      </c>
      <c r="P64">
        <f t="shared" si="5"/>
        <v>0</v>
      </c>
      <c r="R64">
        <f t="shared" si="6"/>
        <v>0.22133333333333352</v>
      </c>
      <c r="S64">
        <f t="shared" si="7"/>
        <v>0.23574999999999946</v>
      </c>
      <c r="U64">
        <f t="shared" si="8"/>
        <v>48.4229717411122</v>
      </c>
      <c r="AH64">
        <f t="shared" si="11"/>
        <v>2.2174943141151342</v>
      </c>
      <c r="AI64">
        <f t="shared" si="12"/>
        <v>13.344166072949555</v>
      </c>
      <c r="AJ64">
        <f t="shared" si="13"/>
        <v>18.499833927050446</v>
      </c>
      <c r="AL64" s="6">
        <f t="shared" si="14"/>
        <v>20.356988628230269</v>
      </c>
      <c r="AM64">
        <f t="shared" si="15"/>
        <v>11.487011371769732</v>
      </c>
    </row>
    <row r="65" spans="1:39" ht="16.5" x14ac:dyDescent="0.25">
      <c r="A65" s="1">
        <v>45604</v>
      </c>
      <c r="B65" s="5">
        <v>15.522</v>
      </c>
      <c r="C65" s="4">
        <v>16.010000000000002</v>
      </c>
      <c r="D65" s="4">
        <v>16.027999999999999</v>
      </c>
      <c r="E65" s="4">
        <v>15.388</v>
      </c>
      <c r="F65" s="4" t="s">
        <v>846</v>
      </c>
      <c r="G65" s="2" t="s">
        <v>871</v>
      </c>
      <c r="I65">
        <f t="shared" si="0"/>
        <v>15.931900000000002</v>
      </c>
      <c r="J65">
        <f t="shared" si="1"/>
        <v>15.6952</v>
      </c>
      <c r="L65">
        <f t="shared" si="2"/>
        <v>0</v>
      </c>
      <c r="M65">
        <f t="shared" si="3"/>
        <v>1</v>
      </c>
      <c r="O65">
        <f t="shared" si="4"/>
        <v>0</v>
      </c>
      <c r="P65">
        <f t="shared" si="5"/>
        <v>0.48800000000000132</v>
      </c>
      <c r="R65">
        <f t="shared" si="6"/>
        <v>0.16999999999999993</v>
      </c>
      <c r="S65">
        <f t="shared" si="7"/>
        <v>0.23574999999999946</v>
      </c>
      <c r="U65">
        <f t="shared" si="8"/>
        <v>41.897720271102941</v>
      </c>
      <c r="AH65">
        <f t="shared" si="11"/>
        <v>2.2131320671412587</v>
      </c>
      <c r="AI65">
        <f t="shared" si="12"/>
        <v>13.354066072949557</v>
      </c>
      <c r="AJ65">
        <f t="shared" si="13"/>
        <v>18.509733927050448</v>
      </c>
      <c r="AL65" s="6">
        <f t="shared" si="14"/>
        <v>20.358164134282518</v>
      </c>
      <c r="AM65">
        <f t="shared" si="15"/>
        <v>11.505635865717485</v>
      </c>
    </row>
    <row r="66" spans="1:39" ht="16.5" x14ac:dyDescent="0.25">
      <c r="A66" s="1">
        <v>45603</v>
      </c>
      <c r="B66" s="5">
        <v>15.986000000000001</v>
      </c>
      <c r="C66" s="4">
        <v>16.186</v>
      </c>
      <c r="D66" s="4">
        <v>16.440000000000001</v>
      </c>
      <c r="E66" s="4">
        <v>15.986000000000001</v>
      </c>
      <c r="F66" s="4" t="s">
        <v>872</v>
      </c>
      <c r="G66" s="2" t="s">
        <v>82</v>
      </c>
      <c r="I66">
        <f t="shared" ref="I66:I129" si="16">AVERAGE(B66:B85)</f>
        <v>15.968699999999998</v>
      </c>
      <c r="J66">
        <f t="shared" ref="J66:J129" si="17">AVERAGE(B66:B105)</f>
        <v>15.67285</v>
      </c>
      <c r="L66">
        <f t="shared" ref="L66:L129" si="18">IF($C66&lt;$B66,1,0)</f>
        <v>0</v>
      </c>
      <c r="M66">
        <f t="shared" ref="M66:M129" si="19">IF($C66&lt;$B66,0,1)</f>
        <v>1</v>
      </c>
      <c r="O66">
        <f t="shared" ref="O66:O129" si="20">IF($C66&lt;$B66,B66-C66,0)</f>
        <v>0</v>
      </c>
      <c r="P66">
        <f t="shared" ref="P66:P129" si="21">IF($B66&lt;$C66,C66-B66,0)</f>
        <v>0.19999999999999929</v>
      </c>
      <c r="R66">
        <f t="shared" ref="R66:R129" si="22">SUM(O66:O79)/SUM(L66:L79)</f>
        <v>0.16999999999999993</v>
      </c>
      <c r="S66">
        <f t="shared" ref="S66:S129" si="23">SUM(P66:P79)/SUM(M66:M79)</f>
        <v>0.1879999999999995</v>
      </c>
      <c r="U66">
        <f t="shared" ref="U66:U129" si="24">100-(100/(1+(R66/S66)))</f>
        <v>47.486033519553132</v>
      </c>
      <c r="AH66">
        <f t="shared" si="11"/>
        <v>2.2086771619311647</v>
      </c>
      <c r="AI66">
        <f t="shared" si="12"/>
        <v>13.390866072949553</v>
      </c>
      <c r="AJ66">
        <f t="shared" si="13"/>
        <v>18.546533927050444</v>
      </c>
      <c r="AL66" s="6">
        <f t="shared" si="14"/>
        <v>20.386054323862329</v>
      </c>
      <c r="AM66">
        <f t="shared" si="15"/>
        <v>11.551345676137668</v>
      </c>
    </row>
    <row r="67" spans="1:39" ht="16.5" x14ac:dyDescent="0.25">
      <c r="A67" s="1">
        <v>45602</v>
      </c>
      <c r="B67" s="5">
        <v>16.166</v>
      </c>
      <c r="C67" s="4">
        <v>16.321999999999999</v>
      </c>
      <c r="D67" s="4">
        <v>16.893999999999998</v>
      </c>
      <c r="E67" s="4">
        <v>16.084</v>
      </c>
      <c r="F67" s="4" t="s">
        <v>873</v>
      </c>
      <c r="G67" s="2" t="s">
        <v>769</v>
      </c>
      <c r="I67">
        <f t="shared" si="16"/>
        <v>15.9742</v>
      </c>
      <c r="J67">
        <f t="shared" si="17"/>
        <v>15.630199999999999</v>
      </c>
      <c r="L67">
        <f t="shared" si="18"/>
        <v>0</v>
      </c>
      <c r="M67">
        <f t="shared" si="19"/>
        <v>1</v>
      </c>
      <c r="O67">
        <f t="shared" si="20"/>
        <v>0</v>
      </c>
      <c r="P67">
        <f t="shared" si="21"/>
        <v>0.15599999999999881</v>
      </c>
      <c r="R67">
        <f t="shared" si="22"/>
        <v>0.15999999999999964</v>
      </c>
      <c r="S67">
        <f t="shared" si="23"/>
        <v>0.1862857142857138</v>
      </c>
      <c r="U67">
        <f t="shared" si="24"/>
        <v>46.204620462046215</v>
      </c>
      <c r="AH67">
        <f t="shared" ref="AH67:AH130" si="25">_xlfn.STDEV.S(I67:I597)</f>
        <v>2.2040284193743185</v>
      </c>
      <c r="AI67">
        <f t="shared" ref="AI67:AI130" si="26">I67-$AH$2</f>
        <v>13.396366072949554</v>
      </c>
      <c r="AJ67">
        <f t="shared" ref="AJ67:AJ130" si="27">I67+$AH$2</f>
        <v>18.552033927050445</v>
      </c>
      <c r="AL67" s="6">
        <f t="shared" ref="AL67:AL130" si="28">I67+(AH67*2)</f>
        <v>20.382256838748638</v>
      </c>
      <c r="AM67">
        <f t="shared" ref="AM67:AM130" si="29">I67-(AH67*2)</f>
        <v>11.566143161251363</v>
      </c>
    </row>
    <row r="68" spans="1:39" ht="16.5" x14ac:dyDescent="0.25">
      <c r="A68" s="1">
        <v>45601</v>
      </c>
      <c r="B68" s="5">
        <v>15.916</v>
      </c>
      <c r="C68" s="4">
        <v>15.77</v>
      </c>
      <c r="D68" s="4">
        <v>15.916</v>
      </c>
      <c r="E68" s="4">
        <v>15.673999999999999</v>
      </c>
      <c r="F68" s="4" t="s">
        <v>874</v>
      </c>
      <c r="G68" s="2" t="s">
        <v>94</v>
      </c>
      <c r="I68">
        <f t="shared" si="16"/>
        <v>15.966099999999997</v>
      </c>
      <c r="J68">
        <f t="shared" si="17"/>
        <v>15.576899999999998</v>
      </c>
      <c r="L68">
        <f t="shared" si="18"/>
        <v>1</v>
      </c>
      <c r="M68">
        <f t="shared" si="19"/>
        <v>0</v>
      </c>
      <c r="O68">
        <f t="shared" si="20"/>
        <v>0.1460000000000008</v>
      </c>
      <c r="P68">
        <f t="shared" si="21"/>
        <v>0</v>
      </c>
      <c r="R68">
        <f t="shared" si="22"/>
        <v>0.14424999999999955</v>
      </c>
      <c r="S68">
        <f t="shared" si="23"/>
        <v>0.19133333333333299</v>
      </c>
      <c r="U68">
        <f t="shared" si="24"/>
        <v>42.984852247330487</v>
      </c>
      <c r="AH68">
        <f t="shared" si="25"/>
        <v>2.1992986614383487</v>
      </c>
      <c r="AI68">
        <f t="shared" si="26"/>
        <v>13.388266072949552</v>
      </c>
      <c r="AJ68">
        <f t="shared" si="27"/>
        <v>18.543933927050443</v>
      </c>
      <c r="AL68" s="6">
        <f t="shared" si="28"/>
        <v>20.364697322876694</v>
      </c>
      <c r="AM68">
        <f t="shared" si="29"/>
        <v>11.567502677123301</v>
      </c>
    </row>
    <row r="69" spans="1:39" ht="16.5" x14ac:dyDescent="0.25">
      <c r="A69" s="1">
        <v>45600</v>
      </c>
      <c r="B69" s="5">
        <v>15.766</v>
      </c>
      <c r="C69" s="4">
        <v>15.805999999999999</v>
      </c>
      <c r="D69" s="4">
        <v>15.86</v>
      </c>
      <c r="E69" s="4">
        <v>15.68</v>
      </c>
      <c r="F69" s="4" t="s">
        <v>875</v>
      </c>
      <c r="G69" s="2" t="s">
        <v>296</v>
      </c>
      <c r="I69">
        <f t="shared" si="16"/>
        <v>15.960899999999999</v>
      </c>
      <c r="J69">
        <f t="shared" si="17"/>
        <v>15.536300000000001</v>
      </c>
      <c r="L69">
        <f t="shared" si="18"/>
        <v>0</v>
      </c>
      <c r="M69">
        <f t="shared" si="19"/>
        <v>1</v>
      </c>
      <c r="O69">
        <f t="shared" si="20"/>
        <v>0</v>
      </c>
      <c r="P69">
        <f t="shared" si="21"/>
        <v>3.9999999999999147E-2</v>
      </c>
      <c r="R69">
        <f t="shared" si="22"/>
        <v>0.15449999999999964</v>
      </c>
      <c r="S69">
        <f t="shared" si="23"/>
        <v>0.19133333333333299</v>
      </c>
      <c r="U69">
        <f t="shared" si="24"/>
        <v>44.674698795180703</v>
      </c>
      <c r="AH69">
        <f t="shared" si="25"/>
        <v>2.1945377667836712</v>
      </c>
      <c r="AI69">
        <f t="shared" si="26"/>
        <v>13.383066072949553</v>
      </c>
      <c r="AJ69">
        <f t="shared" si="27"/>
        <v>18.538733927050444</v>
      </c>
      <c r="AL69" s="6">
        <f t="shared" si="28"/>
        <v>20.349975533567342</v>
      </c>
      <c r="AM69">
        <f t="shared" si="29"/>
        <v>11.571824466432655</v>
      </c>
    </row>
    <row r="70" spans="1:39" ht="16.5" x14ac:dyDescent="0.25">
      <c r="A70" s="1">
        <v>45597</v>
      </c>
      <c r="B70" s="5">
        <v>15.816000000000001</v>
      </c>
      <c r="C70" s="4">
        <v>15.612</v>
      </c>
      <c r="D70" s="4">
        <v>15.9</v>
      </c>
      <c r="E70" s="4">
        <v>15.59</v>
      </c>
      <c r="F70" s="4" t="s">
        <v>876</v>
      </c>
      <c r="G70" s="2" t="s">
        <v>176</v>
      </c>
      <c r="I70">
        <f t="shared" si="16"/>
        <v>15.9709</v>
      </c>
      <c r="J70">
        <f t="shared" si="17"/>
        <v>15.517900000000001</v>
      </c>
      <c r="L70">
        <f t="shared" si="18"/>
        <v>1</v>
      </c>
      <c r="M70">
        <f t="shared" si="19"/>
        <v>0</v>
      </c>
      <c r="O70">
        <f t="shared" si="20"/>
        <v>0.20400000000000063</v>
      </c>
      <c r="P70">
        <f t="shared" si="21"/>
        <v>0</v>
      </c>
      <c r="R70">
        <f t="shared" si="22"/>
        <v>0.15449999999999964</v>
      </c>
      <c r="S70">
        <f t="shared" si="23"/>
        <v>0.20799999999999988</v>
      </c>
      <c r="U70">
        <f t="shared" si="24"/>
        <v>42.620689655172377</v>
      </c>
      <c r="AH70">
        <f t="shared" si="25"/>
        <v>2.189734371773842</v>
      </c>
      <c r="AI70">
        <f t="shared" si="26"/>
        <v>13.393066072949555</v>
      </c>
      <c r="AJ70">
        <f t="shared" si="27"/>
        <v>18.548733927050446</v>
      </c>
      <c r="AL70" s="6">
        <f t="shared" si="28"/>
        <v>20.350368743547683</v>
      </c>
      <c r="AM70">
        <f t="shared" si="29"/>
        <v>11.591431256452317</v>
      </c>
    </row>
    <row r="71" spans="1:39" ht="16.5" x14ac:dyDescent="0.25">
      <c r="A71" s="1">
        <v>45596</v>
      </c>
      <c r="B71" s="5">
        <v>15.624000000000001</v>
      </c>
      <c r="C71" s="4">
        <v>15.4</v>
      </c>
      <c r="D71" s="4">
        <v>15.708</v>
      </c>
      <c r="E71" s="4">
        <v>15.23</v>
      </c>
      <c r="F71" s="4" t="s">
        <v>877</v>
      </c>
      <c r="G71" s="2" t="s">
        <v>717</v>
      </c>
      <c r="I71">
        <f t="shared" si="16"/>
        <v>15.9689</v>
      </c>
      <c r="J71">
        <f t="shared" si="17"/>
        <v>15.4892</v>
      </c>
      <c r="L71">
        <f t="shared" si="18"/>
        <v>1</v>
      </c>
      <c r="M71">
        <f t="shared" si="19"/>
        <v>0</v>
      </c>
      <c r="O71">
        <f t="shared" si="20"/>
        <v>0.2240000000000002</v>
      </c>
      <c r="P71">
        <f t="shared" si="21"/>
        <v>0</v>
      </c>
      <c r="R71">
        <f t="shared" si="22"/>
        <v>0.13174999999999937</v>
      </c>
      <c r="S71">
        <f t="shared" si="23"/>
        <v>0.20799999999999988</v>
      </c>
      <c r="U71">
        <f t="shared" si="24"/>
        <v>38.778513612950604</v>
      </c>
      <c r="AH71">
        <f t="shared" si="25"/>
        <v>2.1848300221083505</v>
      </c>
      <c r="AI71">
        <f t="shared" si="26"/>
        <v>13.391066072949556</v>
      </c>
      <c r="AJ71">
        <f t="shared" si="27"/>
        <v>18.546733927050443</v>
      </c>
      <c r="AL71" s="6">
        <f t="shared" si="28"/>
        <v>20.338560044216699</v>
      </c>
      <c r="AM71">
        <f t="shared" si="29"/>
        <v>11.599239955783299</v>
      </c>
    </row>
    <row r="72" spans="1:39" ht="16.5" x14ac:dyDescent="0.25">
      <c r="A72" s="1">
        <v>45595</v>
      </c>
      <c r="B72" s="5">
        <v>15.5</v>
      </c>
      <c r="C72" s="4">
        <v>15.702</v>
      </c>
      <c r="D72" s="4">
        <v>15.722</v>
      </c>
      <c r="E72" s="4">
        <v>15.348000000000001</v>
      </c>
      <c r="F72" s="4" t="s">
        <v>857</v>
      </c>
      <c r="G72" s="2" t="s">
        <v>446</v>
      </c>
      <c r="I72">
        <f t="shared" si="16"/>
        <v>15.955700000000002</v>
      </c>
      <c r="J72">
        <f t="shared" si="17"/>
        <v>15.472300000000001</v>
      </c>
      <c r="L72">
        <f t="shared" si="18"/>
        <v>0</v>
      </c>
      <c r="M72">
        <f t="shared" si="19"/>
        <v>1</v>
      </c>
      <c r="O72">
        <f t="shared" si="20"/>
        <v>0</v>
      </c>
      <c r="P72">
        <f t="shared" si="21"/>
        <v>0.20199999999999996</v>
      </c>
      <c r="R72">
        <f t="shared" si="22"/>
        <v>0.12374999999999936</v>
      </c>
      <c r="S72">
        <f t="shared" si="23"/>
        <v>0.20799999999999988</v>
      </c>
      <c r="U72">
        <f t="shared" si="24"/>
        <v>37.302185380557539</v>
      </c>
      <c r="AH72">
        <f t="shared" si="25"/>
        <v>2.1798690138496557</v>
      </c>
      <c r="AI72">
        <f t="shared" si="26"/>
        <v>13.377866072949558</v>
      </c>
      <c r="AJ72">
        <f t="shared" si="27"/>
        <v>18.533533927050446</v>
      </c>
      <c r="AL72" s="6">
        <f t="shared" si="28"/>
        <v>20.315438027699315</v>
      </c>
      <c r="AM72">
        <f t="shared" si="29"/>
        <v>11.595961972300691</v>
      </c>
    </row>
    <row r="73" spans="1:39" ht="16.5" x14ac:dyDescent="0.25">
      <c r="A73" s="1">
        <v>45594</v>
      </c>
      <c r="B73" s="5">
        <v>15.726000000000001</v>
      </c>
      <c r="C73" s="4">
        <v>15.962</v>
      </c>
      <c r="D73" s="4">
        <v>16.015999999999998</v>
      </c>
      <c r="E73" s="4">
        <v>15.694000000000001</v>
      </c>
      <c r="F73" s="4" t="s">
        <v>878</v>
      </c>
      <c r="G73" s="2" t="s">
        <v>379</v>
      </c>
      <c r="I73">
        <f t="shared" si="16"/>
        <v>15.951100000000002</v>
      </c>
      <c r="J73">
        <f t="shared" si="17"/>
        <v>15.446800000000001</v>
      </c>
      <c r="L73">
        <f t="shared" si="18"/>
        <v>0</v>
      </c>
      <c r="M73">
        <f t="shared" si="19"/>
        <v>1</v>
      </c>
      <c r="O73">
        <f t="shared" si="20"/>
        <v>0</v>
      </c>
      <c r="P73">
        <f t="shared" si="21"/>
        <v>0.23599999999999888</v>
      </c>
      <c r="R73">
        <f t="shared" si="22"/>
        <v>0.12088888888888841</v>
      </c>
      <c r="S73">
        <f t="shared" si="23"/>
        <v>0.20919999999999989</v>
      </c>
      <c r="U73">
        <f t="shared" si="24"/>
        <v>36.62313181634569</v>
      </c>
      <c r="AH73">
        <f t="shared" si="25"/>
        <v>2.1748936802551269</v>
      </c>
      <c r="AI73">
        <f t="shared" si="26"/>
        <v>13.373266072949558</v>
      </c>
      <c r="AJ73">
        <f t="shared" si="27"/>
        <v>18.528933927050446</v>
      </c>
      <c r="AL73" s="6">
        <f t="shared" si="28"/>
        <v>20.300887360510256</v>
      </c>
      <c r="AM73">
        <f t="shared" si="29"/>
        <v>11.601312639489748</v>
      </c>
    </row>
    <row r="74" spans="1:39" ht="16.5" x14ac:dyDescent="0.25">
      <c r="A74" s="1">
        <v>45593</v>
      </c>
      <c r="B74" s="5">
        <v>15.85</v>
      </c>
      <c r="C74" s="4">
        <v>15.746</v>
      </c>
      <c r="D74" s="4">
        <v>15.888</v>
      </c>
      <c r="E74" s="4">
        <v>15.566000000000001</v>
      </c>
      <c r="F74" s="4" t="s">
        <v>837</v>
      </c>
      <c r="G74" s="2" t="s">
        <v>879</v>
      </c>
      <c r="I74">
        <f t="shared" si="16"/>
        <v>15.932100000000002</v>
      </c>
      <c r="J74">
        <f t="shared" si="17"/>
        <v>15.416550000000001</v>
      </c>
      <c r="L74">
        <f t="shared" si="18"/>
        <v>1</v>
      </c>
      <c r="M74">
        <f t="shared" si="19"/>
        <v>0</v>
      </c>
      <c r="O74">
        <f t="shared" si="20"/>
        <v>0.1039999999999992</v>
      </c>
      <c r="P74">
        <f t="shared" si="21"/>
        <v>0</v>
      </c>
      <c r="R74">
        <f t="shared" si="22"/>
        <v>0.13559999999999964</v>
      </c>
      <c r="S74">
        <f t="shared" si="23"/>
        <v>0.20250000000000012</v>
      </c>
      <c r="U74">
        <f t="shared" si="24"/>
        <v>40.106477373558043</v>
      </c>
      <c r="AH74">
        <f t="shared" si="25"/>
        <v>2.1698705958145355</v>
      </c>
      <c r="AI74">
        <f t="shared" si="26"/>
        <v>13.354266072949557</v>
      </c>
      <c r="AJ74">
        <f t="shared" si="27"/>
        <v>18.509933927050447</v>
      </c>
      <c r="AL74" s="6">
        <f t="shared" si="28"/>
        <v>20.271841191629072</v>
      </c>
      <c r="AM74">
        <f t="shared" si="29"/>
        <v>11.592358808370932</v>
      </c>
    </row>
    <row r="75" spans="1:39" ht="16.5" x14ac:dyDescent="0.25">
      <c r="A75" s="1">
        <v>45590</v>
      </c>
      <c r="B75" s="5">
        <v>15.676</v>
      </c>
      <c r="C75" s="4">
        <v>15.808</v>
      </c>
      <c r="D75" s="4">
        <v>16</v>
      </c>
      <c r="E75" s="4">
        <v>15.64</v>
      </c>
      <c r="F75" s="4" t="s">
        <v>880</v>
      </c>
      <c r="G75" s="2" t="s">
        <v>396</v>
      </c>
      <c r="I75">
        <f t="shared" si="16"/>
        <v>15.9145</v>
      </c>
      <c r="J75">
        <f t="shared" si="17"/>
        <v>15.389150000000001</v>
      </c>
      <c r="L75">
        <f t="shared" si="18"/>
        <v>0</v>
      </c>
      <c r="M75">
        <f t="shared" si="19"/>
        <v>1</v>
      </c>
      <c r="O75">
        <f t="shared" si="20"/>
        <v>0</v>
      </c>
      <c r="P75">
        <f t="shared" si="21"/>
        <v>0.13199999999999967</v>
      </c>
      <c r="R75">
        <f t="shared" si="22"/>
        <v>0.1253999999999996</v>
      </c>
      <c r="S75">
        <f t="shared" si="23"/>
        <v>0.20250000000000012</v>
      </c>
      <c r="U75">
        <f t="shared" si="24"/>
        <v>38.24336688014629</v>
      </c>
      <c r="AH75">
        <f t="shared" si="25"/>
        <v>2.1648550181336246</v>
      </c>
      <c r="AI75">
        <f t="shared" si="26"/>
        <v>13.336666072949555</v>
      </c>
      <c r="AJ75">
        <f t="shared" si="27"/>
        <v>18.492333927050446</v>
      </c>
      <c r="AL75" s="6">
        <f t="shared" si="28"/>
        <v>20.244210036267248</v>
      </c>
      <c r="AM75">
        <f t="shared" si="29"/>
        <v>11.584789963732751</v>
      </c>
    </row>
    <row r="76" spans="1:39" ht="16.5" x14ac:dyDescent="0.25">
      <c r="A76" s="1">
        <v>45589</v>
      </c>
      <c r="B76" s="5">
        <v>15.788</v>
      </c>
      <c r="C76" s="4">
        <v>16.22</v>
      </c>
      <c r="D76" s="4">
        <v>16.268000000000001</v>
      </c>
      <c r="E76" s="4">
        <v>15.728</v>
      </c>
      <c r="F76" s="4" t="s">
        <v>881</v>
      </c>
      <c r="G76" s="2" t="s">
        <v>882</v>
      </c>
      <c r="I76">
        <f t="shared" si="16"/>
        <v>15.9084</v>
      </c>
      <c r="J76">
        <f t="shared" si="17"/>
        <v>15.365950000000002</v>
      </c>
      <c r="L76">
        <f t="shared" si="18"/>
        <v>0</v>
      </c>
      <c r="M76">
        <f t="shared" si="19"/>
        <v>1</v>
      </c>
      <c r="O76">
        <f t="shared" si="20"/>
        <v>0</v>
      </c>
      <c r="P76">
        <f t="shared" si="21"/>
        <v>0.43199999999999861</v>
      </c>
      <c r="R76">
        <f t="shared" si="22"/>
        <v>0.12436363636363591</v>
      </c>
      <c r="S76">
        <f t="shared" si="23"/>
        <v>0.22600000000000028</v>
      </c>
      <c r="U76">
        <f t="shared" si="24"/>
        <v>35.495588998443068</v>
      </c>
      <c r="AH76">
        <f t="shared" si="25"/>
        <v>2.1598415909777304</v>
      </c>
      <c r="AI76">
        <f t="shared" si="26"/>
        <v>13.330566072949555</v>
      </c>
      <c r="AJ76">
        <f t="shared" si="27"/>
        <v>18.486233927050446</v>
      </c>
      <c r="AL76" s="6">
        <f t="shared" si="28"/>
        <v>20.228083181955462</v>
      </c>
      <c r="AM76">
        <f t="shared" si="29"/>
        <v>11.588716818044539</v>
      </c>
    </row>
    <row r="77" spans="1:39" ht="16.5" x14ac:dyDescent="0.25">
      <c r="A77" s="1">
        <v>45588</v>
      </c>
      <c r="B77" s="5">
        <v>16.175999999999998</v>
      </c>
      <c r="C77" s="4">
        <v>16</v>
      </c>
      <c r="D77" s="4">
        <v>16.218</v>
      </c>
      <c r="E77" s="4">
        <v>15.52</v>
      </c>
      <c r="F77" s="4" t="s">
        <v>883</v>
      </c>
      <c r="G77" s="2" t="s">
        <v>689</v>
      </c>
      <c r="I77">
        <f t="shared" si="16"/>
        <v>15.893599999999998</v>
      </c>
      <c r="J77">
        <f t="shared" si="17"/>
        <v>15.337899999999999</v>
      </c>
      <c r="L77">
        <f t="shared" si="18"/>
        <v>1</v>
      </c>
      <c r="M77">
        <f t="shared" si="19"/>
        <v>0</v>
      </c>
      <c r="O77">
        <f t="shared" si="20"/>
        <v>0.17599999999999838</v>
      </c>
      <c r="P77">
        <f t="shared" si="21"/>
        <v>0</v>
      </c>
      <c r="R77">
        <f t="shared" si="22"/>
        <v>0.1503333333333329</v>
      </c>
      <c r="S77">
        <f t="shared" si="23"/>
        <v>0.12300000000000111</v>
      </c>
      <c r="U77">
        <f t="shared" si="24"/>
        <v>54.999999999999709</v>
      </c>
      <c r="AH77">
        <f t="shared" si="25"/>
        <v>2.1547854902282473</v>
      </c>
      <c r="AI77">
        <f t="shared" si="26"/>
        <v>13.315766072949554</v>
      </c>
      <c r="AJ77">
        <f t="shared" si="27"/>
        <v>18.471433927050441</v>
      </c>
      <c r="AL77" s="6">
        <f t="shared" si="28"/>
        <v>20.203170980456491</v>
      </c>
      <c r="AM77">
        <f t="shared" si="29"/>
        <v>11.584029019543504</v>
      </c>
    </row>
    <row r="78" spans="1:39" ht="16.5" x14ac:dyDescent="0.25">
      <c r="A78" s="1">
        <v>45587</v>
      </c>
      <c r="B78" s="5">
        <v>16.314</v>
      </c>
      <c r="C78" s="4">
        <v>16.148</v>
      </c>
      <c r="D78" s="4">
        <v>16.314</v>
      </c>
      <c r="E78" s="4">
        <v>15.992000000000001</v>
      </c>
      <c r="F78" s="4" t="s">
        <v>884</v>
      </c>
      <c r="G78" s="2" t="s">
        <v>176</v>
      </c>
      <c r="I78">
        <f t="shared" si="16"/>
        <v>15.845700000000003</v>
      </c>
      <c r="J78">
        <f t="shared" si="17"/>
        <v>15.3005</v>
      </c>
      <c r="L78">
        <f t="shared" si="18"/>
        <v>1</v>
      </c>
      <c r="M78">
        <f t="shared" si="19"/>
        <v>0</v>
      </c>
      <c r="O78">
        <f t="shared" si="20"/>
        <v>0.16600000000000037</v>
      </c>
      <c r="P78">
        <f t="shared" si="21"/>
        <v>0</v>
      </c>
      <c r="R78">
        <f t="shared" si="22"/>
        <v>0.13849999999999962</v>
      </c>
      <c r="S78">
        <f t="shared" si="23"/>
        <v>0.12300000000000111</v>
      </c>
      <c r="U78">
        <f t="shared" si="24"/>
        <v>52.963671128106782</v>
      </c>
      <c r="AH78">
        <f t="shared" si="25"/>
        <v>2.1497202312009391</v>
      </c>
      <c r="AI78">
        <f t="shared" si="26"/>
        <v>13.267866072949559</v>
      </c>
      <c r="AJ78">
        <f t="shared" si="27"/>
        <v>18.423533927050446</v>
      </c>
      <c r="AL78" s="6">
        <f t="shared" si="28"/>
        <v>20.14514046240188</v>
      </c>
      <c r="AM78">
        <f t="shared" si="29"/>
        <v>11.546259537598125</v>
      </c>
    </row>
    <row r="79" spans="1:39" ht="16.5" x14ac:dyDescent="0.25">
      <c r="A79" s="1">
        <v>45586</v>
      </c>
      <c r="B79" s="5">
        <v>16.116</v>
      </c>
      <c r="C79" s="4">
        <v>16.222000000000001</v>
      </c>
      <c r="D79" s="4">
        <v>16.338000000000001</v>
      </c>
      <c r="E79" s="4">
        <v>16.106000000000002</v>
      </c>
      <c r="F79" s="4" t="s">
        <v>885</v>
      </c>
      <c r="G79" s="2" t="s">
        <v>313</v>
      </c>
      <c r="I79">
        <f t="shared" si="16"/>
        <v>15.793100000000001</v>
      </c>
      <c r="J79">
        <f t="shared" si="17"/>
        <v>15.260099999999998</v>
      </c>
      <c r="L79">
        <f t="shared" si="18"/>
        <v>0</v>
      </c>
      <c r="M79">
        <f t="shared" si="19"/>
        <v>1</v>
      </c>
      <c r="O79">
        <f t="shared" si="20"/>
        <v>0</v>
      </c>
      <c r="P79">
        <f t="shared" si="21"/>
        <v>0.10600000000000165</v>
      </c>
      <c r="R79">
        <f t="shared" si="22"/>
        <v>0.13499999999999948</v>
      </c>
      <c r="S79">
        <f t="shared" si="23"/>
        <v>0.12300000000000111</v>
      </c>
      <c r="U79">
        <f t="shared" si="24"/>
        <v>52.325581395348514</v>
      </c>
      <c r="AH79">
        <f t="shared" si="25"/>
        <v>2.1447751739713397</v>
      </c>
      <c r="AI79">
        <f t="shared" si="26"/>
        <v>13.215266072949557</v>
      </c>
      <c r="AJ79">
        <f t="shared" si="27"/>
        <v>18.370933927050444</v>
      </c>
      <c r="AL79" s="6">
        <f t="shared" si="28"/>
        <v>20.082650347942682</v>
      </c>
      <c r="AM79">
        <f t="shared" si="29"/>
        <v>11.503549652057321</v>
      </c>
    </row>
    <row r="80" spans="1:39" ht="16.5" x14ac:dyDescent="0.25">
      <c r="A80" s="1">
        <v>45583</v>
      </c>
      <c r="B80" s="5">
        <v>16.207999999999998</v>
      </c>
      <c r="C80" s="4">
        <v>16.108000000000001</v>
      </c>
      <c r="D80" s="4">
        <v>16.344000000000001</v>
      </c>
      <c r="E80" s="4">
        <v>15.976000000000001</v>
      </c>
      <c r="F80" s="4" t="s">
        <v>886</v>
      </c>
      <c r="G80" s="2" t="s">
        <v>821</v>
      </c>
      <c r="I80">
        <f t="shared" si="16"/>
        <v>15.747000000000003</v>
      </c>
      <c r="J80">
        <f t="shared" si="17"/>
        <v>15.22235</v>
      </c>
      <c r="L80">
        <f t="shared" si="18"/>
        <v>1</v>
      </c>
      <c r="M80">
        <f t="shared" si="19"/>
        <v>0</v>
      </c>
      <c r="O80">
        <f t="shared" si="20"/>
        <v>9.9999999999997868E-2</v>
      </c>
      <c r="P80">
        <f t="shared" si="21"/>
        <v>0</v>
      </c>
      <c r="R80">
        <f t="shared" si="22"/>
        <v>0.13499999999999948</v>
      </c>
      <c r="S80">
        <f t="shared" si="23"/>
        <v>0.16999999999999993</v>
      </c>
      <c r="U80">
        <f t="shared" si="24"/>
        <v>44.262295081967125</v>
      </c>
      <c r="AH80">
        <f t="shared" si="25"/>
        <v>2.1399688584941599</v>
      </c>
      <c r="AI80">
        <f t="shared" si="26"/>
        <v>13.169166072949558</v>
      </c>
      <c r="AJ80">
        <f t="shared" si="27"/>
        <v>18.324833927050449</v>
      </c>
      <c r="AL80" s="6">
        <f t="shared" si="28"/>
        <v>20.026937716988321</v>
      </c>
      <c r="AM80">
        <f t="shared" si="29"/>
        <v>11.467062283011684</v>
      </c>
    </row>
    <row r="81" spans="1:39" ht="16.5" x14ac:dyDescent="0.25">
      <c r="A81" s="1">
        <v>45582</v>
      </c>
      <c r="B81" s="5">
        <v>16.154</v>
      </c>
      <c r="C81" s="4">
        <v>16.12</v>
      </c>
      <c r="D81" s="4">
        <v>16.282</v>
      </c>
      <c r="E81" s="4">
        <v>16.09</v>
      </c>
      <c r="F81" s="4" t="s">
        <v>823</v>
      </c>
      <c r="G81" s="2" t="s">
        <v>160</v>
      </c>
      <c r="I81">
        <f t="shared" si="16"/>
        <v>15.695000000000002</v>
      </c>
      <c r="J81">
        <f t="shared" si="17"/>
        <v>15.18465</v>
      </c>
      <c r="L81">
        <f t="shared" si="18"/>
        <v>1</v>
      </c>
      <c r="M81">
        <f t="shared" si="19"/>
        <v>0</v>
      </c>
      <c r="O81">
        <f t="shared" si="20"/>
        <v>3.399999999999892E-2</v>
      </c>
      <c r="P81">
        <f t="shared" si="21"/>
        <v>0</v>
      </c>
      <c r="R81">
        <f t="shared" si="22"/>
        <v>0.13818181818181782</v>
      </c>
      <c r="S81">
        <f t="shared" si="23"/>
        <v>0.12266666666666677</v>
      </c>
      <c r="U81">
        <f t="shared" si="24"/>
        <v>52.9739776951672</v>
      </c>
      <c r="AH81">
        <f t="shared" si="25"/>
        <v>2.1352765276300536</v>
      </c>
      <c r="AI81">
        <f t="shared" si="26"/>
        <v>13.117166072949558</v>
      </c>
      <c r="AJ81">
        <f t="shared" si="27"/>
        <v>18.272833927050446</v>
      </c>
      <c r="AL81" s="6">
        <f t="shared" si="28"/>
        <v>19.965553055260109</v>
      </c>
      <c r="AM81">
        <f t="shared" si="29"/>
        <v>11.424446944739895</v>
      </c>
    </row>
    <row r="82" spans="1:39" ht="16.5" x14ac:dyDescent="0.25">
      <c r="A82" s="1">
        <v>45581</v>
      </c>
      <c r="B82" s="5">
        <v>16.082000000000001</v>
      </c>
      <c r="C82" s="4">
        <v>15.853999999999999</v>
      </c>
      <c r="D82" s="4">
        <v>16.082000000000001</v>
      </c>
      <c r="E82" s="4">
        <v>15.832000000000001</v>
      </c>
      <c r="F82" s="4" t="s">
        <v>887</v>
      </c>
      <c r="G82" s="2" t="s">
        <v>888</v>
      </c>
      <c r="I82">
        <f t="shared" si="16"/>
        <v>15.648399999999999</v>
      </c>
      <c r="J82">
        <f t="shared" si="17"/>
        <v>15.145099999999999</v>
      </c>
      <c r="L82">
        <f t="shared" si="18"/>
        <v>1</v>
      </c>
      <c r="M82">
        <f t="shared" si="19"/>
        <v>0</v>
      </c>
      <c r="O82">
        <f t="shared" si="20"/>
        <v>0.22800000000000153</v>
      </c>
      <c r="P82">
        <f t="shared" si="21"/>
        <v>0</v>
      </c>
      <c r="R82">
        <f t="shared" si="22"/>
        <v>0.13763636363636342</v>
      </c>
      <c r="S82">
        <f t="shared" si="23"/>
        <v>0.12266666666666677</v>
      </c>
      <c r="U82">
        <f t="shared" si="24"/>
        <v>52.875436554132648</v>
      </c>
      <c r="AH82">
        <f t="shared" si="25"/>
        <v>2.1307210419475036</v>
      </c>
      <c r="AI82">
        <f t="shared" si="26"/>
        <v>13.070566072949553</v>
      </c>
      <c r="AJ82">
        <f t="shared" si="27"/>
        <v>18.226233927050444</v>
      </c>
      <c r="AL82" s="6">
        <f t="shared" si="28"/>
        <v>19.909842083895008</v>
      </c>
      <c r="AM82">
        <f t="shared" si="29"/>
        <v>11.386957916104992</v>
      </c>
    </row>
    <row r="83" spans="1:39" ht="16.5" x14ac:dyDescent="0.25">
      <c r="A83" s="1">
        <v>45580</v>
      </c>
      <c r="B83" s="5">
        <v>15.916</v>
      </c>
      <c r="C83" s="4">
        <v>16.056000000000001</v>
      </c>
      <c r="D83" s="4">
        <v>16.138000000000002</v>
      </c>
      <c r="E83" s="4">
        <v>15.804</v>
      </c>
      <c r="F83" s="4" t="s">
        <v>889</v>
      </c>
      <c r="G83" s="2" t="s">
        <v>890</v>
      </c>
      <c r="I83">
        <f t="shared" si="16"/>
        <v>15.591199999999997</v>
      </c>
      <c r="J83">
        <f t="shared" si="17"/>
        <v>15.093249999999998</v>
      </c>
      <c r="L83">
        <f t="shared" si="18"/>
        <v>0</v>
      </c>
      <c r="M83">
        <f t="shared" si="19"/>
        <v>1</v>
      </c>
      <c r="O83">
        <f t="shared" si="20"/>
        <v>0</v>
      </c>
      <c r="P83">
        <f t="shared" si="21"/>
        <v>0.14000000000000057</v>
      </c>
      <c r="R83">
        <f t="shared" si="22"/>
        <v>0.12327272727272694</v>
      </c>
      <c r="S83">
        <f t="shared" si="23"/>
        <v>0.12266666666666677</v>
      </c>
      <c r="U83">
        <f t="shared" si="24"/>
        <v>50.123213405618436</v>
      </c>
      <c r="AH83">
        <f t="shared" si="25"/>
        <v>2.126282097727493</v>
      </c>
      <c r="AI83">
        <f t="shared" si="26"/>
        <v>13.013366072949552</v>
      </c>
      <c r="AJ83">
        <f t="shared" si="27"/>
        <v>18.169033927050442</v>
      </c>
      <c r="AL83" s="6">
        <f t="shared" si="28"/>
        <v>19.843764195454984</v>
      </c>
      <c r="AM83">
        <f t="shared" si="29"/>
        <v>11.33863580454501</v>
      </c>
    </row>
    <row r="84" spans="1:39" ht="16.5" x14ac:dyDescent="0.25">
      <c r="A84" s="1">
        <v>45579</v>
      </c>
      <c r="B84" s="5">
        <v>16.335999999999999</v>
      </c>
      <c r="C84" s="4">
        <v>16.314</v>
      </c>
      <c r="D84" s="4">
        <v>16.393999999999998</v>
      </c>
      <c r="E84" s="4">
        <v>16.184000000000001</v>
      </c>
      <c r="F84" s="4" t="s">
        <v>891</v>
      </c>
      <c r="G84" s="2" t="s">
        <v>298</v>
      </c>
      <c r="I84">
        <f t="shared" si="16"/>
        <v>15.545399999999995</v>
      </c>
      <c r="J84">
        <f t="shared" si="17"/>
        <v>15.043299999999997</v>
      </c>
      <c r="L84">
        <f t="shared" si="18"/>
        <v>1</v>
      </c>
      <c r="M84">
        <f t="shared" si="19"/>
        <v>0</v>
      </c>
      <c r="O84">
        <f t="shared" si="20"/>
        <v>2.1999999999998465E-2</v>
      </c>
      <c r="P84">
        <f t="shared" si="21"/>
        <v>0</v>
      </c>
      <c r="R84">
        <f t="shared" si="22"/>
        <v>0.11449999999999975</v>
      </c>
      <c r="S84">
        <f t="shared" si="23"/>
        <v>0.11399999999999988</v>
      </c>
      <c r="U84">
        <f t="shared" si="24"/>
        <v>50.10940919037197</v>
      </c>
      <c r="AH84">
        <f t="shared" si="25"/>
        <v>2.1219998204870145</v>
      </c>
      <c r="AI84">
        <f t="shared" si="26"/>
        <v>12.967566072949552</v>
      </c>
      <c r="AJ84">
        <f t="shared" si="27"/>
        <v>18.123233927050439</v>
      </c>
      <c r="AL84" s="6">
        <f t="shared" si="28"/>
        <v>19.789399640974025</v>
      </c>
      <c r="AM84">
        <f t="shared" si="29"/>
        <v>11.301400359025966</v>
      </c>
    </row>
    <row r="85" spans="1:39" ht="16.5" x14ac:dyDescent="0.25">
      <c r="A85" s="1">
        <v>45576</v>
      </c>
      <c r="B85" s="5">
        <v>16.257999999999999</v>
      </c>
      <c r="C85" s="4">
        <v>16.097999999999999</v>
      </c>
      <c r="D85" s="4">
        <v>16.257999999999999</v>
      </c>
      <c r="E85" s="4">
        <v>16.05</v>
      </c>
      <c r="F85" s="4" t="s">
        <v>892</v>
      </c>
      <c r="G85" s="2" t="s">
        <v>524</v>
      </c>
      <c r="I85">
        <f t="shared" si="16"/>
        <v>15.458499999999997</v>
      </c>
      <c r="J85">
        <f t="shared" si="17"/>
        <v>14.9886</v>
      </c>
      <c r="L85">
        <f t="shared" si="18"/>
        <v>1</v>
      </c>
      <c r="M85">
        <f t="shared" si="19"/>
        <v>0</v>
      </c>
      <c r="O85">
        <f t="shared" si="20"/>
        <v>0.16000000000000014</v>
      </c>
      <c r="P85">
        <f t="shared" si="21"/>
        <v>0</v>
      </c>
      <c r="R85">
        <f t="shared" si="22"/>
        <v>0.11316666666666657</v>
      </c>
      <c r="S85">
        <f t="shared" si="23"/>
        <v>0.11399999999999988</v>
      </c>
      <c r="U85">
        <f t="shared" si="24"/>
        <v>49.816581071166553</v>
      </c>
      <c r="AH85">
        <f t="shared" si="25"/>
        <v>2.1178316040208034</v>
      </c>
      <c r="AI85">
        <f t="shared" si="26"/>
        <v>12.880666072949552</v>
      </c>
      <c r="AJ85">
        <f t="shared" si="27"/>
        <v>18.036333927050443</v>
      </c>
      <c r="AL85" s="6">
        <f t="shared" si="28"/>
        <v>19.694163208041605</v>
      </c>
      <c r="AM85">
        <f t="shared" si="29"/>
        <v>11.22283679195839</v>
      </c>
    </row>
    <row r="86" spans="1:39" ht="16.5" x14ac:dyDescent="0.25">
      <c r="A86" s="1">
        <v>45575</v>
      </c>
      <c r="B86" s="5">
        <v>16.096</v>
      </c>
      <c r="C86" s="4">
        <v>15.997999999999999</v>
      </c>
      <c r="D86" s="4">
        <v>16.122</v>
      </c>
      <c r="E86" s="4">
        <v>15.584</v>
      </c>
      <c r="F86" s="4" t="s">
        <v>893</v>
      </c>
      <c r="G86" s="2" t="s">
        <v>38</v>
      </c>
      <c r="I86">
        <f t="shared" si="16"/>
        <v>15.376999999999999</v>
      </c>
      <c r="J86">
        <f t="shared" si="17"/>
        <v>14.933149999999998</v>
      </c>
      <c r="L86">
        <f t="shared" si="18"/>
        <v>1</v>
      </c>
      <c r="M86">
        <f t="shared" si="19"/>
        <v>0</v>
      </c>
      <c r="O86">
        <f t="shared" si="20"/>
        <v>9.8000000000000753E-2</v>
      </c>
      <c r="P86">
        <f t="shared" si="21"/>
        <v>0</v>
      </c>
      <c r="R86">
        <f t="shared" si="22"/>
        <v>0.10890909090909079</v>
      </c>
      <c r="S86">
        <f t="shared" si="23"/>
        <v>8.1333333333333258E-2</v>
      </c>
      <c r="U86">
        <f t="shared" si="24"/>
        <v>57.2475310608474</v>
      </c>
      <c r="AH86">
        <f t="shared" si="25"/>
        <v>2.1139290480425728</v>
      </c>
      <c r="AI86">
        <f t="shared" si="26"/>
        <v>12.799166072949554</v>
      </c>
      <c r="AJ86">
        <f t="shared" si="27"/>
        <v>17.954833927050444</v>
      </c>
      <c r="AL86" s="6">
        <f t="shared" si="28"/>
        <v>19.604858096085145</v>
      </c>
      <c r="AM86">
        <f t="shared" si="29"/>
        <v>11.149141903914852</v>
      </c>
    </row>
    <row r="87" spans="1:39" ht="16.5" x14ac:dyDescent="0.25">
      <c r="A87" s="1">
        <v>45574</v>
      </c>
      <c r="B87" s="5">
        <v>16.004000000000001</v>
      </c>
      <c r="C87" s="4">
        <v>15.736000000000001</v>
      </c>
      <c r="D87" s="4">
        <v>16.007999999999999</v>
      </c>
      <c r="E87" s="4">
        <v>15.46</v>
      </c>
      <c r="F87" s="4" t="s">
        <v>894</v>
      </c>
      <c r="G87" s="2" t="s">
        <v>895</v>
      </c>
      <c r="I87">
        <f t="shared" si="16"/>
        <v>15.286199999999997</v>
      </c>
      <c r="J87">
        <f t="shared" si="17"/>
        <v>14.875999999999996</v>
      </c>
      <c r="L87">
        <f t="shared" si="18"/>
        <v>1</v>
      </c>
      <c r="M87">
        <f t="shared" si="19"/>
        <v>0</v>
      </c>
      <c r="O87">
        <f t="shared" si="20"/>
        <v>0.26800000000000068</v>
      </c>
      <c r="P87">
        <f t="shared" si="21"/>
        <v>0</v>
      </c>
      <c r="R87">
        <f t="shared" si="22"/>
        <v>0.10072727272727246</v>
      </c>
      <c r="S87">
        <f t="shared" si="23"/>
        <v>8.1333333333333258E-2</v>
      </c>
      <c r="U87">
        <f t="shared" si="24"/>
        <v>55.326231691078526</v>
      </c>
      <c r="AH87">
        <f t="shared" si="25"/>
        <v>2.1102699672794474</v>
      </c>
      <c r="AI87">
        <f t="shared" si="26"/>
        <v>12.708366072949552</v>
      </c>
      <c r="AJ87">
        <f t="shared" si="27"/>
        <v>17.864033927050443</v>
      </c>
      <c r="AL87" s="6">
        <f t="shared" si="28"/>
        <v>19.506739934558894</v>
      </c>
      <c r="AM87">
        <f t="shared" si="29"/>
        <v>11.065660065441103</v>
      </c>
    </row>
    <row r="88" spans="1:39" ht="16.5" x14ac:dyDescent="0.25">
      <c r="A88" s="1">
        <v>45573</v>
      </c>
      <c r="B88" s="5">
        <v>15.811999999999999</v>
      </c>
      <c r="C88" s="4">
        <v>15.81</v>
      </c>
      <c r="D88" s="4">
        <v>15.965999999999999</v>
      </c>
      <c r="E88" s="4">
        <v>15.757999999999999</v>
      </c>
      <c r="F88" s="4" t="s">
        <v>896</v>
      </c>
      <c r="G88" s="2" t="s">
        <v>719</v>
      </c>
      <c r="I88">
        <f t="shared" si="16"/>
        <v>15.187699999999998</v>
      </c>
      <c r="J88">
        <f t="shared" si="17"/>
        <v>14.810399999999996</v>
      </c>
      <c r="L88">
        <f t="shared" si="18"/>
        <v>1</v>
      </c>
      <c r="M88">
        <f t="shared" si="19"/>
        <v>0</v>
      </c>
      <c r="O88">
        <f t="shared" si="20"/>
        <v>1.9999999999988916E-3</v>
      </c>
      <c r="P88">
        <f t="shared" si="21"/>
        <v>0</v>
      </c>
      <c r="R88">
        <f t="shared" si="22"/>
        <v>8.563636363636333E-2</v>
      </c>
      <c r="S88">
        <f t="shared" si="23"/>
        <v>8.1333333333333258E-2</v>
      </c>
      <c r="U88">
        <f t="shared" si="24"/>
        <v>51.288566243194133</v>
      </c>
      <c r="AH88">
        <f t="shared" si="25"/>
        <v>2.1068848044612731</v>
      </c>
      <c r="AI88">
        <f t="shared" si="26"/>
        <v>12.609866072949554</v>
      </c>
      <c r="AJ88">
        <f t="shared" si="27"/>
        <v>17.765533927050441</v>
      </c>
      <c r="AL88" s="6">
        <f t="shared" si="28"/>
        <v>19.401469608922543</v>
      </c>
      <c r="AM88">
        <f t="shared" si="29"/>
        <v>10.973930391077452</v>
      </c>
    </row>
    <row r="89" spans="1:39" ht="16.5" x14ac:dyDescent="0.25">
      <c r="A89" s="1">
        <v>45572</v>
      </c>
      <c r="B89" s="5">
        <v>15.965999999999999</v>
      </c>
      <c r="C89" s="4">
        <v>15.852</v>
      </c>
      <c r="D89" s="4">
        <v>16.059999999999999</v>
      </c>
      <c r="E89" s="4">
        <v>15.768000000000001</v>
      </c>
      <c r="F89" s="4" t="s">
        <v>897</v>
      </c>
      <c r="G89" s="2" t="s">
        <v>243</v>
      </c>
      <c r="I89">
        <f t="shared" si="16"/>
        <v>15.111699999999995</v>
      </c>
      <c r="J89">
        <f t="shared" si="17"/>
        <v>14.747599999999995</v>
      </c>
      <c r="L89">
        <f t="shared" si="18"/>
        <v>1</v>
      </c>
      <c r="M89">
        <f t="shared" si="19"/>
        <v>0</v>
      </c>
      <c r="O89">
        <f t="shared" si="20"/>
        <v>0.11399999999999899</v>
      </c>
      <c r="P89">
        <f t="shared" si="21"/>
        <v>0</v>
      </c>
      <c r="R89">
        <f t="shared" si="22"/>
        <v>9.3999999999999778E-2</v>
      </c>
      <c r="S89">
        <f t="shared" si="23"/>
        <v>6.4999999999999947E-2</v>
      </c>
      <c r="U89">
        <f t="shared" si="24"/>
        <v>59.119496855345872</v>
      </c>
      <c r="AH89">
        <f t="shared" si="25"/>
        <v>2.1037963991224666</v>
      </c>
      <c r="AI89">
        <f t="shared" si="26"/>
        <v>12.53386607294955</v>
      </c>
      <c r="AJ89">
        <f t="shared" si="27"/>
        <v>17.689533927050441</v>
      </c>
      <c r="AL89" s="6">
        <f t="shared" si="28"/>
        <v>19.319292798244931</v>
      </c>
      <c r="AM89">
        <f t="shared" si="29"/>
        <v>10.904107201755062</v>
      </c>
    </row>
    <row r="90" spans="1:39" ht="16.5" x14ac:dyDescent="0.25">
      <c r="A90" s="1">
        <v>45569</v>
      </c>
      <c r="B90" s="5">
        <v>15.776</v>
      </c>
      <c r="C90" s="4">
        <v>15.34</v>
      </c>
      <c r="D90" s="4">
        <v>15.92</v>
      </c>
      <c r="E90" s="4">
        <v>15.308</v>
      </c>
      <c r="F90" s="4" t="s">
        <v>898</v>
      </c>
      <c r="G90" s="2" t="s">
        <v>108</v>
      </c>
      <c r="I90">
        <f t="shared" si="16"/>
        <v>15.064899999999998</v>
      </c>
      <c r="J90">
        <f t="shared" si="17"/>
        <v>14.681149999999993</v>
      </c>
      <c r="L90">
        <f t="shared" si="18"/>
        <v>1</v>
      </c>
      <c r="M90">
        <f t="shared" si="19"/>
        <v>0</v>
      </c>
      <c r="O90">
        <f t="shared" si="20"/>
        <v>0.43599999999999994</v>
      </c>
      <c r="P90">
        <f t="shared" si="21"/>
        <v>0</v>
      </c>
      <c r="R90">
        <f t="shared" si="22"/>
        <v>0.11419999999999994</v>
      </c>
      <c r="S90">
        <f t="shared" si="23"/>
        <v>6.4999999999999947E-2</v>
      </c>
      <c r="U90">
        <f t="shared" si="24"/>
        <v>63.727678571428577</v>
      </c>
      <c r="AH90">
        <f t="shared" si="25"/>
        <v>2.1009241270440566</v>
      </c>
      <c r="AI90">
        <f t="shared" si="26"/>
        <v>12.487066072949553</v>
      </c>
      <c r="AJ90">
        <f t="shared" si="27"/>
        <v>17.642733927050443</v>
      </c>
      <c r="AL90" s="6">
        <f t="shared" si="28"/>
        <v>19.26674825408811</v>
      </c>
      <c r="AM90">
        <f t="shared" si="29"/>
        <v>10.863051745911886</v>
      </c>
    </row>
    <row r="91" spans="1:39" ht="16.5" x14ac:dyDescent="0.25">
      <c r="A91" s="1">
        <v>45568</v>
      </c>
      <c r="B91" s="5">
        <v>15.36</v>
      </c>
      <c r="C91" s="4">
        <v>15.326000000000001</v>
      </c>
      <c r="D91" s="4">
        <v>15.401999999999999</v>
      </c>
      <c r="E91" s="4">
        <v>15.076000000000001</v>
      </c>
      <c r="F91" s="4" t="s">
        <v>899</v>
      </c>
      <c r="G91" s="2" t="s">
        <v>67</v>
      </c>
      <c r="I91">
        <f t="shared" si="16"/>
        <v>15.009499999999999</v>
      </c>
      <c r="J91">
        <f t="shared" si="17"/>
        <v>14.619049999999998</v>
      </c>
      <c r="L91">
        <f t="shared" si="18"/>
        <v>1</v>
      </c>
      <c r="M91">
        <f t="shared" si="19"/>
        <v>0</v>
      </c>
      <c r="O91">
        <f t="shared" si="20"/>
        <v>3.399999999999892E-2</v>
      </c>
      <c r="P91">
        <f t="shared" si="21"/>
        <v>0</v>
      </c>
      <c r="R91">
        <f t="shared" si="22"/>
        <v>7.7200000000000019E-2</v>
      </c>
      <c r="S91">
        <f t="shared" si="23"/>
        <v>6.4999999999999947E-2</v>
      </c>
      <c r="U91">
        <f t="shared" si="24"/>
        <v>54.289732770745459</v>
      </c>
      <c r="AH91">
        <f t="shared" si="25"/>
        <v>2.0981685472977381</v>
      </c>
      <c r="AI91">
        <f t="shared" si="26"/>
        <v>12.431666072949554</v>
      </c>
      <c r="AJ91">
        <f t="shared" si="27"/>
        <v>17.587333927050445</v>
      </c>
      <c r="AL91" s="6">
        <f t="shared" si="28"/>
        <v>19.205837094595474</v>
      </c>
      <c r="AM91">
        <f t="shared" si="29"/>
        <v>10.813162905404523</v>
      </c>
    </row>
    <row r="92" spans="1:39" ht="16.5" x14ac:dyDescent="0.25">
      <c r="A92" s="1">
        <v>45567</v>
      </c>
      <c r="B92" s="5">
        <v>15.407999999999999</v>
      </c>
      <c r="C92" s="4">
        <v>15.284000000000001</v>
      </c>
      <c r="D92" s="4">
        <v>15.598000000000001</v>
      </c>
      <c r="E92" s="4">
        <v>15.284000000000001</v>
      </c>
      <c r="F92" s="4" t="s">
        <v>900</v>
      </c>
      <c r="G92" s="2" t="s">
        <v>233</v>
      </c>
      <c r="I92">
        <f t="shared" si="16"/>
        <v>14.988899999999997</v>
      </c>
      <c r="J92">
        <f t="shared" si="17"/>
        <v>14.562299999999999</v>
      </c>
      <c r="L92">
        <f t="shared" si="18"/>
        <v>1</v>
      </c>
      <c r="M92">
        <f t="shared" si="19"/>
        <v>0</v>
      </c>
      <c r="O92">
        <f t="shared" si="20"/>
        <v>0.12399999999999878</v>
      </c>
      <c r="P92">
        <f t="shared" si="21"/>
        <v>0</v>
      </c>
      <c r="R92">
        <f t="shared" si="22"/>
        <v>0.10960000000000018</v>
      </c>
      <c r="S92">
        <f t="shared" si="23"/>
        <v>6.4999999999999947E-2</v>
      </c>
      <c r="U92">
        <f t="shared" si="24"/>
        <v>62.772050400916434</v>
      </c>
      <c r="AH92">
        <f t="shared" si="25"/>
        <v>2.0955579122892378</v>
      </c>
      <c r="AI92">
        <f t="shared" si="26"/>
        <v>12.411066072949552</v>
      </c>
      <c r="AJ92">
        <f t="shared" si="27"/>
        <v>17.566733927050443</v>
      </c>
      <c r="AL92" s="6">
        <f t="shared" si="28"/>
        <v>19.180015824578472</v>
      </c>
      <c r="AM92">
        <f t="shared" si="29"/>
        <v>10.797784175421523</v>
      </c>
    </row>
    <row r="93" spans="1:39" ht="16.5" x14ac:dyDescent="0.25">
      <c r="A93" s="1">
        <v>45566</v>
      </c>
      <c r="B93" s="5">
        <v>15.346</v>
      </c>
      <c r="C93" s="4">
        <v>15.545999999999999</v>
      </c>
      <c r="D93" s="4">
        <v>15.618</v>
      </c>
      <c r="E93" s="4">
        <v>15.108000000000001</v>
      </c>
      <c r="F93" s="4" t="s">
        <v>901</v>
      </c>
      <c r="G93" s="2" t="s">
        <v>902</v>
      </c>
      <c r="I93">
        <f t="shared" si="16"/>
        <v>14.942499999999999</v>
      </c>
      <c r="J93">
        <f t="shared" si="17"/>
        <v>14.503050000000002</v>
      </c>
      <c r="L93">
        <f t="shared" si="18"/>
        <v>0</v>
      </c>
      <c r="M93">
        <f t="shared" si="19"/>
        <v>1</v>
      </c>
      <c r="O93">
        <f t="shared" si="20"/>
        <v>0</v>
      </c>
      <c r="P93">
        <f t="shared" si="21"/>
        <v>0.19999999999999929</v>
      </c>
      <c r="R93">
        <f t="shared" si="22"/>
        <v>0.10320000000000018</v>
      </c>
      <c r="S93">
        <f t="shared" si="23"/>
        <v>6.4999999999999947E-2</v>
      </c>
      <c r="U93">
        <f t="shared" si="24"/>
        <v>61.35552913198579</v>
      </c>
      <c r="AH93">
        <f t="shared" si="25"/>
        <v>2.0929773882392269</v>
      </c>
      <c r="AI93">
        <f t="shared" si="26"/>
        <v>12.364666072949554</v>
      </c>
      <c r="AJ93">
        <f t="shared" si="27"/>
        <v>17.520333927050444</v>
      </c>
      <c r="AL93" s="6">
        <f t="shared" si="28"/>
        <v>19.128454776478453</v>
      </c>
      <c r="AM93">
        <f t="shared" si="29"/>
        <v>10.756545223521545</v>
      </c>
    </row>
    <row r="94" spans="1:39" ht="16.5" x14ac:dyDescent="0.25">
      <c r="A94" s="1">
        <v>45565</v>
      </c>
      <c r="B94" s="5">
        <v>15.497999999999999</v>
      </c>
      <c r="C94" s="4">
        <v>15.526</v>
      </c>
      <c r="D94" s="4">
        <v>15.718</v>
      </c>
      <c r="E94" s="4">
        <v>15.356</v>
      </c>
      <c r="F94" s="4" t="s">
        <v>903</v>
      </c>
      <c r="G94" s="2" t="s">
        <v>497</v>
      </c>
      <c r="I94">
        <f t="shared" si="16"/>
        <v>14.901000000000002</v>
      </c>
      <c r="J94">
        <f t="shared" si="17"/>
        <v>14.44035</v>
      </c>
      <c r="L94">
        <f t="shared" si="18"/>
        <v>0</v>
      </c>
      <c r="M94">
        <f t="shared" si="19"/>
        <v>1</v>
      </c>
      <c r="O94">
        <f t="shared" si="20"/>
        <v>0</v>
      </c>
      <c r="P94">
        <f t="shared" si="21"/>
        <v>2.8000000000000469E-2</v>
      </c>
      <c r="R94">
        <f t="shared" si="22"/>
        <v>0.10320000000000018</v>
      </c>
      <c r="S94">
        <f t="shared" si="23"/>
        <v>0.17149999999999999</v>
      </c>
      <c r="U94">
        <f t="shared" si="24"/>
        <v>37.568256279577767</v>
      </c>
      <c r="AH94">
        <f t="shared" si="25"/>
        <v>2.0905118198186678</v>
      </c>
      <c r="AI94">
        <f t="shared" si="26"/>
        <v>12.323166072949558</v>
      </c>
      <c r="AJ94">
        <f t="shared" si="27"/>
        <v>17.478833927050445</v>
      </c>
      <c r="AL94" s="6">
        <f t="shared" si="28"/>
        <v>19.082023639637338</v>
      </c>
      <c r="AM94">
        <f t="shared" si="29"/>
        <v>10.719976360362665</v>
      </c>
    </row>
    <row r="95" spans="1:39" ht="16.5" x14ac:dyDescent="0.25">
      <c r="A95" s="1">
        <v>45562</v>
      </c>
      <c r="B95" s="5">
        <v>15.554</v>
      </c>
      <c r="C95" s="4">
        <v>15.526</v>
      </c>
      <c r="D95" s="4">
        <v>15.584</v>
      </c>
      <c r="E95" s="4">
        <v>15.422000000000001</v>
      </c>
      <c r="F95" s="4" t="s">
        <v>904</v>
      </c>
      <c r="G95" s="2" t="s">
        <v>233</v>
      </c>
      <c r="I95">
        <f t="shared" si="16"/>
        <v>14.863800000000003</v>
      </c>
      <c r="J95">
        <f t="shared" si="17"/>
        <v>14.373800000000003</v>
      </c>
      <c r="L95">
        <f t="shared" si="18"/>
        <v>1</v>
      </c>
      <c r="M95">
        <f t="shared" si="19"/>
        <v>0</v>
      </c>
      <c r="O95">
        <f t="shared" si="20"/>
        <v>2.8000000000000469E-2</v>
      </c>
      <c r="P95">
        <f t="shared" si="21"/>
        <v>0</v>
      </c>
      <c r="R95">
        <f t="shared" si="22"/>
        <v>0.10320000000000018</v>
      </c>
      <c r="S95">
        <f t="shared" si="23"/>
        <v>0.35250000000000004</v>
      </c>
      <c r="U95">
        <f t="shared" si="24"/>
        <v>22.646477946017157</v>
      </c>
      <c r="AH95">
        <f t="shared" si="25"/>
        <v>2.0881450870380385</v>
      </c>
      <c r="AI95">
        <f t="shared" si="26"/>
        <v>12.285966072949559</v>
      </c>
      <c r="AJ95">
        <f t="shared" si="27"/>
        <v>17.441633927050447</v>
      </c>
      <c r="AL95" s="6">
        <f t="shared" si="28"/>
        <v>19.040090174076081</v>
      </c>
      <c r="AM95">
        <f t="shared" si="29"/>
        <v>10.687509825923925</v>
      </c>
    </row>
    <row r="96" spans="1:39" ht="16.5" x14ac:dyDescent="0.25">
      <c r="A96" s="1">
        <v>45561</v>
      </c>
      <c r="B96" s="5">
        <v>15.492000000000001</v>
      </c>
      <c r="C96" s="4">
        <v>15.422000000000001</v>
      </c>
      <c r="D96" s="4">
        <v>15.6</v>
      </c>
      <c r="E96" s="4">
        <v>15.39</v>
      </c>
      <c r="F96" s="4" t="s">
        <v>905</v>
      </c>
      <c r="G96" s="2" t="s">
        <v>247</v>
      </c>
      <c r="I96">
        <f t="shared" si="16"/>
        <v>14.823500000000001</v>
      </c>
      <c r="J96">
        <f t="shared" si="17"/>
        <v>14.314299999999999</v>
      </c>
      <c r="L96">
        <f t="shared" si="18"/>
        <v>1</v>
      </c>
      <c r="M96">
        <f t="shared" si="19"/>
        <v>0</v>
      </c>
      <c r="O96">
        <f t="shared" si="20"/>
        <v>7.0000000000000284E-2</v>
      </c>
      <c r="P96">
        <f t="shared" si="21"/>
        <v>0</v>
      </c>
      <c r="R96">
        <f t="shared" si="22"/>
        <v>0.13180000000000014</v>
      </c>
      <c r="S96">
        <f t="shared" si="23"/>
        <v>0.35250000000000004</v>
      </c>
      <c r="U96">
        <f t="shared" si="24"/>
        <v>27.214536444352689</v>
      </c>
      <c r="AH96">
        <f t="shared" si="25"/>
        <v>2.0858632798127306</v>
      </c>
      <c r="AI96">
        <f t="shared" si="26"/>
        <v>12.245666072949557</v>
      </c>
      <c r="AJ96">
        <f t="shared" si="27"/>
        <v>17.401333927050445</v>
      </c>
      <c r="AL96" s="6">
        <f t="shared" si="28"/>
        <v>18.995226559625461</v>
      </c>
      <c r="AM96">
        <f t="shared" si="29"/>
        <v>10.651773440374541</v>
      </c>
    </row>
    <row r="97" spans="1:39" ht="16.5" x14ac:dyDescent="0.25">
      <c r="A97" s="1">
        <v>45560</v>
      </c>
      <c r="B97" s="5">
        <v>15.218</v>
      </c>
      <c r="C97" s="4">
        <v>15.2</v>
      </c>
      <c r="D97" s="4">
        <v>15.548</v>
      </c>
      <c r="E97" s="4">
        <v>15.092000000000001</v>
      </c>
      <c r="F97" s="4" t="s">
        <v>906</v>
      </c>
      <c r="G97" s="2" t="s">
        <v>163</v>
      </c>
      <c r="I97">
        <f t="shared" si="16"/>
        <v>14.7822</v>
      </c>
      <c r="J97">
        <f t="shared" si="17"/>
        <v>14.27685</v>
      </c>
      <c r="L97">
        <f t="shared" si="18"/>
        <v>1</v>
      </c>
      <c r="M97">
        <f t="shared" si="19"/>
        <v>0</v>
      </c>
      <c r="O97">
        <f t="shared" si="20"/>
        <v>1.8000000000000682E-2</v>
      </c>
      <c r="P97">
        <f t="shared" si="21"/>
        <v>0</v>
      </c>
      <c r="R97">
        <f t="shared" si="22"/>
        <v>0.1386666666666668</v>
      </c>
      <c r="S97">
        <f t="shared" si="23"/>
        <v>0.32800000000000012</v>
      </c>
      <c r="U97">
        <f t="shared" si="24"/>
        <v>29.714285714285722</v>
      </c>
      <c r="AH97">
        <f t="shared" si="25"/>
        <v>2.0836763271118737</v>
      </c>
      <c r="AI97">
        <f t="shared" si="26"/>
        <v>12.204366072949554</v>
      </c>
      <c r="AJ97">
        <f t="shared" si="27"/>
        <v>17.360033927050445</v>
      </c>
      <c r="AL97" s="6">
        <f t="shared" si="28"/>
        <v>18.949552654223748</v>
      </c>
      <c r="AM97">
        <f t="shared" si="29"/>
        <v>10.614847345776251</v>
      </c>
    </row>
    <row r="98" spans="1:39" ht="16.5" x14ac:dyDescent="0.25">
      <c r="A98" s="1">
        <v>45559</v>
      </c>
      <c r="B98" s="5">
        <v>15.262</v>
      </c>
      <c r="C98" s="4">
        <v>15.256</v>
      </c>
      <c r="D98" s="4">
        <v>15.416</v>
      </c>
      <c r="E98" s="4">
        <v>15.186</v>
      </c>
      <c r="F98" s="4" t="s">
        <v>907</v>
      </c>
      <c r="G98" s="2" t="s">
        <v>160</v>
      </c>
      <c r="I98">
        <f t="shared" si="16"/>
        <v>14.7553</v>
      </c>
      <c r="J98">
        <f t="shared" si="17"/>
        <v>14.257300000000001</v>
      </c>
      <c r="L98">
        <f t="shared" si="18"/>
        <v>1</v>
      </c>
      <c r="M98">
        <f t="shared" si="19"/>
        <v>0</v>
      </c>
      <c r="O98">
        <f t="shared" si="20"/>
        <v>6.0000000000002274E-3</v>
      </c>
      <c r="P98">
        <f t="shared" si="21"/>
        <v>0</v>
      </c>
      <c r="R98">
        <f t="shared" si="22"/>
        <v>0.20488888888888901</v>
      </c>
      <c r="S98">
        <f t="shared" si="23"/>
        <v>0.32800000000000012</v>
      </c>
      <c r="U98">
        <f t="shared" si="24"/>
        <v>38.448707256046703</v>
      </c>
      <c r="AH98">
        <f t="shared" si="25"/>
        <v>2.0815873068066004</v>
      </c>
      <c r="AI98">
        <f t="shared" si="26"/>
        <v>12.177466072949557</v>
      </c>
      <c r="AJ98">
        <f t="shared" si="27"/>
        <v>17.333133927050444</v>
      </c>
      <c r="AL98" s="6">
        <f t="shared" si="28"/>
        <v>18.918474613613199</v>
      </c>
      <c r="AM98">
        <f t="shared" si="29"/>
        <v>10.592125386386799</v>
      </c>
    </row>
    <row r="99" spans="1:39" ht="16.5" x14ac:dyDescent="0.25">
      <c r="A99" s="1">
        <v>45558</v>
      </c>
      <c r="B99" s="5">
        <v>15.194000000000001</v>
      </c>
      <c r="C99" s="4">
        <v>15.21</v>
      </c>
      <c r="D99" s="4">
        <v>15.286</v>
      </c>
      <c r="E99" s="4">
        <v>14.933999999999999</v>
      </c>
      <c r="F99" s="4" t="s">
        <v>908</v>
      </c>
      <c r="G99" s="2" t="s">
        <v>408</v>
      </c>
      <c r="I99">
        <f t="shared" si="16"/>
        <v>14.727099999999998</v>
      </c>
      <c r="J99">
        <f t="shared" si="17"/>
        <v>14.241099999999999</v>
      </c>
      <c r="L99">
        <f t="shared" si="18"/>
        <v>0</v>
      </c>
      <c r="M99">
        <f t="shared" si="19"/>
        <v>1</v>
      </c>
      <c r="O99">
        <f t="shared" si="20"/>
        <v>0</v>
      </c>
      <c r="P99">
        <f t="shared" si="21"/>
        <v>1.6000000000000014E-2</v>
      </c>
      <c r="R99">
        <f t="shared" si="22"/>
        <v>0.23533333333333356</v>
      </c>
      <c r="S99">
        <f t="shared" si="23"/>
        <v>0.32800000000000012</v>
      </c>
      <c r="U99">
        <f t="shared" si="24"/>
        <v>41.775147928994095</v>
      </c>
      <c r="AH99">
        <f t="shared" si="25"/>
        <v>2.0795508167609289</v>
      </c>
      <c r="AI99">
        <f t="shared" si="26"/>
        <v>12.149266072949555</v>
      </c>
      <c r="AJ99">
        <f t="shared" si="27"/>
        <v>17.304933927050442</v>
      </c>
      <c r="AL99" s="6">
        <f t="shared" si="28"/>
        <v>18.886201633521857</v>
      </c>
      <c r="AM99">
        <f t="shared" si="29"/>
        <v>10.56799836647814</v>
      </c>
    </row>
    <row r="100" spans="1:39" ht="16.5" x14ac:dyDescent="0.25">
      <c r="A100" s="1">
        <v>45555</v>
      </c>
      <c r="B100" s="5">
        <v>15.167999999999999</v>
      </c>
      <c r="C100" s="4">
        <v>15.16</v>
      </c>
      <c r="D100" s="4">
        <v>15.246</v>
      </c>
      <c r="E100" s="4">
        <v>15.028</v>
      </c>
      <c r="F100" s="4" t="s">
        <v>909</v>
      </c>
      <c r="G100" s="2" t="s">
        <v>258</v>
      </c>
      <c r="I100">
        <f t="shared" si="16"/>
        <v>14.697699999999998</v>
      </c>
      <c r="J100">
        <f t="shared" si="17"/>
        <v>14.219250000000002</v>
      </c>
      <c r="L100">
        <f t="shared" si="18"/>
        <v>1</v>
      </c>
      <c r="M100">
        <f t="shared" si="19"/>
        <v>0</v>
      </c>
      <c r="O100">
        <f t="shared" si="20"/>
        <v>7.9999999999991189E-3</v>
      </c>
      <c r="P100">
        <f t="shared" si="21"/>
        <v>0</v>
      </c>
      <c r="R100">
        <f t="shared" si="22"/>
        <v>0.23533333333333356</v>
      </c>
      <c r="S100">
        <f t="shared" si="23"/>
        <v>0.39400000000000013</v>
      </c>
      <c r="U100">
        <f t="shared" si="24"/>
        <v>37.394067796610187</v>
      </c>
      <c r="AH100">
        <f t="shared" si="25"/>
        <v>2.0775711081446251</v>
      </c>
      <c r="AI100">
        <f t="shared" si="26"/>
        <v>12.119866072949552</v>
      </c>
      <c r="AJ100">
        <f t="shared" si="27"/>
        <v>17.275533927050443</v>
      </c>
      <c r="AL100" s="6">
        <f t="shared" si="28"/>
        <v>18.852842216289247</v>
      </c>
      <c r="AM100">
        <f t="shared" si="29"/>
        <v>10.542557783710748</v>
      </c>
    </row>
    <row r="101" spans="1:39" ht="16.5" x14ac:dyDescent="0.25">
      <c r="A101" s="1">
        <v>45554</v>
      </c>
      <c r="B101" s="5">
        <v>15.222</v>
      </c>
      <c r="C101" s="4">
        <v>15.12</v>
      </c>
      <c r="D101" s="4">
        <v>15.228</v>
      </c>
      <c r="E101" s="4">
        <v>14.958</v>
      </c>
      <c r="F101" s="4" t="s">
        <v>910</v>
      </c>
      <c r="G101" s="2" t="s">
        <v>911</v>
      </c>
      <c r="I101">
        <f t="shared" si="16"/>
        <v>14.674299999999997</v>
      </c>
      <c r="J101">
        <f t="shared" si="17"/>
        <v>14.200500000000002</v>
      </c>
      <c r="L101">
        <f t="shared" si="18"/>
        <v>1</v>
      </c>
      <c r="M101">
        <f t="shared" si="19"/>
        <v>0</v>
      </c>
      <c r="O101">
        <f t="shared" si="20"/>
        <v>0.10200000000000031</v>
      </c>
      <c r="P101">
        <f t="shared" si="21"/>
        <v>0</v>
      </c>
      <c r="R101">
        <f t="shared" si="22"/>
        <v>0.26375000000000037</v>
      </c>
      <c r="S101">
        <f t="shared" si="23"/>
        <v>0.3360000000000003</v>
      </c>
      <c r="U101">
        <f t="shared" si="24"/>
        <v>43.976656940391848</v>
      </c>
      <c r="AH101">
        <f t="shared" si="25"/>
        <v>2.0756520827982219</v>
      </c>
      <c r="AI101">
        <f t="shared" si="26"/>
        <v>12.096466072949553</v>
      </c>
      <c r="AJ101">
        <f t="shared" si="27"/>
        <v>17.252133927050441</v>
      </c>
      <c r="AL101" s="6">
        <f t="shared" si="28"/>
        <v>18.825604165596442</v>
      </c>
      <c r="AM101">
        <f t="shared" si="29"/>
        <v>10.522995834403552</v>
      </c>
    </row>
    <row r="102" spans="1:39" ht="16.5" x14ac:dyDescent="0.25">
      <c r="A102" s="1">
        <v>45553</v>
      </c>
      <c r="B102" s="5">
        <v>14.938000000000001</v>
      </c>
      <c r="C102" s="4">
        <v>14.954000000000001</v>
      </c>
      <c r="D102" s="4">
        <v>15.102</v>
      </c>
      <c r="E102" s="4">
        <v>14.882</v>
      </c>
      <c r="F102" s="4" t="s">
        <v>912</v>
      </c>
      <c r="G102" s="2" t="s">
        <v>237</v>
      </c>
      <c r="I102">
        <f t="shared" si="16"/>
        <v>14.6418</v>
      </c>
      <c r="J102">
        <f t="shared" si="17"/>
        <v>14.1805</v>
      </c>
      <c r="L102">
        <f t="shared" si="18"/>
        <v>0</v>
      </c>
      <c r="M102">
        <f t="shared" si="19"/>
        <v>1</v>
      </c>
      <c r="O102">
        <f t="shared" si="20"/>
        <v>0</v>
      </c>
      <c r="P102">
        <f t="shared" si="21"/>
        <v>1.6000000000000014E-2</v>
      </c>
      <c r="R102">
        <f t="shared" si="22"/>
        <v>0.25675000000000026</v>
      </c>
      <c r="S102">
        <f t="shared" si="23"/>
        <v>0.3360000000000003</v>
      </c>
      <c r="U102">
        <f t="shared" si="24"/>
        <v>43.315056938000851</v>
      </c>
      <c r="AH102">
        <f t="shared" si="25"/>
        <v>2.0737752205421147</v>
      </c>
      <c r="AI102">
        <f t="shared" si="26"/>
        <v>12.063966072949555</v>
      </c>
      <c r="AJ102">
        <f t="shared" si="27"/>
        <v>17.219633927050445</v>
      </c>
      <c r="AL102" s="6">
        <f t="shared" si="28"/>
        <v>18.789350441084231</v>
      </c>
      <c r="AM102">
        <f t="shared" si="29"/>
        <v>10.49424955891577</v>
      </c>
    </row>
    <row r="103" spans="1:39" ht="16.5" x14ac:dyDescent="0.25">
      <c r="A103" s="1">
        <v>45552</v>
      </c>
      <c r="B103" s="5">
        <v>15</v>
      </c>
      <c r="C103" s="4">
        <v>14.683999999999999</v>
      </c>
      <c r="D103" s="4">
        <v>15.02</v>
      </c>
      <c r="E103" s="4">
        <v>14.664</v>
      </c>
      <c r="F103" s="4" t="s">
        <v>913</v>
      </c>
      <c r="G103" s="2" t="s">
        <v>209</v>
      </c>
      <c r="I103">
        <f t="shared" si="16"/>
        <v>14.595299999999998</v>
      </c>
      <c r="J103">
        <f t="shared" si="17"/>
        <v>14.166500000000003</v>
      </c>
      <c r="L103">
        <f t="shared" si="18"/>
        <v>1</v>
      </c>
      <c r="M103">
        <f t="shared" si="19"/>
        <v>0</v>
      </c>
      <c r="O103">
        <f t="shared" si="20"/>
        <v>0.31600000000000072</v>
      </c>
      <c r="P103">
        <f t="shared" si="21"/>
        <v>0</v>
      </c>
      <c r="R103">
        <f t="shared" si="22"/>
        <v>0.23288888888888909</v>
      </c>
      <c r="S103">
        <f t="shared" si="23"/>
        <v>0.40000000000000036</v>
      </c>
      <c r="U103">
        <f t="shared" si="24"/>
        <v>36.797752808988761</v>
      </c>
      <c r="AH103">
        <f t="shared" si="25"/>
        <v>2.0719688885353174</v>
      </c>
      <c r="AI103">
        <f t="shared" si="26"/>
        <v>12.017466072949553</v>
      </c>
      <c r="AJ103">
        <f t="shared" si="27"/>
        <v>17.173133927050444</v>
      </c>
      <c r="AL103" s="6">
        <f t="shared" si="28"/>
        <v>18.739237777070635</v>
      </c>
      <c r="AM103">
        <f t="shared" si="29"/>
        <v>10.451362222929363</v>
      </c>
    </row>
    <row r="104" spans="1:39" ht="16.5" x14ac:dyDescent="0.25">
      <c r="A104" s="1">
        <v>45551</v>
      </c>
      <c r="B104" s="5">
        <v>14.598000000000001</v>
      </c>
      <c r="C104" s="4">
        <v>14.532</v>
      </c>
      <c r="D104" s="4">
        <v>14.612</v>
      </c>
      <c r="E104" s="4">
        <v>14.256</v>
      </c>
      <c r="F104" s="4" t="s">
        <v>869</v>
      </c>
      <c r="G104" s="2" t="s">
        <v>69</v>
      </c>
      <c r="I104">
        <f t="shared" si="16"/>
        <v>14.541199999999998</v>
      </c>
      <c r="J104">
        <f t="shared" si="17"/>
        <v>14.18355</v>
      </c>
      <c r="L104">
        <f t="shared" si="18"/>
        <v>1</v>
      </c>
      <c r="M104">
        <f t="shared" si="19"/>
        <v>0</v>
      </c>
      <c r="O104">
        <f t="shared" si="20"/>
        <v>6.6000000000000725E-2</v>
      </c>
      <c r="P104">
        <f t="shared" si="21"/>
        <v>0</v>
      </c>
      <c r="R104">
        <f t="shared" si="22"/>
        <v>0.22250000000000014</v>
      </c>
      <c r="S104">
        <f t="shared" si="23"/>
        <v>0.34833333333333361</v>
      </c>
      <c r="U104">
        <f t="shared" si="24"/>
        <v>38.978102189781019</v>
      </c>
      <c r="AH104">
        <f t="shared" si="25"/>
        <v>2.0702760630000547</v>
      </c>
      <c r="AI104">
        <f t="shared" si="26"/>
        <v>11.963366072949555</v>
      </c>
      <c r="AJ104">
        <f t="shared" si="27"/>
        <v>17.119033927050442</v>
      </c>
      <c r="AL104" s="6">
        <f t="shared" si="28"/>
        <v>18.681752126000106</v>
      </c>
      <c r="AM104">
        <f t="shared" si="29"/>
        <v>10.400647873999889</v>
      </c>
    </row>
    <row r="105" spans="1:39" ht="16.5" x14ac:dyDescent="0.25">
      <c r="A105" s="1">
        <v>45548</v>
      </c>
      <c r="B105" s="5">
        <v>14.628</v>
      </c>
      <c r="C105" s="4">
        <v>14.27</v>
      </c>
      <c r="D105" s="4">
        <v>14.698</v>
      </c>
      <c r="E105" s="4">
        <v>14.228</v>
      </c>
      <c r="F105" s="4" t="s">
        <v>914</v>
      </c>
      <c r="G105" s="2" t="s">
        <v>199</v>
      </c>
      <c r="I105">
        <f t="shared" si="16"/>
        <v>14.518700000000001</v>
      </c>
      <c r="J105">
        <f t="shared" si="17"/>
        <v>14.205350000000001</v>
      </c>
      <c r="L105">
        <f t="shared" si="18"/>
        <v>1</v>
      </c>
      <c r="M105">
        <f t="shared" si="19"/>
        <v>0</v>
      </c>
      <c r="O105">
        <f t="shared" si="20"/>
        <v>0.35800000000000054</v>
      </c>
      <c r="P105">
        <f t="shared" si="21"/>
        <v>0</v>
      </c>
      <c r="R105">
        <f t="shared" si="22"/>
        <v>0.22350000000000003</v>
      </c>
      <c r="S105">
        <f t="shared" si="23"/>
        <v>0.34833333333333361</v>
      </c>
      <c r="U105">
        <f t="shared" si="24"/>
        <v>39.08481492276303</v>
      </c>
      <c r="AH105">
        <f t="shared" si="25"/>
        <v>2.0687191692841465</v>
      </c>
      <c r="AI105">
        <f t="shared" si="26"/>
        <v>11.940866072949557</v>
      </c>
      <c r="AJ105">
        <f t="shared" si="27"/>
        <v>17.096533927050444</v>
      </c>
      <c r="AL105" s="6">
        <f t="shared" si="28"/>
        <v>18.656138338568294</v>
      </c>
      <c r="AM105">
        <f t="shared" si="29"/>
        <v>10.381261661431708</v>
      </c>
    </row>
    <row r="106" spans="1:39" ht="16.5" x14ac:dyDescent="0.25">
      <c r="A106" s="1">
        <v>45547</v>
      </c>
      <c r="B106" s="5">
        <v>14.28</v>
      </c>
      <c r="C106" s="4">
        <v>14.22</v>
      </c>
      <c r="D106" s="4">
        <v>14.372</v>
      </c>
      <c r="E106" s="4">
        <v>14.108000000000001</v>
      </c>
      <c r="F106" s="4" t="s">
        <v>915</v>
      </c>
      <c r="G106" s="2" t="s">
        <v>182</v>
      </c>
      <c r="I106">
        <f t="shared" si="16"/>
        <v>14.489300000000004</v>
      </c>
      <c r="J106">
        <f t="shared" si="17"/>
        <v>14.2149</v>
      </c>
      <c r="L106">
        <f t="shared" si="18"/>
        <v>1</v>
      </c>
      <c r="M106">
        <f t="shared" si="19"/>
        <v>0</v>
      </c>
      <c r="O106">
        <f t="shared" si="20"/>
        <v>5.9999999999998721E-2</v>
      </c>
      <c r="P106">
        <f t="shared" si="21"/>
        <v>0</v>
      </c>
      <c r="R106">
        <f t="shared" si="22"/>
        <v>0.20428571428571424</v>
      </c>
      <c r="S106">
        <f t="shared" si="23"/>
        <v>0.30542857142857166</v>
      </c>
      <c r="U106">
        <f t="shared" si="24"/>
        <v>40.078475336322846</v>
      </c>
      <c r="AH106">
        <f t="shared" si="25"/>
        <v>2.0672028410281627</v>
      </c>
      <c r="AI106">
        <f t="shared" si="26"/>
        <v>11.911466072949558</v>
      </c>
      <c r="AJ106">
        <f t="shared" si="27"/>
        <v>17.067133927050449</v>
      </c>
      <c r="AL106" s="6">
        <f t="shared" si="28"/>
        <v>18.623705682056329</v>
      </c>
      <c r="AM106">
        <f t="shared" si="29"/>
        <v>10.354894317943678</v>
      </c>
    </row>
    <row r="107" spans="1:39" ht="16.5" x14ac:dyDescent="0.25">
      <c r="A107" s="1">
        <v>45546</v>
      </c>
      <c r="B107" s="5">
        <v>14.034000000000001</v>
      </c>
      <c r="C107" s="4">
        <v>14.66</v>
      </c>
      <c r="D107" s="4">
        <v>14.78</v>
      </c>
      <c r="E107" s="4">
        <v>13.811999999999999</v>
      </c>
      <c r="F107" s="4" t="s">
        <v>916</v>
      </c>
      <c r="G107" s="2" t="s">
        <v>611</v>
      </c>
      <c r="I107">
        <f t="shared" si="16"/>
        <v>14.465800000000005</v>
      </c>
      <c r="J107">
        <f t="shared" si="17"/>
        <v>14.24025</v>
      </c>
      <c r="L107">
        <f t="shared" si="18"/>
        <v>0</v>
      </c>
      <c r="M107">
        <f t="shared" si="19"/>
        <v>1</v>
      </c>
      <c r="O107">
        <f t="shared" si="20"/>
        <v>0</v>
      </c>
      <c r="P107">
        <f t="shared" si="21"/>
        <v>0.62599999999999945</v>
      </c>
      <c r="R107">
        <f t="shared" si="22"/>
        <v>0.20571428571428566</v>
      </c>
      <c r="S107">
        <f t="shared" si="23"/>
        <v>0.30542857142857166</v>
      </c>
      <c r="U107">
        <f t="shared" si="24"/>
        <v>40.245947456679687</v>
      </c>
      <c r="AH107">
        <f t="shared" si="25"/>
        <v>2.0657478595863341</v>
      </c>
      <c r="AI107">
        <f t="shared" si="26"/>
        <v>11.88796607294956</v>
      </c>
      <c r="AJ107">
        <f t="shared" si="27"/>
        <v>17.04363392705045</v>
      </c>
      <c r="AL107" s="6">
        <f t="shared" si="28"/>
        <v>18.597295719172674</v>
      </c>
      <c r="AM107">
        <f t="shared" si="29"/>
        <v>10.334304280827336</v>
      </c>
    </row>
    <row r="108" spans="1:39" ht="16.5" x14ac:dyDescent="0.25">
      <c r="A108" s="1">
        <v>45545</v>
      </c>
      <c r="B108" s="5">
        <v>14.292</v>
      </c>
      <c r="C108" s="4">
        <v>15.044</v>
      </c>
      <c r="D108" s="4">
        <v>15.055999999999999</v>
      </c>
      <c r="E108" s="4">
        <v>14.292</v>
      </c>
      <c r="F108" s="4" t="s">
        <v>917</v>
      </c>
      <c r="G108" s="2" t="s">
        <v>918</v>
      </c>
      <c r="I108">
        <f t="shared" si="16"/>
        <v>14.433100000000001</v>
      </c>
      <c r="J108">
        <f t="shared" si="17"/>
        <v>14.270000000000001</v>
      </c>
      <c r="L108">
        <f t="shared" si="18"/>
        <v>0</v>
      </c>
      <c r="M108">
        <f t="shared" si="19"/>
        <v>1</v>
      </c>
      <c r="O108">
        <f t="shared" si="20"/>
        <v>0</v>
      </c>
      <c r="P108">
        <f t="shared" si="21"/>
        <v>0.75200000000000067</v>
      </c>
      <c r="R108">
        <f t="shared" si="22"/>
        <v>0.19899999999999984</v>
      </c>
      <c r="S108">
        <f t="shared" si="23"/>
        <v>0.25200000000000039</v>
      </c>
      <c r="U108">
        <f t="shared" si="24"/>
        <v>44.124168514412354</v>
      </c>
      <c r="AH108">
        <f t="shared" si="25"/>
        <v>2.0643367665193817</v>
      </c>
      <c r="AI108">
        <f t="shared" si="26"/>
        <v>11.855266072949558</v>
      </c>
      <c r="AJ108">
        <f t="shared" si="27"/>
        <v>17.010933927050445</v>
      </c>
      <c r="AL108" s="6">
        <f t="shared" si="28"/>
        <v>18.561773533038764</v>
      </c>
      <c r="AM108">
        <f t="shared" si="29"/>
        <v>10.304426466961239</v>
      </c>
    </row>
    <row r="109" spans="1:39" ht="16.5" x14ac:dyDescent="0.25">
      <c r="A109" s="1">
        <v>45544</v>
      </c>
      <c r="B109" s="5">
        <v>15.03</v>
      </c>
      <c r="C109" s="4">
        <v>14.715999999999999</v>
      </c>
      <c r="D109" s="4">
        <v>15.114000000000001</v>
      </c>
      <c r="E109" s="4">
        <v>14.704000000000001</v>
      </c>
      <c r="F109" s="4" t="s">
        <v>899</v>
      </c>
      <c r="G109" s="2" t="s">
        <v>919</v>
      </c>
      <c r="I109">
        <f t="shared" si="16"/>
        <v>14.383500000000002</v>
      </c>
      <c r="J109">
        <f t="shared" si="17"/>
        <v>14.290450000000002</v>
      </c>
      <c r="L109">
        <f t="shared" si="18"/>
        <v>1</v>
      </c>
      <c r="M109">
        <f t="shared" si="19"/>
        <v>0</v>
      </c>
      <c r="O109">
        <f t="shared" si="20"/>
        <v>0.31400000000000006</v>
      </c>
      <c r="P109">
        <f t="shared" si="21"/>
        <v>0</v>
      </c>
      <c r="R109">
        <f t="shared" si="22"/>
        <v>0.18933333333333302</v>
      </c>
      <c r="S109">
        <f t="shared" si="23"/>
        <v>0.1520000000000003</v>
      </c>
      <c r="U109">
        <f t="shared" si="24"/>
        <v>55.468749999999908</v>
      </c>
      <c r="AH109">
        <f t="shared" si="25"/>
        <v>2.0629969229245506</v>
      </c>
      <c r="AI109">
        <f t="shared" si="26"/>
        <v>11.805666072949556</v>
      </c>
      <c r="AJ109">
        <f t="shared" si="27"/>
        <v>16.961333927050447</v>
      </c>
      <c r="AL109" s="6">
        <f t="shared" si="28"/>
        <v>18.509493845849104</v>
      </c>
      <c r="AM109">
        <f t="shared" si="29"/>
        <v>10.257506154150899</v>
      </c>
    </row>
    <row r="110" spans="1:39" ht="16.5" x14ac:dyDescent="0.25">
      <c r="A110" s="1">
        <v>45541</v>
      </c>
      <c r="B110" s="5">
        <v>14.667999999999999</v>
      </c>
      <c r="C110" s="4">
        <v>14.898</v>
      </c>
      <c r="D110" s="4">
        <v>15.061999999999999</v>
      </c>
      <c r="E110" s="4">
        <v>14.614000000000001</v>
      </c>
      <c r="F110" s="4" t="s">
        <v>920</v>
      </c>
      <c r="G110" s="2" t="s">
        <v>135</v>
      </c>
      <c r="I110">
        <f t="shared" si="16"/>
        <v>14.297400000000001</v>
      </c>
      <c r="J110">
        <f t="shared" si="17"/>
        <v>14.296050000000003</v>
      </c>
      <c r="L110">
        <f t="shared" si="18"/>
        <v>0</v>
      </c>
      <c r="M110">
        <f t="shared" si="19"/>
        <v>1</v>
      </c>
      <c r="O110">
        <f t="shared" si="20"/>
        <v>0</v>
      </c>
      <c r="P110">
        <f t="shared" si="21"/>
        <v>0.23000000000000043</v>
      </c>
      <c r="R110">
        <f t="shared" si="22"/>
        <v>0.17374999999999963</v>
      </c>
      <c r="S110">
        <f t="shared" si="23"/>
        <v>0.16966666666666708</v>
      </c>
      <c r="U110">
        <f t="shared" si="24"/>
        <v>50.594515894200327</v>
      </c>
      <c r="AH110">
        <f t="shared" si="25"/>
        <v>2.0617776846920006</v>
      </c>
      <c r="AI110">
        <f t="shared" si="26"/>
        <v>11.719566072949558</v>
      </c>
      <c r="AJ110">
        <f t="shared" si="27"/>
        <v>16.875233927050445</v>
      </c>
      <c r="AL110" s="6">
        <f t="shared" si="28"/>
        <v>18.420955369384004</v>
      </c>
      <c r="AM110">
        <f t="shared" si="29"/>
        <v>10.173844630615999</v>
      </c>
    </row>
    <row r="111" spans="1:39" ht="16.5" x14ac:dyDescent="0.25">
      <c r="A111" s="1">
        <v>45540</v>
      </c>
      <c r="B111" s="5">
        <v>14.948</v>
      </c>
      <c r="C111" s="4">
        <v>14.334</v>
      </c>
      <c r="D111" s="4">
        <v>15.084</v>
      </c>
      <c r="E111" s="4">
        <v>14.284000000000001</v>
      </c>
      <c r="F111" s="4" t="s">
        <v>921</v>
      </c>
      <c r="G111" s="2" t="s">
        <v>922</v>
      </c>
      <c r="I111">
        <f t="shared" si="16"/>
        <v>14.228599999999997</v>
      </c>
      <c r="J111">
        <f t="shared" si="17"/>
        <v>14.31195</v>
      </c>
      <c r="L111">
        <f t="shared" si="18"/>
        <v>1</v>
      </c>
      <c r="M111">
        <f t="shared" si="19"/>
        <v>0</v>
      </c>
      <c r="O111">
        <f t="shared" si="20"/>
        <v>0.61400000000000077</v>
      </c>
      <c r="P111">
        <f t="shared" si="21"/>
        <v>0</v>
      </c>
      <c r="R111">
        <f t="shared" si="22"/>
        <v>0.16644444444444417</v>
      </c>
      <c r="S111">
        <f t="shared" si="23"/>
        <v>0.15760000000000041</v>
      </c>
      <c r="U111">
        <f t="shared" si="24"/>
        <v>51.3646962007954</v>
      </c>
      <c r="AH111">
        <f t="shared" si="25"/>
        <v>2.0607821697378625</v>
      </c>
      <c r="AI111">
        <f t="shared" si="26"/>
        <v>11.650766072949551</v>
      </c>
      <c r="AJ111">
        <f t="shared" si="27"/>
        <v>16.806433927050442</v>
      </c>
      <c r="AL111" s="6">
        <f t="shared" si="28"/>
        <v>18.350164339475722</v>
      </c>
      <c r="AM111">
        <f t="shared" si="29"/>
        <v>10.107035660524271</v>
      </c>
    </row>
    <row r="112" spans="1:39" ht="16.5" x14ac:dyDescent="0.25">
      <c r="A112" s="1">
        <v>45539</v>
      </c>
      <c r="B112" s="5">
        <v>14.48</v>
      </c>
      <c r="C112" s="4">
        <v>14.2</v>
      </c>
      <c r="D112" s="4">
        <v>14.57</v>
      </c>
      <c r="E112" s="4">
        <v>14.16</v>
      </c>
      <c r="F112" s="4" t="s">
        <v>923</v>
      </c>
      <c r="G112" s="2" t="s">
        <v>924</v>
      </c>
      <c r="I112">
        <f t="shared" si="16"/>
        <v>14.135699999999996</v>
      </c>
      <c r="J112">
        <f t="shared" si="17"/>
        <v>14.321149999999998</v>
      </c>
      <c r="L112">
        <f t="shared" si="18"/>
        <v>1</v>
      </c>
      <c r="M112">
        <f t="shared" si="19"/>
        <v>0</v>
      </c>
      <c r="O112">
        <f t="shared" si="20"/>
        <v>0.28000000000000114</v>
      </c>
      <c r="P112">
        <f t="shared" si="21"/>
        <v>0</v>
      </c>
      <c r="R112">
        <f t="shared" si="22"/>
        <v>0.11777777777777725</v>
      </c>
      <c r="S112">
        <f t="shared" si="23"/>
        <v>0.15760000000000041</v>
      </c>
      <c r="U112">
        <f t="shared" si="24"/>
        <v>42.769528728211576</v>
      </c>
      <c r="AH112">
        <f t="shared" si="25"/>
        <v>2.0599577289590769</v>
      </c>
      <c r="AI112">
        <f t="shared" si="26"/>
        <v>11.557866072949551</v>
      </c>
      <c r="AJ112">
        <f t="shared" si="27"/>
        <v>16.713533927050442</v>
      </c>
      <c r="AL112" s="6">
        <f t="shared" si="28"/>
        <v>18.25561545791815</v>
      </c>
      <c r="AM112">
        <f t="shared" si="29"/>
        <v>10.015784542081843</v>
      </c>
    </row>
    <row r="113" spans="1:39" ht="16.5" x14ac:dyDescent="0.25">
      <c r="A113" s="1">
        <v>45538</v>
      </c>
      <c r="B113" s="5">
        <v>14.516</v>
      </c>
      <c r="C113" s="4">
        <v>14.862</v>
      </c>
      <c r="D113" s="4">
        <v>15.135999999999999</v>
      </c>
      <c r="E113" s="4">
        <v>14.416</v>
      </c>
      <c r="F113" s="4" t="s">
        <v>925</v>
      </c>
      <c r="G113" s="2" t="s">
        <v>926</v>
      </c>
      <c r="I113">
        <f t="shared" si="16"/>
        <v>14.063599999999999</v>
      </c>
      <c r="J113">
        <f t="shared" si="17"/>
        <v>14.344899999999999</v>
      </c>
      <c r="L113">
        <f t="shared" si="18"/>
        <v>0</v>
      </c>
      <c r="M113">
        <f t="shared" si="19"/>
        <v>1</v>
      </c>
      <c r="O113">
        <f t="shared" si="20"/>
        <v>0</v>
      </c>
      <c r="P113">
        <f t="shared" si="21"/>
        <v>0.34600000000000009</v>
      </c>
      <c r="R113">
        <f t="shared" si="22"/>
        <v>0.12333333333333268</v>
      </c>
      <c r="S113">
        <f t="shared" si="23"/>
        <v>0.15760000000000041</v>
      </c>
      <c r="U113">
        <f t="shared" si="24"/>
        <v>43.901281442809491</v>
      </c>
      <c r="AH113">
        <f t="shared" si="25"/>
        <v>2.0593661840664343</v>
      </c>
      <c r="AI113">
        <f t="shared" si="26"/>
        <v>11.485766072949556</v>
      </c>
      <c r="AJ113">
        <f t="shared" si="27"/>
        <v>16.641433927050443</v>
      </c>
      <c r="AL113" s="6">
        <f t="shared" si="28"/>
        <v>18.182332368132869</v>
      </c>
      <c r="AM113">
        <f t="shared" si="29"/>
        <v>9.9448676318671296</v>
      </c>
    </row>
    <row r="114" spans="1:39" ht="16.5" x14ac:dyDescent="0.25">
      <c r="A114" s="1">
        <v>45537</v>
      </c>
      <c r="B114" s="5">
        <v>14.754</v>
      </c>
      <c r="C114" s="4">
        <v>14.8</v>
      </c>
      <c r="D114" s="4">
        <v>14.8</v>
      </c>
      <c r="E114" s="4">
        <v>14.561999999999999</v>
      </c>
      <c r="F114" s="4" t="s">
        <v>927</v>
      </c>
      <c r="G114" s="2" t="s">
        <v>440</v>
      </c>
      <c r="I114">
        <f t="shared" si="16"/>
        <v>13.979699999999999</v>
      </c>
      <c r="J114">
        <f t="shared" si="17"/>
        <v>14.366949999999997</v>
      </c>
      <c r="L114">
        <f t="shared" si="18"/>
        <v>0</v>
      </c>
      <c r="M114">
        <f t="shared" si="19"/>
        <v>1</v>
      </c>
      <c r="O114">
        <f t="shared" si="20"/>
        <v>0</v>
      </c>
      <c r="P114">
        <f t="shared" si="21"/>
        <v>4.6000000000001151E-2</v>
      </c>
      <c r="R114">
        <f t="shared" si="22"/>
        <v>0.11239999999999953</v>
      </c>
      <c r="S114">
        <f t="shared" si="23"/>
        <v>0.11050000000000049</v>
      </c>
      <c r="U114">
        <f t="shared" si="24"/>
        <v>50.426200089726116</v>
      </c>
      <c r="AH114">
        <f t="shared" si="25"/>
        <v>2.0589472652154339</v>
      </c>
      <c r="AI114">
        <f t="shared" si="26"/>
        <v>11.401866072949556</v>
      </c>
      <c r="AJ114">
        <f t="shared" si="27"/>
        <v>16.557533927050443</v>
      </c>
      <c r="AL114" s="6">
        <f t="shared" si="28"/>
        <v>18.097594530430868</v>
      </c>
      <c r="AM114">
        <f t="shared" si="29"/>
        <v>9.8618054695691306</v>
      </c>
    </row>
    <row r="115" spans="1:39" ht="16.5" x14ac:dyDescent="0.25">
      <c r="A115" s="1">
        <v>45534</v>
      </c>
      <c r="B115" s="5">
        <v>14.747999999999999</v>
      </c>
      <c r="C115" s="4">
        <v>14.702</v>
      </c>
      <c r="D115" s="4">
        <v>14.79</v>
      </c>
      <c r="E115" s="4">
        <v>14.683999999999999</v>
      </c>
      <c r="F115" s="4" t="s">
        <v>857</v>
      </c>
      <c r="G115" s="2" t="s">
        <v>696</v>
      </c>
      <c r="I115">
        <f t="shared" si="16"/>
        <v>13.883800000000003</v>
      </c>
      <c r="J115">
        <f t="shared" si="17"/>
        <v>14.384900000000002</v>
      </c>
      <c r="L115">
        <f t="shared" si="18"/>
        <v>1</v>
      </c>
      <c r="M115">
        <f t="shared" si="19"/>
        <v>0</v>
      </c>
      <c r="O115">
        <f t="shared" si="20"/>
        <v>4.5999999999999375E-2</v>
      </c>
      <c r="P115">
        <f t="shared" si="21"/>
        <v>0</v>
      </c>
      <c r="R115">
        <f t="shared" si="22"/>
        <v>0.11239999999999953</v>
      </c>
      <c r="S115">
        <f t="shared" si="23"/>
        <v>0.12049999999999983</v>
      </c>
      <c r="U115">
        <f t="shared" si="24"/>
        <v>48.261056247316375</v>
      </c>
      <c r="AH115">
        <f t="shared" si="25"/>
        <v>2.058727218839608</v>
      </c>
      <c r="AI115">
        <f t="shared" si="26"/>
        <v>11.305966072949559</v>
      </c>
      <c r="AJ115">
        <f t="shared" si="27"/>
        <v>16.461633927050446</v>
      </c>
      <c r="AL115" s="6">
        <f t="shared" si="28"/>
        <v>18.001254437679219</v>
      </c>
      <c r="AM115">
        <f t="shared" si="29"/>
        <v>9.7663455623207867</v>
      </c>
    </row>
    <row r="116" spans="1:39" ht="16.5" x14ac:dyDescent="0.25">
      <c r="A116" s="1">
        <v>45533</v>
      </c>
      <c r="B116" s="5">
        <v>14.666</v>
      </c>
      <c r="C116" s="4">
        <v>14.624000000000001</v>
      </c>
      <c r="D116" s="4">
        <v>14.788</v>
      </c>
      <c r="E116" s="4">
        <v>14.6</v>
      </c>
      <c r="F116" s="4" t="s">
        <v>928</v>
      </c>
      <c r="G116" s="2" t="s">
        <v>929</v>
      </c>
      <c r="I116">
        <f t="shared" si="16"/>
        <v>13.805099999999999</v>
      </c>
      <c r="J116">
        <f t="shared" si="17"/>
        <v>14.407799999999998</v>
      </c>
      <c r="L116">
        <f t="shared" si="18"/>
        <v>1</v>
      </c>
      <c r="M116">
        <f t="shared" si="19"/>
        <v>0</v>
      </c>
      <c r="O116">
        <f t="shared" si="20"/>
        <v>4.1999999999999815E-2</v>
      </c>
      <c r="P116">
        <f t="shared" si="21"/>
        <v>0</v>
      </c>
      <c r="R116">
        <f t="shared" si="22"/>
        <v>0.11977777777777732</v>
      </c>
      <c r="S116">
        <f t="shared" si="23"/>
        <v>0.11039999999999991</v>
      </c>
      <c r="U116">
        <f t="shared" si="24"/>
        <v>52.037072793975589</v>
      </c>
      <c r="AH116">
        <f t="shared" si="25"/>
        <v>2.0587297510700253</v>
      </c>
      <c r="AI116">
        <f t="shared" si="26"/>
        <v>11.227266072949554</v>
      </c>
      <c r="AJ116">
        <f t="shared" si="27"/>
        <v>16.382933927050445</v>
      </c>
      <c r="AL116" s="6">
        <f t="shared" si="28"/>
        <v>17.92255950214005</v>
      </c>
      <c r="AM116">
        <f t="shared" si="29"/>
        <v>9.6876404978599489</v>
      </c>
    </row>
    <row r="117" spans="1:39" ht="16.5" x14ac:dyDescent="0.25">
      <c r="A117" s="1">
        <v>45532</v>
      </c>
      <c r="B117" s="5">
        <v>14.68</v>
      </c>
      <c r="C117" s="4">
        <v>14.77</v>
      </c>
      <c r="D117" s="4">
        <v>14.808</v>
      </c>
      <c r="E117" s="4">
        <v>14.606</v>
      </c>
      <c r="F117" s="4" t="s">
        <v>930</v>
      </c>
      <c r="G117" s="2" t="s">
        <v>121</v>
      </c>
      <c r="I117">
        <f t="shared" si="16"/>
        <v>13.771499999999998</v>
      </c>
      <c r="J117">
        <f t="shared" si="17"/>
        <v>14.437899999999996</v>
      </c>
      <c r="L117">
        <f t="shared" si="18"/>
        <v>0</v>
      </c>
      <c r="M117">
        <f t="shared" si="19"/>
        <v>1</v>
      </c>
      <c r="O117">
        <f t="shared" si="20"/>
        <v>0</v>
      </c>
      <c r="P117">
        <f t="shared" si="21"/>
        <v>8.9999999999999858E-2</v>
      </c>
      <c r="R117">
        <f t="shared" si="22"/>
        <v>0.12911111111111062</v>
      </c>
      <c r="S117">
        <f t="shared" si="23"/>
        <v>0.11039999999999991</v>
      </c>
      <c r="U117">
        <f t="shared" si="24"/>
        <v>53.906105028762219</v>
      </c>
      <c r="AH117">
        <f t="shared" si="25"/>
        <v>2.0589073612593434</v>
      </c>
      <c r="AI117">
        <f t="shared" si="26"/>
        <v>11.193666072949554</v>
      </c>
      <c r="AJ117">
        <f t="shared" si="27"/>
        <v>16.349333927050441</v>
      </c>
      <c r="AL117" s="6">
        <f t="shared" si="28"/>
        <v>17.889314722518684</v>
      </c>
      <c r="AM117">
        <f t="shared" si="29"/>
        <v>9.653685277481312</v>
      </c>
    </row>
    <row r="118" spans="1:39" ht="16.5" x14ac:dyDescent="0.25">
      <c r="A118" s="1">
        <v>45531</v>
      </c>
      <c r="B118" s="5">
        <v>14.698</v>
      </c>
      <c r="C118" s="4">
        <v>14.624000000000001</v>
      </c>
      <c r="D118" s="4">
        <v>14.804</v>
      </c>
      <c r="E118" s="4">
        <v>14.582000000000001</v>
      </c>
      <c r="F118" s="4" t="s">
        <v>931</v>
      </c>
      <c r="G118" s="2" t="s">
        <v>45</v>
      </c>
      <c r="I118">
        <f t="shared" si="16"/>
        <v>13.7593</v>
      </c>
      <c r="J118">
        <f t="shared" si="17"/>
        <v>14.464499999999997</v>
      </c>
      <c r="L118">
        <f t="shared" si="18"/>
        <v>1</v>
      </c>
      <c r="M118">
        <f t="shared" si="19"/>
        <v>0</v>
      </c>
      <c r="O118">
        <f t="shared" si="20"/>
        <v>7.3999999999999844E-2</v>
      </c>
      <c r="P118">
        <f t="shared" si="21"/>
        <v>0</v>
      </c>
      <c r="R118">
        <f t="shared" si="22"/>
        <v>0.13419999999999951</v>
      </c>
      <c r="S118">
        <f t="shared" si="23"/>
        <v>0.11549999999999994</v>
      </c>
      <c r="U118">
        <f t="shared" si="24"/>
        <v>53.744493392070417</v>
      </c>
      <c r="AH118">
        <f t="shared" si="25"/>
        <v>2.0591526376956262</v>
      </c>
      <c r="AI118">
        <f t="shared" si="26"/>
        <v>11.181466072949554</v>
      </c>
      <c r="AJ118">
        <f t="shared" si="27"/>
        <v>16.337133927050445</v>
      </c>
      <c r="AL118" s="6">
        <f t="shared" si="28"/>
        <v>17.877605275391254</v>
      </c>
      <c r="AM118">
        <f t="shared" si="29"/>
        <v>9.6409947246087473</v>
      </c>
    </row>
    <row r="119" spans="1:39" ht="16.5" x14ac:dyDescent="0.25">
      <c r="A119" s="1">
        <v>45530</v>
      </c>
      <c r="B119" s="5">
        <v>14.606</v>
      </c>
      <c r="C119" s="4">
        <v>14.654</v>
      </c>
      <c r="D119" s="4">
        <v>14.714</v>
      </c>
      <c r="E119" s="4">
        <v>14.564</v>
      </c>
      <c r="F119" s="4" t="s">
        <v>99</v>
      </c>
      <c r="G119" s="2" t="s">
        <v>932</v>
      </c>
      <c r="I119">
        <f t="shared" si="16"/>
        <v>13.755099999999999</v>
      </c>
      <c r="J119">
        <f t="shared" si="17"/>
        <v>14.477550000000003</v>
      </c>
      <c r="L119">
        <f t="shared" si="18"/>
        <v>0</v>
      </c>
      <c r="M119">
        <f t="shared" si="19"/>
        <v>1</v>
      </c>
      <c r="O119">
        <f t="shared" si="20"/>
        <v>0</v>
      </c>
      <c r="P119">
        <f t="shared" si="21"/>
        <v>4.8000000000000043E-2</v>
      </c>
      <c r="R119">
        <f t="shared" si="22"/>
        <v>0.13019999999999959</v>
      </c>
      <c r="S119">
        <f t="shared" si="23"/>
        <v>0.11549999999999994</v>
      </c>
      <c r="U119">
        <f t="shared" si="24"/>
        <v>52.991452991452924</v>
      </c>
      <c r="AH119">
        <f t="shared" si="25"/>
        <v>2.0594162928892437</v>
      </c>
      <c r="AI119">
        <f t="shared" si="26"/>
        <v>11.177266072949553</v>
      </c>
      <c r="AJ119">
        <f t="shared" si="27"/>
        <v>16.332933927050444</v>
      </c>
      <c r="AL119" s="6">
        <f t="shared" si="28"/>
        <v>17.873932585778487</v>
      </c>
      <c r="AM119">
        <f t="shared" si="29"/>
        <v>9.6362674142215106</v>
      </c>
    </row>
    <row r="120" spans="1:39" ht="16.5" x14ac:dyDescent="0.25">
      <c r="A120" s="1">
        <v>45527</v>
      </c>
      <c r="B120" s="5">
        <v>14.7</v>
      </c>
      <c r="C120" s="4">
        <v>14.63</v>
      </c>
      <c r="D120" s="4">
        <v>14.827999999999999</v>
      </c>
      <c r="E120" s="4">
        <v>14.59</v>
      </c>
      <c r="F120" s="4" t="s">
        <v>834</v>
      </c>
      <c r="G120" s="2" t="s">
        <v>715</v>
      </c>
      <c r="I120">
        <f t="shared" si="16"/>
        <v>13.740800000000002</v>
      </c>
      <c r="J120">
        <f t="shared" si="17"/>
        <v>14.49755</v>
      </c>
      <c r="L120">
        <f t="shared" si="18"/>
        <v>1</v>
      </c>
      <c r="M120">
        <f t="shared" si="19"/>
        <v>0</v>
      </c>
      <c r="O120">
        <f t="shared" si="20"/>
        <v>6.9999999999998508E-2</v>
      </c>
      <c r="P120">
        <f t="shared" si="21"/>
        <v>0</v>
      </c>
      <c r="R120">
        <f t="shared" si="22"/>
        <v>0.13019999999999959</v>
      </c>
      <c r="S120">
        <f t="shared" si="23"/>
        <v>0.16650000000000009</v>
      </c>
      <c r="U120">
        <f t="shared" si="24"/>
        <v>43.882709807886663</v>
      </c>
      <c r="AH120">
        <f t="shared" si="25"/>
        <v>2.0596800095876566</v>
      </c>
      <c r="AI120">
        <f t="shared" si="26"/>
        <v>11.162966072949558</v>
      </c>
      <c r="AJ120">
        <f t="shared" si="27"/>
        <v>16.318633927050445</v>
      </c>
      <c r="AL120" s="6">
        <f t="shared" si="28"/>
        <v>17.860160019175314</v>
      </c>
      <c r="AM120">
        <f t="shared" si="29"/>
        <v>9.6214399808246895</v>
      </c>
    </row>
    <row r="121" spans="1:39" ht="16.5" x14ac:dyDescent="0.25">
      <c r="A121" s="1">
        <v>45526</v>
      </c>
      <c r="B121" s="5">
        <v>14.571999999999999</v>
      </c>
      <c r="C121" s="4">
        <v>14.42</v>
      </c>
      <c r="D121" s="4">
        <v>14.62</v>
      </c>
      <c r="E121" s="4">
        <v>14.12</v>
      </c>
      <c r="F121" s="4" t="s">
        <v>933</v>
      </c>
      <c r="G121" s="2" t="s">
        <v>934</v>
      </c>
      <c r="I121">
        <f t="shared" si="16"/>
        <v>13.726700000000003</v>
      </c>
      <c r="J121">
        <f t="shared" si="17"/>
        <v>14.502750000000001</v>
      </c>
      <c r="L121">
        <f t="shared" si="18"/>
        <v>1</v>
      </c>
      <c r="M121">
        <f t="shared" si="19"/>
        <v>0</v>
      </c>
      <c r="O121">
        <f t="shared" si="20"/>
        <v>0.15199999999999925</v>
      </c>
      <c r="P121">
        <f t="shared" si="21"/>
        <v>0</v>
      </c>
      <c r="R121">
        <f t="shared" si="22"/>
        <v>0.15219999999999984</v>
      </c>
      <c r="S121">
        <f t="shared" si="23"/>
        <v>0.16650000000000009</v>
      </c>
      <c r="U121">
        <f t="shared" si="24"/>
        <v>47.756510825227444</v>
      </c>
      <c r="AH121">
        <f t="shared" si="25"/>
        <v>2.0599670283491869</v>
      </c>
      <c r="AI121">
        <f t="shared" si="26"/>
        <v>11.148866072949559</v>
      </c>
      <c r="AJ121">
        <f t="shared" si="27"/>
        <v>16.304533927050446</v>
      </c>
      <c r="AL121" s="6">
        <f t="shared" si="28"/>
        <v>17.846634056698377</v>
      </c>
      <c r="AM121">
        <f t="shared" si="29"/>
        <v>9.6067659433016281</v>
      </c>
    </row>
    <row r="122" spans="1:39" ht="16.5" x14ac:dyDescent="0.25">
      <c r="A122" s="1">
        <v>45525</v>
      </c>
      <c r="B122" s="5">
        <v>14.007999999999999</v>
      </c>
      <c r="C122" s="4">
        <v>13.896000000000001</v>
      </c>
      <c r="D122" s="4">
        <v>14.086</v>
      </c>
      <c r="E122" s="4">
        <v>13.848000000000001</v>
      </c>
      <c r="F122" s="4" t="s">
        <v>935</v>
      </c>
      <c r="G122" s="2" t="s">
        <v>825</v>
      </c>
      <c r="I122">
        <f t="shared" si="16"/>
        <v>13.719200000000001</v>
      </c>
      <c r="J122">
        <f t="shared" si="17"/>
        <v>14.508050000000001</v>
      </c>
      <c r="L122">
        <f t="shared" si="18"/>
        <v>1</v>
      </c>
      <c r="M122">
        <f t="shared" si="19"/>
        <v>0</v>
      </c>
      <c r="O122">
        <f t="shared" si="20"/>
        <v>0.11199999999999832</v>
      </c>
      <c r="P122">
        <f t="shared" si="21"/>
        <v>0</v>
      </c>
      <c r="R122">
        <f t="shared" si="22"/>
        <v>0.15222222222222215</v>
      </c>
      <c r="S122">
        <f t="shared" si="23"/>
        <v>0.22560000000000002</v>
      </c>
      <c r="U122">
        <f t="shared" si="24"/>
        <v>40.289377720268192</v>
      </c>
      <c r="AH122">
        <f t="shared" si="25"/>
        <v>2.0602769703414312</v>
      </c>
      <c r="AI122">
        <f t="shared" si="26"/>
        <v>11.141366072949555</v>
      </c>
      <c r="AJ122">
        <f t="shared" si="27"/>
        <v>16.297033927050446</v>
      </c>
      <c r="AL122" s="6">
        <f t="shared" si="28"/>
        <v>17.839753940682861</v>
      </c>
      <c r="AM122">
        <f t="shared" si="29"/>
        <v>9.5986460593171383</v>
      </c>
    </row>
    <row r="123" spans="1:39" ht="16.5" x14ac:dyDescent="0.25">
      <c r="A123" s="1">
        <v>45524</v>
      </c>
      <c r="B123" s="5">
        <v>13.917999999999999</v>
      </c>
      <c r="C123" s="4">
        <v>14.176</v>
      </c>
      <c r="D123" s="4">
        <v>14.204000000000001</v>
      </c>
      <c r="E123" s="4">
        <v>13.866</v>
      </c>
      <c r="F123" s="4" t="s">
        <v>880</v>
      </c>
      <c r="G123" s="2" t="s">
        <v>936</v>
      </c>
      <c r="I123">
        <f t="shared" si="16"/>
        <v>13.7377</v>
      </c>
      <c r="J123">
        <f t="shared" si="17"/>
        <v>14.52455</v>
      </c>
      <c r="L123">
        <f t="shared" si="18"/>
        <v>0</v>
      </c>
      <c r="M123">
        <f t="shared" si="19"/>
        <v>1</v>
      </c>
      <c r="O123">
        <f t="shared" si="20"/>
        <v>0</v>
      </c>
      <c r="P123">
        <f t="shared" si="21"/>
        <v>0.2580000000000009</v>
      </c>
      <c r="R123">
        <f t="shared" si="22"/>
        <v>0.15725000000000011</v>
      </c>
      <c r="S123">
        <f t="shared" si="23"/>
        <v>0.24966666666666684</v>
      </c>
      <c r="U123">
        <f t="shared" si="24"/>
        <v>38.644276059799303</v>
      </c>
      <c r="AH123">
        <f t="shared" si="25"/>
        <v>2.0605948010863826</v>
      </c>
      <c r="AI123">
        <f t="shared" si="26"/>
        <v>11.159866072949555</v>
      </c>
      <c r="AJ123">
        <f t="shared" si="27"/>
        <v>16.315533927050446</v>
      </c>
      <c r="AL123" s="6">
        <f t="shared" si="28"/>
        <v>17.858889602172766</v>
      </c>
      <c r="AM123">
        <f t="shared" si="29"/>
        <v>9.6165103978272342</v>
      </c>
    </row>
    <row r="124" spans="1:39" ht="16.5" x14ac:dyDescent="0.25">
      <c r="A124" s="1">
        <v>45523</v>
      </c>
      <c r="B124" s="5">
        <v>14.148</v>
      </c>
      <c r="C124" s="4">
        <v>14.04</v>
      </c>
      <c r="D124" s="4">
        <v>14.148</v>
      </c>
      <c r="E124" s="4">
        <v>14.007999999999999</v>
      </c>
      <c r="F124" s="4" t="s">
        <v>937</v>
      </c>
      <c r="G124" s="2" t="s">
        <v>861</v>
      </c>
      <c r="I124">
        <f t="shared" si="16"/>
        <v>13.825900000000001</v>
      </c>
      <c r="J124">
        <f t="shared" si="17"/>
        <v>14.543299999999999</v>
      </c>
      <c r="L124">
        <f t="shared" si="18"/>
        <v>1</v>
      </c>
      <c r="M124">
        <f t="shared" si="19"/>
        <v>0</v>
      </c>
      <c r="O124">
        <f t="shared" si="20"/>
        <v>0.10800000000000054</v>
      </c>
      <c r="P124">
        <f t="shared" si="21"/>
        <v>0</v>
      </c>
      <c r="R124">
        <f t="shared" si="22"/>
        <v>0.15725000000000011</v>
      </c>
      <c r="S124">
        <f t="shared" si="23"/>
        <v>0.25400000000000017</v>
      </c>
      <c r="U124">
        <f t="shared" si="24"/>
        <v>38.237082066869299</v>
      </c>
      <c r="AH124">
        <f t="shared" si="25"/>
        <v>2.0608604570307474</v>
      </c>
      <c r="AI124">
        <f t="shared" si="26"/>
        <v>11.248066072949555</v>
      </c>
      <c r="AJ124">
        <f t="shared" si="27"/>
        <v>16.403733927050446</v>
      </c>
      <c r="AL124" s="6">
        <f t="shared" si="28"/>
        <v>17.947620914061496</v>
      </c>
      <c r="AM124">
        <f t="shared" si="29"/>
        <v>9.704179085938506</v>
      </c>
    </row>
    <row r="125" spans="1:39" ht="16.5" x14ac:dyDescent="0.25">
      <c r="A125" s="1">
        <v>45520</v>
      </c>
      <c r="B125" s="5">
        <v>14.04</v>
      </c>
      <c r="C125" s="4">
        <v>13.864000000000001</v>
      </c>
      <c r="D125" s="4">
        <v>14.054</v>
      </c>
      <c r="E125" s="4">
        <v>13.77</v>
      </c>
      <c r="F125" s="4" t="s">
        <v>938</v>
      </c>
      <c r="G125" s="2" t="s">
        <v>939</v>
      </c>
      <c r="I125">
        <f t="shared" si="16"/>
        <v>13.892000000000001</v>
      </c>
      <c r="J125">
        <f t="shared" si="17"/>
        <v>14.560649999999999</v>
      </c>
      <c r="L125">
        <f t="shared" si="18"/>
        <v>1</v>
      </c>
      <c r="M125">
        <f t="shared" si="19"/>
        <v>0</v>
      </c>
      <c r="O125">
        <f t="shared" si="20"/>
        <v>0.17599999999999838</v>
      </c>
      <c r="P125">
        <f t="shared" si="21"/>
        <v>0</v>
      </c>
      <c r="R125">
        <f t="shared" si="22"/>
        <v>0.17525000000000013</v>
      </c>
      <c r="S125">
        <f t="shared" si="23"/>
        <v>0.25400000000000017</v>
      </c>
      <c r="U125">
        <f t="shared" si="24"/>
        <v>40.827023878858469</v>
      </c>
      <c r="AH125">
        <f t="shared" si="25"/>
        <v>2.0609053272693392</v>
      </c>
      <c r="AI125">
        <f t="shared" si="26"/>
        <v>11.314166072949558</v>
      </c>
      <c r="AJ125">
        <f t="shared" si="27"/>
        <v>16.469833927050445</v>
      </c>
      <c r="AL125" s="6">
        <f t="shared" si="28"/>
        <v>18.01381065453868</v>
      </c>
      <c r="AM125">
        <f t="shared" si="29"/>
        <v>9.770189345461322</v>
      </c>
    </row>
    <row r="126" spans="1:39" ht="16.5" x14ac:dyDescent="0.25">
      <c r="A126" s="1">
        <v>45519</v>
      </c>
      <c r="B126" s="5">
        <v>13.81</v>
      </c>
      <c r="C126" s="4">
        <v>13.48</v>
      </c>
      <c r="D126" s="4">
        <v>13.878</v>
      </c>
      <c r="E126" s="4">
        <v>13.44</v>
      </c>
      <c r="F126" s="4" t="s">
        <v>831</v>
      </c>
      <c r="G126" s="2" t="s">
        <v>940</v>
      </c>
      <c r="I126">
        <f t="shared" si="16"/>
        <v>13.9405</v>
      </c>
      <c r="J126">
        <f t="shared" si="17"/>
        <v>14.571150000000003</v>
      </c>
      <c r="L126">
        <f t="shared" si="18"/>
        <v>1</v>
      </c>
      <c r="M126">
        <f t="shared" si="19"/>
        <v>0</v>
      </c>
      <c r="O126">
        <f t="shared" si="20"/>
        <v>0.33000000000000007</v>
      </c>
      <c r="P126">
        <f t="shared" si="21"/>
        <v>0</v>
      </c>
      <c r="R126">
        <f t="shared" si="22"/>
        <v>0.17514285714285752</v>
      </c>
      <c r="S126">
        <f t="shared" si="23"/>
        <v>0.24600000000000019</v>
      </c>
      <c r="U126">
        <f t="shared" si="24"/>
        <v>41.587516960651321</v>
      </c>
      <c r="AH126">
        <f t="shared" si="25"/>
        <v>2.060773124377338</v>
      </c>
      <c r="AI126">
        <f t="shared" si="26"/>
        <v>11.362666072949555</v>
      </c>
      <c r="AJ126">
        <f t="shared" si="27"/>
        <v>16.518333927050445</v>
      </c>
      <c r="AL126" s="6">
        <f t="shared" si="28"/>
        <v>18.062046248754676</v>
      </c>
      <c r="AM126">
        <f t="shared" si="29"/>
        <v>9.8189537512453242</v>
      </c>
    </row>
    <row r="127" spans="1:39" ht="16.5" x14ac:dyDescent="0.25">
      <c r="A127" s="1">
        <v>45518</v>
      </c>
      <c r="B127" s="5">
        <v>13.38</v>
      </c>
      <c r="C127" s="4">
        <v>13.366</v>
      </c>
      <c r="D127" s="4">
        <v>13.45</v>
      </c>
      <c r="E127" s="4">
        <v>13.288</v>
      </c>
      <c r="F127" s="4" t="s">
        <v>941</v>
      </c>
      <c r="G127" s="2" t="s">
        <v>706</v>
      </c>
      <c r="I127">
        <f t="shared" si="16"/>
        <v>14.014699999999999</v>
      </c>
      <c r="J127">
        <f t="shared" si="17"/>
        <v>14.594449999999998</v>
      </c>
      <c r="L127">
        <f t="shared" si="18"/>
        <v>1</v>
      </c>
      <c r="M127">
        <f t="shared" si="19"/>
        <v>0</v>
      </c>
      <c r="O127">
        <f t="shared" si="20"/>
        <v>1.4000000000001123E-2</v>
      </c>
      <c r="P127">
        <f t="shared" si="21"/>
        <v>0</v>
      </c>
      <c r="R127">
        <f t="shared" si="22"/>
        <v>0.14933333333333376</v>
      </c>
      <c r="S127">
        <f t="shared" si="23"/>
        <v>0.21975000000000033</v>
      </c>
      <c r="U127">
        <f t="shared" si="24"/>
        <v>40.460600587039998</v>
      </c>
      <c r="AH127">
        <f t="shared" si="25"/>
        <v>2.0605019851174724</v>
      </c>
      <c r="AI127">
        <f t="shared" si="26"/>
        <v>11.436866072949556</v>
      </c>
      <c r="AJ127">
        <f t="shared" si="27"/>
        <v>16.592533927050443</v>
      </c>
      <c r="AL127" s="6">
        <f t="shared" si="28"/>
        <v>18.135703970234943</v>
      </c>
      <c r="AM127">
        <f t="shared" si="29"/>
        <v>9.8936960297650547</v>
      </c>
    </row>
    <row r="128" spans="1:39" ht="16.5" x14ac:dyDescent="0.25">
      <c r="A128" s="1">
        <v>45517</v>
      </c>
      <c r="B128" s="5">
        <v>13.3</v>
      </c>
      <c r="C128" s="4">
        <v>13.385999999999999</v>
      </c>
      <c r="D128" s="4">
        <v>13.385999999999999</v>
      </c>
      <c r="E128" s="4">
        <v>13.141999999999999</v>
      </c>
      <c r="F128" s="4" t="s">
        <v>942</v>
      </c>
      <c r="G128" s="2" t="s">
        <v>553</v>
      </c>
      <c r="I128">
        <f t="shared" si="16"/>
        <v>14.106899999999996</v>
      </c>
      <c r="J128">
        <f t="shared" si="17"/>
        <v>14.627699999999999</v>
      </c>
      <c r="L128">
        <f t="shared" si="18"/>
        <v>0</v>
      </c>
      <c r="M128">
        <f t="shared" si="19"/>
        <v>1</v>
      </c>
      <c r="O128">
        <f t="shared" si="20"/>
        <v>0</v>
      </c>
      <c r="P128">
        <f t="shared" si="21"/>
        <v>8.5999999999998522E-2</v>
      </c>
      <c r="R128">
        <f t="shared" si="22"/>
        <v>0.17266666666666688</v>
      </c>
      <c r="S128">
        <f t="shared" si="23"/>
        <v>0.21975000000000033</v>
      </c>
      <c r="U128">
        <f t="shared" si="24"/>
        <v>44.000849437247822</v>
      </c>
      <c r="AH128">
        <f t="shared" si="25"/>
        <v>2.0600176946931907</v>
      </c>
      <c r="AI128">
        <f t="shared" si="26"/>
        <v>11.529066072949551</v>
      </c>
      <c r="AJ128">
        <f t="shared" si="27"/>
        <v>16.684733927050441</v>
      </c>
      <c r="AL128" s="6">
        <f t="shared" si="28"/>
        <v>18.226935389386377</v>
      </c>
      <c r="AM128">
        <f t="shared" si="29"/>
        <v>9.9868646106136154</v>
      </c>
    </row>
    <row r="129" spans="1:39" ht="16.5" x14ac:dyDescent="0.25">
      <c r="A129" s="1">
        <v>45516</v>
      </c>
      <c r="B129" s="5">
        <v>13.308</v>
      </c>
      <c r="C129" s="4">
        <v>13.378</v>
      </c>
      <c r="D129" s="4">
        <v>13.41</v>
      </c>
      <c r="E129" s="4">
        <v>13.218</v>
      </c>
      <c r="F129" s="4" t="s">
        <v>943</v>
      </c>
      <c r="G129" s="2" t="s">
        <v>944</v>
      </c>
      <c r="I129">
        <f t="shared" si="16"/>
        <v>14.197400000000002</v>
      </c>
      <c r="J129">
        <f t="shared" si="17"/>
        <v>14.661799999999999</v>
      </c>
      <c r="L129">
        <f t="shared" si="18"/>
        <v>0</v>
      </c>
      <c r="M129">
        <f t="shared" si="19"/>
        <v>1</v>
      </c>
      <c r="O129">
        <f t="shared" si="20"/>
        <v>0</v>
      </c>
      <c r="P129">
        <f t="shared" si="21"/>
        <v>7.0000000000000284E-2</v>
      </c>
      <c r="R129">
        <f t="shared" si="22"/>
        <v>0.17266666666666688</v>
      </c>
      <c r="S129">
        <f t="shared" si="23"/>
        <v>0.32450000000000045</v>
      </c>
      <c r="U129">
        <f t="shared" si="24"/>
        <v>34.730137445524633</v>
      </c>
      <c r="AH129">
        <f t="shared" si="25"/>
        <v>2.059259398131124</v>
      </c>
      <c r="AI129">
        <f t="shared" si="26"/>
        <v>11.619566072949556</v>
      </c>
      <c r="AJ129">
        <f t="shared" si="27"/>
        <v>16.775233927050447</v>
      </c>
      <c r="AL129" s="6">
        <f t="shared" si="28"/>
        <v>18.315918796262249</v>
      </c>
      <c r="AM129">
        <f t="shared" si="29"/>
        <v>10.078881203737755</v>
      </c>
    </row>
    <row r="130" spans="1:39" ht="16.5" x14ac:dyDescent="0.25">
      <c r="A130" s="1">
        <v>45513</v>
      </c>
      <c r="B130" s="5">
        <v>13.292</v>
      </c>
      <c r="C130" s="4">
        <v>13.166</v>
      </c>
      <c r="D130" s="4">
        <v>13.302</v>
      </c>
      <c r="E130" s="4">
        <v>13.074</v>
      </c>
      <c r="F130" s="4" t="s">
        <v>945</v>
      </c>
      <c r="G130" s="2" t="s">
        <v>946</v>
      </c>
      <c r="I130">
        <f t="shared" ref="I130:I193" si="30">AVERAGE(B130:B149)</f>
        <v>14.294700000000001</v>
      </c>
      <c r="J130">
        <f t="shared" ref="J130:J193" si="31">AVERAGE(B130:B169)</f>
        <v>14.695250000000001</v>
      </c>
      <c r="L130">
        <f t="shared" ref="L130:L193" si="32">IF($C130&lt;$B130,1,0)</f>
        <v>1</v>
      </c>
      <c r="M130">
        <f t="shared" ref="M130:M193" si="33">IF($C130&lt;$B130,0,1)</f>
        <v>0</v>
      </c>
      <c r="O130">
        <f t="shared" ref="O130:O193" si="34">IF($C130&lt;$B130,B130-C130,0)</f>
        <v>0.12599999999999945</v>
      </c>
      <c r="P130">
        <f t="shared" ref="P130:P193" si="35">IF($B130&lt;$C130,C130-B130,0)</f>
        <v>0</v>
      </c>
      <c r="R130">
        <f t="shared" ref="R130:R193" si="36">SUM(O130:O143)/SUM(L130:L143)</f>
        <v>0.17314285714285735</v>
      </c>
      <c r="S130">
        <f t="shared" ref="S130:S193" si="37">SUM(P130:P143)/SUM(M130:M143)</f>
        <v>0.36085714285714332</v>
      </c>
      <c r="U130">
        <f t="shared" ref="U130:U193" si="38">100-(100/(1+(R130/S130)))</f>
        <v>32.423756019261631</v>
      </c>
      <c r="AH130">
        <f t="shared" si="25"/>
        <v>2.0582174088880096</v>
      </c>
      <c r="AI130">
        <f t="shared" si="26"/>
        <v>11.716866072949557</v>
      </c>
      <c r="AJ130">
        <f t="shared" si="27"/>
        <v>16.872533927050444</v>
      </c>
      <c r="AL130" s="6">
        <f t="shared" si="28"/>
        <v>18.41113481777602</v>
      </c>
      <c r="AM130">
        <f t="shared" si="29"/>
        <v>10.178265182223981</v>
      </c>
    </row>
    <row r="131" spans="1:39" ht="16.5" x14ac:dyDescent="0.25">
      <c r="A131" s="1">
        <v>45512</v>
      </c>
      <c r="B131" s="5">
        <v>13.09</v>
      </c>
      <c r="C131" s="4">
        <v>12.91</v>
      </c>
      <c r="D131" s="4">
        <v>13.15</v>
      </c>
      <c r="E131" s="4">
        <v>12.776</v>
      </c>
      <c r="F131" s="4" t="s">
        <v>947</v>
      </c>
      <c r="G131" s="2" t="s">
        <v>233</v>
      </c>
      <c r="I131">
        <f t="shared" si="30"/>
        <v>14.395299999999997</v>
      </c>
      <c r="J131">
        <f t="shared" si="31"/>
        <v>14.723299999999998</v>
      </c>
      <c r="L131">
        <f t="shared" si="32"/>
        <v>1</v>
      </c>
      <c r="M131">
        <f t="shared" si="33"/>
        <v>0</v>
      </c>
      <c r="O131">
        <f t="shared" si="34"/>
        <v>0.17999999999999972</v>
      </c>
      <c r="P131">
        <f t="shared" si="35"/>
        <v>0</v>
      </c>
      <c r="R131">
        <f t="shared" si="36"/>
        <v>0.20942857142857182</v>
      </c>
      <c r="S131">
        <f t="shared" si="37"/>
        <v>0.36085714285714332</v>
      </c>
      <c r="U131">
        <f t="shared" si="38"/>
        <v>36.723446893787589</v>
      </c>
      <c r="AH131">
        <f t="shared" ref="AH131:AH194" si="39">_xlfn.STDEV.S(I131:I661)</f>
        <v>2.0568560454686624</v>
      </c>
      <c r="AI131">
        <f t="shared" ref="AI131:AI194" si="40">I131-$AH$2</f>
        <v>11.817466072949554</v>
      </c>
      <c r="AJ131">
        <f t="shared" ref="AJ131:AJ194" si="41">I131+$AH$2</f>
        <v>16.973133927050441</v>
      </c>
      <c r="AL131" s="6">
        <f t="shared" ref="AL131:AL194" si="42">I131+(AH131*2)</f>
        <v>18.509012090937322</v>
      </c>
      <c r="AM131">
        <f t="shared" ref="AM131:AM194" si="43">I131-(AH131*2)</f>
        <v>10.281587909062672</v>
      </c>
    </row>
    <row r="132" spans="1:39" ht="16.5" x14ac:dyDescent="0.25">
      <c r="A132" s="1">
        <v>45511</v>
      </c>
      <c r="B132" s="5">
        <v>13.038</v>
      </c>
      <c r="C132" s="4">
        <v>13.004</v>
      </c>
      <c r="D132" s="4">
        <v>13.23</v>
      </c>
      <c r="E132" s="4">
        <v>12.878</v>
      </c>
      <c r="F132" s="4" t="s">
        <v>948</v>
      </c>
      <c r="G132" s="2" t="s">
        <v>426</v>
      </c>
      <c r="I132">
        <f t="shared" si="30"/>
        <v>14.506599999999997</v>
      </c>
      <c r="J132">
        <f t="shared" si="31"/>
        <v>14.759199999999996</v>
      </c>
      <c r="L132">
        <f t="shared" si="32"/>
        <v>1</v>
      </c>
      <c r="M132">
        <f t="shared" si="33"/>
        <v>0</v>
      </c>
      <c r="O132">
        <f t="shared" si="34"/>
        <v>3.4000000000000696E-2</v>
      </c>
      <c r="P132">
        <f t="shared" si="35"/>
        <v>0</v>
      </c>
      <c r="R132">
        <f t="shared" si="36"/>
        <v>0.21433333333333385</v>
      </c>
      <c r="S132">
        <f t="shared" si="37"/>
        <v>0.32650000000000046</v>
      </c>
      <c r="U132">
        <f t="shared" si="38"/>
        <v>39.63020030816643</v>
      </c>
      <c r="AH132">
        <f t="shared" si="39"/>
        <v>2.0551476451751101</v>
      </c>
      <c r="AI132">
        <f t="shared" si="40"/>
        <v>11.928766072949553</v>
      </c>
      <c r="AJ132">
        <f t="shared" si="41"/>
        <v>17.084433927050441</v>
      </c>
      <c r="AL132" s="6">
        <f t="shared" si="42"/>
        <v>18.616895290350218</v>
      </c>
      <c r="AM132">
        <f t="shared" si="43"/>
        <v>10.396304709649776</v>
      </c>
    </row>
    <row r="133" spans="1:39" ht="16.5" x14ac:dyDescent="0.25">
      <c r="A133" s="1">
        <v>45510</v>
      </c>
      <c r="B133" s="5">
        <v>12.837999999999999</v>
      </c>
      <c r="C133" s="4">
        <v>13.09</v>
      </c>
      <c r="D133" s="4">
        <v>13.09</v>
      </c>
      <c r="E133" s="4">
        <v>12.656000000000001</v>
      </c>
      <c r="F133" s="4" t="s">
        <v>842</v>
      </c>
      <c r="G133" s="2" t="s">
        <v>949</v>
      </c>
      <c r="I133">
        <f t="shared" si="30"/>
        <v>14.626199999999997</v>
      </c>
      <c r="J133">
        <f t="shared" si="31"/>
        <v>14.807249999999996</v>
      </c>
      <c r="L133">
        <f t="shared" si="32"/>
        <v>0</v>
      </c>
      <c r="M133">
        <f t="shared" si="33"/>
        <v>1</v>
      </c>
      <c r="O133">
        <f t="shared" si="34"/>
        <v>0</v>
      </c>
      <c r="P133">
        <f t="shared" si="35"/>
        <v>0.25200000000000067</v>
      </c>
      <c r="R133">
        <f t="shared" si="36"/>
        <v>0.25040000000000051</v>
      </c>
      <c r="S133">
        <f t="shared" si="37"/>
        <v>0.29088888888888931</v>
      </c>
      <c r="U133">
        <f t="shared" si="38"/>
        <v>46.259955661384367</v>
      </c>
      <c r="AH133">
        <f t="shared" si="39"/>
        <v>2.053037487409719</v>
      </c>
      <c r="AI133">
        <f t="shared" si="40"/>
        <v>12.048366072949552</v>
      </c>
      <c r="AJ133">
        <f t="shared" si="41"/>
        <v>17.204033927050443</v>
      </c>
      <c r="AL133" s="6">
        <f t="shared" si="42"/>
        <v>18.732274974819436</v>
      </c>
      <c r="AM133">
        <f t="shared" si="43"/>
        <v>10.520125025180558</v>
      </c>
    </row>
    <row r="134" spans="1:39" ht="16.5" x14ac:dyDescent="0.25">
      <c r="A134" s="1">
        <v>45509</v>
      </c>
      <c r="B134" s="5">
        <v>12.836</v>
      </c>
      <c r="C134" s="4">
        <v>12.545999999999999</v>
      </c>
      <c r="D134" s="4">
        <v>12.836</v>
      </c>
      <c r="E134" s="4">
        <v>12.268000000000001</v>
      </c>
      <c r="F134" s="4" t="s">
        <v>950</v>
      </c>
      <c r="G134" s="2" t="s">
        <v>890</v>
      </c>
      <c r="I134">
        <f t="shared" si="30"/>
        <v>14.754200000000001</v>
      </c>
      <c r="J134">
        <f t="shared" si="31"/>
        <v>14.856199999999998</v>
      </c>
      <c r="L134">
        <f t="shared" si="32"/>
        <v>1</v>
      </c>
      <c r="M134">
        <f t="shared" si="33"/>
        <v>0</v>
      </c>
      <c r="O134">
        <f t="shared" si="34"/>
        <v>0.29000000000000092</v>
      </c>
      <c r="P134">
        <f t="shared" si="35"/>
        <v>0</v>
      </c>
      <c r="R134">
        <f t="shared" si="36"/>
        <v>0.2290000000000004</v>
      </c>
      <c r="S134">
        <f t="shared" si="37"/>
        <v>0.2957500000000004</v>
      </c>
      <c r="U134">
        <f t="shared" si="38"/>
        <v>43.639828489757036</v>
      </c>
      <c r="AH134">
        <f t="shared" si="39"/>
        <v>2.0504735325679744</v>
      </c>
      <c r="AI134">
        <f t="shared" si="40"/>
        <v>12.176366072949556</v>
      </c>
      <c r="AJ134">
        <f t="shared" si="41"/>
        <v>17.332033927050446</v>
      </c>
      <c r="AL134" s="6">
        <f t="shared" si="42"/>
        <v>18.855147065135949</v>
      </c>
      <c r="AM134">
        <f t="shared" si="43"/>
        <v>10.653252934864053</v>
      </c>
    </row>
    <row r="135" spans="1:39" ht="16.5" x14ac:dyDescent="0.25">
      <c r="A135" s="1">
        <v>45506</v>
      </c>
      <c r="B135" s="5">
        <v>13.173999999999999</v>
      </c>
      <c r="C135" s="4">
        <v>13.635999999999999</v>
      </c>
      <c r="D135" s="4">
        <v>13.792</v>
      </c>
      <c r="E135" s="4">
        <v>13.14</v>
      </c>
      <c r="F135" s="4" t="s">
        <v>951</v>
      </c>
      <c r="G135" s="2" t="s">
        <v>952</v>
      </c>
      <c r="I135">
        <f t="shared" si="30"/>
        <v>14.885999999999999</v>
      </c>
      <c r="J135">
        <f t="shared" si="31"/>
        <v>14.917299999999997</v>
      </c>
      <c r="L135">
        <f t="shared" si="32"/>
        <v>0</v>
      </c>
      <c r="M135">
        <f t="shared" si="33"/>
        <v>1</v>
      </c>
      <c r="O135">
        <f t="shared" si="34"/>
        <v>0</v>
      </c>
      <c r="P135">
        <f t="shared" si="35"/>
        <v>0.46199999999999974</v>
      </c>
      <c r="R135">
        <f t="shared" si="36"/>
        <v>0.21680000000000027</v>
      </c>
      <c r="S135">
        <f t="shared" si="37"/>
        <v>0.27311111111111153</v>
      </c>
      <c r="U135">
        <f t="shared" si="38"/>
        <v>44.252925700807396</v>
      </c>
      <c r="AH135">
        <f t="shared" si="39"/>
        <v>2.0473981817955682</v>
      </c>
      <c r="AI135">
        <f t="shared" si="40"/>
        <v>12.308166072949554</v>
      </c>
      <c r="AJ135">
        <f t="shared" si="41"/>
        <v>17.463833927050445</v>
      </c>
      <c r="AL135" s="6">
        <f t="shared" si="42"/>
        <v>18.980796363591136</v>
      </c>
      <c r="AM135">
        <f t="shared" si="43"/>
        <v>10.791203636408863</v>
      </c>
    </row>
    <row r="136" spans="1:39" ht="16.5" x14ac:dyDescent="0.25">
      <c r="A136" s="1">
        <v>45505</v>
      </c>
      <c r="B136" s="5">
        <v>13.994</v>
      </c>
      <c r="C136" s="4">
        <v>14.364000000000001</v>
      </c>
      <c r="D136" s="4">
        <v>14.438000000000001</v>
      </c>
      <c r="E136" s="4">
        <v>13.99</v>
      </c>
      <c r="F136" s="4" t="s">
        <v>953</v>
      </c>
      <c r="G136" s="2" t="s">
        <v>589</v>
      </c>
      <c r="I136">
        <f t="shared" si="30"/>
        <v>15.010499999999999</v>
      </c>
      <c r="J136">
        <f t="shared" si="31"/>
        <v>14.970350000000002</v>
      </c>
      <c r="L136">
        <f t="shared" si="32"/>
        <v>0</v>
      </c>
      <c r="M136">
        <f t="shared" si="33"/>
        <v>1</v>
      </c>
      <c r="O136">
        <f t="shared" si="34"/>
        <v>0</v>
      </c>
      <c r="P136">
        <f t="shared" si="35"/>
        <v>0.37000000000000099</v>
      </c>
      <c r="R136">
        <f t="shared" si="36"/>
        <v>0.21680000000000027</v>
      </c>
      <c r="S136">
        <f t="shared" si="37"/>
        <v>0.22244444444444492</v>
      </c>
      <c r="U136">
        <f t="shared" si="38"/>
        <v>49.357482545785672</v>
      </c>
      <c r="AH136">
        <f t="shared" si="39"/>
        <v>2.0437661792414006</v>
      </c>
      <c r="AI136">
        <f t="shared" si="40"/>
        <v>12.432666072949555</v>
      </c>
      <c r="AJ136">
        <f t="shared" si="41"/>
        <v>17.588333927050442</v>
      </c>
      <c r="AL136" s="6">
        <f t="shared" si="42"/>
        <v>19.098032358482801</v>
      </c>
      <c r="AM136">
        <f t="shared" si="43"/>
        <v>10.922967641517197</v>
      </c>
    </row>
    <row r="137" spans="1:39" ht="16.5" x14ac:dyDescent="0.25">
      <c r="A137" s="1">
        <v>45504</v>
      </c>
      <c r="B137" s="5">
        <v>14.436</v>
      </c>
      <c r="C137" s="4">
        <v>14.72</v>
      </c>
      <c r="D137" s="4">
        <v>14.747999999999999</v>
      </c>
      <c r="E137" s="4">
        <v>14.327999999999999</v>
      </c>
      <c r="F137" s="4" t="s">
        <v>954</v>
      </c>
      <c r="G137" s="2" t="s">
        <v>540</v>
      </c>
      <c r="I137">
        <f t="shared" si="30"/>
        <v>15.104299999999999</v>
      </c>
      <c r="J137">
        <f t="shared" si="31"/>
        <v>15.002100000000002</v>
      </c>
      <c r="L137">
        <f t="shared" si="32"/>
        <v>0</v>
      </c>
      <c r="M137">
        <f t="shared" si="33"/>
        <v>1</v>
      </c>
      <c r="O137">
        <f t="shared" si="34"/>
        <v>0</v>
      </c>
      <c r="P137">
        <f t="shared" si="35"/>
        <v>0.2840000000000007</v>
      </c>
      <c r="R137">
        <f t="shared" si="36"/>
        <v>0.21680000000000027</v>
      </c>
      <c r="S137">
        <f t="shared" si="37"/>
        <v>0.18244444444444477</v>
      </c>
      <c r="U137">
        <f t="shared" si="38"/>
        <v>54.302571523989741</v>
      </c>
      <c r="AH137">
        <f t="shared" si="39"/>
        <v>2.0395746372883781</v>
      </c>
      <c r="AI137">
        <f t="shared" si="40"/>
        <v>12.526466072949553</v>
      </c>
      <c r="AJ137">
        <f t="shared" si="41"/>
        <v>17.682133927050444</v>
      </c>
      <c r="AL137" s="6">
        <f t="shared" si="42"/>
        <v>19.183449274576756</v>
      </c>
      <c r="AM137">
        <f t="shared" si="43"/>
        <v>11.025150725423241</v>
      </c>
    </row>
    <row r="138" spans="1:39" ht="16.5" x14ac:dyDescent="0.25">
      <c r="A138" s="1">
        <v>45503</v>
      </c>
      <c r="B138" s="5">
        <v>14.614000000000001</v>
      </c>
      <c r="C138" s="4">
        <v>14.362</v>
      </c>
      <c r="D138" s="4">
        <v>14.676</v>
      </c>
      <c r="E138" s="4">
        <v>14.33</v>
      </c>
      <c r="F138" s="4" t="s">
        <v>955</v>
      </c>
      <c r="G138" s="2" t="s">
        <v>289</v>
      </c>
      <c r="I138">
        <f t="shared" si="30"/>
        <v>15.169700000000001</v>
      </c>
      <c r="J138">
        <f t="shared" si="31"/>
        <v>15.016450000000003</v>
      </c>
      <c r="L138">
        <f t="shared" si="32"/>
        <v>1</v>
      </c>
      <c r="M138">
        <f t="shared" si="33"/>
        <v>0</v>
      </c>
      <c r="O138">
        <f t="shared" si="34"/>
        <v>0.25200000000000067</v>
      </c>
      <c r="P138">
        <f t="shared" si="35"/>
        <v>0</v>
      </c>
      <c r="R138">
        <f t="shared" si="36"/>
        <v>0.21680000000000027</v>
      </c>
      <c r="S138">
        <f t="shared" si="37"/>
        <v>0.16377777777777799</v>
      </c>
      <c r="U138">
        <f t="shared" si="38"/>
        <v>56.966016582973253</v>
      </c>
      <c r="AH138">
        <f t="shared" si="39"/>
        <v>2.0349238639730545</v>
      </c>
      <c r="AI138">
        <f t="shared" si="40"/>
        <v>12.591866072949557</v>
      </c>
      <c r="AJ138">
        <f t="shared" si="41"/>
        <v>17.747533927050444</v>
      </c>
      <c r="AL138" s="6">
        <f t="shared" si="42"/>
        <v>19.23954772794611</v>
      </c>
      <c r="AM138">
        <f t="shared" si="43"/>
        <v>11.099852272053891</v>
      </c>
    </row>
    <row r="139" spans="1:39" ht="16.5" x14ac:dyDescent="0.25">
      <c r="A139" s="1">
        <v>45502</v>
      </c>
      <c r="B139" s="5">
        <v>14.32</v>
      </c>
      <c r="C139" s="4">
        <v>14.518000000000001</v>
      </c>
      <c r="D139" s="4">
        <v>14.606</v>
      </c>
      <c r="E139" s="4">
        <v>14.282</v>
      </c>
      <c r="F139" s="4" t="s">
        <v>718</v>
      </c>
      <c r="G139" s="2" t="s">
        <v>794</v>
      </c>
      <c r="I139">
        <f t="shared" si="30"/>
        <v>15.2</v>
      </c>
      <c r="J139">
        <f t="shared" si="31"/>
        <v>15.026749999999998</v>
      </c>
      <c r="L139">
        <f t="shared" si="32"/>
        <v>0</v>
      </c>
      <c r="M139">
        <f t="shared" si="33"/>
        <v>1</v>
      </c>
      <c r="O139">
        <f t="shared" si="34"/>
        <v>0</v>
      </c>
      <c r="P139">
        <f t="shared" si="35"/>
        <v>0.1980000000000004</v>
      </c>
      <c r="R139">
        <f t="shared" si="36"/>
        <v>0.20800000000000018</v>
      </c>
      <c r="S139">
        <f t="shared" si="37"/>
        <v>0.15340000000000026</v>
      </c>
      <c r="U139">
        <f t="shared" si="38"/>
        <v>57.553956834532357</v>
      </c>
      <c r="AH139">
        <f t="shared" si="39"/>
        <v>2.0299177625966367</v>
      </c>
      <c r="AI139">
        <f t="shared" si="40"/>
        <v>12.622166072949554</v>
      </c>
      <c r="AJ139">
        <f t="shared" si="41"/>
        <v>17.777833927050445</v>
      </c>
      <c r="AL139" s="6">
        <f t="shared" si="42"/>
        <v>19.259835525193274</v>
      </c>
      <c r="AM139">
        <f t="shared" si="43"/>
        <v>11.140164474806726</v>
      </c>
    </row>
    <row r="140" spans="1:39" ht="16.5" x14ac:dyDescent="0.25">
      <c r="A140" s="1">
        <v>45499</v>
      </c>
      <c r="B140" s="5">
        <v>14.417999999999999</v>
      </c>
      <c r="C140" s="4">
        <v>14.454000000000001</v>
      </c>
      <c r="D140" s="4">
        <v>14.534000000000001</v>
      </c>
      <c r="E140" s="4">
        <v>14.262</v>
      </c>
      <c r="F140" s="4" t="s">
        <v>956</v>
      </c>
      <c r="G140" s="2" t="s">
        <v>505</v>
      </c>
      <c r="I140">
        <f t="shared" si="30"/>
        <v>15.254300000000004</v>
      </c>
      <c r="J140">
        <f t="shared" si="31"/>
        <v>15.0528</v>
      </c>
      <c r="L140">
        <f t="shared" si="32"/>
        <v>0</v>
      </c>
      <c r="M140">
        <f t="shared" si="33"/>
        <v>1</v>
      </c>
      <c r="O140">
        <f t="shared" si="34"/>
        <v>0</v>
      </c>
      <c r="P140">
        <f t="shared" si="35"/>
        <v>3.6000000000001364E-2</v>
      </c>
      <c r="R140">
        <f t="shared" si="36"/>
        <v>0.20800000000000018</v>
      </c>
      <c r="S140">
        <f t="shared" si="37"/>
        <v>0.14880000000000032</v>
      </c>
      <c r="U140">
        <f t="shared" si="38"/>
        <v>58.295964125560509</v>
      </c>
      <c r="AH140">
        <f t="shared" si="39"/>
        <v>2.0247002171590469</v>
      </c>
      <c r="AI140">
        <f t="shared" si="40"/>
        <v>12.676466072949559</v>
      </c>
      <c r="AJ140">
        <f t="shared" si="41"/>
        <v>17.83213392705045</v>
      </c>
      <c r="AL140" s="6">
        <f t="shared" si="42"/>
        <v>19.303700434318099</v>
      </c>
      <c r="AM140">
        <f t="shared" si="43"/>
        <v>11.204899565681909</v>
      </c>
    </row>
    <row r="141" spans="1:39" ht="16.5" x14ac:dyDescent="0.25">
      <c r="A141" s="1">
        <v>45498</v>
      </c>
      <c r="B141" s="5">
        <v>14.422000000000001</v>
      </c>
      <c r="C141" s="4">
        <v>14.268000000000001</v>
      </c>
      <c r="D141" s="4">
        <v>14.544</v>
      </c>
      <c r="E141" s="4">
        <v>13.896000000000001</v>
      </c>
      <c r="F141" s="4" t="s">
        <v>957</v>
      </c>
      <c r="G141" s="2" t="s">
        <v>958</v>
      </c>
      <c r="I141">
        <f t="shared" si="30"/>
        <v>15.278800000000004</v>
      </c>
      <c r="J141">
        <f t="shared" si="31"/>
        <v>15.072999999999999</v>
      </c>
      <c r="L141">
        <f t="shared" si="32"/>
        <v>1</v>
      </c>
      <c r="M141">
        <f t="shared" si="33"/>
        <v>0</v>
      </c>
      <c r="O141">
        <f t="shared" si="34"/>
        <v>0.15399999999999991</v>
      </c>
      <c r="P141">
        <f t="shared" si="35"/>
        <v>0</v>
      </c>
      <c r="R141">
        <f t="shared" si="36"/>
        <v>0.20800000000000018</v>
      </c>
      <c r="S141">
        <f t="shared" si="37"/>
        <v>0.15660000000000024</v>
      </c>
      <c r="U141">
        <f t="shared" si="38"/>
        <v>57.048820625342827</v>
      </c>
      <c r="AH141">
        <f t="shared" si="39"/>
        <v>2.0191565565220317</v>
      </c>
      <c r="AI141">
        <f t="shared" si="40"/>
        <v>12.700966072949559</v>
      </c>
      <c r="AJ141">
        <f t="shared" si="41"/>
        <v>17.856633927050449</v>
      </c>
      <c r="AL141" s="6">
        <f t="shared" si="42"/>
        <v>19.317113113044066</v>
      </c>
      <c r="AM141">
        <f t="shared" si="43"/>
        <v>11.24048688695594</v>
      </c>
    </row>
    <row r="142" spans="1:39" ht="16.5" x14ac:dyDescent="0.25">
      <c r="A142" s="1">
        <v>45497</v>
      </c>
      <c r="B142" s="5">
        <v>14.378</v>
      </c>
      <c r="C142" s="4">
        <v>15.302</v>
      </c>
      <c r="D142" s="4">
        <v>15.302</v>
      </c>
      <c r="E142" s="4">
        <v>14.266</v>
      </c>
      <c r="F142" s="4" t="s">
        <v>959</v>
      </c>
      <c r="G142" s="2" t="s">
        <v>960</v>
      </c>
      <c r="I142">
        <f t="shared" si="30"/>
        <v>15.296900000000003</v>
      </c>
      <c r="J142">
        <f t="shared" si="31"/>
        <v>15.098199999999997</v>
      </c>
      <c r="L142">
        <f t="shared" si="32"/>
        <v>0</v>
      </c>
      <c r="M142">
        <f t="shared" si="33"/>
        <v>1</v>
      </c>
      <c r="O142">
        <f t="shared" si="34"/>
        <v>0</v>
      </c>
      <c r="P142">
        <f t="shared" si="35"/>
        <v>0.92399999999999949</v>
      </c>
      <c r="R142">
        <f t="shared" si="36"/>
        <v>0.22600000000000028</v>
      </c>
      <c r="S142">
        <f t="shared" si="37"/>
        <v>0.16327272727272754</v>
      </c>
      <c r="U142">
        <f t="shared" si="38"/>
        <v>58.056982718355897</v>
      </c>
      <c r="AH142">
        <f t="shared" si="39"/>
        <v>2.0134140608333237</v>
      </c>
      <c r="AI142">
        <f t="shared" si="40"/>
        <v>12.719066072949559</v>
      </c>
      <c r="AJ142">
        <f t="shared" si="41"/>
        <v>17.874733927050446</v>
      </c>
      <c r="AL142" s="6">
        <f t="shared" si="42"/>
        <v>19.323728121666651</v>
      </c>
      <c r="AM142">
        <f t="shared" si="43"/>
        <v>11.270071878333354</v>
      </c>
    </row>
    <row r="143" spans="1:39" ht="16.5" x14ac:dyDescent="0.25">
      <c r="A143" s="1">
        <v>45496</v>
      </c>
      <c r="B143" s="5">
        <v>15.682</v>
      </c>
      <c r="C143" s="4">
        <v>15.506</v>
      </c>
      <c r="D143" s="4">
        <v>15.682</v>
      </c>
      <c r="E143" s="4">
        <v>15.42</v>
      </c>
      <c r="F143" s="4" t="s">
        <v>938</v>
      </c>
      <c r="G143" s="2" t="s">
        <v>420</v>
      </c>
      <c r="I143">
        <f t="shared" si="30"/>
        <v>15.311400000000001</v>
      </c>
      <c r="J143">
        <f t="shared" si="31"/>
        <v>15.122149999999994</v>
      </c>
      <c r="L143">
        <f t="shared" si="32"/>
        <v>1</v>
      </c>
      <c r="M143">
        <f t="shared" si="33"/>
        <v>0</v>
      </c>
      <c r="O143">
        <f t="shared" si="34"/>
        <v>0.17600000000000016</v>
      </c>
      <c r="P143">
        <f t="shared" si="35"/>
        <v>0</v>
      </c>
      <c r="R143">
        <f t="shared" si="36"/>
        <v>0.20750000000000002</v>
      </c>
      <c r="S143">
        <f t="shared" si="37"/>
        <v>8.7200000000000347E-2</v>
      </c>
      <c r="U143">
        <f t="shared" si="38"/>
        <v>70.410587037665337</v>
      </c>
      <c r="AH143">
        <f t="shared" si="39"/>
        <v>2.0074976373129365</v>
      </c>
      <c r="AI143">
        <f t="shared" si="40"/>
        <v>12.733566072949557</v>
      </c>
      <c r="AJ143">
        <f t="shared" si="41"/>
        <v>17.889233927050444</v>
      </c>
      <c r="AL143" s="6">
        <f t="shared" si="42"/>
        <v>19.326395274625874</v>
      </c>
      <c r="AM143">
        <f t="shared" si="43"/>
        <v>11.296404725374128</v>
      </c>
    </row>
    <row r="144" spans="1:39" ht="16.5" x14ac:dyDescent="0.25">
      <c r="A144" s="1">
        <v>45495</v>
      </c>
      <c r="B144" s="5">
        <v>15.47</v>
      </c>
      <c r="C144" s="4">
        <v>15.09</v>
      </c>
      <c r="D144" s="4">
        <v>15.494</v>
      </c>
      <c r="E144" s="4">
        <v>15.071999999999999</v>
      </c>
      <c r="F144" s="4" t="s">
        <v>143</v>
      </c>
      <c r="G144" s="2" t="s">
        <v>961</v>
      </c>
      <c r="I144">
        <f t="shared" si="30"/>
        <v>15.2607</v>
      </c>
      <c r="J144">
        <f t="shared" si="31"/>
        <v>15.121749999999997</v>
      </c>
      <c r="L144">
        <f t="shared" si="32"/>
        <v>1</v>
      </c>
      <c r="M144">
        <f t="shared" si="33"/>
        <v>0</v>
      </c>
      <c r="O144">
        <f t="shared" si="34"/>
        <v>0.38000000000000078</v>
      </c>
      <c r="P144">
        <f t="shared" si="35"/>
        <v>0</v>
      </c>
      <c r="R144">
        <f t="shared" si="36"/>
        <v>0.28200000000000003</v>
      </c>
      <c r="S144">
        <f t="shared" si="37"/>
        <v>8.7200000000000347E-2</v>
      </c>
      <c r="U144">
        <f t="shared" si="38"/>
        <v>76.381365113759415</v>
      </c>
      <c r="AH144">
        <f t="shared" si="39"/>
        <v>2.0014201823831654</v>
      </c>
      <c r="AI144">
        <f t="shared" si="40"/>
        <v>12.682866072949555</v>
      </c>
      <c r="AJ144">
        <f t="shared" si="41"/>
        <v>17.838533927050445</v>
      </c>
      <c r="AL144" s="6">
        <f t="shared" si="42"/>
        <v>19.263540364766332</v>
      </c>
      <c r="AM144">
        <f t="shared" si="43"/>
        <v>11.257859635233668</v>
      </c>
    </row>
    <row r="145" spans="1:39" ht="16.5" x14ac:dyDescent="0.25">
      <c r="A145" s="1">
        <v>45492</v>
      </c>
      <c r="B145" s="5">
        <v>15.01</v>
      </c>
      <c r="C145" s="4">
        <v>15.096</v>
      </c>
      <c r="D145" s="4">
        <v>15.114000000000001</v>
      </c>
      <c r="E145" s="4">
        <v>14.916</v>
      </c>
      <c r="F145" s="4" t="s">
        <v>962</v>
      </c>
      <c r="G145" s="2" t="s">
        <v>963</v>
      </c>
      <c r="I145">
        <f t="shared" si="30"/>
        <v>15.2293</v>
      </c>
      <c r="J145">
        <f t="shared" si="31"/>
        <v>15.127749999999997</v>
      </c>
      <c r="L145">
        <f t="shared" si="32"/>
        <v>0</v>
      </c>
      <c r="M145">
        <f t="shared" si="33"/>
        <v>1</v>
      </c>
      <c r="O145">
        <f t="shared" si="34"/>
        <v>0</v>
      </c>
      <c r="P145">
        <f t="shared" si="35"/>
        <v>8.6000000000000298E-2</v>
      </c>
      <c r="R145">
        <f t="shared" si="36"/>
        <v>0.2493333333333331</v>
      </c>
      <c r="S145">
        <f t="shared" si="37"/>
        <v>8.9454545454545772E-2</v>
      </c>
      <c r="U145">
        <f t="shared" si="38"/>
        <v>73.595706618962339</v>
      </c>
      <c r="AH145">
        <f t="shared" si="39"/>
        <v>1.9954881821091115</v>
      </c>
      <c r="AI145">
        <f t="shared" si="40"/>
        <v>12.651466072949557</v>
      </c>
      <c r="AJ145">
        <f t="shared" si="41"/>
        <v>17.807133927050444</v>
      </c>
      <c r="AL145" s="6">
        <f t="shared" si="42"/>
        <v>19.220276364218222</v>
      </c>
      <c r="AM145">
        <f t="shared" si="43"/>
        <v>11.238323635781777</v>
      </c>
    </row>
    <row r="146" spans="1:39" ht="16.5" x14ac:dyDescent="0.25">
      <c r="A146" s="1">
        <v>45491</v>
      </c>
      <c r="B146" s="5">
        <v>15.294</v>
      </c>
      <c r="C146" s="4">
        <v>15.3</v>
      </c>
      <c r="D146" s="4">
        <v>15.433999999999999</v>
      </c>
      <c r="E146" s="4">
        <v>15.24</v>
      </c>
      <c r="F146" s="4" t="s">
        <v>964</v>
      </c>
      <c r="G146" s="2" t="s">
        <v>401</v>
      </c>
      <c r="I146">
        <f t="shared" si="30"/>
        <v>15.201799999999997</v>
      </c>
      <c r="J146">
        <f t="shared" si="31"/>
        <v>15.145599999999998</v>
      </c>
      <c r="L146">
        <f t="shared" si="32"/>
        <v>0</v>
      </c>
      <c r="M146">
        <f t="shared" si="33"/>
        <v>1</v>
      </c>
      <c r="O146">
        <f t="shared" si="34"/>
        <v>0</v>
      </c>
      <c r="P146">
        <f t="shared" si="35"/>
        <v>6.0000000000002274E-3</v>
      </c>
      <c r="R146">
        <f t="shared" si="36"/>
        <v>0.23999999999999977</v>
      </c>
      <c r="S146">
        <f t="shared" si="37"/>
        <v>8.9800000000000324E-2</v>
      </c>
      <c r="U146">
        <f t="shared" si="38"/>
        <v>72.771376591873775</v>
      </c>
      <c r="AH146">
        <f t="shared" si="39"/>
        <v>1.9896116687944398</v>
      </c>
      <c r="AI146">
        <f t="shared" si="40"/>
        <v>12.623966072949553</v>
      </c>
      <c r="AJ146">
        <f t="shared" si="41"/>
        <v>17.77963392705044</v>
      </c>
      <c r="AL146" s="6">
        <f t="shared" si="42"/>
        <v>19.181023337588876</v>
      </c>
      <c r="AM146">
        <f t="shared" si="43"/>
        <v>11.222576662411118</v>
      </c>
    </row>
    <row r="147" spans="1:39" ht="16.5" x14ac:dyDescent="0.25">
      <c r="A147" s="1">
        <v>45490</v>
      </c>
      <c r="B147" s="5">
        <v>15.224</v>
      </c>
      <c r="C147" s="4">
        <v>15.102</v>
      </c>
      <c r="D147" s="4">
        <v>15.352</v>
      </c>
      <c r="E147" s="4">
        <v>15.064</v>
      </c>
      <c r="F147" s="4" t="s">
        <v>826</v>
      </c>
      <c r="G147" s="2" t="s">
        <v>386</v>
      </c>
      <c r="I147">
        <f t="shared" si="30"/>
        <v>15.174199999999999</v>
      </c>
      <c r="J147">
        <f t="shared" si="31"/>
        <v>15.151900000000003</v>
      </c>
      <c r="L147">
        <f t="shared" si="32"/>
        <v>1</v>
      </c>
      <c r="M147">
        <f t="shared" si="33"/>
        <v>0</v>
      </c>
      <c r="O147">
        <f t="shared" si="34"/>
        <v>0.12199999999999989</v>
      </c>
      <c r="P147">
        <f t="shared" si="35"/>
        <v>0</v>
      </c>
      <c r="R147">
        <f t="shared" si="36"/>
        <v>0.20679999999999979</v>
      </c>
      <c r="S147">
        <f t="shared" si="37"/>
        <v>9.9111111111111441E-2</v>
      </c>
      <c r="U147">
        <f t="shared" si="38"/>
        <v>67.601336626470925</v>
      </c>
      <c r="AH147">
        <f t="shared" si="39"/>
        <v>1.9837728469015803</v>
      </c>
      <c r="AI147">
        <f t="shared" si="40"/>
        <v>12.596366072949554</v>
      </c>
      <c r="AJ147">
        <f t="shared" si="41"/>
        <v>17.752033927050444</v>
      </c>
      <c r="AL147" s="6">
        <f t="shared" si="42"/>
        <v>19.141745693803159</v>
      </c>
      <c r="AM147">
        <f t="shared" si="43"/>
        <v>11.206654306196839</v>
      </c>
    </row>
    <row r="148" spans="1:39" ht="16.5" x14ac:dyDescent="0.25">
      <c r="A148" s="1">
        <v>45489</v>
      </c>
      <c r="B148" s="5">
        <v>15.11</v>
      </c>
      <c r="C148" s="4">
        <v>15.202</v>
      </c>
      <c r="D148" s="4">
        <v>15.202</v>
      </c>
      <c r="E148" s="4">
        <v>14.96</v>
      </c>
      <c r="F148" s="4" t="s">
        <v>965</v>
      </c>
      <c r="G148" s="2" t="s">
        <v>319</v>
      </c>
      <c r="I148">
        <f t="shared" si="30"/>
        <v>15.148499999999999</v>
      </c>
      <c r="J148">
        <f t="shared" si="31"/>
        <v>15.158850000000001</v>
      </c>
      <c r="L148">
        <f t="shared" si="32"/>
        <v>0</v>
      </c>
      <c r="M148">
        <f t="shared" si="33"/>
        <v>1</v>
      </c>
      <c r="O148">
        <f t="shared" si="34"/>
        <v>0</v>
      </c>
      <c r="P148">
        <f t="shared" si="35"/>
        <v>9.2000000000000526E-2</v>
      </c>
      <c r="R148">
        <f t="shared" si="36"/>
        <v>0.20240000000000008</v>
      </c>
      <c r="S148">
        <f t="shared" si="37"/>
        <v>9.9111111111111441E-2</v>
      </c>
      <c r="U148">
        <f t="shared" si="38"/>
        <v>67.128537735848994</v>
      </c>
      <c r="AH148">
        <f t="shared" si="39"/>
        <v>1.9779726269680951</v>
      </c>
      <c r="AI148">
        <f t="shared" si="40"/>
        <v>12.570666072949553</v>
      </c>
      <c r="AJ148">
        <f t="shared" si="41"/>
        <v>17.726333927050444</v>
      </c>
      <c r="AL148" s="6">
        <f t="shared" si="42"/>
        <v>19.104445253936188</v>
      </c>
      <c r="AM148">
        <f t="shared" si="43"/>
        <v>11.192554746063809</v>
      </c>
    </row>
    <row r="149" spans="1:39" ht="16.5" x14ac:dyDescent="0.25">
      <c r="A149" s="1">
        <v>45488</v>
      </c>
      <c r="B149" s="5">
        <v>15.254</v>
      </c>
      <c r="C149" s="4">
        <v>15.26</v>
      </c>
      <c r="D149" s="4">
        <v>15.51</v>
      </c>
      <c r="E149" s="4">
        <v>15.14</v>
      </c>
      <c r="F149" s="4" t="s">
        <v>966</v>
      </c>
      <c r="G149" s="2" t="s">
        <v>592</v>
      </c>
      <c r="I149">
        <f t="shared" si="30"/>
        <v>15.126200000000001</v>
      </c>
      <c r="J149">
        <f t="shared" si="31"/>
        <v>15.169900000000004</v>
      </c>
      <c r="L149">
        <f t="shared" si="32"/>
        <v>0</v>
      </c>
      <c r="M149">
        <f t="shared" si="33"/>
        <v>1</v>
      </c>
      <c r="O149">
        <f t="shared" si="34"/>
        <v>0</v>
      </c>
      <c r="P149">
        <f t="shared" si="35"/>
        <v>6.0000000000002274E-3</v>
      </c>
      <c r="R149">
        <f t="shared" si="36"/>
        <v>0.20240000000000008</v>
      </c>
      <c r="S149">
        <f t="shared" si="37"/>
        <v>9.5555555555555893E-2</v>
      </c>
      <c r="U149">
        <f t="shared" si="38"/>
        <v>67.929594272076315</v>
      </c>
      <c r="AH149">
        <f t="shared" si="39"/>
        <v>1.9722024870857588</v>
      </c>
      <c r="AI149">
        <f t="shared" si="40"/>
        <v>12.548366072949555</v>
      </c>
      <c r="AJ149">
        <f t="shared" si="41"/>
        <v>17.704033927050446</v>
      </c>
      <c r="AL149" s="6">
        <f t="shared" si="42"/>
        <v>19.07060497417152</v>
      </c>
      <c r="AM149">
        <f t="shared" si="43"/>
        <v>11.181795025828484</v>
      </c>
    </row>
    <row r="150" spans="1:39" ht="16.5" x14ac:dyDescent="0.25">
      <c r="A150" s="1">
        <v>45485</v>
      </c>
      <c r="B150" s="5">
        <v>15.304</v>
      </c>
      <c r="C150" s="4">
        <v>15.314</v>
      </c>
      <c r="D150" s="4">
        <v>15.382</v>
      </c>
      <c r="E150" s="4">
        <v>15.22</v>
      </c>
      <c r="F150" s="4" t="s">
        <v>967</v>
      </c>
      <c r="G150" s="2" t="s">
        <v>513</v>
      </c>
      <c r="I150">
        <f t="shared" si="30"/>
        <v>15.095800000000001</v>
      </c>
      <c r="J150">
        <f t="shared" si="31"/>
        <v>15.180700000000005</v>
      </c>
      <c r="L150">
        <f t="shared" si="32"/>
        <v>0</v>
      </c>
      <c r="M150">
        <f t="shared" si="33"/>
        <v>1</v>
      </c>
      <c r="O150">
        <f t="shared" si="34"/>
        <v>0</v>
      </c>
      <c r="P150">
        <f t="shared" si="35"/>
        <v>9.9999999999997868E-3</v>
      </c>
      <c r="R150">
        <f t="shared" si="36"/>
        <v>0.20240000000000008</v>
      </c>
      <c r="S150">
        <f t="shared" si="37"/>
        <v>0.11866666666666702</v>
      </c>
      <c r="U150">
        <f t="shared" si="38"/>
        <v>63.039867109634486</v>
      </c>
      <c r="AH150">
        <f t="shared" si="39"/>
        <v>1.9664467174386442</v>
      </c>
      <c r="AI150">
        <f t="shared" si="40"/>
        <v>12.517966072949555</v>
      </c>
      <c r="AJ150">
        <f t="shared" si="41"/>
        <v>17.673633927050446</v>
      </c>
      <c r="AL150" s="6">
        <f t="shared" si="42"/>
        <v>19.02869343487729</v>
      </c>
      <c r="AM150">
        <f t="shared" si="43"/>
        <v>11.162906565122713</v>
      </c>
    </row>
    <row r="151" spans="1:39" ht="16.5" x14ac:dyDescent="0.25">
      <c r="A151" s="1">
        <v>45484</v>
      </c>
      <c r="B151" s="5">
        <v>15.316000000000001</v>
      </c>
      <c r="C151" s="4">
        <v>15.432</v>
      </c>
      <c r="D151" s="4">
        <v>15.448</v>
      </c>
      <c r="E151" s="4">
        <v>15.183999999999999</v>
      </c>
      <c r="F151" s="4" t="s">
        <v>968</v>
      </c>
      <c r="G151" s="2" t="s">
        <v>969</v>
      </c>
      <c r="I151">
        <f t="shared" si="30"/>
        <v>15.051300000000001</v>
      </c>
      <c r="J151">
        <f t="shared" si="31"/>
        <v>15.189000000000002</v>
      </c>
      <c r="L151">
        <f t="shared" si="32"/>
        <v>0</v>
      </c>
      <c r="M151">
        <f t="shared" si="33"/>
        <v>1</v>
      </c>
      <c r="O151">
        <f t="shared" si="34"/>
        <v>0</v>
      </c>
      <c r="P151">
        <f t="shared" si="35"/>
        <v>0.11599999999999966</v>
      </c>
      <c r="R151">
        <f t="shared" si="36"/>
        <v>0.22900000000000009</v>
      </c>
      <c r="S151">
        <f t="shared" si="37"/>
        <v>0.13225000000000042</v>
      </c>
      <c r="U151">
        <f t="shared" si="38"/>
        <v>63.39100346020755</v>
      </c>
      <c r="AH151">
        <f t="shared" si="39"/>
        <v>1.9607438526947774</v>
      </c>
      <c r="AI151">
        <f t="shared" si="40"/>
        <v>12.473466072949556</v>
      </c>
      <c r="AJ151">
        <f t="shared" si="41"/>
        <v>17.629133927050447</v>
      </c>
      <c r="AL151" s="6">
        <f t="shared" si="42"/>
        <v>18.972787705389557</v>
      </c>
      <c r="AM151">
        <f t="shared" si="43"/>
        <v>11.129812294610446</v>
      </c>
    </row>
    <row r="152" spans="1:39" ht="16.5" x14ac:dyDescent="0.25">
      <c r="A152" s="1">
        <v>45483</v>
      </c>
      <c r="B152" s="5">
        <v>15.43</v>
      </c>
      <c r="C152" s="4">
        <v>15.49</v>
      </c>
      <c r="D152" s="4">
        <v>15.518000000000001</v>
      </c>
      <c r="E152" s="4">
        <v>15.298</v>
      </c>
      <c r="F152" s="4" t="s">
        <v>970</v>
      </c>
      <c r="G152" s="2" t="s">
        <v>266</v>
      </c>
      <c r="I152">
        <f t="shared" si="30"/>
        <v>15.011800000000003</v>
      </c>
      <c r="J152">
        <f t="shared" si="31"/>
        <v>15.202500000000001</v>
      </c>
      <c r="L152">
        <f t="shared" si="32"/>
        <v>0</v>
      </c>
      <c r="M152">
        <f t="shared" si="33"/>
        <v>1</v>
      </c>
      <c r="O152">
        <f t="shared" si="34"/>
        <v>0</v>
      </c>
      <c r="P152">
        <f t="shared" si="35"/>
        <v>6.0000000000000497E-2</v>
      </c>
      <c r="R152">
        <f t="shared" si="36"/>
        <v>0.22900000000000009</v>
      </c>
      <c r="S152">
        <f t="shared" si="37"/>
        <v>0.15150000000000041</v>
      </c>
      <c r="U152">
        <f t="shared" si="38"/>
        <v>60.183968462549217</v>
      </c>
      <c r="AH152">
        <f t="shared" si="39"/>
        <v>1.9551609485621366</v>
      </c>
      <c r="AI152">
        <f t="shared" si="40"/>
        <v>12.433966072949559</v>
      </c>
      <c r="AJ152">
        <f t="shared" si="41"/>
        <v>17.589633927050446</v>
      </c>
      <c r="AL152" s="6">
        <f t="shared" si="42"/>
        <v>18.922121897124278</v>
      </c>
      <c r="AM152">
        <f t="shared" si="43"/>
        <v>11.101478102875729</v>
      </c>
    </row>
    <row r="153" spans="1:39" ht="16.5" x14ac:dyDescent="0.25">
      <c r="A153" s="1">
        <v>45482</v>
      </c>
      <c r="B153" s="5">
        <v>15.398</v>
      </c>
      <c r="C153" s="4">
        <v>15.55</v>
      </c>
      <c r="D153" s="4">
        <v>15.55</v>
      </c>
      <c r="E153" s="4">
        <v>15.218</v>
      </c>
      <c r="F153" s="4" t="s">
        <v>908</v>
      </c>
      <c r="G153" s="2" t="s">
        <v>788</v>
      </c>
      <c r="I153">
        <f t="shared" si="30"/>
        <v>14.988300000000001</v>
      </c>
      <c r="J153">
        <f t="shared" si="31"/>
        <v>15.21815</v>
      </c>
      <c r="L153">
        <f t="shared" si="32"/>
        <v>0</v>
      </c>
      <c r="M153">
        <f t="shared" si="33"/>
        <v>1</v>
      </c>
      <c r="O153">
        <f t="shared" si="34"/>
        <v>0</v>
      </c>
      <c r="P153">
        <f t="shared" si="35"/>
        <v>0.15200000000000102</v>
      </c>
      <c r="R153">
        <f t="shared" si="36"/>
        <v>0.20057142857142882</v>
      </c>
      <c r="S153">
        <f t="shared" si="37"/>
        <v>0.16457142857142898</v>
      </c>
      <c r="U153">
        <f t="shared" si="38"/>
        <v>54.929577464788693</v>
      </c>
      <c r="AH153">
        <f t="shared" si="39"/>
        <v>1.9496753157294335</v>
      </c>
      <c r="AI153">
        <f t="shared" si="40"/>
        <v>12.410466072949557</v>
      </c>
      <c r="AJ153">
        <f t="shared" si="41"/>
        <v>17.566133927050444</v>
      </c>
      <c r="AL153" s="6">
        <f t="shared" si="42"/>
        <v>18.887650631458868</v>
      </c>
      <c r="AM153">
        <f t="shared" si="43"/>
        <v>11.088949368541133</v>
      </c>
    </row>
    <row r="154" spans="1:39" ht="16.5" x14ac:dyDescent="0.25">
      <c r="A154" s="1">
        <v>45481</v>
      </c>
      <c r="B154" s="5">
        <v>15.472</v>
      </c>
      <c r="C154" s="4">
        <v>15.586</v>
      </c>
      <c r="D154" s="4">
        <v>15.731999999999999</v>
      </c>
      <c r="E154" s="4">
        <v>15.456</v>
      </c>
      <c r="F154" s="4" t="s">
        <v>915</v>
      </c>
      <c r="G154" s="2" t="s">
        <v>431</v>
      </c>
      <c r="I154">
        <f t="shared" si="30"/>
        <v>14.9582</v>
      </c>
      <c r="J154">
        <f t="shared" si="31"/>
        <v>15.233949999999998</v>
      </c>
      <c r="L154">
        <f t="shared" si="32"/>
        <v>0</v>
      </c>
      <c r="M154">
        <f t="shared" si="33"/>
        <v>1</v>
      </c>
      <c r="O154">
        <f t="shared" si="34"/>
        <v>0</v>
      </c>
      <c r="P154">
        <f t="shared" si="35"/>
        <v>0.11400000000000077</v>
      </c>
      <c r="R154">
        <f t="shared" si="36"/>
        <v>0.17825000000000024</v>
      </c>
      <c r="S154">
        <f t="shared" si="37"/>
        <v>0.16666666666666696</v>
      </c>
      <c r="U154">
        <f t="shared" si="38"/>
        <v>51.679149553032126</v>
      </c>
      <c r="AH154">
        <f t="shared" si="39"/>
        <v>1.9442127122353414</v>
      </c>
      <c r="AI154">
        <f t="shared" si="40"/>
        <v>12.380366072949556</v>
      </c>
      <c r="AJ154">
        <f t="shared" si="41"/>
        <v>17.536033927050443</v>
      </c>
      <c r="AL154" s="6">
        <f t="shared" si="42"/>
        <v>18.846625424470684</v>
      </c>
      <c r="AM154">
        <f t="shared" si="43"/>
        <v>11.069774575529317</v>
      </c>
    </row>
    <row r="155" spans="1:39" ht="16.5" x14ac:dyDescent="0.25">
      <c r="A155" s="1">
        <v>45478</v>
      </c>
      <c r="B155" s="5">
        <v>15.664</v>
      </c>
      <c r="C155" s="4">
        <v>15.894</v>
      </c>
      <c r="D155" s="4">
        <v>15.904</v>
      </c>
      <c r="E155" s="4">
        <v>15.593999999999999</v>
      </c>
      <c r="F155" s="4" t="s">
        <v>971</v>
      </c>
      <c r="G155" s="2" t="s">
        <v>972</v>
      </c>
      <c r="I155">
        <f t="shared" si="30"/>
        <v>14.948599999999999</v>
      </c>
      <c r="J155">
        <f t="shared" si="31"/>
        <v>15.2422</v>
      </c>
      <c r="L155">
        <f t="shared" si="32"/>
        <v>0</v>
      </c>
      <c r="M155">
        <f t="shared" si="33"/>
        <v>1</v>
      </c>
      <c r="O155">
        <f t="shared" si="34"/>
        <v>0</v>
      </c>
      <c r="P155">
        <f t="shared" si="35"/>
        <v>0.23000000000000043</v>
      </c>
      <c r="R155">
        <f t="shared" si="36"/>
        <v>0.17825000000000024</v>
      </c>
      <c r="S155">
        <f t="shared" si="37"/>
        <v>0.16700000000000012</v>
      </c>
      <c r="U155">
        <f t="shared" si="38"/>
        <v>51.629254163649541</v>
      </c>
      <c r="AH155">
        <f t="shared" si="39"/>
        <v>1.9388044299207177</v>
      </c>
      <c r="AI155">
        <f t="shared" si="40"/>
        <v>12.370766072949554</v>
      </c>
      <c r="AJ155">
        <f t="shared" si="41"/>
        <v>17.526433927050444</v>
      </c>
      <c r="AL155" s="6">
        <f t="shared" si="42"/>
        <v>18.826208859841433</v>
      </c>
      <c r="AM155">
        <f t="shared" si="43"/>
        <v>11.070991140158563</v>
      </c>
    </row>
    <row r="156" spans="1:39" ht="16.5" x14ac:dyDescent="0.25">
      <c r="A156" s="1">
        <v>45477</v>
      </c>
      <c r="B156" s="5">
        <v>15.87</v>
      </c>
      <c r="C156" s="4">
        <v>15.718</v>
      </c>
      <c r="D156" s="4">
        <v>15.88</v>
      </c>
      <c r="E156" s="4">
        <v>15.718</v>
      </c>
      <c r="F156" s="4" t="s">
        <v>973</v>
      </c>
      <c r="G156" s="2" t="s">
        <v>717</v>
      </c>
      <c r="I156">
        <f t="shared" si="30"/>
        <v>14.930199999999999</v>
      </c>
      <c r="J156">
        <f t="shared" si="31"/>
        <v>15.24755</v>
      </c>
      <c r="L156">
        <f t="shared" si="32"/>
        <v>1</v>
      </c>
      <c r="M156">
        <f t="shared" si="33"/>
        <v>0</v>
      </c>
      <c r="O156">
        <f t="shared" si="34"/>
        <v>0.15199999999999925</v>
      </c>
      <c r="P156">
        <f t="shared" si="35"/>
        <v>0</v>
      </c>
      <c r="R156">
        <f t="shared" si="36"/>
        <v>0.17911111111111133</v>
      </c>
      <c r="S156">
        <f t="shared" si="37"/>
        <v>0.15440000000000004</v>
      </c>
      <c r="U156">
        <f t="shared" si="38"/>
        <v>53.704690831556526</v>
      </c>
      <c r="AH156">
        <f t="shared" si="39"/>
        <v>1.9333545838321748</v>
      </c>
      <c r="AI156">
        <f t="shared" si="40"/>
        <v>12.352366072949554</v>
      </c>
      <c r="AJ156">
        <f t="shared" si="41"/>
        <v>17.508033927050445</v>
      </c>
      <c r="AL156" s="6">
        <f t="shared" si="42"/>
        <v>18.796909167664349</v>
      </c>
      <c r="AM156">
        <f t="shared" si="43"/>
        <v>11.063490832335649</v>
      </c>
    </row>
    <row r="157" spans="1:39" ht="16.5" x14ac:dyDescent="0.25">
      <c r="A157" s="1">
        <v>45476</v>
      </c>
      <c r="B157" s="5">
        <v>15.744</v>
      </c>
      <c r="C157" s="4">
        <v>15.27</v>
      </c>
      <c r="D157" s="4">
        <v>15.837999999999999</v>
      </c>
      <c r="E157" s="4">
        <v>15.263999999999999</v>
      </c>
      <c r="F157" s="4" t="s">
        <v>974</v>
      </c>
      <c r="G157" s="2" t="s">
        <v>975</v>
      </c>
      <c r="I157">
        <f t="shared" si="30"/>
        <v>14.899899999999999</v>
      </c>
      <c r="J157">
        <f t="shared" si="31"/>
        <v>15.2483</v>
      </c>
      <c r="L157">
        <f t="shared" si="32"/>
        <v>1</v>
      </c>
      <c r="M157">
        <f t="shared" si="33"/>
        <v>0</v>
      </c>
      <c r="O157">
        <f t="shared" si="34"/>
        <v>0.4740000000000002</v>
      </c>
      <c r="P157">
        <f t="shared" si="35"/>
        <v>0</v>
      </c>
      <c r="R157">
        <f t="shared" si="36"/>
        <v>0.18250000000000033</v>
      </c>
      <c r="S157">
        <f t="shared" si="37"/>
        <v>0.15300000000000016</v>
      </c>
      <c r="U157">
        <f t="shared" si="38"/>
        <v>54.396423248882286</v>
      </c>
      <c r="AH157">
        <f t="shared" si="39"/>
        <v>1.927904193937632</v>
      </c>
      <c r="AI157">
        <f t="shared" si="40"/>
        <v>12.322066072949553</v>
      </c>
      <c r="AJ157">
        <f t="shared" si="41"/>
        <v>17.477733927050444</v>
      </c>
      <c r="AL157" s="6">
        <f t="shared" si="42"/>
        <v>18.755708387875263</v>
      </c>
      <c r="AM157">
        <f t="shared" si="43"/>
        <v>11.044091612124735</v>
      </c>
    </row>
    <row r="158" spans="1:39" ht="16.5" x14ac:dyDescent="0.25">
      <c r="A158" s="1">
        <v>45475</v>
      </c>
      <c r="B158" s="5">
        <v>15.22</v>
      </c>
      <c r="C158" s="4">
        <v>15.332000000000001</v>
      </c>
      <c r="D158" s="4">
        <v>15.412000000000001</v>
      </c>
      <c r="E158" s="4">
        <v>15.13</v>
      </c>
      <c r="F158" s="4" t="s">
        <v>976</v>
      </c>
      <c r="G158" s="2" t="s">
        <v>725</v>
      </c>
      <c r="I158">
        <f t="shared" si="30"/>
        <v>14.863199999999997</v>
      </c>
      <c r="J158">
        <f t="shared" si="31"/>
        <v>15.254700000000003</v>
      </c>
      <c r="L158">
        <f t="shared" si="32"/>
        <v>0</v>
      </c>
      <c r="M158">
        <f t="shared" si="33"/>
        <v>1</v>
      </c>
      <c r="O158">
        <f t="shared" si="34"/>
        <v>0</v>
      </c>
      <c r="P158">
        <f t="shared" si="35"/>
        <v>0.1120000000000001</v>
      </c>
      <c r="R158">
        <f t="shared" si="36"/>
        <v>0.14085714285714321</v>
      </c>
      <c r="S158">
        <f t="shared" si="37"/>
        <v>0.17828571428571444</v>
      </c>
      <c r="U158">
        <f t="shared" si="38"/>
        <v>44.136078782453041</v>
      </c>
      <c r="AH158">
        <f t="shared" si="39"/>
        <v>1.922509620802709</v>
      </c>
      <c r="AI158">
        <f t="shared" si="40"/>
        <v>12.285366072949554</v>
      </c>
      <c r="AJ158">
        <f t="shared" si="41"/>
        <v>17.441033927050441</v>
      </c>
      <c r="AL158" s="6">
        <f t="shared" si="42"/>
        <v>18.708219241605416</v>
      </c>
      <c r="AM158">
        <f t="shared" si="43"/>
        <v>11.018180758394578</v>
      </c>
    </row>
    <row r="159" spans="1:39" ht="16.5" x14ac:dyDescent="0.25">
      <c r="A159" s="1">
        <v>45474</v>
      </c>
      <c r="B159" s="5">
        <v>15.406000000000001</v>
      </c>
      <c r="C159" s="4">
        <v>15.194000000000001</v>
      </c>
      <c r="D159" s="4">
        <v>15.406000000000001</v>
      </c>
      <c r="E159" s="4">
        <v>15.092000000000001</v>
      </c>
      <c r="F159" s="4" t="s">
        <v>977</v>
      </c>
      <c r="G159" s="2" t="s">
        <v>978</v>
      </c>
      <c r="I159">
        <f t="shared" si="30"/>
        <v>14.8535</v>
      </c>
      <c r="J159">
        <f t="shared" si="31"/>
        <v>15.275300000000001</v>
      </c>
      <c r="L159">
        <f t="shared" si="32"/>
        <v>1</v>
      </c>
      <c r="M159">
        <f t="shared" si="33"/>
        <v>0</v>
      </c>
      <c r="O159">
        <f t="shared" si="34"/>
        <v>0.21199999999999974</v>
      </c>
      <c r="P159">
        <f t="shared" si="35"/>
        <v>0</v>
      </c>
      <c r="R159">
        <f t="shared" si="36"/>
        <v>0.13450000000000051</v>
      </c>
      <c r="S159">
        <f t="shared" si="37"/>
        <v>0.18933333333333349</v>
      </c>
      <c r="U159">
        <f t="shared" si="38"/>
        <v>41.533710756562094</v>
      </c>
      <c r="AH159">
        <f t="shared" si="39"/>
        <v>1.9172016382795136</v>
      </c>
      <c r="AI159">
        <f t="shared" si="40"/>
        <v>12.275666072949555</v>
      </c>
      <c r="AJ159">
        <f t="shared" si="41"/>
        <v>17.431333927050446</v>
      </c>
      <c r="AL159" s="6">
        <f t="shared" si="42"/>
        <v>18.687903276559027</v>
      </c>
      <c r="AM159">
        <f t="shared" si="43"/>
        <v>11.019096723440974</v>
      </c>
    </row>
    <row r="160" spans="1:39" ht="16.5" x14ac:dyDescent="0.25">
      <c r="A160" s="1">
        <v>45471</v>
      </c>
      <c r="B160" s="5">
        <v>14.907999999999999</v>
      </c>
      <c r="C160" s="4">
        <v>14.834</v>
      </c>
      <c r="D160" s="4">
        <v>15.077999999999999</v>
      </c>
      <c r="E160" s="4">
        <v>14.795999999999999</v>
      </c>
      <c r="F160" s="4" t="s">
        <v>979</v>
      </c>
      <c r="G160" s="2" t="s">
        <v>980</v>
      </c>
      <c r="I160">
        <f t="shared" si="30"/>
        <v>14.8513</v>
      </c>
      <c r="J160">
        <f t="shared" si="31"/>
        <v>15.2803</v>
      </c>
      <c r="L160">
        <f t="shared" si="32"/>
        <v>1</v>
      </c>
      <c r="M160">
        <f t="shared" si="33"/>
        <v>0</v>
      </c>
      <c r="O160">
        <f t="shared" si="34"/>
        <v>7.3999999999999844E-2</v>
      </c>
      <c r="P160">
        <f t="shared" si="35"/>
        <v>0</v>
      </c>
      <c r="R160">
        <f t="shared" si="36"/>
        <v>0.12342857142857204</v>
      </c>
      <c r="S160">
        <f t="shared" si="37"/>
        <v>0.23085714285714307</v>
      </c>
      <c r="U160">
        <f t="shared" si="38"/>
        <v>34.838709677419445</v>
      </c>
      <c r="AH160">
        <f t="shared" si="39"/>
        <v>1.9118534875622812</v>
      </c>
      <c r="AI160">
        <f t="shared" si="40"/>
        <v>12.273466072949557</v>
      </c>
      <c r="AJ160">
        <f t="shared" si="41"/>
        <v>17.429133927050444</v>
      </c>
      <c r="AL160" s="6">
        <f t="shared" si="42"/>
        <v>18.675006975124564</v>
      </c>
      <c r="AM160">
        <f t="shared" si="43"/>
        <v>11.027593024875438</v>
      </c>
    </row>
    <row r="161" spans="1:39" ht="16.5" x14ac:dyDescent="0.25">
      <c r="A161" s="1">
        <v>45470</v>
      </c>
      <c r="B161" s="5">
        <v>14.784000000000001</v>
      </c>
      <c r="C161" s="4">
        <v>14.683999999999999</v>
      </c>
      <c r="D161" s="4">
        <v>14.846</v>
      </c>
      <c r="E161" s="4">
        <v>14.67</v>
      </c>
      <c r="F161" s="4" t="s">
        <v>981</v>
      </c>
      <c r="G161" s="2" t="s">
        <v>690</v>
      </c>
      <c r="I161">
        <f t="shared" si="30"/>
        <v>14.8672</v>
      </c>
      <c r="J161">
        <f t="shared" si="31"/>
        <v>15.28905</v>
      </c>
      <c r="L161">
        <f t="shared" si="32"/>
        <v>1</v>
      </c>
      <c r="M161">
        <f t="shared" si="33"/>
        <v>0</v>
      </c>
      <c r="O161">
        <f t="shared" si="34"/>
        <v>0.10000000000000142</v>
      </c>
      <c r="P161">
        <f t="shared" si="35"/>
        <v>0</v>
      </c>
      <c r="R161">
        <f t="shared" si="36"/>
        <v>0.12314285714285766</v>
      </c>
      <c r="S161">
        <f t="shared" si="37"/>
        <v>0.23085714285714307</v>
      </c>
      <c r="U161">
        <f t="shared" si="38"/>
        <v>34.786117836965374</v>
      </c>
      <c r="AH161">
        <f t="shared" si="39"/>
        <v>1.9064287367748047</v>
      </c>
      <c r="AI161">
        <f t="shared" si="40"/>
        <v>12.289366072949555</v>
      </c>
      <c r="AJ161">
        <f t="shared" si="41"/>
        <v>17.445033927050446</v>
      </c>
      <c r="AL161" s="6">
        <f t="shared" si="42"/>
        <v>18.68005747354961</v>
      </c>
      <c r="AM161">
        <f t="shared" si="43"/>
        <v>11.054342526450391</v>
      </c>
    </row>
    <row r="162" spans="1:39" ht="16.5" x14ac:dyDescent="0.25">
      <c r="A162" s="1">
        <v>45469</v>
      </c>
      <c r="B162" s="5">
        <v>14.667999999999999</v>
      </c>
      <c r="C162" s="4">
        <v>14.728</v>
      </c>
      <c r="D162" s="4">
        <v>14.784000000000001</v>
      </c>
      <c r="E162" s="4">
        <v>14.61</v>
      </c>
      <c r="F162" s="4" t="s">
        <v>982</v>
      </c>
      <c r="G162" s="2" t="s">
        <v>365</v>
      </c>
      <c r="I162">
        <f t="shared" si="30"/>
        <v>14.8995</v>
      </c>
      <c r="J162">
        <f t="shared" si="31"/>
        <v>15.295449999999999</v>
      </c>
      <c r="L162">
        <f t="shared" si="32"/>
        <v>0</v>
      </c>
      <c r="M162">
        <f t="shared" si="33"/>
        <v>1</v>
      </c>
      <c r="O162">
        <f t="shared" si="34"/>
        <v>0</v>
      </c>
      <c r="P162">
        <f t="shared" si="35"/>
        <v>6.0000000000000497E-2</v>
      </c>
      <c r="R162">
        <f t="shared" si="36"/>
        <v>0.12485714285714319</v>
      </c>
      <c r="S162">
        <f t="shared" si="37"/>
        <v>0.23085714285714307</v>
      </c>
      <c r="U162">
        <f t="shared" si="38"/>
        <v>35.100401606425734</v>
      </c>
      <c r="AH162">
        <f t="shared" si="39"/>
        <v>1.9008386097452374</v>
      </c>
      <c r="AI162">
        <f t="shared" si="40"/>
        <v>12.321666072949554</v>
      </c>
      <c r="AJ162">
        <f t="shared" si="41"/>
        <v>17.477333927050445</v>
      </c>
      <c r="AL162" s="6">
        <f t="shared" si="42"/>
        <v>18.701177219490475</v>
      </c>
      <c r="AM162">
        <f t="shared" si="43"/>
        <v>11.097822780509524</v>
      </c>
    </row>
    <row r="163" spans="1:39" ht="16.5" x14ac:dyDescent="0.25">
      <c r="A163" s="1">
        <v>45468</v>
      </c>
      <c r="B163" s="5">
        <v>14.667999999999999</v>
      </c>
      <c r="C163" s="4">
        <v>14.882</v>
      </c>
      <c r="D163" s="4">
        <v>14.904</v>
      </c>
      <c r="E163" s="4">
        <v>14.602</v>
      </c>
      <c r="F163" s="4" t="s">
        <v>983</v>
      </c>
      <c r="G163" s="2" t="s">
        <v>404</v>
      </c>
      <c r="I163">
        <f t="shared" si="30"/>
        <v>14.9329</v>
      </c>
      <c r="J163">
        <f t="shared" si="31"/>
        <v>15.303999999999998</v>
      </c>
      <c r="L163">
        <f t="shared" si="32"/>
        <v>0</v>
      </c>
      <c r="M163">
        <f t="shared" si="33"/>
        <v>1</v>
      </c>
      <c r="O163">
        <f t="shared" si="34"/>
        <v>0</v>
      </c>
      <c r="P163">
        <f t="shared" si="35"/>
        <v>0.21400000000000041</v>
      </c>
      <c r="R163">
        <f t="shared" si="36"/>
        <v>0.13600000000000012</v>
      </c>
      <c r="S163">
        <f t="shared" si="37"/>
        <v>0.25933333333333347</v>
      </c>
      <c r="U163">
        <f t="shared" si="38"/>
        <v>34.401349072512659</v>
      </c>
      <c r="AH163">
        <f t="shared" si="39"/>
        <v>1.8949984693105375</v>
      </c>
      <c r="AI163">
        <f t="shared" si="40"/>
        <v>12.355066072949555</v>
      </c>
      <c r="AJ163">
        <f t="shared" si="41"/>
        <v>17.510733927050445</v>
      </c>
      <c r="AL163" s="6">
        <f t="shared" si="42"/>
        <v>18.722896938621076</v>
      </c>
      <c r="AM163">
        <f t="shared" si="43"/>
        <v>11.142903061378925</v>
      </c>
    </row>
    <row r="164" spans="1:39" ht="16.5" x14ac:dyDescent="0.25">
      <c r="A164" s="1">
        <v>45467</v>
      </c>
      <c r="B164" s="5">
        <v>14.842000000000001</v>
      </c>
      <c r="C164" s="4">
        <v>14.48</v>
      </c>
      <c r="D164" s="4">
        <v>14.853999999999999</v>
      </c>
      <c r="E164" s="4">
        <v>14.446</v>
      </c>
      <c r="F164" s="4" t="s">
        <v>984</v>
      </c>
      <c r="G164" s="2" t="s">
        <v>575</v>
      </c>
      <c r="I164">
        <f t="shared" si="30"/>
        <v>14.982800000000001</v>
      </c>
      <c r="J164">
        <f t="shared" si="31"/>
        <v>15.314899999999998</v>
      </c>
      <c r="L164">
        <f t="shared" si="32"/>
        <v>1</v>
      </c>
      <c r="M164">
        <f t="shared" si="33"/>
        <v>0</v>
      </c>
      <c r="O164">
        <f t="shared" si="34"/>
        <v>0.3620000000000001</v>
      </c>
      <c r="P164">
        <f t="shared" si="35"/>
        <v>0</v>
      </c>
      <c r="R164">
        <f t="shared" si="36"/>
        <v>0.13600000000000012</v>
      </c>
      <c r="S164">
        <f t="shared" si="37"/>
        <v>0.22966666666666669</v>
      </c>
      <c r="U164">
        <f t="shared" si="38"/>
        <v>37.192342752962645</v>
      </c>
      <c r="AH164">
        <f t="shared" si="39"/>
        <v>1.888895386703781</v>
      </c>
      <c r="AI164">
        <f t="shared" si="40"/>
        <v>12.404966072949556</v>
      </c>
      <c r="AJ164">
        <f t="shared" si="41"/>
        <v>17.560633927050446</v>
      </c>
      <c r="AL164" s="6">
        <f t="shared" si="42"/>
        <v>18.760590773407564</v>
      </c>
      <c r="AM164">
        <f t="shared" si="43"/>
        <v>11.205009226592439</v>
      </c>
    </row>
    <row r="165" spans="1:39" ht="16.5" x14ac:dyDescent="0.25">
      <c r="A165" s="1">
        <v>45464</v>
      </c>
      <c r="B165" s="5">
        <v>14.46</v>
      </c>
      <c r="C165" s="4">
        <v>14.73</v>
      </c>
      <c r="D165" s="4">
        <v>14.77</v>
      </c>
      <c r="E165" s="4">
        <v>14.428000000000001</v>
      </c>
      <c r="F165" s="4" t="s">
        <v>985</v>
      </c>
      <c r="G165" s="2" t="s">
        <v>986</v>
      </c>
      <c r="I165">
        <f t="shared" si="30"/>
        <v>15.026199999999999</v>
      </c>
      <c r="J165">
        <f t="shared" si="31"/>
        <v>15.357150000000001</v>
      </c>
      <c r="L165">
        <f t="shared" si="32"/>
        <v>0</v>
      </c>
      <c r="M165">
        <f t="shared" si="33"/>
        <v>1</v>
      </c>
      <c r="O165">
        <f t="shared" si="34"/>
        <v>0</v>
      </c>
      <c r="P165">
        <f t="shared" si="35"/>
        <v>0.26999999999999957</v>
      </c>
      <c r="R165">
        <f t="shared" si="36"/>
        <v>0.10371428571428584</v>
      </c>
      <c r="S165">
        <f t="shared" si="37"/>
        <v>0.24857142857142861</v>
      </c>
      <c r="U165">
        <f t="shared" si="38"/>
        <v>29.440389294403914</v>
      </c>
      <c r="AH165">
        <f t="shared" si="39"/>
        <v>1.8824368855543749</v>
      </c>
      <c r="AI165">
        <f t="shared" si="40"/>
        <v>12.448366072949554</v>
      </c>
      <c r="AJ165">
        <f t="shared" si="41"/>
        <v>17.604033927050445</v>
      </c>
      <c r="AL165" s="6">
        <f t="shared" si="42"/>
        <v>18.791073771108749</v>
      </c>
      <c r="AM165">
        <f t="shared" si="43"/>
        <v>11.261326228891249</v>
      </c>
    </row>
    <row r="166" spans="1:39" ht="16.5" x14ac:dyDescent="0.25">
      <c r="A166" s="1">
        <v>45463</v>
      </c>
      <c r="B166" s="5">
        <v>14.742000000000001</v>
      </c>
      <c r="C166" s="4">
        <v>14.712</v>
      </c>
      <c r="D166" s="4">
        <v>14.77</v>
      </c>
      <c r="E166" s="4">
        <v>14.641999999999999</v>
      </c>
      <c r="F166" s="4" t="s">
        <v>987</v>
      </c>
      <c r="G166" s="2" t="s">
        <v>988</v>
      </c>
      <c r="I166">
        <f t="shared" si="30"/>
        <v>15.089400000000001</v>
      </c>
      <c r="J166">
        <f t="shared" si="31"/>
        <v>15.412150000000002</v>
      </c>
      <c r="L166">
        <f t="shared" si="32"/>
        <v>1</v>
      </c>
      <c r="M166">
        <f t="shared" si="33"/>
        <v>0</v>
      </c>
      <c r="O166">
        <f t="shared" si="34"/>
        <v>3.0000000000001137E-2</v>
      </c>
      <c r="P166">
        <f t="shared" si="35"/>
        <v>0</v>
      </c>
      <c r="R166">
        <f t="shared" si="36"/>
        <v>9.5250000000000057E-2</v>
      </c>
      <c r="S166">
        <f t="shared" si="37"/>
        <v>0.24500000000000011</v>
      </c>
      <c r="U166">
        <f t="shared" si="38"/>
        <v>27.994121969140338</v>
      </c>
      <c r="AH166">
        <f t="shared" si="39"/>
        <v>1.8756445074180108</v>
      </c>
      <c r="AI166">
        <f t="shared" si="40"/>
        <v>12.511566072949556</v>
      </c>
      <c r="AJ166">
        <f t="shared" si="41"/>
        <v>17.667233927050447</v>
      </c>
      <c r="AL166" s="6">
        <f t="shared" si="42"/>
        <v>18.840689014836023</v>
      </c>
      <c r="AM166">
        <f t="shared" si="43"/>
        <v>11.338110985163979</v>
      </c>
    </row>
    <row r="167" spans="1:39" ht="16.5" x14ac:dyDescent="0.25">
      <c r="A167" s="1">
        <v>45462</v>
      </c>
      <c r="B167" s="5">
        <v>14.71</v>
      </c>
      <c r="C167" s="4">
        <v>14.688000000000001</v>
      </c>
      <c r="D167" s="4">
        <v>14.8</v>
      </c>
      <c r="E167" s="4">
        <v>14.584</v>
      </c>
      <c r="F167" s="4" t="s">
        <v>989</v>
      </c>
      <c r="G167" s="2" t="s">
        <v>958</v>
      </c>
      <c r="I167">
        <f t="shared" si="30"/>
        <v>15.1296</v>
      </c>
      <c r="J167">
        <f t="shared" si="31"/>
        <v>15.428599999999998</v>
      </c>
      <c r="L167">
        <f t="shared" si="32"/>
        <v>1</v>
      </c>
      <c r="M167">
        <f t="shared" si="33"/>
        <v>0</v>
      </c>
      <c r="O167">
        <f t="shared" si="34"/>
        <v>2.2000000000000242E-2</v>
      </c>
      <c r="P167">
        <f t="shared" si="35"/>
        <v>0</v>
      </c>
      <c r="R167">
        <f t="shared" si="36"/>
        <v>0.10457142857142847</v>
      </c>
      <c r="S167">
        <f t="shared" si="37"/>
        <v>0.23228571428571421</v>
      </c>
      <c r="U167">
        <f t="shared" si="38"/>
        <v>31.043256997455458</v>
      </c>
      <c r="AH167">
        <f t="shared" si="39"/>
        <v>1.8684005798020027</v>
      </c>
      <c r="AI167">
        <f t="shared" si="40"/>
        <v>12.551766072949555</v>
      </c>
      <c r="AJ167">
        <f t="shared" si="41"/>
        <v>17.707433927050445</v>
      </c>
      <c r="AL167" s="6">
        <f t="shared" si="42"/>
        <v>18.866401159604006</v>
      </c>
      <c r="AM167">
        <f t="shared" si="43"/>
        <v>11.392798840395994</v>
      </c>
    </row>
    <row r="168" spans="1:39" ht="16.5" x14ac:dyDescent="0.25">
      <c r="A168" s="1">
        <v>45461</v>
      </c>
      <c r="B168" s="5">
        <v>14.664</v>
      </c>
      <c r="C168" s="4">
        <v>14.78</v>
      </c>
      <c r="D168" s="4">
        <v>14.848000000000001</v>
      </c>
      <c r="E168" s="4">
        <v>14.641999999999999</v>
      </c>
      <c r="F168" s="4" t="s">
        <v>931</v>
      </c>
      <c r="G168" s="2" t="s">
        <v>944</v>
      </c>
      <c r="I168">
        <f t="shared" si="30"/>
        <v>15.1692</v>
      </c>
      <c r="J168">
        <f t="shared" si="31"/>
        <v>15.445749999999999</v>
      </c>
      <c r="L168">
        <f t="shared" si="32"/>
        <v>0</v>
      </c>
      <c r="M168">
        <f t="shared" si="33"/>
        <v>1</v>
      </c>
      <c r="O168">
        <f t="shared" si="34"/>
        <v>0</v>
      </c>
      <c r="P168">
        <f t="shared" si="35"/>
        <v>0.11599999999999966</v>
      </c>
      <c r="R168">
        <f t="shared" si="36"/>
        <v>0.11999999999999973</v>
      </c>
      <c r="S168">
        <f t="shared" si="37"/>
        <v>0.23228571428571421</v>
      </c>
      <c r="U168">
        <f t="shared" si="38"/>
        <v>34.063260340632553</v>
      </c>
      <c r="AH168">
        <f t="shared" si="39"/>
        <v>1.8608139983602459</v>
      </c>
      <c r="AI168">
        <f t="shared" si="40"/>
        <v>12.591366072949555</v>
      </c>
      <c r="AJ168">
        <f t="shared" si="41"/>
        <v>17.747033927050445</v>
      </c>
      <c r="AL168" s="6">
        <f t="shared" si="42"/>
        <v>18.890827996720493</v>
      </c>
      <c r="AM168">
        <f t="shared" si="43"/>
        <v>11.447572003279507</v>
      </c>
    </row>
    <row r="169" spans="1:39" ht="16.5" x14ac:dyDescent="0.25">
      <c r="A169" s="1">
        <v>45460</v>
      </c>
      <c r="B169" s="5">
        <v>14.646000000000001</v>
      </c>
      <c r="C169" s="4">
        <v>14.46</v>
      </c>
      <c r="D169" s="4">
        <v>14.654</v>
      </c>
      <c r="E169" s="4">
        <v>14.416</v>
      </c>
      <c r="F169" s="4" t="s">
        <v>990</v>
      </c>
      <c r="G169" s="2" t="s">
        <v>276</v>
      </c>
      <c r="I169">
        <f t="shared" si="30"/>
        <v>15.213600000000003</v>
      </c>
      <c r="J169">
        <f t="shared" si="31"/>
        <v>15.45815</v>
      </c>
      <c r="L169">
        <f t="shared" si="32"/>
        <v>1</v>
      </c>
      <c r="M169">
        <f t="shared" si="33"/>
        <v>0</v>
      </c>
      <c r="O169">
        <f t="shared" si="34"/>
        <v>0.18599999999999994</v>
      </c>
      <c r="P169">
        <f t="shared" si="35"/>
        <v>0</v>
      </c>
      <c r="R169">
        <f t="shared" si="36"/>
        <v>0.11999999999999973</v>
      </c>
      <c r="S169">
        <f t="shared" si="37"/>
        <v>0.25199999999999989</v>
      </c>
      <c r="U169">
        <f t="shared" si="38"/>
        <v>32.258064516128997</v>
      </c>
      <c r="AH169">
        <f t="shared" si="39"/>
        <v>1.8528766020528245</v>
      </c>
      <c r="AI169">
        <f t="shared" si="40"/>
        <v>12.635766072949558</v>
      </c>
      <c r="AJ169">
        <f t="shared" si="41"/>
        <v>17.791433927050448</v>
      </c>
      <c r="AL169" s="6">
        <f t="shared" si="42"/>
        <v>18.919353204105651</v>
      </c>
      <c r="AM169">
        <f t="shared" si="43"/>
        <v>11.507846795894354</v>
      </c>
    </row>
    <row r="170" spans="1:39" ht="16.5" x14ac:dyDescent="0.25">
      <c r="A170" s="1">
        <v>45457</v>
      </c>
      <c r="B170" s="5">
        <v>14.414</v>
      </c>
      <c r="C170" s="4">
        <v>14.56</v>
      </c>
      <c r="D170" s="4">
        <v>14.58</v>
      </c>
      <c r="E170" s="4">
        <v>14.044</v>
      </c>
      <c r="F170" s="4" t="s">
        <v>991</v>
      </c>
      <c r="G170" s="2" t="s">
        <v>992</v>
      </c>
      <c r="I170">
        <f t="shared" si="30"/>
        <v>15.265600000000001</v>
      </c>
      <c r="J170">
        <f t="shared" si="31"/>
        <v>15.465849999999994</v>
      </c>
      <c r="L170">
        <f t="shared" si="32"/>
        <v>0</v>
      </c>
      <c r="M170">
        <f t="shared" si="33"/>
        <v>1</v>
      </c>
      <c r="O170">
        <f t="shared" si="34"/>
        <v>0</v>
      </c>
      <c r="P170">
        <f t="shared" si="35"/>
        <v>0.1460000000000008</v>
      </c>
      <c r="R170">
        <f t="shared" si="36"/>
        <v>9.3999999999999667E-2</v>
      </c>
      <c r="S170">
        <f t="shared" si="37"/>
        <v>0.25199999999999989</v>
      </c>
      <c r="U170">
        <f t="shared" si="38"/>
        <v>27.167630057803407</v>
      </c>
      <c r="AH170">
        <f t="shared" si="39"/>
        <v>1.8445489951748761</v>
      </c>
      <c r="AI170">
        <f t="shared" si="40"/>
        <v>12.687766072949557</v>
      </c>
      <c r="AJ170">
        <f t="shared" si="41"/>
        <v>17.843433927050445</v>
      </c>
      <c r="AL170" s="6">
        <f t="shared" si="42"/>
        <v>18.954697990349754</v>
      </c>
      <c r="AM170">
        <f t="shared" si="43"/>
        <v>11.576502009650248</v>
      </c>
    </row>
    <row r="171" spans="1:39" ht="16.5" x14ac:dyDescent="0.25">
      <c r="A171" s="1">
        <v>45456</v>
      </c>
      <c r="B171" s="5">
        <v>14.526</v>
      </c>
      <c r="C171" s="4">
        <v>14.856</v>
      </c>
      <c r="D171" s="4">
        <v>14.89</v>
      </c>
      <c r="E171" s="4">
        <v>14.476000000000001</v>
      </c>
      <c r="F171" s="4" t="s">
        <v>993</v>
      </c>
      <c r="G171" s="2" t="s">
        <v>871</v>
      </c>
      <c r="I171">
        <f t="shared" si="30"/>
        <v>15.326700000000002</v>
      </c>
      <c r="J171">
        <f t="shared" si="31"/>
        <v>15.475499999999993</v>
      </c>
      <c r="L171">
        <f t="shared" si="32"/>
        <v>0</v>
      </c>
      <c r="M171">
        <f t="shared" si="33"/>
        <v>1</v>
      </c>
      <c r="O171">
        <f t="shared" si="34"/>
        <v>0</v>
      </c>
      <c r="P171">
        <f t="shared" si="35"/>
        <v>0.33000000000000007</v>
      </c>
      <c r="R171">
        <f t="shared" si="36"/>
        <v>9.3999999999999667E-2</v>
      </c>
      <c r="S171">
        <f t="shared" si="37"/>
        <v>0.23257142857142835</v>
      </c>
      <c r="U171">
        <f t="shared" si="38"/>
        <v>28.783902012248419</v>
      </c>
      <c r="AH171">
        <f t="shared" si="39"/>
        <v>1.8357726788579409</v>
      </c>
      <c r="AI171">
        <f t="shared" si="40"/>
        <v>12.748866072949557</v>
      </c>
      <c r="AJ171">
        <f t="shared" si="41"/>
        <v>17.904533927050448</v>
      </c>
      <c r="AL171" s="6">
        <f t="shared" si="42"/>
        <v>18.998245357715884</v>
      </c>
      <c r="AM171">
        <f t="shared" si="43"/>
        <v>11.655154642284121</v>
      </c>
    </row>
    <row r="172" spans="1:39" ht="16.5" x14ac:dyDescent="0.25">
      <c r="A172" s="1">
        <v>45455</v>
      </c>
      <c r="B172" s="5">
        <v>14.96</v>
      </c>
      <c r="C172" s="4">
        <v>14.87</v>
      </c>
      <c r="D172" s="4">
        <v>15.052</v>
      </c>
      <c r="E172" s="4">
        <v>14.842000000000001</v>
      </c>
      <c r="F172" s="4" t="s">
        <v>994</v>
      </c>
      <c r="G172" s="2" t="s">
        <v>879</v>
      </c>
      <c r="I172">
        <f t="shared" si="30"/>
        <v>15.393200000000002</v>
      </c>
      <c r="J172">
        <f t="shared" si="31"/>
        <v>15.474949999999996</v>
      </c>
      <c r="L172">
        <f t="shared" si="32"/>
        <v>1</v>
      </c>
      <c r="M172">
        <f t="shared" si="33"/>
        <v>0</v>
      </c>
      <c r="O172">
        <f t="shared" si="34"/>
        <v>9.0000000000001634E-2</v>
      </c>
      <c r="P172">
        <f t="shared" si="35"/>
        <v>0</v>
      </c>
      <c r="R172">
        <f t="shared" si="36"/>
        <v>0.12274999999999969</v>
      </c>
      <c r="S172">
        <f t="shared" si="37"/>
        <v>0.21633333333333304</v>
      </c>
      <c r="U172">
        <f t="shared" si="38"/>
        <v>36.200540673384104</v>
      </c>
      <c r="AH172">
        <f t="shared" si="39"/>
        <v>1.8264757174821211</v>
      </c>
      <c r="AI172">
        <f t="shared" si="40"/>
        <v>12.815366072949558</v>
      </c>
      <c r="AJ172">
        <f t="shared" si="41"/>
        <v>17.971033927050446</v>
      </c>
      <c r="AL172" s="6">
        <f t="shared" si="42"/>
        <v>19.046151434964244</v>
      </c>
      <c r="AM172">
        <f t="shared" si="43"/>
        <v>11.74024856503576</v>
      </c>
    </row>
    <row r="173" spans="1:39" ht="16.5" x14ac:dyDescent="0.25">
      <c r="A173" s="1">
        <v>45454</v>
      </c>
      <c r="B173" s="5">
        <v>14.795999999999999</v>
      </c>
      <c r="C173" s="4">
        <v>15.276</v>
      </c>
      <c r="D173" s="4">
        <v>15.316000000000001</v>
      </c>
      <c r="E173" s="4">
        <v>14.694000000000001</v>
      </c>
      <c r="F173" s="4" t="s">
        <v>995</v>
      </c>
      <c r="G173" s="2" t="s">
        <v>96</v>
      </c>
      <c r="I173">
        <f t="shared" si="30"/>
        <v>15.447999999999999</v>
      </c>
      <c r="J173">
        <f t="shared" si="31"/>
        <v>15.461899999999995</v>
      </c>
      <c r="L173">
        <f t="shared" si="32"/>
        <v>0</v>
      </c>
      <c r="M173">
        <f t="shared" si="33"/>
        <v>1</v>
      </c>
      <c r="O173">
        <f t="shared" si="34"/>
        <v>0</v>
      </c>
      <c r="P173">
        <f t="shared" si="35"/>
        <v>0.48000000000000043</v>
      </c>
      <c r="R173">
        <f t="shared" si="36"/>
        <v>0.12742857142857084</v>
      </c>
      <c r="S173">
        <f t="shared" si="37"/>
        <v>0.18771428571428547</v>
      </c>
      <c r="U173">
        <f t="shared" si="38"/>
        <v>40.435176790571084</v>
      </c>
      <c r="AH173">
        <f t="shared" si="39"/>
        <v>1.8166032485170613</v>
      </c>
      <c r="AI173">
        <f t="shared" si="40"/>
        <v>12.870166072949555</v>
      </c>
      <c r="AJ173">
        <f t="shared" si="41"/>
        <v>18.025833927050442</v>
      </c>
      <c r="AL173" s="6">
        <f t="shared" si="42"/>
        <v>19.08120649703412</v>
      </c>
      <c r="AM173">
        <f t="shared" si="43"/>
        <v>11.814793502965877</v>
      </c>
    </row>
    <row r="174" spans="1:39" ht="16.5" x14ac:dyDescent="0.25">
      <c r="A174" s="1">
        <v>45453</v>
      </c>
      <c r="B174" s="5">
        <v>15.28</v>
      </c>
      <c r="C174" s="4">
        <v>15.208</v>
      </c>
      <c r="D174" s="4">
        <v>15.4</v>
      </c>
      <c r="E174" s="4">
        <v>15.071999999999999</v>
      </c>
      <c r="F174" s="4" t="s">
        <v>996</v>
      </c>
      <c r="G174" s="2" t="s">
        <v>929</v>
      </c>
      <c r="I174">
        <f t="shared" si="30"/>
        <v>15.509699999999999</v>
      </c>
      <c r="J174">
        <f t="shared" si="31"/>
        <v>15.459749999999994</v>
      </c>
      <c r="L174">
        <f t="shared" si="32"/>
        <v>1</v>
      </c>
      <c r="M174">
        <f t="shared" si="33"/>
        <v>0</v>
      </c>
      <c r="O174">
        <f t="shared" si="34"/>
        <v>7.1999999999999176E-2</v>
      </c>
      <c r="P174">
        <f t="shared" si="35"/>
        <v>0</v>
      </c>
      <c r="R174">
        <f t="shared" si="36"/>
        <v>0.12742857142857084</v>
      </c>
      <c r="S174">
        <f t="shared" si="37"/>
        <v>0.12114285714285675</v>
      </c>
      <c r="U174">
        <f t="shared" si="38"/>
        <v>51.264367816091919</v>
      </c>
      <c r="AH174">
        <f t="shared" si="39"/>
        <v>1.8062049334989978</v>
      </c>
      <c r="AI174">
        <f t="shared" si="40"/>
        <v>12.931866072949553</v>
      </c>
      <c r="AJ174">
        <f t="shared" si="41"/>
        <v>18.087533927050444</v>
      </c>
      <c r="AL174" s="6">
        <f t="shared" si="42"/>
        <v>19.122109866997995</v>
      </c>
      <c r="AM174">
        <f t="shared" si="43"/>
        <v>11.897290133002002</v>
      </c>
    </row>
    <row r="175" spans="1:39" ht="16.5" x14ac:dyDescent="0.25">
      <c r="A175" s="1">
        <v>45450</v>
      </c>
      <c r="B175" s="5">
        <v>15.295999999999999</v>
      </c>
      <c r="C175" s="4">
        <v>15.183999999999999</v>
      </c>
      <c r="D175" s="4">
        <v>15.374000000000001</v>
      </c>
      <c r="E175" s="4">
        <v>15.1</v>
      </c>
      <c r="F175" s="4" t="s">
        <v>997</v>
      </c>
      <c r="G175" s="2" t="s">
        <v>266</v>
      </c>
      <c r="I175">
        <f t="shared" si="30"/>
        <v>15.5358</v>
      </c>
      <c r="J175">
        <f t="shared" si="31"/>
        <v>15.447449999999995</v>
      </c>
      <c r="L175">
        <f t="shared" si="32"/>
        <v>1</v>
      </c>
      <c r="M175">
        <f t="shared" si="33"/>
        <v>0</v>
      </c>
      <c r="O175">
        <f t="shared" si="34"/>
        <v>0.1120000000000001</v>
      </c>
      <c r="P175">
        <f t="shared" si="35"/>
        <v>0</v>
      </c>
      <c r="R175">
        <f t="shared" si="36"/>
        <v>0.13666666666666613</v>
      </c>
      <c r="S175">
        <f t="shared" si="37"/>
        <v>0.10624999999999973</v>
      </c>
      <c r="U175">
        <f t="shared" si="38"/>
        <v>56.260720411663769</v>
      </c>
      <c r="AH175">
        <f t="shared" si="39"/>
        <v>1.7952143863445751</v>
      </c>
      <c r="AI175">
        <f t="shared" si="40"/>
        <v>12.957966072949556</v>
      </c>
      <c r="AJ175">
        <f t="shared" si="41"/>
        <v>18.113633927050444</v>
      </c>
      <c r="AL175" s="6">
        <f t="shared" si="42"/>
        <v>19.126228772689149</v>
      </c>
      <c r="AM175">
        <f t="shared" si="43"/>
        <v>11.945371227310851</v>
      </c>
    </row>
    <row r="176" spans="1:39" ht="16.5" x14ac:dyDescent="0.25">
      <c r="A176" s="1">
        <v>45449</v>
      </c>
      <c r="B176" s="5">
        <v>15.263999999999999</v>
      </c>
      <c r="C176" s="4">
        <v>15.05</v>
      </c>
      <c r="D176" s="4">
        <v>15.34</v>
      </c>
      <c r="E176" s="4">
        <v>14.997999999999999</v>
      </c>
      <c r="F176" s="4" t="s">
        <v>998</v>
      </c>
      <c r="G176" s="2" t="s">
        <v>999</v>
      </c>
      <c r="I176">
        <f t="shared" si="30"/>
        <v>15.564899999999998</v>
      </c>
      <c r="J176">
        <f t="shared" si="31"/>
        <v>15.429699999999997</v>
      </c>
      <c r="L176">
        <f t="shared" si="32"/>
        <v>1</v>
      </c>
      <c r="M176">
        <f t="shared" si="33"/>
        <v>0</v>
      </c>
      <c r="O176">
        <f t="shared" si="34"/>
        <v>0.21399999999999864</v>
      </c>
      <c r="P176">
        <f t="shared" si="35"/>
        <v>0</v>
      </c>
      <c r="R176">
        <f t="shared" si="36"/>
        <v>0.14159999999999934</v>
      </c>
      <c r="S176">
        <f t="shared" si="37"/>
        <v>9.5999999999999697E-2</v>
      </c>
      <c r="U176">
        <f t="shared" si="38"/>
        <v>59.595959595959563</v>
      </c>
      <c r="AH176">
        <f t="shared" si="39"/>
        <v>1.7838437324130392</v>
      </c>
      <c r="AI176">
        <f t="shared" si="40"/>
        <v>12.987066072949553</v>
      </c>
      <c r="AJ176">
        <f t="shared" si="41"/>
        <v>18.142733927050443</v>
      </c>
      <c r="AL176" s="6">
        <f t="shared" si="42"/>
        <v>19.132587464826077</v>
      </c>
      <c r="AM176">
        <f t="shared" si="43"/>
        <v>11.997212535173919</v>
      </c>
    </row>
    <row r="177" spans="1:39" ht="16.5" x14ac:dyDescent="0.25">
      <c r="A177" s="1">
        <v>45448</v>
      </c>
      <c r="B177" s="5">
        <v>15.01</v>
      </c>
      <c r="C177" s="4">
        <v>15.045999999999999</v>
      </c>
      <c r="D177" s="4">
        <v>15.146000000000001</v>
      </c>
      <c r="E177" s="4">
        <v>14.848000000000001</v>
      </c>
      <c r="F177" s="4" t="s">
        <v>1000</v>
      </c>
      <c r="G177" s="2" t="s">
        <v>114</v>
      </c>
      <c r="I177">
        <f t="shared" si="30"/>
        <v>15.596699999999998</v>
      </c>
      <c r="J177">
        <f t="shared" si="31"/>
        <v>15.422000000000001</v>
      </c>
      <c r="L177">
        <f t="shared" si="32"/>
        <v>0</v>
      </c>
      <c r="M177">
        <f t="shared" si="33"/>
        <v>1</v>
      </c>
      <c r="O177">
        <f t="shared" si="34"/>
        <v>0</v>
      </c>
      <c r="P177">
        <f t="shared" si="35"/>
        <v>3.5999999999999588E-2</v>
      </c>
      <c r="R177">
        <f t="shared" si="36"/>
        <v>0.11999999999999958</v>
      </c>
      <c r="S177">
        <f t="shared" si="37"/>
        <v>9.5999999999999697E-2</v>
      </c>
      <c r="U177">
        <f t="shared" si="38"/>
        <v>55.55555555555555</v>
      </c>
      <c r="AH177">
        <f t="shared" si="39"/>
        <v>1.7720594468972064</v>
      </c>
      <c r="AI177">
        <f t="shared" si="40"/>
        <v>13.018866072949553</v>
      </c>
      <c r="AJ177">
        <f t="shared" si="41"/>
        <v>18.174533927050444</v>
      </c>
      <c r="AL177" s="6">
        <f t="shared" si="42"/>
        <v>19.14081889379441</v>
      </c>
      <c r="AM177">
        <f t="shared" si="43"/>
        <v>12.052581106205587</v>
      </c>
    </row>
    <row r="178" spans="1:39" ht="16.5" x14ac:dyDescent="0.25">
      <c r="A178" s="1">
        <v>45447</v>
      </c>
      <c r="B178" s="5">
        <v>15.026</v>
      </c>
      <c r="C178" s="4">
        <v>15.388</v>
      </c>
      <c r="D178" s="4">
        <v>15.417999999999999</v>
      </c>
      <c r="E178" s="4">
        <v>14.82</v>
      </c>
      <c r="F178" s="4" t="s">
        <v>1001</v>
      </c>
      <c r="G178" s="2" t="s">
        <v>1002</v>
      </c>
      <c r="I178">
        <f t="shared" si="30"/>
        <v>15.646199999999999</v>
      </c>
      <c r="J178">
        <f t="shared" si="31"/>
        <v>15.411850000000001</v>
      </c>
      <c r="L178">
        <f t="shared" si="32"/>
        <v>0</v>
      </c>
      <c r="M178">
        <f t="shared" si="33"/>
        <v>1</v>
      </c>
      <c r="O178">
        <f t="shared" si="34"/>
        <v>0</v>
      </c>
      <c r="P178">
        <f t="shared" si="35"/>
        <v>0.3620000000000001</v>
      </c>
      <c r="R178">
        <f t="shared" si="36"/>
        <v>0.11999999999999958</v>
      </c>
      <c r="S178">
        <f t="shared" si="37"/>
        <v>0.12177777777777739</v>
      </c>
      <c r="U178">
        <f t="shared" si="38"/>
        <v>49.632352941176464</v>
      </c>
      <c r="AH178">
        <f t="shared" si="39"/>
        <v>1.7598279166669764</v>
      </c>
      <c r="AI178">
        <f t="shared" si="40"/>
        <v>13.068366072949555</v>
      </c>
      <c r="AJ178">
        <f t="shared" si="41"/>
        <v>18.224033927050442</v>
      </c>
      <c r="AL178" s="6">
        <f t="shared" si="42"/>
        <v>19.16585583333395</v>
      </c>
      <c r="AM178">
        <f t="shared" si="43"/>
        <v>12.126544166666045</v>
      </c>
    </row>
    <row r="179" spans="1:39" ht="16.5" x14ac:dyDescent="0.25">
      <c r="A179" s="1">
        <v>45446</v>
      </c>
      <c r="B179" s="5">
        <v>15.362</v>
      </c>
      <c r="C179" s="4">
        <v>15.326000000000001</v>
      </c>
      <c r="D179" s="4">
        <v>15.492000000000001</v>
      </c>
      <c r="E179" s="4">
        <v>15.236000000000001</v>
      </c>
      <c r="F179" s="4" t="s">
        <v>1003</v>
      </c>
      <c r="G179" s="2" t="s">
        <v>1004</v>
      </c>
      <c r="I179">
        <f t="shared" si="30"/>
        <v>15.697099999999997</v>
      </c>
      <c r="J179">
        <f t="shared" si="31"/>
        <v>15.408550000000002</v>
      </c>
      <c r="L179">
        <f t="shared" si="32"/>
        <v>1</v>
      </c>
      <c r="M179">
        <f t="shared" si="33"/>
        <v>0</v>
      </c>
      <c r="O179">
        <f t="shared" si="34"/>
        <v>3.5999999999999588E-2</v>
      </c>
      <c r="P179">
        <f t="shared" si="35"/>
        <v>0</v>
      </c>
      <c r="R179">
        <f t="shared" si="36"/>
        <v>0.11999999999999958</v>
      </c>
      <c r="S179">
        <f t="shared" si="37"/>
        <v>8.3999999999999436E-2</v>
      </c>
      <c r="U179">
        <f t="shared" si="38"/>
        <v>58.823529411764788</v>
      </c>
      <c r="AH179">
        <f t="shared" si="39"/>
        <v>1.747007226459627</v>
      </c>
      <c r="AI179">
        <f t="shared" si="40"/>
        <v>13.119266072949554</v>
      </c>
      <c r="AJ179">
        <f t="shared" si="41"/>
        <v>18.274933927050441</v>
      </c>
      <c r="AL179" s="6">
        <f t="shared" si="42"/>
        <v>19.191114452919251</v>
      </c>
      <c r="AM179">
        <f t="shared" si="43"/>
        <v>12.203085547080743</v>
      </c>
    </row>
    <row r="180" spans="1:39" ht="16.5" x14ac:dyDescent="0.25">
      <c r="A180" s="1">
        <v>45443</v>
      </c>
      <c r="B180" s="5">
        <v>15.226000000000001</v>
      </c>
      <c r="C180" s="4">
        <v>15.382</v>
      </c>
      <c r="D180" s="4">
        <v>15.388</v>
      </c>
      <c r="E180" s="4">
        <v>14.956</v>
      </c>
      <c r="F180" s="4" t="s">
        <v>1005</v>
      </c>
      <c r="G180" s="2" t="s">
        <v>585</v>
      </c>
      <c r="I180">
        <f t="shared" si="30"/>
        <v>15.709299999999999</v>
      </c>
      <c r="J180">
        <f t="shared" si="31"/>
        <v>15.393550000000005</v>
      </c>
      <c r="L180">
        <f t="shared" si="32"/>
        <v>0</v>
      </c>
      <c r="M180">
        <f t="shared" si="33"/>
        <v>1</v>
      </c>
      <c r="O180">
        <f t="shared" si="34"/>
        <v>0</v>
      </c>
      <c r="P180">
        <f t="shared" si="35"/>
        <v>0.15599999999999881</v>
      </c>
      <c r="R180">
        <f t="shared" si="36"/>
        <v>0.14679999999999999</v>
      </c>
      <c r="S180">
        <f t="shared" si="37"/>
        <v>8.3999999999999436E-2</v>
      </c>
      <c r="U180">
        <f t="shared" si="38"/>
        <v>63.604852686308647</v>
      </c>
      <c r="AH180">
        <f t="shared" si="39"/>
        <v>1.7335620233929305</v>
      </c>
      <c r="AI180">
        <f t="shared" si="40"/>
        <v>13.131466072949554</v>
      </c>
      <c r="AJ180">
        <f t="shared" si="41"/>
        <v>18.287133927050444</v>
      </c>
      <c r="AL180" s="6">
        <f t="shared" si="42"/>
        <v>19.176424046785861</v>
      </c>
      <c r="AM180">
        <f t="shared" si="43"/>
        <v>12.242175953214138</v>
      </c>
    </row>
    <row r="181" spans="1:39" ht="16.5" x14ac:dyDescent="0.25">
      <c r="A181" s="1">
        <v>45442</v>
      </c>
      <c r="B181" s="5">
        <v>15.43</v>
      </c>
      <c r="C181" s="4">
        <v>15.3</v>
      </c>
      <c r="D181" s="4">
        <v>15.462</v>
      </c>
      <c r="E181" s="4">
        <v>15.252000000000001</v>
      </c>
      <c r="F181" s="4" t="s">
        <v>1006</v>
      </c>
      <c r="G181" s="2" t="s">
        <v>104</v>
      </c>
      <c r="I181">
        <f t="shared" si="30"/>
        <v>15.710900000000001</v>
      </c>
      <c r="J181">
        <f t="shared" si="31"/>
        <v>15.387200000000002</v>
      </c>
      <c r="L181">
        <f t="shared" si="32"/>
        <v>1</v>
      </c>
      <c r="M181">
        <f t="shared" si="33"/>
        <v>0</v>
      </c>
      <c r="O181">
        <f t="shared" si="34"/>
        <v>0.12999999999999901</v>
      </c>
      <c r="P181">
        <f t="shared" si="35"/>
        <v>0</v>
      </c>
      <c r="R181">
        <f t="shared" si="36"/>
        <v>0.14679999999999999</v>
      </c>
      <c r="S181">
        <f t="shared" si="37"/>
        <v>8.0444444444444069E-2</v>
      </c>
      <c r="U181">
        <f t="shared" si="38"/>
        <v>64.600039115978973</v>
      </c>
      <c r="AH181">
        <f t="shared" si="39"/>
        <v>1.719751843614804</v>
      </c>
      <c r="AI181">
        <f t="shared" si="40"/>
        <v>13.133066072949557</v>
      </c>
      <c r="AJ181">
        <f t="shared" si="41"/>
        <v>18.288733927050444</v>
      </c>
      <c r="AL181" s="6">
        <f t="shared" si="42"/>
        <v>19.150403687229609</v>
      </c>
      <c r="AM181">
        <f t="shared" si="43"/>
        <v>12.271396312770392</v>
      </c>
    </row>
    <row r="182" spans="1:39" ht="16.5" x14ac:dyDescent="0.25">
      <c r="A182" s="1">
        <v>45441</v>
      </c>
      <c r="B182" s="5">
        <v>15.336</v>
      </c>
      <c r="C182" s="4">
        <v>15.59</v>
      </c>
      <c r="D182" s="4">
        <v>15.593999999999999</v>
      </c>
      <c r="E182" s="4">
        <v>15.252000000000001</v>
      </c>
      <c r="F182" s="4" t="s">
        <v>1007</v>
      </c>
      <c r="G182" s="2" t="s">
        <v>334</v>
      </c>
      <c r="I182">
        <f t="shared" si="30"/>
        <v>15.691400000000002</v>
      </c>
      <c r="J182">
        <f t="shared" si="31"/>
        <v>15.373249999999999</v>
      </c>
      <c r="L182">
        <f t="shared" si="32"/>
        <v>0</v>
      </c>
      <c r="M182">
        <f t="shared" si="33"/>
        <v>1</v>
      </c>
      <c r="O182">
        <f t="shared" si="34"/>
        <v>0</v>
      </c>
      <c r="P182">
        <f t="shared" si="35"/>
        <v>0.25399999999999956</v>
      </c>
      <c r="R182">
        <f t="shared" si="36"/>
        <v>0.15100000000000025</v>
      </c>
      <c r="S182">
        <f t="shared" si="37"/>
        <v>8.4599999999999648E-2</v>
      </c>
      <c r="U182">
        <f t="shared" si="38"/>
        <v>64.091680814940702</v>
      </c>
      <c r="AH182">
        <f t="shared" si="39"/>
        <v>1.7056432326162549</v>
      </c>
      <c r="AI182">
        <f t="shared" si="40"/>
        <v>13.113566072949556</v>
      </c>
      <c r="AJ182">
        <f t="shared" si="41"/>
        <v>18.269233927050447</v>
      </c>
      <c r="AL182" s="6">
        <f t="shared" si="42"/>
        <v>19.102686465232512</v>
      </c>
      <c r="AM182">
        <f t="shared" si="43"/>
        <v>12.280113534767491</v>
      </c>
    </row>
    <row r="183" spans="1:39" ht="16.5" x14ac:dyDescent="0.25">
      <c r="A183" s="1">
        <v>45440</v>
      </c>
      <c r="B183" s="5">
        <v>15.666</v>
      </c>
      <c r="C183" s="4">
        <v>15.662000000000001</v>
      </c>
      <c r="D183" s="4">
        <v>15.746</v>
      </c>
      <c r="E183" s="4">
        <v>15.59</v>
      </c>
      <c r="F183" s="4" t="s">
        <v>968</v>
      </c>
      <c r="G183" s="2" t="s">
        <v>596</v>
      </c>
      <c r="I183">
        <f t="shared" si="30"/>
        <v>15.6751</v>
      </c>
      <c r="J183">
        <f t="shared" si="31"/>
        <v>15.354049999999997</v>
      </c>
      <c r="L183">
        <f t="shared" si="32"/>
        <v>1</v>
      </c>
      <c r="M183">
        <f t="shared" si="33"/>
        <v>0</v>
      </c>
      <c r="O183">
        <f t="shared" si="34"/>
        <v>3.9999999999995595E-3</v>
      </c>
      <c r="P183">
        <f t="shared" si="35"/>
        <v>0</v>
      </c>
      <c r="R183">
        <f t="shared" si="36"/>
        <v>0.15100000000000025</v>
      </c>
      <c r="S183">
        <f t="shared" si="37"/>
        <v>6.8799999999999709E-2</v>
      </c>
      <c r="U183">
        <f t="shared" si="38"/>
        <v>68.698817106460552</v>
      </c>
      <c r="AH183">
        <f t="shared" si="39"/>
        <v>1.6913861481284336</v>
      </c>
      <c r="AI183">
        <f t="shared" si="40"/>
        <v>13.097266072949555</v>
      </c>
      <c r="AJ183">
        <f t="shared" si="41"/>
        <v>18.252933927050446</v>
      </c>
      <c r="AL183" s="6">
        <f t="shared" si="42"/>
        <v>19.057872296256868</v>
      </c>
      <c r="AM183">
        <f t="shared" si="43"/>
        <v>12.292327703743133</v>
      </c>
    </row>
    <row r="184" spans="1:39" ht="16.5" x14ac:dyDescent="0.25">
      <c r="A184" s="1">
        <v>45439</v>
      </c>
      <c r="B184" s="5">
        <v>15.71</v>
      </c>
      <c r="C184" s="4">
        <v>15.72</v>
      </c>
      <c r="D184" s="4">
        <v>15.75</v>
      </c>
      <c r="E184" s="4">
        <v>15.587999999999999</v>
      </c>
      <c r="F184" s="4" t="s">
        <v>1008</v>
      </c>
      <c r="G184" s="2" t="s">
        <v>533</v>
      </c>
      <c r="I184">
        <f t="shared" si="30"/>
        <v>15.647</v>
      </c>
      <c r="J184">
        <f t="shared" si="31"/>
        <v>15.32695</v>
      </c>
      <c r="L184">
        <f t="shared" si="32"/>
        <v>0</v>
      </c>
      <c r="M184">
        <f t="shared" si="33"/>
        <v>1</v>
      </c>
      <c r="O184">
        <f t="shared" si="34"/>
        <v>0</v>
      </c>
      <c r="P184">
        <f t="shared" si="35"/>
        <v>9.9999999999997868E-3</v>
      </c>
      <c r="R184">
        <f t="shared" si="36"/>
        <v>0.20000000000000048</v>
      </c>
      <c r="S184">
        <f t="shared" si="37"/>
        <v>7.0727272727272444E-2</v>
      </c>
      <c r="U184">
        <f t="shared" si="38"/>
        <v>73.875083948959158</v>
      </c>
      <c r="AH184">
        <f t="shared" si="39"/>
        <v>1.6769518722063321</v>
      </c>
      <c r="AI184">
        <f t="shared" si="40"/>
        <v>13.069166072949557</v>
      </c>
      <c r="AJ184">
        <f t="shared" si="41"/>
        <v>18.224833927050444</v>
      </c>
      <c r="AL184" s="6">
        <f t="shared" si="42"/>
        <v>19.000903744412664</v>
      </c>
      <c r="AM184">
        <f t="shared" si="43"/>
        <v>12.293096255587336</v>
      </c>
    </row>
    <row r="185" spans="1:39" ht="16.5" x14ac:dyDescent="0.25">
      <c r="A185" s="1">
        <v>45436</v>
      </c>
      <c r="B185" s="5">
        <v>15.724</v>
      </c>
      <c r="C185" s="4">
        <v>15.4</v>
      </c>
      <c r="D185" s="4">
        <v>15.744</v>
      </c>
      <c r="E185" s="4">
        <v>15.272</v>
      </c>
      <c r="F185" s="4" t="s">
        <v>803</v>
      </c>
      <c r="G185" s="2" t="s">
        <v>71</v>
      </c>
      <c r="I185">
        <f t="shared" si="30"/>
        <v>15.688099999999997</v>
      </c>
      <c r="J185">
        <f t="shared" si="31"/>
        <v>15.299499999999998</v>
      </c>
      <c r="L185">
        <f t="shared" si="32"/>
        <v>1</v>
      </c>
      <c r="M185">
        <f t="shared" si="33"/>
        <v>0</v>
      </c>
      <c r="O185">
        <f t="shared" si="34"/>
        <v>0.32399999999999984</v>
      </c>
      <c r="P185">
        <f t="shared" si="35"/>
        <v>0</v>
      </c>
      <c r="R185">
        <f t="shared" si="36"/>
        <v>0.21750000000000069</v>
      </c>
      <c r="S185">
        <f t="shared" si="37"/>
        <v>7.6799999999999716E-2</v>
      </c>
      <c r="U185">
        <f t="shared" si="38"/>
        <v>73.904179408766694</v>
      </c>
      <c r="AH185">
        <f t="shared" si="39"/>
        <v>1.6624261401818465</v>
      </c>
      <c r="AI185">
        <f t="shared" si="40"/>
        <v>13.110266072949553</v>
      </c>
      <c r="AJ185">
        <f t="shared" si="41"/>
        <v>18.26593392705044</v>
      </c>
      <c r="AL185" s="6">
        <f t="shared" si="42"/>
        <v>19.012952280363692</v>
      </c>
      <c r="AM185">
        <f t="shared" si="43"/>
        <v>12.363247719636304</v>
      </c>
    </row>
    <row r="186" spans="1:39" ht="16.5" x14ac:dyDescent="0.25">
      <c r="A186" s="1">
        <v>45435</v>
      </c>
      <c r="B186" s="5">
        <v>15.545999999999999</v>
      </c>
      <c r="C186" s="4">
        <v>15.561999999999999</v>
      </c>
      <c r="D186" s="4">
        <v>15.63</v>
      </c>
      <c r="E186" s="4">
        <v>15.433999999999999</v>
      </c>
      <c r="F186" s="4" t="s">
        <v>1009</v>
      </c>
      <c r="G186" s="2" t="s">
        <v>399</v>
      </c>
      <c r="I186">
        <f t="shared" si="30"/>
        <v>15.7349</v>
      </c>
      <c r="J186">
        <f t="shared" si="31"/>
        <v>15.26215</v>
      </c>
      <c r="L186">
        <f t="shared" si="32"/>
        <v>0</v>
      </c>
      <c r="M186">
        <f t="shared" si="33"/>
        <v>1</v>
      </c>
      <c r="O186">
        <f t="shared" si="34"/>
        <v>0</v>
      </c>
      <c r="P186">
        <f t="shared" si="35"/>
        <v>1.6000000000000014E-2</v>
      </c>
      <c r="R186">
        <f t="shared" si="36"/>
        <v>0.22050000000000081</v>
      </c>
      <c r="S186">
        <f t="shared" si="37"/>
        <v>7.6799999999999716E-2</v>
      </c>
      <c r="U186">
        <f t="shared" si="38"/>
        <v>74.167507568113166</v>
      </c>
      <c r="AH186">
        <f t="shared" si="39"/>
        <v>1.6472644164153409</v>
      </c>
      <c r="AI186">
        <f t="shared" si="40"/>
        <v>13.157066072949554</v>
      </c>
      <c r="AJ186">
        <f t="shared" si="41"/>
        <v>18.312733927050445</v>
      </c>
      <c r="AL186" s="6">
        <f t="shared" si="42"/>
        <v>19.029428832830682</v>
      </c>
      <c r="AM186">
        <f t="shared" si="43"/>
        <v>12.440371167169317</v>
      </c>
    </row>
    <row r="187" spans="1:39" ht="16.5" x14ac:dyDescent="0.25">
      <c r="A187" s="1">
        <v>45434</v>
      </c>
      <c r="B187" s="5">
        <v>15.502000000000001</v>
      </c>
      <c r="C187" s="4">
        <v>15.516</v>
      </c>
      <c r="D187" s="4">
        <v>15.63</v>
      </c>
      <c r="E187" s="4">
        <v>15.488</v>
      </c>
      <c r="F187" s="4" t="s">
        <v>1010</v>
      </c>
      <c r="G187" s="2" t="s">
        <v>296</v>
      </c>
      <c r="I187">
        <f t="shared" si="30"/>
        <v>15.727599999999999</v>
      </c>
      <c r="J187">
        <f t="shared" si="31"/>
        <v>15.227149999999998</v>
      </c>
      <c r="L187">
        <f t="shared" si="32"/>
        <v>0</v>
      </c>
      <c r="M187">
        <f t="shared" si="33"/>
        <v>1</v>
      </c>
      <c r="O187">
        <f t="shared" si="34"/>
        <v>0</v>
      </c>
      <c r="P187">
        <f t="shared" si="35"/>
        <v>1.3999999999999346E-2</v>
      </c>
      <c r="R187">
        <f t="shared" si="36"/>
        <v>0.18800000000000061</v>
      </c>
      <c r="S187">
        <f t="shared" si="37"/>
        <v>8.355555555555523E-2</v>
      </c>
      <c r="U187">
        <f t="shared" si="38"/>
        <v>69.230769230769383</v>
      </c>
      <c r="AH187">
        <f t="shared" si="39"/>
        <v>1.6313915973918465</v>
      </c>
      <c r="AI187">
        <f t="shared" si="40"/>
        <v>13.149766072949554</v>
      </c>
      <c r="AJ187">
        <f t="shared" si="41"/>
        <v>18.305433927050444</v>
      </c>
      <c r="AL187" s="6">
        <f t="shared" si="42"/>
        <v>18.990383194783693</v>
      </c>
      <c r="AM187">
        <f t="shared" si="43"/>
        <v>12.464816805216305</v>
      </c>
    </row>
    <row r="188" spans="1:39" ht="16.5" x14ac:dyDescent="0.25">
      <c r="A188" s="1">
        <v>45433</v>
      </c>
      <c r="B188" s="5">
        <v>15.552</v>
      </c>
      <c r="C188" s="4">
        <v>15.554</v>
      </c>
      <c r="D188" s="4">
        <v>15.622</v>
      </c>
      <c r="E188" s="4">
        <v>15.42</v>
      </c>
      <c r="F188" s="4" t="s">
        <v>1011</v>
      </c>
      <c r="G188" s="2" t="s">
        <v>689</v>
      </c>
      <c r="I188">
        <f t="shared" si="30"/>
        <v>15.722299999999999</v>
      </c>
      <c r="J188">
        <f t="shared" si="31"/>
        <v>15.194049999999999</v>
      </c>
      <c r="L188">
        <f t="shared" si="32"/>
        <v>0</v>
      </c>
      <c r="M188">
        <f t="shared" si="33"/>
        <v>1</v>
      </c>
      <c r="O188">
        <f t="shared" si="34"/>
        <v>0</v>
      </c>
      <c r="P188">
        <f t="shared" si="35"/>
        <v>2.0000000000006679E-3</v>
      </c>
      <c r="R188">
        <f t="shared" si="36"/>
        <v>0.18800000000000061</v>
      </c>
      <c r="S188">
        <f t="shared" si="37"/>
        <v>8.8444444444444381E-2</v>
      </c>
      <c r="U188">
        <f t="shared" si="38"/>
        <v>68.006430868167286</v>
      </c>
      <c r="AH188">
        <f t="shared" si="39"/>
        <v>1.6152207564613799</v>
      </c>
      <c r="AI188">
        <f t="shared" si="40"/>
        <v>13.144466072949555</v>
      </c>
      <c r="AJ188">
        <f t="shared" si="41"/>
        <v>18.300133927050442</v>
      </c>
      <c r="AL188" s="6">
        <f t="shared" si="42"/>
        <v>18.95274151292276</v>
      </c>
      <c r="AM188">
        <f t="shared" si="43"/>
        <v>12.49185848707724</v>
      </c>
    </row>
    <row r="189" spans="1:39" ht="16.5" x14ac:dyDescent="0.25">
      <c r="A189" s="1">
        <v>45432</v>
      </c>
      <c r="B189" s="5">
        <v>15.686</v>
      </c>
      <c r="C189" s="4">
        <v>15.7</v>
      </c>
      <c r="D189" s="4">
        <v>15.702</v>
      </c>
      <c r="E189" s="4">
        <v>15.534000000000001</v>
      </c>
      <c r="F189" s="4" t="s">
        <v>1012</v>
      </c>
      <c r="G189" s="2" t="s">
        <v>245</v>
      </c>
      <c r="I189">
        <f t="shared" si="30"/>
        <v>15.702700000000002</v>
      </c>
      <c r="J189">
        <f t="shared" si="31"/>
        <v>15.154950000000003</v>
      </c>
      <c r="L189">
        <f t="shared" si="32"/>
        <v>0</v>
      </c>
      <c r="M189">
        <f t="shared" si="33"/>
        <v>1</v>
      </c>
      <c r="O189">
        <f t="shared" si="34"/>
        <v>0</v>
      </c>
      <c r="P189">
        <f t="shared" si="35"/>
        <v>1.3999999999999346E-2</v>
      </c>
      <c r="R189">
        <f t="shared" si="36"/>
        <v>0.18800000000000061</v>
      </c>
      <c r="S189">
        <f t="shared" si="37"/>
        <v>0.10066666666666653</v>
      </c>
      <c r="U189">
        <f t="shared" si="38"/>
        <v>65.127020785219514</v>
      </c>
      <c r="AH189">
        <f t="shared" si="39"/>
        <v>1.598724387459455</v>
      </c>
      <c r="AI189">
        <f t="shared" si="40"/>
        <v>13.124866072949558</v>
      </c>
      <c r="AJ189">
        <f t="shared" si="41"/>
        <v>18.280533927050445</v>
      </c>
      <c r="AL189" s="6">
        <f t="shared" si="42"/>
        <v>18.900148774918911</v>
      </c>
      <c r="AM189">
        <f t="shared" si="43"/>
        <v>12.505251225081093</v>
      </c>
    </row>
    <row r="190" spans="1:39" ht="16.5" x14ac:dyDescent="0.25">
      <c r="A190" s="1">
        <v>45429</v>
      </c>
      <c r="B190" s="5">
        <v>15.635999999999999</v>
      </c>
      <c r="C190" s="4">
        <v>15.53</v>
      </c>
      <c r="D190" s="4">
        <v>15.635999999999999</v>
      </c>
      <c r="E190" s="4">
        <v>15.4</v>
      </c>
      <c r="F190" s="4" t="s">
        <v>848</v>
      </c>
      <c r="G190" s="2" t="s">
        <v>1013</v>
      </c>
      <c r="I190">
        <f t="shared" si="30"/>
        <v>15.6661</v>
      </c>
      <c r="J190">
        <f t="shared" si="31"/>
        <v>15.10375</v>
      </c>
      <c r="L190">
        <f t="shared" si="32"/>
        <v>1</v>
      </c>
      <c r="M190">
        <f t="shared" si="33"/>
        <v>0</v>
      </c>
      <c r="O190">
        <f t="shared" si="34"/>
        <v>0.10599999999999987</v>
      </c>
      <c r="P190">
        <f t="shared" si="35"/>
        <v>0</v>
      </c>
      <c r="R190">
        <f t="shared" si="36"/>
        <v>0.18800000000000061</v>
      </c>
      <c r="S190">
        <f t="shared" si="37"/>
        <v>0.18688888888888894</v>
      </c>
      <c r="U190">
        <f t="shared" si="38"/>
        <v>50.148192056905835</v>
      </c>
      <c r="AH190">
        <f t="shared" si="39"/>
        <v>1.5820111529395109</v>
      </c>
      <c r="AI190">
        <f t="shared" si="40"/>
        <v>13.088266072949555</v>
      </c>
      <c r="AJ190">
        <f t="shared" si="41"/>
        <v>18.243933927050445</v>
      </c>
      <c r="AL190" s="6">
        <f t="shared" si="42"/>
        <v>18.830122305879023</v>
      </c>
      <c r="AM190">
        <f t="shared" si="43"/>
        <v>12.502077694120977</v>
      </c>
    </row>
    <row r="191" spans="1:39" ht="16.5" x14ac:dyDescent="0.25">
      <c r="A191" s="1">
        <v>45428</v>
      </c>
      <c r="B191" s="5">
        <v>15.856</v>
      </c>
      <c r="C191" s="4">
        <v>16.123999999999999</v>
      </c>
      <c r="D191" s="4">
        <v>16.123999999999999</v>
      </c>
      <c r="E191" s="4">
        <v>15.752000000000001</v>
      </c>
      <c r="F191" s="4" t="s">
        <v>807</v>
      </c>
      <c r="G191" s="2" t="s">
        <v>221</v>
      </c>
      <c r="I191">
        <f t="shared" si="30"/>
        <v>15.624300000000002</v>
      </c>
      <c r="J191">
        <f t="shared" si="31"/>
        <v>15.05625</v>
      </c>
      <c r="L191">
        <f t="shared" si="32"/>
        <v>0</v>
      </c>
      <c r="M191">
        <f t="shared" si="33"/>
        <v>1</v>
      </c>
      <c r="O191">
        <f t="shared" si="34"/>
        <v>0</v>
      </c>
      <c r="P191">
        <f t="shared" si="35"/>
        <v>0.26799999999999891</v>
      </c>
      <c r="R191">
        <f t="shared" si="36"/>
        <v>0.2085000000000008</v>
      </c>
      <c r="S191">
        <f t="shared" si="37"/>
        <v>0.1862</v>
      </c>
      <c r="U191">
        <f t="shared" si="38"/>
        <v>52.824930326830604</v>
      </c>
      <c r="AH191">
        <f t="shared" si="39"/>
        <v>1.5652184825659616</v>
      </c>
      <c r="AI191">
        <f t="shared" si="40"/>
        <v>13.046466072949556</v>
      </c>
      <c r="AJ191">
        <f t="shared" si="41"/>
        <v>18.202133927050447</v>
      </c>
      <c r="AL191" s="6">
        <f t="shared" si="42"/>
        <v>18.754736965131926</v>
      </c>
      <c r="AM191">
        <f t="shared" si="43"/>
        <v>12.493863034868077</v>
      </c>
    </row>
    <row r="192" spans="1:39" ht="16.5" x14ac:dyDescent="0.25">
      <c r="A192" s="1">
        <v>45427</v>
      </c>
      <c r="B192" s="5">
        <v>16.056000000000001</v>
      </c>
      <c r="C192" s="4">
        <v>16.077999999999999</v>
      </c>
      <c r="D192" s="4">
        <v>16.225999999999999</v>
      </c>
      <c r="E192" s="4">
        <v>15.994</v>
      </c>
      <c r="F192" s="4" t="s">
        <v>948</v>
      </c>
      <c r="G192" s="2" t="s">
        <v>301</v>
      </c>
      <c r="I192">
        <f t="shared" si="30"/>
        <v>15.556700000000001</v>
      </c>
      <c r="J192">
        <f t="shared" si="31"/>
        <v>14.997499999999999</v>
      </c>
      <c r="L192">
        <f t="shared" si="32"/>
        <v>0</v>
      </c>
      <c r="M192">
        <f t="shared" si="33"/>
        <v>1</v>
      </c>
      <c r="O192">
        <f t="shared" si="34"/>
        <v>0</v>
      </c>
      <c r="P192">
        <f t="shared" si="35"/>
        <v>2.1999999999998465E-2</v>
      </c>
      <c r="R192">
        <f t="shared" si="36"/>
        <v>0.43280000000000063</v>
      </c>
      <c r="S192">
        <f t="shared" si="37"/>
        <v>0.17711111111111125</v>
      </c>
      <c r="U192">
        <f t="shared" si="38"/>
        <v>70.961160096188891</v>
      </c>
      <c r="AH192">
        <f t="shared" si="39"/>
        <v>1.5483885258471128</v>
      </c>
      <c r="AI192">
        <f t="shared" si="40"/>
        <v>12.978866072949558</v>
      </c>
      <c r="AJ192">
        <f t="shared" si="41"/>
        <v>18.134533927050445</v>
      </c>
      <c r="AL192" s="6">
        <f t="shared" si="42"/>
        <v>18.653477051694228</v>
      </c>
      <c r="AM192">
        <f t="shared" si="43"/>
        <v>12.459922948305776</v>
      </c>
    </row>
    <row r="193" spans="1:39" ht="16.5" x14ac:dyDescent="0.25">
      <c r="A193" s="1">
        <v>45426</v>
      </c>
      <c r="B193" s="5">
        <v>16.03</v>
      </c>
      <c r="C193" s="4">
        <v>15.86</v>
      </c>
      <c r="D193" s="4">
        <v>16.047999999999998</v>
      </c>
      <c r="E193" s="4">
        <v>15.846</v>
      </c>
      <c r="F193" s="4" t="s">
        <v>1014</v>
      </c>
      <c r="G193" s="2" t="s">
        <v>433</v>
      </c>
      <c r="I193">
        <f t="shared" si="30"/>
        <v>15.475799999999998</v>
      </c>
      <c r="J193">
        <f t="shared" si="31"/>
        <v>14.9368</v>
      </c>
      <c r="L193">
        <f t="shared" si="32"/>
        <v>1</v>
      </c>
      <c r="M193">
        <f t="shared" si="33"/>
        <v>0</v>
      </c>
      <c r="O193">
        <f t="shared" si="34"/>
        <v>0.17000000000000171</v>
      </c>
      <c r="P193">
        <f t="shared" si="35"/>
        <v>0</v>
      </c>
      <c r="R193">
        <f t="shared" si="36"/>
        <v>0.43280000000000063</v>
      </c>
      <c r="S193">
        <f t="shared" si="37"/>
        <v>0.17822222222222253</v>
      </c>
      <c r="U193">
        <f t="shared" si="38"/>
        <v>70.832121035787026</v>
      </c>
      <c r="AH193">
        <f t="shared" si="39"/>
        <v>1.5317424894968574</v>
      </c>
      <c r="AI193">
        <f t="shared" si="40"/>
        <v>12.897966072949554</v>
      </c>
      <c r="AJ193">
        <f t="shared" si="41"/>
        <v>18.053633927050441</v>
      </c>
      <c r="AL193" s="6">
        <f t="shared" si="42"/>
        <v>18.539284978993713</v>
      </c>
      <c r="AM193">
        <f t="shared" si="43"/>
        <v>12.412315021006282</v>
      </c>
    </row>
    <row r="194" spans="1:39" ht="16.5" x14ac:dyDescent="0.25">
      <c r="A194" s="1">
        <v>45425</v>
      </c>
      <c r="B194" s="5">
        <v>15.802</v>
      </c>
      <c r="C194" s="4">
        <v>15.926</v>
      </c>
      <c r="D194" s="4">
        <v>16.032</v>
      </c>
      <c r="E194" s="4">
        <v>15.786</v>
      </c>
      <c r="F194" s="4" t="s">
        <v>1015</v>
      </c>
      <c r="G194" s="2" t="s">
        <v>788</v>
      </c>
      <c r="I194">
        <f t="shared" ref="I194:I257" si="44">AVERAGE(B194:B213)</f>
        <v>15.409799999999999</v>
      </c>
      <c r="J194">
        <f t="shared" ref="J194:J257" si="45">AVERAGE(B194:B233)</f>
        <v>14.874549999999999</v>
      </c>
      <c r="L194">
        <f t="shared" ref="L194:L257" si="46">IF($C194&lt;$B194,1,0)</f>
        <v>0</v>
      </c>
      <c r="M194">
        <f t="shared" ref="M194:M257" si="47">IF($C194&lt;$B194,0,1)</f>
        <v>1</v>
      </c>
      <c r="O194">
        <f t="shared" ref="O194:O257" si="48">IF($C194&lt;$B194,B194-C194,0)</f>
        <v>0</v>
      </c>
      <c r="P194">
        <f t="shared" ref="P194:P257" si="49">IF($B194&lt;$C194,C194-B194,0)</f>
        <v>0.12400000000000055</v>
      </c>
      <c r="R194">
        <f t="shared" ref="R194:R257" si="50">SUM(O194:O207)/SUM(L194:L207)</f>
        <v>0.43800000000000061</v>
      </c>
      <c r="S194">
        <f t="shared" ref="S194:S257" si="51">SUM(P194:P207)/SUM(M194:M207)</f>
        <v>0.17822222222222253</v>
      </c>
      <c r="U194">
        <f t="shared" ref="U194:U257" si="52">100-(100/(1+(R194/S194)))</f>
        <v>71.078254597908398</v>
      </c>
      <c r="AH194">
        <f t="shared" si="39"/>
        <v>1.515399245589288</v>
      </c>
      <c r="AI194">
        <f t="shared" si="40"/>
        <v>12.831966072949555</v>
      </c>
      <c r="AJ194">
        <f t="shared" si="41"/>
        <v>17.987633927050442</v>
      </c>
      <c r="AL194" s="6">
        <f t="shared" si="42"/>
        <v>18.440598491178577</v>
      </c>
      <c r="AM194">
        <f t="shared" si="43"/>
        <v>12.379001508821423</v>
      </c>
    </row>
    <row r="195" spans="1:39" ht="16.5" x14ac:dyDescent="0.25">
      <c r="A195" s="1">
        <v>45422</v>
      </c>
      <c r="B195" s="5">
        <v>15.878</v>
      </c>
      <c r="C195" s="4">
        <v>16</v>
      </c>
      <c r="D195" s="4">
        <v>16.027999999999999</v>
      </c>
      <c r="E195" s="4">
        <v>15.842000000000001</v>
      </c>
      <c r="F195" s="4" t="s">
        <v>977</v>
      </c>
      <c r="G195" s="2" t="s">
        <v>487</v>
      </c>
      <c r="I195">
        <f t="shared" si="44"/>
        <v>15.359100000000002</v>
      </c>
      <c r="J195">
        <f t="shared" si="45"/>
        <v>14.819100000000001</v>
      </c>
      <c r="L195">
        <f t="shared" si="46"/>
        <v>0</v>
      </c>
      <c r="M195">
        <f t="shared" si="47"/>
        <v>1</v>
      </c>
      <c r="O195">
        <f t="shared" si="48"/>
        <v>0</v>
      </c>
      <c r="P195">
        <f t="shared" si="49"/>
        <v>0.12199999999999989</v>
      </c>
      <c r="R195">
        <f t="shared" si="50"/>
        <v>0.3886666666666671</v>
      </c>
      <c r="S195">
        <f t="shared" si="51"/>
        <v>0.18500000000000028</v>
      </c>
      <c r="U195">
        <f t="shared" si="52"/>
        <v>67.751307379430557</v>
      </c>
      <c r="AH195">
        <f t="shared" ref="AH195:AH258" si="53">_xlfn.STDEV.S(I195:I725)</f>
        <v>1.4992375592241587</v>
      </c>
      <c r="AI195">
        <f t="shared" ref="AI195:AI258" si="54">I195-$AH$2</f>
        <v>12.781266072949556</v>
      </c>
      <c r="AJ195">
        <f t="shared" ref="AJ195:AJ258" si="55">I195+$AH$2</f>
        <v>17.936933927050447</v>
      </c>
      <c r="AL195" s="6">
        <f t="shared" ref="AL195:AL258" si="56">I195+(AH195*2)</f>
        <v>18.35757511844832</v>
      </c>
      <c r="AM195">
        <f t="shared" ref="AM195:AM258" si="57">I195-(AH195*2)</f>
        <v>12.360624881551685</v>
      </c>
    </row>
    <row r="196" spans="1:39" ht="16.5" x14ac:dyDescent="0.25">
      <c r="A196" s="1">
        <v>45421</v>
      </c>
      <c r="B196" s="5">
        <v>15.9</v>
      </c>
      <c r="C196" s="4">
        <v>15.996</v>
      </c>
      <c r="D196" s="4">
        <v>16.102</v>
      </c>
      <c r="E196" s="4">
        <v>15.9</v>
      </c>
      <c r="F196" s="4" t="s">
        <v>1016</v>
      </c>
      <c r="G196" s="2" t="s">
        <v>147</v>
      </c>
      <c r="I196">
        <f t="shared" si="44"/>
        <v>15.294500000000003</v>
      </c>
      <c r="J196">
        <f t="shared" si="45"/>
        <v>14.762549999999999</v>
      </c>
      <c r="L196">
        <f t="shared" si="46"/>
        <v>0</v>
      </c>
      <c r="M196">
        <f t="shared" si="47"/>
        <v>1</v>
      </c>
      <c r="O196">
        <f t="shared" si="48"/>
        <v>0</v>
      </c>
      <c r="P196">
        <f t="shared" si="49"/>
        <v>9.6000000000000085E-2</v>
      </c>
      <c r="R196">
        <f t="shared" si="50"/>
        <v>0.36542857142857194</v>
      </c>
      <c r="S196">
        <f t="shared" si="51"/>
        <v>0.19400000000000034</v>
      </c>
      <c r="U196">
        <f t="shared" si="52"/>
        <v>65.321756894790596</v>
      </c>
      <c r="AH196">
        <f t="shared" si="53"/>
        <v>1.4831301340208474</v>
      </c>
      <c r="AI196">
        <f t="shared" si="54"/>
        <v>12.716666072949558</v>
      </c>
      <c r="AJ196">
        <f t="shared" si="55"/>
        <v>17.872333927050448</v>
      </c>
      <c r="AL196" s="6">
        <f t="shared" si="56"/>
        <v>18.260760268041697</v>
      </c>
      <c r="AM196">
        <f t="shared" si="57"/>
        <v>12.328239731958309</v>
      </c>
    </row>
    <row r="197" spans="1:39" ht="16.5" x14ac:dyDescent="0.25">
      <c r="A197" s="1">
        <v>45420</v>
      </c>
      <c r="B197" s="5">
        <v>16</v>
      </c>
      <c r="C197" s="4">
        <v>16.09</v>
      </c>
      <c r="D197" s="4">
        <v>16.143999999999998</v>
      </c>
      <c r="E197" s="4">
        <v>15.9</v>
      </c>
      <c r="F197" s="4" t="s">
        <v>1017</v>
      </c>
      <c r="G197" s="2" t="s">
        <v>544</v>
      </c>
      <c r="I197">
        <f t="shared" si="44"/>
        <v>15.247300000000001</v>
      </c>
      <c r="J197">
        <f t="shared" si="45"/>
        <v>14.690299999999999</v>
      </c>
      <c r="L197">
        <f t="shared" si="46"/>
        <v>0</v>
      </c>
      <c r="M197">
        <f t="shared" si="47"/>
        <v>1</v>
      </c>
      <c r="O197">
        <f t="shared" si="48"/>
        <v>0</v>
      </c>
      <c r="P197">
        <f t="shared" si="49"/>
        <v>8.9999999999999858E-2</v>
      </c>
      <c r="R197">
        <f t="shared" si="50"/>
        <v>0.33175000000000043</v>
      </c>
      <c r="S197">
        <f t="shared" si="51"/>
        <v>0.21033333333333371</v>
      </c>
      <c r="U197">
        <f t="shared" si="52"/>
        <v>61.19907763259031</v>
      </c>
      <c r="AH197">
        <f t="shared" si="53"/>
        <v>1.4671989452029079</v>
      </c>
      <c r="AI197">
        <f t="shared" si="54"/>
        <v>12.669466072949557</v>
      </c>
      <c r="AJ197">
        <f t="shared" si="55"/>
        <v>17.825133927050445</v>
      </c>
      <c r="AL197" s="6">
        <f t="shared" si="56"/>
        <v>18.181697890405818</v>
      </c>
      <c r="AM197">
        <f t="shared" si="57"/>
        <v>12.312902109594186</v>
      </c>
    </row>
    <row r="198" spans="1:39" ht="16.5" x14ac:dyDescent="0.25">
      <c r="A198" s="1">
        <v>45419</v>
      </c>
      <c r="B198" s="5">
        <v>16.044</v>
      </c>
      <c r="C198" s="4">
        <v>15.773999999999999</v>
      </c>
      <c r="D198" s="4">
        <v>16.14</v>
      </c>
      <c r="E198" s="4">
        <v>15.731999999999999</v>
      </c>
      <c r="F198" s="4" t="s">
        <v>1018</v>
      </c>
      <c r="G198" s="2" t="s">
        <v>1019</v>
      </c>
      <c r="I198">
        <f t="shared" si="44"/>
        <v>15.1775</v>
      </c>
      <c r="J198">
        <f t="shared" si="45"/>
        <v>14.610399999999998</v>
      </c>
      <c r="L198">
        <f t="shared" si="46"/>
        <v>1</v>
      </c>
      <c r="M198">
        <f t="shared" si="47"/>
        <v>0</v>
      </c>
      <c r="O198">
        <f t="shared" si="48"/>
        <v>0.27000000000000135</v>
      </c>
      <c r="P198">
        <f t="shared" si="49"/>
        <v>0</v>
      </c>
      <c r="R198">
        <f t="shared" si="50"/>
        <v>0.3031111111111115</v>
      </c>
      <c r="S198">
        <f t="shared" si="51"/>
        <v>0.23440000000000047</v>
      </c>
      <c r="U198">
        <f t="shared" si="52"/>
        <v>56.391599140069445</v>
      </c>
      <c r="AH198">
        <f t="shared" si="53"/>
        <v>1.4512974690942857</v>
      </c>
      <c r="AI198">
        <f t="shared" si="54"/>
        <v>12.599666072949557</v>
      </c>
      <c r="AJ198">
        <f t="shared" si="55"/>
        <v>17.755333927050444</v>
      </c>
      <c r="AL198" s="6">
        <f t="shared" si="56"/>
        <v>18.080094938188573</v>
      </c>
      <c r="AM198">
        <f t="shared" si="57"/>
        <v>12.274905061811429</v>
      </c>
    </row>
    <row r="199" spans="1:39" ht="16.5" x14ac:dyDescent="0.25">
      <c r="A199" s="1">
        <v>45418</v>
      </c>
      <c r="B199" s="5">
        <v>15.606</v>
      </c>
      <c r="C199" s="4">
        <v>15.27</v>
      </c>
      <c r="D199" s="4">
        <v>15.646000000000001</v>
      </c>
      <c r="E199" s="4">
        <v>15.24</v>
      </c>
      <c r="F199" s="4" t="s">
        <v>1020</v>
      </c>
      <c r="G199" s="2" t="s">
        <v>112</v>
      </c>
      <c r="I199">
        <f t="shared" si="44"/>
        <v>15.120000000000001</v>
      </c>
      <c r="J199">
        <f t="shared" si="45"/>
        <v>14.527099999999999</v>
      </c>
      <c r="L199">
        <f t="shared" si="46"/>
        <v>1</v>
      </c>
      <c r="M199">
        <f t="shared" si="47"/>
        <v>0</v>
      </c>
      <c r="O199">
        <f t="shared" si="48"/>
        <v>0.3360000000000003</v>
      </c>
      <c r="P199">
        <f t="shared" si="49"/>
        <v>0</v>
      </c>
      <c r="R199">
        <f t="shared" si="50"/>
        <v>0.30725000000000025</v>
      </c>
      <c r="S199">
        <f t="shared" si="51"/>
        <v>0.20033333333333361</v>
      </c>
      <c r="U199">
        <f t="shared" si="52"/>
        <v>60.531932359218509</v>
      </c>
      <c r="AH199">
        <f t="shared" si="53"/>
        <v>1.4356237126601858</v>
      </c>
      <c r="AI199">
        <f t="shared" si="54"/>
        <v>12.542166072949556</v>
      </c>
      <c r="AJ199">
        <f t="shared" si="55"/>
        <v>17.697833927050446</v>
      </c>
      <c r="AL199" s="6">
        <f t="shared" si="56"/>
        <v>17.991247425320374</v>
      </c>
      <c r="AM199">
        <f t="shared" si="57"/>
        <v>12.24875257467963</v>
      </c>
    </row>
    <row r="200" spans="1:39" ht="16.5" x14ac:dyDescent="0.25">
      <c r="A200" s="1">
        <v>45415</v>
      </c>
      <c r="B200" s="5">
        <v>15.257999999999999</v>
      </c>
      <c r="C200" s="4">
        <v>15.2</v>
      </c>
      <c r="D200" s="4">
        <v>15.43</v>
      </c>
      <c r="E200" s="4">
        <v>15.02</v>
      </c>
      <c r="F200" s="4" t="s">
        <v>1021</v>
      </c>
      <c r="G200" s="2" t="s">
        <v>1022</v>
      </c>
      <c r="I200">
        <f t="shared" si="44"/>
        <v>15.077800000000002</v>
      </c>
      <c r="J200">
        <f t="shared" si="45"/>
        <v>14.450999999999999</v>
      </c>
      <c r="L200">
        <f t="shared" si="46"/>
        <v>1</v>
      </c>
      <c r="M200">
        <f t="shared" si="47"/>
        <v>0</v>
      </c>
      <c r="O200">
        <f t="shared" si="48"/>
        <v>5.7999999999999829E-2</v>
      </c>
      <c r="P200">
        <f t="shared" si="49"/>
        <v>0</v>
      </c>
      <c r="R200">
        <f t="shared" si="50"/>
        <v>0.30314285714285738</v>
      </c>
      <c r="S200">
        <f t="shared" si="51"/>
        <v>0.18257142857142863</v>
      </c>
      <c r="U200">
        <f t="shared" si="52"/>
        <v>62.411764705882362</v>
      </c>
      <c r="AH200">
        <f t="shared" si="53"/>
        <v>1.4200759813447945</v>
      </c>
      <c r="AI200">
        <f t="shared" si="54"/>
        <v>12.499966072949558</v>
      </c>
      <c r="AJ200">
        <f t="shared" si="55"/>
        <v>17.655633927050445</v>
      </c>
      <c r="AL200" s="6">
        <f t="shared" si="56"/>
        <v>17.917951962689592</v>
      </c>
      <c r="AM200">
        <f t="shared" si="57"/>
        <v>12.237648037310413</v>
      </c>
    </row>
    <row r="201" spans="1:39" ht="16.5" x14ac:dyDescent="0.25">
      <c r="A201" s="1">
        <v>45414</v>
      </c>
      <c r="B201" s="5">
        <v>15.04</v>
      </c>
      <c r="C201" s="4">
        <v>15.098000000000001</v>
      </c>
      <c r="D201" s="4">
        <v>15.286</v>
      </c>
      <c r="E201" s="4">
        <v>14.933999999999999</v>
      </c>
      <c r="F201" s="4" t="s">
        <v>1023</v>
      </c>
      <c r="G201" s="2" t="s">
        <v>1024</v>
      </c>
      <c r="I201">
        <f t="shared" si="44"/>
        <v>15.063499999999999</v>
      </c>
      <c r="J201">
        <f t="shared" si="45"/>
        <v>14.385349999999999</v>
      </c>
      <c r="L201">
        <f t="shared" si="46"/>
        <v>0</v>
      </c>
      <c r="M201">
        <f t="shared" si="47"/>
        <v>1</v>
      </c>
      <c r="O201">
        <f t="shared" si="48"/>
        <v>0</v>
      </c>
      <c r="P201">
        <f t="shared" si="49"/>
        <v>5.8000000000001606E-2</v>
      </c>
      <c r="R201">
        <f t="shared" si="50"/>
        <v>0.3002857142857146</v>
      </c>
      <c r="S201">
        <f t="shared" si="51"/>
        <v>0.18257142857142863</v>
      </c>
      <c r="U201">
        <f t="shared" si="52"/>
        <v>62.189349112426058</v>
      </c>
      <c r="AH201">
        <f t="shared" si="53"/>
        <v>1.4045235911482892</v>
      </c>
      <c r="AI201">
        <f t="shared" si="54"/>
        <v>12.485666072949556</v>
      </c>
      <c r="AJ201">
        <f t="shared" si="55"/>
        <v>17.641333927050443</v>
      </c>
      <c r="AL201" s="6">
        <f t="shared" si="56"/>
        <v>17.872547182296579</v>
      </c>
      <c r="AM201">
        <f t="shared" si="57"/>
        <v>12.25445281770342</v>
      </c>
    </row>
    <row r="202" spans="1:39" ht="16.5" x14ac:dyDescent="0.25">
      <c r="A202" s="1">
        <v>45412</v>
      </c>
      <c r="B202" s="5">
        <v>15.01</v>
      </c>
      <c r="C202" s="4">
        <v>15.122</v>
      </c>
      <c r="D202" s="4">
        <v>15.196</v>
      </c>
      <c r="E202" s="4">
        <v>14.9</v>
      </c>
      <c r="F202" s="4" t="s">
        <v>1025</v>
      </c>
      <c r="G202" s="2" t="s">
        <v>1026</v>
      </c>
      <c r="I202">
        <f t="shared" si="44"/>
        <v>15.055100000000001</v>
      </c>
      <c r="J202">
        <f t="shared" si="45"/>
        <v>14.324250000000001</v>
      </c>
      <c r="L202">
        <f t="shared" si="46"/>
        <v>0</v>
      </c>
      <c r="M202">
        <f t="shared" si="47"/>
        <v>1</v>
      </c>
      <c r="O202">
        <f t="shared" si="48"/>
        <v>0</v>
      </c>
      <c r="P202">
        <f t="shared" si="49"/>
        <v>0.1120000000000001</v>
      </c>
      <c r="R202">
        <f t="shared" si="50"/>
        <v>0.3002857142857146</v>
      </c>
      <c r="S202">
        <f t="shared" si="51"/>
        <v>0.2197142857142855</v>
      </c>
      <c r="U202">
        <f t="shared" si="52"/>
        <v>57.747252747252801</v>
      </c>
      <c r="AH202">
        <f t="shared" si="53"/>
        <v>1.388718918927577</v>
      </c>
      <c r="AI202">
        <f t="shared" si="54"/>
        <v>12.477266072949558</v>
      </c>
      <c r="AJ202">
        <f t="shared" si="55"/>
        <v>17.632933927050445</v>
      </c>
      <c r="AL202" s="6">
        <f t="shared" si="56"/>
        <v>17.832537837855156</v>
      </c>
      <c r="AM202">
        <f t="shared" si="57"/>
        <v>12.277662162144846</v>
      </c>
    </row>
    <row r="203" spans="1:39" ht="16.5" x14ac:dyDescent="0.25">
      <c r="A203" s="1">
        <v>45411</v>
      </c>
      <c r="B203" s="5">
        <v>15.103999999999999</v>
      </c>
      <c r="C203" s="4">
        <v>15.894</v>
      </c>
      <c r="D203" s="4">
        <v>16.032</v>
      </c>
      <c r="E203" s="4">
        <v>14.96</v>
      </c>
      <c r="F203" s="4" t="s">
        <v>1027</v>
      </c>
      <c r="G203" s="2" t="s">
        <v>1028</v>
      </c>
      <c r="I203">
        <f t="shared" si="44"/>
        <v>15.032999999999998</v>
      </c>
      <c r="J203">
        <f t="shared" si="45"/>
        <v>14.26315</v>
      </c>
      <c r="L203">
        <f t="shared" si="46"/>
        <v>0</v>
      </c>
      <c r="M203">
        <f t="shared" si="47"/>
        <v>1</v>
      </c>
      <c r="O203">
        <f t="shared" si="48"/>
        <v>0</v>
      </c>
      <c r="P203">
        <f t="shared" si="49"/>
        <v>0.79000000000000092</v>
      </c>
      <c r="R203">
        <f t="shared" si="50"/>
        <v>0.29400000000000026</v>
      </c>
      <c r="S203">
        <f t="shared" si="51"/>
        <v>0.23766666666666639</v>
      </c>
      <c r="U203">
        <f t="shared" si="52"/>
        <v>55.297805642633286</v>
      </c>
      <c r="AH203">
        <f t="shared" si="53"/>
        <v>1.3725989181787006</v>
      </c>
      <c r="AI203">
        <f t="shared" si="54"/>
        <v>12.455166072949552</v>
      </c>
      <c r="AJ203">
        <f t="shared" si="55"/>
        <v>17.610833927050443</v>
      </c>
      <c r="AL203" s="6">
        <f t="shared" si="56"/>
        <v>17.7781978363574</v>
      </c>
      <c r="AM203">
        <f t="shared" si="57"/>
        <v>12.287802163642596</v>
      </c>
    </row>
    <row r="204" spans="1:39" ht="16.5" x14ac:dyDescent="0.25">
      <c r="A204" s="1">
        <v>45408</v>
      </c>
      <c r="B204" s="5">
        <v>16.532</v>
      </c>
      <c r="C204" s="4">
        <v>16.712</v>
      </c>
      <c r="D204" s="4">
        <v>17.013999999999999</v>
      </c>
      <c r="E204" s="4">
        <v>16.47</v>
      </c>
      <c r="F204" s="4" t="s">
        <v>1029</v>
      </c>
      <c r="G204" s="2" t="s">
        <v>992</v>
      </c>
      <c r="I204">
        <f t="shared" si="44"/>
        <v>15.006899999999998</v>
      </c>
      <c r="J204">
        <f t="shared" si="45"/>
        <v>14.194599999999998</v>
      </c>
      <c r="L204">
        <f t="shared" si="46"/>
        <v>0</v>
      </c>
      <c r="M204">
        <f t="shared" si="47"/>
        <v>1</v>
      </c>
      <c r="O204">
        <f t="shared" si="48"/>
        <v>0</v>
      </c>
      <c r="P204">
        <f t="shared" si="49"/>
        <v>0.17999999999999972</v>
      </c>
      <c r="R204">
        <f t="shared" si="50"/>
        <v>0.29400000000000026</v>
      </c>
      <c r="S204">
        <f t="shared" si="51"/>
        <v>0.14066666666666627</v>
      </c>
      <c r="U204">
        <f t="shared" si="52"/>
        <v>67.638036809816029</v>
      </c>
      <c r="AH204">
        <f t="shared" si="53"/>
        <v>1.3562763120100725</v>
      </c>
      <c r="AI204">
        <f t="shared" si="54"/>
        <v>12.429066072949553</v>
      </c>
      <c r="AJ204">
        <f t="shared" si="55"/>
        <v>17.584733927050443</v>
      </c>
      <c r="AL204" s="6">
        <f t="shared" si="56"/>
        <v>17.719452624020143</v>
      </c>
      <c r="AM204">
        <f t="shared" si="57"/>
        <v>12.294347375979854</v>
      </c>
    </row>
    <row r="205" spans="1:39" ht="16.5" x14ac:dyDescent="0.25">
      <c r="A205" s="1">
        <v>45407</v>
      </c>
      <c r="B205" s="5">
        <v>16.66</v>
      </c>
      <c r="C205" s="4">
        <v>15.33</v>
      </c>
      <c r="D205" s="4">
        <v>16.713999999999999</v>
      </c>
      <c r="E205" s="4">
        <v>15.004</v>
      </c>
      <c r="F205" s="4" t="s">
        <v>1030</v>
      </c>
      <c r="G205" s="2" t="s">
        <v>1031</v>
      </c>
      <c r="I205">
        <f t="shared" si="44"/>
        <v>14.910900000000002</v>
      </c>
      <c r="J205">
        <f t="shared" si="45"/>
        <v>14.091199999999997</v>
      </c>
      <c r="L205">
        <f t="shared" si="46"/>
        <v>1</v>
      </c>
      <c r="M205">
        <f t="shared" si="47"/>
        <v>0</v>
      </c>
      <c r="O205">
        <f t="shared" si="48"/>
        <v>1.33</v>
      </c>
      <c r="P205">
        <f t="shared" si="49"/>
        <v>0</v>
      </c>
      <c r="R205">
        <f t="shared" si="50"/>
        <v>0.27533333333333349</v>
      </c>
      <c r="S205">
        <f t="shared" si="51"/>
        <v>0.13279999999999959</v>
      </c>
      <c r="U205">
        <f t="shared" si="52"/>
        <v>67.461613851682529</v>
      </c>
      <c r="AH205">
        <f t="shared" si="53"/>
        <v>1.3397803943774396</v>
      </c>
      <c r="AI205">
        <f t="shared" si="54"/>
        <v>12.333066072949556</v>
      </c>
      <c r="AJ205">
        <f t="shared" si="55"/>
        <v>17.488733927050447</v>
      </c>
      <c r="AL205" s="6">
        <f t="shared" si="56"/>
        <v>17.590460788754882</v>
      </c>
      <c r="AM205">
        <f t="shared" si="57"/>
        <v>12.231339211245123</v>
      </c>
    </row>
    <row r="206" spans="1:39" ht="16.5" x14ac:dyDescent="0.25">
      <c r="A206" s="1">
        <v>45406</v>
      </c>
      <c r="B206" s="5">
        <v>15.4</v>
      </c>
      <c r="C206" s="4">
        <v>15.432</v>
      </c>
      <c r="D206" s="4">
        <v>15.494</v>
      </c>
      <c r="E206" s="4">
        <v>15.247999999999999</v>
      </c>
      <c r="F206" s="4" t="s">
        <v>1032</v>
      </c>
      <c r="G206" s="2" t="s">
        <v>166</v>
      </c>
      <c r="I206">
        <f t="shared" si="44"/>
        <v>14.789400000000006</v>
      </c>
      <c r="J206">
        <f t="shared" si="45"/>
        <v>13.984300000000001</v>
      </c>
      <c r="L206">
        <f t="shared" si="46"/>
        <v>0</v>
      </c>
      <c r="M206">
        <f t="shared" si="47"/>
        <v>1</v>
      </c>
      <c r="O206">
        <f t="shared" si="48"/>
        <v>0</v>
      </c>
      <c r="P206">
        <f t="shared" si="49"/>
        <v>3.2000000000000028E-2</v>
      </c>
      <c r="R206">
        <f t="shared" si="50"/>
        <v>0.13444444444444473</v>
      </c>
      <c r="S206">
        <f t="shared" si="51"/>
        <v>0.13279999999999959</v>
      </c>
      <c r="U206">
        <f t="shared" si="52"/>
        <v>50.307666722102233</v>
      </c>
      <c r="AH206">
        <f t="shared" si="53"/>
        <v>1.3237544813079014</v>
      </c>
      <c r="AI206">
        <f t="shared" si="54"/>
        <v>12.211566072949562</v>
      </c>
      <c r="AJ206">
        <f t="shared" si="55"/>
        <v>17.367233927050449</v>
      </c>
      <c r="AL206" s="6">
        <f t="shared" si="56"/>
        <v>17.43690896261581</v>
      </c>
      <c r="AM206">
        <f t="shared" si="57"/>
        <v>12.141891037384203</v>
      </c>
    </row>
    <row r="207" spans="1:39" ht="16.5" x14ac:dyDescent="0.25">
      <c r="A207" s="1">
        <v>45405</v>
      </c>
      <c r="B207" s="5">
        <v>15.396000000000001</v>
      </c>
      <c r="C207" s="4">
        <v>15.2</v>
      </c>
      <c r="D207" s="4">
        <v>15.396000000000001</v>
      </c>
      <c r="E207" s="4">
        <v>15.17</v>
      </c>
      <c r="F207" s="4" t="s">
        <v>1033</v>
      </c>
      <c r="G207" s="2" t="s">
        <v>426</v>
      </c>
      <c r="I207">
        <f t="shared" si="44"/>
        <v>14.726700000000003</v>
      </c>
      <c r="J207">
        <f t="shared" si="45"/>
        <v>13.90685</v>
      </c>
      <c r="L207">
        <f t="shared" si="46"/>
        <v>1</v>
      </c>
      <c r="M207">
        <f t="shared" si="47"/>
        <v>0</v>
      </c>
      <c r="O207">
        <f t="shared" si="48"/>
        <v>0.19600000000000151</v>
      </c>
      <c r="P207">
        <f t="shared" si="49"/>
        <v>0</v>
      </c>
      <c r="R207">
        <f t="shared" si="50"/>
        <v>0.12600000000000017</v>
      </c>
      <c r="S207">
        <f t="shared" si="51"/>
        <v>0.15799999999999947</v>
      </c>
      <c r="U207">
        <f t="shared" si="52"/>
        <v>44.366197183098713</v>
      </c>
      <c r="AH207">
        <f t="shared" si="53"/>
        <v>1.3084402788687988</v>
      </c>
      <c r="AI207">
        <f t="shared" si="54"/>
        <v>12.148866072949559</v>
      </c>
      <c r="AJ207">
        <f t="shared" si="55"/>
        <v>17.304533927050446</v>
      </c>
      <c r="AL207" s="6">
        <f t="shared" si="56"/>
        <v>17.343580557737599</v>
      </c>
      <c r="AM207">
        <f t="shared" si="57"/>
        <v>12.109819442262406</v>
      </c>
    </row>
    <row r="208" spans="1:39" ht="16.5" x14ac:dyDescent="0.25">
      <c r="A208" s="1">
        <v>45404</v>
      </c>
      <c r="B208" s="5">
        <v>15.16</v>
      </c>
      <c r="C208" s="4">
        <v>15.018000000000001</v>
      </c>
      <c r="D208" s="4">
        <v>15.16</v>
      </c>
      <c r="E208" s="4">
        <v>14.9</v>
      </c>
      <c r="F208" s="4" t="s">
        <v>1034</v>
      </c>
      <c r="G208" s="2" t="s">
        <v>1035</v>
      </c>
      <c r="I208">
        <f t="shared" si="44"/>
        <v>14.665800000000001</v>
      </c>
      <c r="J208">
        <f t="shared" si="45"/>
        <v>13.831699999999998</v>
      </c>
      <c r="L208">
        <f t="shared" si="46"/>
        <v>1</v>
      </c>
      <c r="M208">
        <f t="shared" si="47"/>
        <v>0</v>
      </c>
      <c r="O208">
        <f t="shared" si="48"/>
        <v>0.14199999999999946</v>
      </c>
      <c r="P208">
        <f t="shared" si="49"/>
        <v>0</v>
      </c>
      <c r="R208">
        <f t="shared" si="50"/>
        <v>0.1356</v>
      </c>
      <c r="S208">
        <f t="shared" si="51"/>
        <v>0.15799999999999947</v>
      </c>
      <c r="U208">
        <f t="shared" si="52"/>
        <v>46.185286103542317</v>
      </c>
      <c r="AH208">
        <f t="shared" si="53"/>
        <v>1.2933144390617271</v>
      </c>
      <c r="AI208">
        <f t="shared" si="54"/>
        <v>12.087966072949555</v>
      </c>
      <c r="AJ208">
        <f t="shared" si="55"/>
        <v>17.243633927050446</v>
      </c>
      <c r="AL208" s="6">
        <f t="shared" si="56"/>
        <v>17.252428878123453</v>
      </c>
      <c r="AM208">
        <f t="shared" si="57"/>
        <v>12.079171121876547</v>
      </c>
    </row>
    <row r="209" spans="1:39" ht="16.5" x14ac:dyDescent="0.25">
      <c r="A209" s="1">
        <v>45401</v>
      </c>
      <c r="B209" s="5">
        <v>14.954000000000001</v>
      </c>
      <c r="C209" s="4">
        <v>14.728</v>
      </c>
      <c r="D209" s="4">
        <v>15.002000000000001</v>
      </c>
      <c r="E209" s="4">
        <v>14.718</v>
      </c>
      <c r="F209" s="4" t="s">
        <v>1036</v>
      </c>
      <c r="G209" s="2" t="s">
        <v>888</v>
      </c>
      <c r="I209">
        <f t="shared" si="44"/>
        <v>14.607200000000001</v>
      </c>
      <c r="J209">
        <f t="shared" si="45"/>
        <v>13.758999999999997</v>
      </c>
      <c r="L209">
        <f t="shared" si="46"/>
        <v>1</v>
      </c>
      <c r="M209">
        <f t="shared" si="47"/>
        <v>0</v>
      </c>
      <c r="O209">
        <f t="shared" si="48"/>
        <v>0.22600000000000087</v>
      </c>
      <c r="P209">
        <f t="shared" si="49"/>
        <v>0</v>
      </c>
      <c r="R209">
        <f t="shared" si="50"/>
        <v>0.13488888888888895</v>
      </c>
      <c r="S209">
        <f t="shared" si="51"/>
        <v>0.13279999999999959</v>
      </c>
      <c r="U209">
        <f t="shared" si="52"/>
        <v>50.390171011124103</v>
      </c>
      <c r="AH209">
        <f t="shared" si="53"/>
        <v>1.2783655188666709</v>
      </c>
      <c r="AI209">
        <f t="shared" si="54"/>
        <v>12.029366072949557</v>
      </c>
      <c r="AJ209">
        <f t="shared" si="55"/>
        <v>17.185033927050444</v>
      </c>
      <c r="AL209" s="6">
        <f t="shared" si="56"/>
        <v>17.163931037733342</v>
      </c>
      <c r="AM209">
        <f t="shared" si="57"/>
        <v>12.05046896226666</v>
      </c>
    </row>
    <row r="210" spans="1:39" ht="16.5" x14ac:dyDescent="0.25">
      <c r="A210" s="1">
        <v>45400</v>
      </c>
      <c r="B210" s="5">
        <v>14.8</v>
      </c>
      <c r="C210" s="4">
        <v>14.704000000000001</v>
      </c>
      <c r="D210" s="4">
        <v>14.811999999999999</v>
      </c>
      <c r="E210" s="4">
        <v>14.504</v>
      </c>
      <c r="F210" s="4" t="s">
        <v>1037</v>
      </c>
      <c r="G210" s="2" t="s">
        <v>391</v>
      </c>
      <c r="I210">
        <f t="shared" si="44"/>
        <v>14.541399999999999</v>
      </c>
      <c r="J210">
        <f t="shared" si="45"/>
        <v>13.684999999999999</v>
      </c>
      <c r="L210">
        <f t="shared" si="46"/>
        <v>1</v>
      </c>
      <c r="M210">
        <f t="shared" si="47"/>
        <v>0</v>
      </c>
      <c r="O210">
        <f t="shared" si="48"/>
        <v>9.6000000000000085E-2</v>
      </c>
      <c r="P210">
        <f t="shared" si="49"/>
        <v>0</v>
      </c>
      <c r="R210">
        <f t="shared" si="50"/>
        <v>0.12349999999999994</v>
      </c>
      <c r="S210">
        <f t="shared" si="51"/>
        <v>0.13033333333333275</v>
      </c>
      <c r="U210">
        <f t="shared" si="52"/>
        <v>48.653972422849741</v>
      </c>
      <c r="AH210">
        <f t="shared" si="53"/>
        <v>1.2635772296996928</v>
      </c>
      <c r="AI210">
        <f t="shared" si="54"/>
        <v>11.963566072949554</v>
      </c>
      <c r="AJ210">
        <f t="shared" si="55"/>
        <v>17.119233927050445</v>
      </c>
      <c r="AL210" s="6">
        <f t="shared" si="56"/>
        <v>17.068554459399387</v>
      </c>
      <c r="AM210">
        <f t="shared" si="57"/>
        <v>12.014245540600614</v>
      </c>
    </row>
    <row r="211" spans="1:39" ht="16.5" x14ac:dyDescent="0.25">
      <c r="A211" s="1">
        <v>45399</v>
      </c>
      <c r="B211" s="5">
        <v>14.504</v>
      </c>
      <c r="C211" s="4">
        <v>14.43</v>
      </c>
      <c r="D211" s="4">
        <v>14.66</v>
      </c>
      <c r="E211" s="4">
        <v>14.41</v>
      </c>
      <c r="F211" s="4" t="s">
        <v>1038</v>
      </c>
      <c r="G211" s="2" t="s">
        <v>401</v>
      </c>
      <c r="I211">
        <f t="shared" si="44"/>
        <v>14.488199999999997</v>
      </c>
      <c r="J211">
        <f t="shared" si="45"/>
        <v>13.613849999999999</v>
      </c>
      <c r="L211">
        <f t="shared" si="46"/>
        <v>1</v>
      </c>
      <c r="M211">
        <f t="shared" si="47"/>
        <v>0</v>
      </c>
      <c r="O211">
        <f t="shared" si="48"/>
        <v>7.3999999999999844E-2</v>
      </c>
      <c r="P211">
        <f t="shared" si="49"/>
        <v>0</v>
      </c>
      <c r="R211">
        <f t="shared" si="50"/>
        <v>0.13175000000000003</v>
      </c>
      <c r="S211">
        <f t="shared" si="51"/>
        <v>0.13033333333333275</v>
      </c>
      <c r="U211">
        <f t="shared" si="52"/>
        <v>50.270270270270387</v>
      </c>
      <c r="AH211">
        <f t="shared" si="53"/>
        <v>1.2490198140622728</v>
      </c>
      <c r="AI211">
        <f t="shared" si="54"/>
        <v>11.910366072949554</v>
      </c>
      <c r="AJ211">
        <f t="shared" si="55"/>
        <v>17.066033927050441</v>
      </c>
      <c r="AL211" s="6">
        <f t="shared" si="56"/>
        <v>16.986239628124544</v>
      </c>
      <c r="AM211">
        <f t="shared" si="57"/>
        <v>11.990160371875451</v>
      </c>
    </row>
    <row r="212" spans="1:39" ht="16.5" x14ac:dyDescent="0.25">
      <c r="A212" s="1">
        <v>45398</v>
      </c>
      <c r="B212" s="5">
        <v>14.438000000000001</v>
      </c>
      <c r="C212" s="4">
        <v>14.468</v>
      </c>
      <c r="D212" s="4">
        <v>14.552</v>
      </c>
      <c r="E212" s="4">
        <v>14.353999999999999</v>
      </c>
      <c r="F212" s="4" t="s">
        <v>1039</v>
      </c>
      <c r="G212" s="2" t="s">
        <v>1040</v>
      </c>
      <c r="I212">
        <f t="shared" si="44"/>
        <v>14.438299999999998</v>
      </c>
      <c r="J212">
        <f t="shared" si="45"/>
        <v>13.551149999999998</v>
      </c>
      <c r="L212">
        <f t="shared" si="46"/>
        <v>0</v>
      </c>
      <c r="M212">
        <f t="shared" si="47"/>
        <v>1</v>
      </c>
      <c r="O212">
        <f t="shared" si="48"/>
        <v>0</v>
      </c>
      <c r="P212">
        <f t="shared" si="49"/>
        <v>2.9999999999999361E-2</v>
      </c>
      <c r="R212">
        <f t="shared" si="50"/>
        <v>0.13325000000000009</v>
      </c>
      <c r="S212">
        <f t="shared" si="51"/>
        <v>0.13033333333333275</v>
      </c>
      <c r="U212">
        <f t="shared" si="52"/>
        <v>50.553272209927421</v>
      </c>
      <c r="AH212">
        <f t="shared" si="53"/>
        <v>1.2345836983645144</v>
      </c>
      <c r="AI212">
        <f t="shared" si="54"/>
        <v>11.860466072949553</v>
      </c>
      <c r="AJ212">
        <f t="shared" si="55"/>
        <v>17.016133927050443</v>
      </c>
      <c r="AL212" s="6">
        <f t="shared" si="56"/>
        <v>16.907467396729025</v>
      </c>
      <c r="AM212">
        <f t="shared" si="57"/>
        <v>11.969132603270969</v>
      </c>
    </row>
    <row r="213" spans="1:39" ht="16.5" x14ac:dyDescent="0.25">
      <c r="A213" s="1">
        <v>45397</v>
      </c>
      <c r="B213" s="5">
        <v>14.71</v>
      </c>
      <c r="C213" s="4">
        <v>14.786</v>
      </c>
      <c r="D213" s="4">
        <v>15.018000000000001</v>
      </c>
      <c r="E213" s="4">
        <v>14.682</v>
      </c>
      <c r="F213" s="4" t="s">
        <v>1041</v>
      </c>
      <c r="G213" s="2" t="s">
        <v>413</v>
      </c>
      <c r="I213">
        <f t="shared" si="44"/>
        <v>14.397799999999998</v>
      </c>
      <c r="J213">
        <f t="shared" si="45"/>
        <v>13.489749999999997</v>
      </c>
      <c r="L213">
        <f t="shared" si="46"/>
        <v>0</v>
      </c>
      <c r="M213">
        <f t="shared" si="47"/>
        <v>1</v>
      </c>
      <c r="O213">
        <f t="shared" si="48"/>
        <v>0</v>
      </c>
      <c r="P213">
        <f t="shared" si="49"/>
        <v>7.5999999999998735E-2</v>
      </c>
      <c r="R213">
        <f t="shared" si="50"/>
        <v>0.13325000000000009</v>
      </c>
      <c r="S213">
        <f t="shared" si="51"/>
        <v>0.12666666666666604</v>
      </c>
      <c r="U213">
        <f t="shared" si="52"/>
        <v>51.266431548573394</v>
      </c>
      <c r="AH213">
        <f t="shared" si="53"/>
        <v>1.220241974631304</v>
      </c>
      <c r="AI213">
        <f t="shared" si="54"/>
        <v>11.819966072949555</v>
      </c>
      <c r="AJ213">
        <f t="shared" si="55"/>
        <v>16.975633927050442</v>
      </c>
      <c r="AL213" s="6">
        <f t="shared" si="56"/>
        <v>16.838283949262607</v>
      </c>
      <c r="AM213">
        <f t="shared" si="57"/>
        <v>11.95731605073739</v>
      </c>
    </row>
    <row r="214" spans="1:39" ht="16.5" x14ac:dyDescent="0.25">
      <c r="A214" s="1">
        <v>45394</v>
      </c>
      <c r="B214" s="5">
        <v>14.788</v>
      </c>
      <c r="C214" s="4">
        <v>14.75</v>
      </c>
      <c r="D214" s="4">
        <v>15.002000000000001</v>
      </c>
      <c r="E214" s="4">
        <v>14.71</v>
      </c>
      <c r="F214" s="4" t="s">
        <v>1042</v>
      </c>
      <c r="G214" s="2" t="s">
        <v>1035</v>
      </c>
      <c r="I214">
        <f t="shared" si="44"/>
        <v>14.3393</v>
      </c>
      <c r="J214">
        <f t="shared" si="45"/>
        <v>13.422300000000002</v>
      </c>
      <c r="L214">
        <f t="shared" si="46"/>
        <v>1</v>
      </c>
      <c r="M214">
        <f t="shared" si="47"/>
        <v>0</v>
      </c>
      <c r="O214">
        <f t="shared" si="48"/>
        <v>3.8000000000000256E-2</v>
      </c>
      <c r="P214">
        <f t="shared" si="49"/>
        <v>0</v>
      </c>
      <c r="R214">
        <f t="shared" si="50"/>
        <v>0.14088888888888895</v>
      </c>
      <c r="S214">
        <f t="shared" si="51"/>
        <v>0.13679999999999951</v>
      </c>
      <c r="U214">
        <f t="shared" si="52"/>
        <v>50.736235595390625</v>
      </c>
      <c r="AH214">
        <f t="shared" si="53"/>
        <v>1.2059104351509853</v>
      </c>
      <c r="AI214">
        <f t="shared" si="54"/>
        <v>11.761466072949556</v>
      </c>
      <c r="AJ214">
        <f t="shared" si="55"/>
        <v>16.917133927050443</v>
      </c>
      <c r="AL214" s="6">
        <f t="shared" si="56"/>
        <v>16.751120870301971</v>
      </c>
      <c r="AM214">
        <f t="shared" si="57"/>
        <v>11.927479129698028</v>
      </c>
    </row>
    <row r="215" spans="1:39" ht="16.5" x14ac:dyDescent="0.25">
      <c r="A215" s="1">
        <v>45393</v>
      </c>
      <c r="B215" s="5">
        <v>14.586</v>
      </c>
      <c r="C215" s="4">
        <v>14.904</v>
      </c>
      <c r="D215" s="4">
        <v>15.052</v>
      </c>
      <c r="E215" s="4">
        <v>14.464</v>
      </c>
      <c r="F215" s="4" t="s">
        <v>1043</v>
      </c>
      <c r="G215" s="2" t="s">
        <v>739</v>
      </c>
      <c r="I215">
        <f t="shared" si="44"/>
        <v>14.2791</v>
      </c>
      <c r="J215">
        <f t="shared" si="45"/>
        <v>13.350849999999999</v>
      </c>
      <c r="L215">
        <f t="shared" si="46"/>
        <v>0</v>
      </c>
      <c r="M215">
        <f t="shared" si="47"/>
        <v>1</v>
      </c>
      <c r="O215">
        <f t="shared" si="48"/>
        <v>0</v>
      </c>
      <c r="P215">
        <f t="shared" si="49"/>
        <v>0.31799999999999962</v>
      </c>
      <c r="R215">
        <f t="shared" si="50"/>
        <v>0.1475555555555555</v>
      </c>
      <c r="S215">
        <f t="shared" si="51"/>
        <v>0.13679999999999951</v>
      </c>
      <c r="U215">
        <f t="shared" si="52"/>
        <v>51.891216005001652</v>
      </c>
      <c r="AH215">
        <f t="shared" si="53"/>
        <v>1.1917569295989947</v>
      </c>
      <c r="AI215">
        <f t="shared" si="54"/>
        <v>11.701266072949554</v>
      </c>
      <c r="AJ215">
        <f t="shared" si="55"/>
        <v>16.856933927050445</v>
      </c>
      <c r="AL215" s="6">
        <f t="shared" si="56"/>
        <v>16.66261385919799</v>
      </c>
      <c r="AM215">
        <f t="shared" si="57"/>
        <v>11.89558614080201</v>
      </c>
    </row>
    <row r="216" spans="1:39" ht="16.5" x14ac:dyDescent="0.25">
      <c r="A216" s="1">
        <v>45392</v>
      </c>
      <c r="B216" s="5">
        <v>14.956</v>
      </c>
      <c r="C216" s="4">
        <v>14.706</v>
      </c>
      <c r="D216" s="4">
        <v>15.058</v>
      </c>
      <c r="E216" s="4">
        <v>14.666</v>
      </c>
      <c r="F216" s="4" t="s">
        <v>1044</v>
      </c>
      <c r="G216" s="2" t="s">
        <v>1045</v>
      </c>
      <c r="I216">
        <f t="shared" si="44"/>
        <v>14.230599999999999</v>
      </c>
      <c r="J216">
        <f t="shared" si="45"/>
        <v>13.283099999999999</v>
      </c>
      <c r="L216">
        <f t="shared" si="46"/>
        <v>1</v>
      </c>
      <c r="M216">
        <f t="shared" si="47"/>
        <v>0</v>
      </c>
      <c r="O216">
        <f t="shared" si="48"/>
        <v>0.25</v>
      </c>
      <c r="P216">
        <f t="shared" si="49"/>
        <v>0</v>
      </c>
      <c r="R216">
        <f t="shared" si="50"/>
        <v>0.1475555555555555</v>
      </c>
      <c r="S216">
        <f t="shared" si="51"/>
        <v>8.0799999999999622E-2</v>
      </c>
      <c r="U216">
        <f t="shared" si="52"/>
        <v>64.616582327754088</v>
      </c>
      <c r="AH216">
        <f t="shared" si="53"/>
        <v>1.1778020439890191</v>
      </c>
      <c r="AI216">
        <f t="shared" si="54"/>
        <v>11.652766072949554</v>
      </c>
      <c r="AJ216">
        <f t="shared" si="55"/>
        <v>16.808433927050444</v>
      </c>
      <c r="AL216" s="6">
        <f t="shared" si="56"/>
        <v>16.586204087978036</v>
      </c>
      <c r="AM216">
        <f t="shared" si="57"/>
        <v>11.87499591202196</v>
      </c>
    </row>
    <row r="217" spans="1:39" ht="16.5" x14ac:dyDescent="0.25">
      <c r="A217" s="1">
        <v>45391</v>
      </c>
      <c r="B217" s="5">
        <v>14.603999999999999</v>
      </c>
      <c r="C217" s="4">
        <v>14.811999999999999</v>
      </c>
      <c r="D217" s="4">
        <v>14.837999999999999</v>
      </c>
      <c r="E217" s="4">
        <v>14.574</v>
      </c>
      <c r="F217" s="4" t="s">
        <v>1046</v>
      </c>
      <c r="G217" s="2" t="s">
        <v>1047</v>
      </c>
      <c r="I217">
        <f t="shared" si="44"/>
        <v>14.133299999999995</v>
      </c>
      <c r="J217">
        <f t="shared" si="45"/>
        <v>13.206049999999999</v>
      </c>
      <c r="L217">
        <f t="shared" si="46"/>
        <v>0</v>
      </c>
      <c r="M217">
        <f t="shared" si="47"/>
        <v>1</v>
      </c>
      <c r="O217">
        <f t="shared" si="48"/>
        <v>0</v>
      </c>
      <c r="P217">
        <f t="shared" si="49"/>
        <v>0.20800000000000018</v>
      </c>
      <c r="R217">
        <f t="shared" si="50"/>
        <v>0.1466666666666667</v>
      </c>
      <c r="S217">
        <f t="shared" si="51"/>
        <v>8.0799999999999622E-2</v>
      </c>
      <c r="U217">
        <f t="shared" si="52"/>
        <v>64.478311840562839</v>
      </c>
      <c r="AH217">
        <f t="shared" si="53"/>
        <v>1.1639420608005915</v>
      </c>
      <c r="AI217">
        <f t="shared" si="54"/>
        <v>11.55546607294955</v>
      </c>
      <c r="AJ217">
        <f t="shared" si="55"/>
        <v>16.71113392705044</v>
      </c>
      <c r="AL217" s="6">
        <f t="shared" si="56"/>
        <v>16.461184121601178</v>
      </c>
      <c r="AM217">
        <f t="shared" si="57"/>
        <v>11.805415878398811</v>
      </c>
    </row>
    <row r="218" spans="1:39" ht="16.5" x14ac:dyDescent="0.25">
      <c r="A218" s="1">
        <v>45390</v>
      </c>
      <c r="B218" s="5">
        <v>14.894</v>
      </c>
      <c r="C218" s="4">
        <v>14.768000000000001</v>
      </c>
      <c r="D218" s="4">
        <v>14.928000000000001</v>
      </c>
      <c r="E218" s="4">
        <v>14.718</v>
      </c>
      <c r="F218" s="4" t="s">
        <v>1048</v>
      </c>
      <c r="G218" s="2" t="s">
        <v>1004</v>
      </c>
      <c r="I218">
        <f t="shared" si="44"/>
        <v>14.043299999999999</v>
      </c>
      <c r="J218">
        <f t="shared" si="45"/>
        <v>13.130950000000002</v>
      </c>
      <c r="L218">
        <f t="shared" si="46"/>
        <v>1</v>
      </c>
      <c r="M218">
        <f t="shared" si="47"/>
        <v>0</v>
      </c>
      <c r="O218">
        <f t="shared" si="48"/>
        <v>0.12599999999999945</v>
      </c>
      <c r="P218">
        <f t="shared" si="49"/>
        <v>0</v>
      </c>
      <c r="R218">
        <f t="shared" si="50"/>
        <v>0.1466666666666667</v>
      </c>
      <c r="S218">
        <f t="shared" si="51"/>
        <v>5.4399999999999692E-2</v>
      </c>
      <c r="U218">
        <f t="shared" si="52"/>
        <v>72.944297082228232</v>
      </c>
      <c r="AH218">
        <f t="shared" si="53"/>
        <v>1.1506332607952463</v>
      </c>
      <c r="AI218">
        <f t="shared" si="54"/>
        <v>11.465466072949553</v>
      </c>
      <c r="AJ218">
        <f t="shared" si="55"/>
        <v>16.621133927050444</v>
      </c>
      <c r="AL218" s="6">
        <f t="shared" si="56"/>
        <v>16.34456652159049</v>
      </c>
      <c r="AM218">
        <f t="shared" si="57"/>
        <v>11.742033478409507</v>
      </c>
    </row>
    <row r="219" spans="1:39" ht="16.5" x14ac:dyDescent="0.25">
      <c r="A219" s="1">
        <v>45387</v>
      </c>
      <c r="B219" s="5">
        <v>14.762</v>
      </c>
      <c r="C219" s="4">
        <v>14.7</v>
      </c>
      <c r="D219" s="4">
        <v>14.778</v>
      </c>
      <c r="E219" s="4">
        <v>14.584</v>
      </c>
      <c r="F219" s="4" t="s">
        <v>1049</v>
      </c>
      <c r="G219" s="2" t="s">
        <v>1050</v>
      </c>
      <c r="I219">
        <f t="shared" si="44"/>
        <v>13.934199999999999</v>
      </c>
      <c r="J219">
        <f t="shared" si="45"/>
        <v>13.048950000000001</v>
      </c>
      <c r="L219">
        <f t="shared" si="46"/>
        <v>1</v>
      </c>
      <c r="M219">
        <f t="shared" si="47"/>
        <v>0</v>
      </c>
      <c r="O219">
        <f t="shared" si="48"/>
        <v>6.2000000000001165E-2</v>
      </c>
      <c r="P219">
        <f t="shared" si="49"/>
        <v>0</v>
      </c>
      <c r="R219">
        <f t="shared" si="50"/>
        <v>0.14688888888888899</v>
      </c>
      <c r="S219">
        <f t="shared" si="51"/>
        <v>5.4399999999999692E-2</v>
      </c>
      <c r="U219">
        <f t="shared" si="52"/>
        <v>72.974166482667385</v>
      </c>
      <c r="AH219">
        <f t="shared" si="53"/>
        <v>1.137816444839203</v>
      </c>
      <c r="AI219">
        <f t="shared" si="54"/>
        <v>11.356366072949555</v>
      </c>
      <c r="AJ219">
        <f t="shared" si="55"/>
        <v>16.512033927050442</v>
      </c>
      <c r="AL219" s="6">
        <f t="shared" si="56"/>
        <v>16.209832889678406</v>
      </c>
      <c r="AM219">
        <f t="shared" si="57"/>
        <v>11.658567110321593</v>
      </c>
    </row>
    <row r="220" spans="1:39" ht="16.5" x14ac:dyDescent="0.25">
      <c r="A220" s="1">
        <v>45386</v>
      </c>
      <c r="B220" s="5">
        <v>14.972</v>
      </c>
      <c r="C220" s="4">
        <v>14.922000000000001</v>
      </c>
      <c r="D220" s="4">
        <v>15.044</v>
      </c>
      <c r="E220" s="4">
        <v>14.891999999999999</v>
      </c>
      <c r="F220" s="4" t="s">
        <v>1051</v>
      </c>
      <c r="G220" s="2" t="s">
        <v>290</v>
      </c>
      <c r="I220">
        <f t="shared" si="44"/>
        <v>13.824200000000001</v>
      </c>
      <c r="J220">
        <f t="shared" si="45"/>
        <v>12.969950000000003</v>
      </c>
      <c r="L220">
        <f t="shared" si="46"/>
        <v>1</v>
      </c>
      <c r="M220">
        <f t="shared" si="47"/>
        <v>0</v>
      </c>
      <c r="O220">
        <f t="shared" si="48"/>
        <v>4.9999999999998934E-2</v>
      </c>
      <c r="P220">
        <f t="shared" si="49"/>
        <v>0</v>
      </c>
      <c r="R220">
        <f t="shared" si="50"/>
        <v>0.15749999999999997</v>
      </c>
      <c r="S220">
        <f t="shared" si="51"/>
        <v>4.7000000000000007E-2</v>
      </c>
      <c r="U220">
        <f t="shared" si="52"/>
        <v>77.01711491442542</v>
      </c>
      <c r="AH220">
        <f t="shared" si="53"/>
        <v>1.1256706372845999</v>
      </c>
      <c r="AI220">
        <f t="shared" si="54"/>
        <v>11.246366072949556</v>
      </c>
      <c r="AJ220">
        <f t="shared" si="55"/>
        <v>16.402033927050446</v>
      </c>
      <c r="AL220" s="6">
        <f t="shared" si="56"/>
        <v>16.075541274569201</v>
      </c>
      <c r="AM220">
        <f t="shared" si="57"/>
        <v>11.572858725430802</v>
      </c>
    </row>
    <row r="221" spans="1:39" ht="16.5" x14ac:dyDescent="0.25">
      <c r="A221" s="1">
        <v>45385</v>
      </c>
      <c r="B221" s="5">
        <v>14.872</v>
      </c>
      <c r="C221" s="4">
        <v>14.58</v>
      </c>
      <c r="D221" s="4">
        <v>14.916</v>
      </c>
      <c r="E221" s="4">
        <v>14.548</v>
      </c>
      <c r="F221" s="4" t="s">
        <v>1052</v>
      </c>
      <c r="G221" s="2" t="s">
        <v>1053</v>
      </c>
      <c r="I221">
        <f t="shared" si="44"/>
        <v>13.707199999999997</v>
      </c>
      <c r="J221">
        <f t="shared" si="45"/>
        <v>12.902849999999997</v>
      </c>
      <c r="L221">
        <f t="shared" si="46"/>
        <v>1</v>
      </c>
      <c r="M221">
        <f t="shared" si="47"/>
        <v>0</v>
      </c>
      <c r="O221">
        <f t="shared" si="48"/>
        <v>0.29199999999999982</v>
      </c>
      <c r="P221">
        <f t="shared" si="49"/>
        <v>0</v>
      </c>
      <c r="R221">
        <f t="shared" si="50"/>
        <v>0.17285714285714299</v>
      </c>
      <c r="S221">
        <f t="shared" si="51"/>
        <v>4.257142857142858E-2</v>
      </c>
      <c r="U221">
        <f t="shared" si="52"/>
        <v>80.23872679045094</v>
      </c>
      <c r="AH221">
        <f t="shared" si="53"/>
        <v>1.114207873336188</v>
      </c>
      <c r="AI221">
        <f t="shared" si="54"/>
        <v>11.129366072949551</v>
      </c>
      <c r="AJ221">
        <f t="shared" si="55"/>
        <v>16.285033927050442</v>
      </c>
      <c r="AL221" s="6">
        <f t="shared" si="56"/>
        <v>15.935615746672372</v>
      </c>
      <c r="AM221">
        <f t="shared" si="57"/>
        <v>11.478784253327621</v>
      </c>
    </row>
    <row r="222" spans="1:39" ht="16.5" x14ac:dyDescent="0.25">
      <c r="A222" s="1">
        <v>45384</v>
      </c>
      <c r="B222" s="5">
        <v>14.568</v>
      </c>
      <c r="C222" s="4">
        <v>14.6</v>
      </c>
      <c r="D222" s="4">
        <v>14.885999999999999</v>
      </c>
      <c r="E222" s="4">
        <v>14.48</v>
      </c>
      <c r="F222" s="4" t="s">
        <v>1054</v>
      </c>
      <c r="G222" s="2" t="s">
        <v>929</v>
      </c>
      <c r="I222">
        <f t="shared" si="44"/>
        <v>13.593399999999999</v>
      </c>
      <c r="J222">
        <f t="shared" si="45"/>
        <v>12.8429</v>
      </c>
      <c r="L222">
        <f t="shared" si="46"/>
        <v>0</v>
      </c>
      <c r="M222">
        <f t="shared" si="47"/>
        <v>1</v>
      </c>
      <c r="O222">
        <f t="shared" si="48"/>
        <v>0</v>
      </c>
      <c r="P222">
        <f t="shared" si="49"/>
        <v>3.2000000000000028E-2</v>
      </c>
      <c r="R222">
        <f t="shared" si="50"/>
        <v>0.19628571428571437</v>
      </c>
      <c r="S222">
        <f t="shared" si="51"/>
        <v>4.257142857142858E-2</v>
      </c>
      <c r="U222">
        <f t="shared" si="52"/>
        <v>82.177033492822972</v>
      </c>
      <c r="AH222">
        <f t="shared" si="53"/>
        <v>1.1034908680505944</v>
      </c>
      <c r="AI222">
        <f t="shared" si="54"/>
        <v>11.015566072949554</v>
      </c>
      <c r="AJ222">
        <f t="shared" si="55"/>
        <v>16.171233927050444</v>
      </c>
      <c r="AL222" s="6">
        <f t="shared" si="56"/>
        <v>15.800381736101187</v>
      </c>
      <c r="AM222">
        <f t="shared" si="57"/>
        <v>11.386418263898811</v>
      </c>
    </row>
    <row r="223" spans="1:39" ht="16.5" x14ac:dyDescent="0.25">
      <c r="A223" s="1">
        <v>45379</v>
      </c>
      <c r="B223" s="5">
        <v>14.582000000000001</v>
      </c>
      <c r="C223" s="4">
        <v>14.7</v>
      </c>
      <c r="D223" s="4">
        <v>14.74</v>
      </c>
      <c r="E223" s="4">
        <v>14.552</v>
      </c>
      <c r="F223" s="4" t="s">
        <v>1055</v>
      </c>
      <c r="G223" s="2" t="s">
        <v>69</v>
      </c>
      <c r="I223">
        <f t="shared" si="44"/>
        <v>13.4933</v>
      </c>
      <c r="J223">
        <f t="shared" si="45"/>
        <v>12.79935</v>
      </c>
      <c r="L223">
        <f t="shared" si="46"/>
        <v>0</v>
      </c>
      <c r="M223">
        <f t="shared" si="47"/>
        <v>1</v>
      </c>
      <c r="O223">
        <f t="shared" si="48"/>
        <v>0</v>
      </c>
      <c r="P223">
        <f t="shared" si="49"/>
        <v>0.11799999999999855</v>
      </c>
      <c r="R223">
        <f t="shared" si="50"/>
        <v>0.20924999999999994</v>
      </c>
      <c r="S223">
        <f t="shared" si="51"/>
        <v>4.4333333333333336E-2</v>
      </c>
      <c r="U223">
        <f t="shared" si="52"/>
        <v>82.517252711140316</v>
      </c>
      <c r="AH223">
        <f t="shared" si="53"/>
        <v>1.0934915682121851</v>
      </c>
      <c r="AI223">
        <f t="shared" si="54"/>
        <v>10.915466072949556</v>
      </c>
      <c r="AJ223">
        <f t="shared" si="55"/>
        <v>16.071133927050443</v>
      </c>
      <c r="AL223" s="6">
        <f t="shared" si="56"/>
        <v>15.68028313642437</v>
      </c>
      <c r="AM223">
        <f t="shared" si="57"/>
        <v>11.306316863575629</v>
      </c>
    </row>
    <row r="224" spans="1:39" ht="16.5" x14ac:dyDescent="0.25">
      <c r="A224" s="1">
        <v>45378</v>
      </c>
      <c r="B224" s="5">
        <v>14.612</v>
      </c>
      <c r="C224" s="4">
        <v>14.45</v>
      </c>
      <c r="D224" s="4">
        <v>14.778</v>
      </c>
      <c r="E224" s="4">
        <v>14.422000000000001</v>
      </c>
      <c r="F224" s="4" t="s">
        <v>1041</v>
      </c>
      <c r="G224" s="2" t="s">
        <v>1056</v>
      </c>
      <c r="I224">
        <f t="shared" si="44"/>
        <v>13.382300000000001</v>
      </c>
      <c r="J224">
        <f t="shared" si="45"/>
        <v>12.74455</v>
      </c>
      <c r="L224">
        <f t="shared" si="46"/>
        <v>1</v>
      </c>
      <c r="M224">
        <f t="shared" si="47"/>
        <v>0</v>
      </c>
      <c r="O224">
        <f t="shared" si="48"/>
        <v>0.16200000000000081</v>
      </c>
      <c r="P224">
        <f t="shared" si="49"/>
        <v>0</v>
      </c>
      <c r="R224">
        <f t="shared" si="50"/>
        <v>0.19199999999999998</v>
      </c>
      <c r="S224">
        <f t="shared" si="51"/>
        <v>2.9600000000000293E-2</v>
      </c>
      <c r="U224">
        <f t="shared" si="52"/>
        <v>86.642599277978221</v>
      </c>
      <c r="AH224">
        <f t="shared" si="53"/>
        <v>1.0840951871588953</v>
      </c>
      <c r="AI224">
        <f t="shared" si="54"/>
        <v>10.804466072949555</v>
      </c>
      <c r="AJ224">
        <f t="shared" si="55"/>
        <v>15.960133927050446</v>
      </c>
      <c r="AL224" s="6">
        <f t="shared" si="56"/>
        <v>15.550490374317791</v>
      </c>
      <c r="AM224">
        <f t="shared" si="57"/>
        <v>11.214109625682211</v>
      </c>
    </row>
    <row r="225" spans="1:39" ht="16.5" x14ac:dyDescent="0.25">
      <c r="A225" s="1">
        <v>45377</v>
      </c>
      <c r="B225" s="5">
        <v>14.23</v>
      </c>
      <c r="C225" s="4">
        <v>14.144</v>
      </c>
      <c r="D225" s="4">
        <v>14.286</v>
      </c>
      <c r="E225" s="4">
        <v>14.14</v>
      </c>
      <c r="F225" s="4" t="s">
        <v>1057</v>
      </c>
      <c r="G225" s="2" t="s">
        <v>1058</v>
      </c>
      <c r="I225">
        <f t="shared" si="44"/>
        <v>13.2715</v>
      </c>
      <c r="J225">
        <f t="shared" si="45"/>
        <v>12.680100000000001</v>
      </c>
      <c r="L225">
        <f t="shared" si="46"/>
        <v>1</v>
      </c>
      <c r="M225">
        <f t="shared" si="47"/>
        <v>0</v>
      </c>
      <c r="O225">
        <f t="shared" si="48"/>
        <v>8.6000000000000298E-2</v>
      </c>
      <c r="P225">
        <f t="shared" si="49"/>
        <v>0</v>
      </c>
      <c r="R225">
        <f t="shared" si="50"/>
        <v>0.19599999999999992</v>
      </c>
      <c r="S225">
        <f t="shared" si="51"/>
        <v>2.9600000000000293E-2</v>
      </c>
      <c r="U225">
        <f t="shared" si="52"/>
        <v>86.879432624113363</v>
      </c>
      <c r="AH225">
        <f t="shared" si="53"/>
        <v>1.0753888352353911</v>
      </c>
      <c r="AI225">
        <f t="shared" si="54"/>
        <v>10.693666072949554</v>
      </c>
      <c r="AJ225">
        <f t="shared" si="55"/>
        <v>15.849333927050445</v>
      </c>
      <c r="AL225" s="6">
        <f t="shared" si="56"/>
        <v>15.422277670470782</v>
      </c>
      <c r="AM225">
        <f t="shared" si="57"/>
        <v>11.120722329529217</v>
      </c>
    </row>
    <row r="226" spans="1:39" ht="16.5" x14ac:dyDescent="0.25">
      <c r="A226" s="1">
        <v>45376</v>
      </c>
      <c r="B226" s="5">
        <v>14.146000000000001</v>
      </c>
      <c r="C226" s="4">
        <v>14.154</v>
      </c>
      <c r="D226" s="4">
        <v>14.228</v>
      </c>
      <c r="E226" s="4">
        <v>14.093999999999999</v>
      </c>
      <c r="F226" s="4" t="s">
        <v>1059</v>
      </c>
      <c r="G226" s="2" t="s">
        <v>816</v>
      </c>
      <c r="I226">
        <f t="shared" si="44"/>
        <v>13.1792</v>
      </c>
      <c r="J226">
        <f t="shared" si="45"/>
        <v>12.626850000000001</v>
      </c>
      <c r="L226">
        <f t="shared" si="46"/>
        <v>0</v>
      </c>
      <c r="M226">
        <f t="shared" si="47"/>
        <v>1</v>
      </c>
      <c r="O226">
        <f t="shared" si="48"/>
        <v>0</v>
      </c>
      <c r="P226">
        <f t="shared" si="49"/>
        <v>7.9999999999991189E-3</v>
      </c>
      <c r="R226">
        <f t="shared" si="50"/>
        <v>0.20974999999999988</v>
      </c>
      <c r="S226">
        <f t="shared" si="51"/>
        <v>3.0333333333333694E-2</v>
      </c>
      <c r="U226">
        <f t="shared" si="52"/>
        <v>87.365498090940505</v>
      </c>
      <c r="AH226">
        <f t="shared" si="53"/>
        <v>1.0673657240264784</v>
      </c>
      <c r="AI226">
        <f t="shared" si="54"/>
        <v>10.601366072949556</v>
      </c>
      <c r="AJ226">
        <f t="shared" si="55"/>
        <v>15.757033927050443</v>
      </c>
      <c r="AL226" s="6">
        <f t="shared" si="56"/>
        <v>15.313931448052957</v>
      </c>
      <c r="AM226">
        <f t="shared" si="57"/>
        <v>11.044468551947043</v>
      </c>
    </row>
    <row r="227" spans="1:39" ht="16.5" x14ac:dyDescent="0.25">
      <c r="A227" s="1">
        <v>45373</v>
      </c>
      <c r="B227" s="5">
        <v>14.178000000000001</v>
      </c>
      <c r="C227" s="4">
        <v>13.976000000000001</v>
      </c>
      <c r="D227" s="4">
        <v>14.198</v>
      </c>
      <c r="E227" s="4">
        <v>13.958</v>
      </c>
      <c r="F227" s="4" t="s">
        <v>1060</v>
      </c>
      <c r="G227" s="2" t="s">
        <v>315</v>
      </c>
      <c r="I227">
        <f t="shared" si="44"/>
        <v>13.087000000000003</v>
      </c>
      <c r="J227">
        <f t="shared" si="45"/>
        <v>12.572600000000003</v>
      </c>
      <c r="L227">
        <f t="shared" si="46"/>
        <v>1</v>
      </c>
      <c r="M227">
        <f t="shared" si="47"/>
        <v>0</v>
      </c>
      <c r="O227">
        <f t="shared" si="48"/>
        <v>0.20199999999999996</v>
      </c>
      <c r="P227">
        <f t="shared" si="49"/>
        <v>0</v>
      </c>
      <c r="R227">
        <f t="shared" si="50"/>
        <v>0.19977777777777758</v>
      </c>
      <c r="S227">
        <f t="shared" si="51"/>
        <v>3.4800000000000608E-2</v>
      </c>
      <c r="U227">
        <f t="shared" si="52"/>
        <v>85.164835164834926</v>
      </c>
      <c r="AH227">
        <f t="shared" si="53"/>
        <v>1.0598785333346967</v>
      </c>
      <c r="AI227">
        <f t="shared" si="54"/>
        <v>10.509166072949558</v>
      </c>
      <c r="AJ227">
        <f t="shared" si="55"/>
        <v>15.664833927050449</v>
      </c>
      <c r="AL227" s="6">
        <f t="shared" si="56"/>
        <v>15.206757066669397</v>
      </c>
      <c r="AM227">
        <f t="shared" si="57"/>
        <v>10.96724293333061</v>
      </c>
    </row>
    <row r="228" spans="1:39" ht="16.5" x14ac:dyDescent="0.25">
      <c r="A228" s="1">
        <v>45372</v>
      </c>
      <c r="B228" s="5">
        <v>13.988</v>
      </c>
      <c r="C228" s="4">
        <v>13.89</v>
      </c>
      <c r="D228" s="4">
        <v>13.988</v>
      </c>
      <c r="E228" s="4">
        <v>13.79</v>
      </c>
      <c r="F228" s="4" t="s">
        <v>1061</v>
      </c>
      <c r="G228" s="2" t="s">
        <v>665</v>
      </c>
      <c r="I228">
        <f t="shared" si="44"/>
        <v>12.997600000000002</v>
      </c>
      <c r="J228">
        <f t="shared" si="45"/>
        <v>12.520150000000003</v>
      </c>
      <c r="L228">
        <f t="shared" si="46"/>
        <v>1</v>
      </c>
      <c r="M228">
        <f t="shared" si="47"/>
        <v>0</v>
      </c>
      <c r="O228">
        <f t="shared" si="48"/>
        <v>9.7999999999998977E-2</v>
      </c>
      <c r="P228">
        <f t="shared" si="49"/>
        <v>0</v>
      </c>
      <c r="R228">
        <f t="shared" si="50"/>
        <v>0.1813333333333331</v>
      </c>
      <c r="S228">
        <f t="shared" si="51"/>
        <v>3.4800000000000608E-2</v>
      </c>
      <c r="U228">
        <f t="shared" si="52"/>
        <v>83.898827884021955</v>
      </c>
      <c r="AH228">
        <f t="shared" si="53"/>
        <v>1.052923541439807</v>
      </c>
      <c r="AI228">
        <f t="shared" si="54"/>
        <v>10.419766072949557</v>
      </c>
      <c r="AJ228">
        <f t="shared" si="55"/>
        <v>15.575433927050447</v>
      </c>
      <c r="AL228" s="6">
        <f t="shared" si="56"/>
        <v>15.103447082879615</v>
      </c>
      <c r="AM228">
        <f t="shared" si="57"/>
        <v>10.891752917120389</v>
      </c>
    </row>
    <row r="229" spans="1:39" ht="16.5" x14ac:dyDescent="0.25">
      <c r="A229" s="1">
        <v>45371</v>
      </c>
      <c r="B229" s="5">
        <v>13.638</v>
      </c>
      <c r="C229" s="4">
        <v>13.676</v>
      </c>
      <c r="D229" s="4">
        <v>13.76</v>
      </c>
      <c r="E229" s="4">
        <v>13.528</v>
      </c>
      <c r="F229" s="4" t="s">
        <v>1062</v>
      </c>
      <c r="G229" s="2" t="s">
        <v>396</v>
      </c>
      <c r="I229">
        <f t="shared" si="44"/>
        <v>12.910800000000004</v>
      </c>
      <c r="J229">
        <f t="shared" si="45"/>
        <v>12.47245</v>
      </c>
      <c r="L229">
        <f t="shared" si="46"/>
        <v>0</v>
      </c>
      <c r="M229">
        <f t="shared" si="47"/>
        <v>1</v>
      </c>
      <c r="O229">
        <f t="shared" si="48"/>
        <v>0</v>
      </c>
      <c r="P229">
        <f t="shared" si="49"/>
        <v>3.8000000000000256E-2</v>
      </c>
      <c r="R229">
        <f t="shared" si="50"/>
        <v>0.18844444444444441</v>
      </c>
      <c r="S229">
        <f t="shared" si="51"/>
        <v>3.4800000000000608E-2</v>
      </c>
      <c r="U229">
        <f t="shared" si="52"/>
        <v>84.411706151701935</v>
      </c>
      <c r="AH229">
        <f t="shared" si="53"/>
        <v>1.0464763104195904</v>
      </c>
      <c r="AI229">
        <f t="shared" si="54"/>
        <v>10.33296607294956</v>
      </c>
      <c r="AJ229">
        <f t="shared" si="55"/>
        <v>15.488633927050447</v>
      </c>
      <c r="AL229" s="6">
        <f t="shared" si="56"/>
        <v>15.003752620839185</v>
      </c>
      <c r="AM229">
        <f t="shared" si="57"/>
        <v>10.817847379160822</v>
      </c>
    </row>
    <row r="230" spans="1:39" ht="16.5" x14ac:dyDescent="0.25">
      <c r="A230" s="1">
        <v>45370</v>
      </c>
      <c r="B230" s="5">
        <v>13.736000000000001</v>
      </c>
      <c r="C230" s="4">
        <v>13.494</v>
      </c>
      <c r="D230" s="4">
        <v>13.853999999999999</v>
      </c>
      <c r="E230" s="4">
        <v>13.48</v>
      </c>
      <c r="F230" s="4" t="s">
        <v>1063</v>
      </c>
      <c r="G230" s="2" t="s">
        <v>34</v>
      </c>
      <c r="I230">
        <f t="shared" si="44"/>
        <v>12.8286</v>
      </c>
      <c r="J230">
        <f t="shared" si="45"/>
        <v>12.435599999999999</v>
      </c>
      <c r="L230">
        <f t="shared" si="46"/>
        <v>1</v>
      </c>
      <c r="M230">
        <f t="shared" si="47"/>
        <v>0</v>
      </c>
      <c r="O230">
        <f t="shared" si="48"/>
        <v>0.24200000000000088</v>
      </c>
      <c r="P230">
        <f t="shared" si="49"/>
        <v>0</v>
      </c>
      <c r="R230">
        <f t="shared" si="50"/>
        <v>0.18844444444444441</v>
      </c>
      <c r="S230">
        <f t="shared" si="51"/>
        <v>2.9200000000000514E-2</v>
      </c>
      <c r="U230">
        <f t="shared" si="52"/>
        <v>86.583622626097409</v>
      </c>
      <c r="AH230">
        <f t="shared" si="53"/>
        <v>1.0405139193759372</v>
      </c>
      <c r="AI230">
        <f t="shared" si="54"/>
        <v>10.250766072949556</v>
      </c>
      <c r="AJ230">
        <f t="shared" si="55"/>
        <v>15.406433927050443</v>
      </c>
      <c r="AL230" s="6">
        <f t="shared" si="56"/>
        <v>14.909627838751874</v>
      </c>
      <c r="AM230">
        <f t="shared" si="57"/>
        <v>10.747572161248126</v>
      </c>
    </row>
    <row r="231" spans="1:39" ht="16.5" x14ac:dyDescent="0.25">
      <c r="A231" s="1">
        <v>45369</v>
      </c>
      <c r="B231" s="5">
        <v>13.506</v>
      </c>
      <c r="C231" s="4">
        <v>13.582000000000001</v>
      </c>
      <c r="D231" s="4">
        <v>13.635999999999999</v>
      </c>
      <c r="E231" s="4">
        <v>13.384</v>
      </c>
      <c r="F231" s="4" t="s">
        <v>1064</v>
      </c>
      <c r="G231" s="2" t="s">
        <v>253</v>
      </c>
      <c r="I231">
        <f t="shared" si="44"/>
        <v>12.739500000000003</v>
      </c>
      <c r="J231">
        <f t="shared" si="45"/>
        <v>12.3919</v>
      </c>
      <c r="L231">
        <f t="shared" si="46"/>
        <v>0</v>
      </c>
      <c r="M231">
        <f t="shared" si="47"/>
        <v>1</v>
      </c>
      <c r="O231">
        <f t="shared" si="48"/>
        <v>0</v>
      </c>
      <c r="P231">
        <f t="shared" si="49"/>
        <v>7.6000000000000512E-2</v>
      </c>
      <c r="R231">
        <f t="shared" si="50"/>
        <v>0.18174999999999986</v>
      </c>
      <c r="S231">
        <f t="shared" si="51"/>
        <v>2.6333333333333542E-2</v>
      </c>
      <c r="U231">
        <f t="shared" si="52"/>
        <v>87.344813776531737</v>
      </c>
      <c r="AH231">
        <f t="shared" si="53"/>
        <v>1.0349998452316163</v>
      </c>
      <c r="AI231">
        <f t="shared" si="54"/>
        <v>10.161666072949558</v>
      </c>
      <c r="AJ231">
        <f t="shared" si="55"/>
        <v>15.317333927050448</v>
      </c>
      <c r="AL231" s="6">
        <f t="shared" si="56"/>
        <v>14.809499690463236</v>
      </c>
      <c r="AM231">
        <f t="shared" si="57"/>
        <v>10.669500309536771</v>
      </c>
    </row>
    <row r="232" spans="1:39" ht="16.5" x14ac:dyDescent="0.25">
      <c r="A232" s="1">
        <v>45366</v>
      </c>
      <c r="B232" s="5">
        <v>13.628</v>
      </c>
      <c r="C232" s="4">
        <v>13.5</v>
      </c>
      <c r="D232" s="4">
        <v>13.794</v>
      </c>
      <c r="E232" s="4">
        <v>13.484</v>
      </c>
      <c r="F232" s="4" t="s">
        <v>1065</v>
      </c>
      <c r="G232" s="2" t="s">
        <v>825</v>
      </c>
      <c r="I232">
        <f t="shared" si="44"/>
        <v>12.664000000000001</v>
      </c>
      <c r="J232">
        <f t="shared" si="45"/>
        <v>12.35275</v>
      </c>
      <c r="L232">
        <f t="shared" si="46"/>
        <v>1</v>
      </c>
      <c r="M232">
        <f t="shared" si="47"/>
        <v>0</v>
      </c>
      <c r="O232">
        <f t="shared" si="48"/>
        <v>0.12800000000000011</v>
      </c>
      <c r="P232">
        <f t="shared" si="49"/>
        <v>0</v>
      </c>
      <c r="R232">
        <f t="shared" si="50"/>
        <v>0.17644444444444435</v>
      </c>
      <c r="S232">
        <f t="shared" si="51"/>
        <v>1.6400000000000147E-2</v>
      </c>
      <c r="U232">
        <f t="shared" si="52"/>
        <v>91.495736344779829</v>
      </c>
      <c r="AH232">
        <f t="shared" si="53"/>
        <v>1.0299752999342355</v>
      </c>
      <c r="AI232">
        <f t="shared" si="54"/>
        <v>10.086166072949556</v>
      </c>
      <c r="AJ232">
        <f t="shared" si="55"/>
        <v>15.241833927050447</v>
      </c>
      <c r="AL232" s="6">
        <f t="shared" si="56"/>
        <v>14.723950599868473</v>
      </c>
      <c r="AM232">
        <f t="shared" si="57"/>
        <v>10.60404940013153</v>
      </c>
    </row>
    <row r="233" spans="1:39" ht="16.5" x14ac:dyDescent="0.25">
      <c r="A233" s="1">
        <v>45365</v>
      </c>
      <c r="B233" s="5">
        <v>13.54</v>
      </c>
      <c r="C233" s="4">
        <v>13.55</v>
      </c>
      <c r="D233" s="4">
        <v>13.712</v>
      </c>
      <c r="E233" s="4">
        <v>13.433999999999999</v>
      </c>
      <c r="F233" s="4" t="s">
        <v>1066</v>
      </c>
      <c r="G233" s="2" t="s">
        <v>296</v>
      </c>
      <c r="I233">
        <f t="shared" si="44"/>
        <v>12.581700000000001</v>
      </c>
      <c r="J233">
        <f t="shared" si="45"/>
        <v>12.307350000000001</v>
      </c>
      <c r="L233">
        <f t="shared" si="46"/>
        <v>0</v>
      </c>
      <c r="M233">
        <f t="shared" si="47"/>
        <v>1</v>
      </c>
      <c r="O233">
        <f t="shared" si="48"/>
        <v>0</v>
      </c>
      <c r="P233">
        <f t="shared" si="49"/>
        <v>1.0000000000001563E-2</v>
      </c>
      <c r="R233">
        <f t="shared" si="50"/>
        <v>0.18249999999999988</v>
      </c>
      <c r="S233">
        <f t="shared" si="51"/>
        <v>2.500000000000006E-2</v>
      </c>
      <c r="U233">
        <f t="shared" si="52"/>
        <v>87.951807228915627</v>
      </c>
      <c r="AH233">
        <f t="shared" si="53"/>
        <v>1.0253445337158669</v>
      </c>
      <c r="AI233">
        <f t="shared" si="54"/>
        <v>10.003866072949556</v>
      </c>
      <c r="AJ233">
        <f t="shared" si="55"/>
        <v>15.159533927050447</v>
      </c>
      <c r="AL233" s="6">
        <f t="shared" si="56"/>
        <v>14.632389067431735</v>
      </c>
      <c r="AM233">
        <f t="shared" si="57"/>
        <v>10.531010932568268</v>
      </c>
    </row>
    <row r="234" spans="1:39" ht="16.5" x14ac:dyDescent="0.25">
      <c r="A234" s="1">
        <v>45364</v>
      </c>
      <c r="B234" s="5">
        <v>13.584</v>
      </c>
      <c r="C234" s="4">
        <v>13.6</v>
      </c>
      <c r="D234" s="4">
        <v>13.746</v>
      </c>
      <c r="E234" s="4">
        <v>13.528</v>
      </c>
      <c r="F234" s="4" t="s">
        <v>1067</v>
      </c>
      <c r="G234" s="2" t="s">
        <v>406</v>
      </c>
      <c r="I234">
        <f t="shared" si="44"/>
        <v>12.505300000000004</v>
      </c>
      <c r="J234">
        <f t="shared" si="45"/>
        <v>12.2666</v>
      </c>
      <c r="L234">
        <f t="shared" si="46"/>
        <v>0</v>
      </c>
      <c r="M234">
        <f t="shared" si="47"/>
        <v>1</v>
      </c>
      <c r="O234">
        <f t="shared" si="48"/>
        <v>0</v>
      </c>
      <c r="P234">
        <f t="shared" si="49"/>
        <v>1.6000000000000014E-2</v>
      </c>
      <c r="R234">
        <f t="shared" si="50"/>
        <v>0.17533333333333326</v>
      </c>
      <c r="S234">
        <f t="shared" si="51"/>
        <v>2.7999999999999758E-2</v>
      </c>
      <c r="U234">
        <f t="shared" si="52"/>
        <v>86.229508196721412</v>
      </c>
      <c r="AH234">
        <f t="shared" si="53"/>
        <v>1.0211455550978885</v>
      </c>
      <c r="AI234">
        <f t="shared" si="54"/>
        <v>9.9274660729495601</v>
      </c>
      <c r="AJ234">
        <f t="shared" si="55"/>
        <v>15.083133927050447</v>
      </c>
      <c r="AL234" s="6">
        <f t="shared" si="56"/>
        <v>14.54759111019578</v>
      </c>
      <c r="AM234">
        <f t="shared" si="57"/>
        <v>10.463008889804227</v>
      </c>
    </row>
    <row r="235" spans="1:39" ht="16.5" x14ac:dyDescent="0.25">
      <c r="A235" s="1">
        <v>45363</v>
      </c>
      <c r="B235" s="5">
        <v>13.616</v>
      </c>
      <c r="C235" s="4">
        <v>13.16</v>
      </c>
      <c r="D235" s="4">
        <v>13.704000000000001</v>
      </c>
      <c r="E235" s="4">
        <v>13.13</v>
      </c>
      <c r="F235" s="4" t="s">
        <v>1068</v>
      </c>
      <c r="G235" s="2" t="s">
        <v>1069</v>
      </c>
      <c r="I235">
        <f t="shared" si="44"/>
        <v>12.422600000000001</v>
      </c>
      <c r="J235">
        <f t="shared" si="45"/>
        <v>12.2227</v>
      </c>
      <c r="L235">
        <f t="shared" si="46"/>
        <v>1</v>
      </c>
      <c r="M235">
        <f t="shared" si="47"/>
        <v>0</v>
      </c>
      <c r="O235">
        <f t="shared" si="48"/>
        <v>0.45599999999999952</v>
      </c>
      <c r="P235">
        <f t="shared" si="49"/>
        <v>0</v>
      </c>
      <c r="R235">
        <f t="shared" si="50"/>
        <v>0.17300000000000004</v>
      </c>
      <c r="S235">
        <f t="shared" si="51"/>
        <v>3.0999999999999694E-2</v>
      </c>
      <c r="U235">
        <f t="shared" si="52"/>
        <v>84.803921568627587</v>
      </c>
      <c r="AH235">
        <f t="shared" si="53"/>
        <v>1.0173348143497638</v>
      </c>
      <c r="AI235">
        <f t="shared" si="54"/>
        <v>9.8447660729495574</v>
      </c>
      <c r="AJ235">
        <f t="shared" si="55"/>
        <v>15.000433927050445</v>
      </c>
      <c r="AL235" s="6">
        <f t="shared" si="56"/>
        <v>14.457269628699528</v>
      </c>
      <c r="AM235">
        <f t="shared" si="57"/>
        <v>10.387930371300474</v>
      </c>
    </row>
    <row r="236" spans="1:39" ht="16.5" x14ac:dyDescent="0.25">
      <c r="A236" s="1">
        <v>45362</v>
      </c>
      <c r="B236" s="5">
        <v>13.01</v>
      </c>
      <c r="C236" s="4">
        <v>12.71</v>
      </c>
      <c r="D236" s="4">
        <v>13.054</v>
      </c>
      <c r="E236" s="4">
        <v>12.696</v>
      </c>
      <c r="F236" s="4" t="s">
        <v>957</v>
      </c>
      <c r="G236" s="2" t="s">
        <v>276</v>
      </c>
      <c r="I236">
        <f t="shared" si="44"/>
        <v>12.335600000000003</v>
      </c>
      <c r="J236">
        <f t="shared" si="45"/>
        <v>12.1792</v>
      </c>
      <c r="L236">
        <f t="shared" si="46"/>
        <v>1</v>
      </c>
      <c r="M236">
        <f t="shared" si="47"/>
        <v>0</v>
      </c>
      <c r="O236">
        <f t="shared" si="48"/>
        <v>0.29999999999999893</v>
      </c>
      <c r="P236">
        <f t="shared" si="49"/>
        <v>0</v>
      </c>
      <c r="R236">
        <f t="shared" si="50"/>
        <v>0.12940000000000004</v>
      </c>
      <c r="S236">
        <f t="shared" si="51"/>
        <v>3.0999999999999694E-2</v>
      </c>
      <c r="U236">
        <f t="shared" si="52"/>
        <v>80.673316708229578</v>
      </c>
      <c r="AH236">
        <f t="shared" si="53"/>
        <v>1.0139426610303637</v>
      </c>
      <c r="AI236">
        <f t="shared" si="54"/>
        <v>9.7577660729495577</v>
      </c>
      <c r="AJ236">
        <f t="shared" si="55"/>
        <v>14.913433927050448</v>
      </c>
      <c r="AL236" s="6">
        <f t="shared" si="56"/>
        <v>14.363485322060731</v>
      </c>
      <c r="AM236">
        <f t="shared" si="57"/>
        <v>10.307714677939275</v>
      </c>
    </row>
    <row r="237" spans="1:39" ht="16.5" x14ac:dyDescent="0.25">
      <c r="A237" s="1">
        <v>45359</v>
      </c>
      <c r="B237" s="5">
        <v>12.804</v>
      </c>
      <c r="C237" s="4">
        <v>12.75</v>
      </c>
      <c r="D237" s="4">
        <v>12.875999999999999</v>
      </c>
      <c r="E237" s="4">
        <v>12.724</v>
      </c>
      <c r="F237" s="4" t="s">
        <v>1070</v>
      </c>
      <c r="G237" s="2" t="s">
        <v>1071</v>
      </c>
      <c r="I237">
        <f t="shared" si="44"/>
        <v>12.278800000000002</v>
      </c>
      <c r="J237">
        <f t="shared" si="45"/>
        <v>12.152399999999998</v>
      </c>
      <c r="L237">
        <f t="shared" si="46"/>
        <v>1</v>
      </c>
      <c r="M237">
        <f t="shared" si="47"/>
        <v>0</v>
      </c>
      <c r="O237">
        <f t="shared" si="48"/>
        <v>5.400000000000027E-2</v>
      </c>
      <c r="P237">
        <f t="shared" si="49"/>
        <v>0</v>
      </c>
      <c r="R237">
        <f t="shared" si="50"/>
        <v>0.11044444444444462</v>
      </c>
      <c r="S237">
        <f t="shared" si="51"/>
        <v>2.7599999999999625E-2</v>
      </c>
      <c r="U237">
        <f t="shared" si="52"/>
        <v>80.006439150032435</v>
      </c>
      <c r="AH237">
        <f t="shared" si="53"/>
        <v>1.0109835418246542</v>
      </c>
      <c r="AI237">
        <f t="shared" si="54"/>
        <v>9.7009660729495586</v>
      </c>
      <c r="AJ237">
        <f t="shared" si="55"/>
        <v>14.856633927050446</v>
      </c>
      <c r="AL237" s="6">
        <f t="shared" si="56"/>
        <v>14.30076708364931</v>
      </c>
      <c r="AM237">
        <f t="shared" si="57"/>
        <v>10.256832916350694</v>
      </c>
    </row>
    <row r="238" spans="1:39" ht="16.5" x14ac:dyDescent="0.25">
      <c r="A238" s="1">
        <v>45358</v>
      </c>
      <c r="B238" s="5">
        <v>12.712</v>
      </c>
      <c r="C238" s="4">
        <v>12.513999999999999</v>
      </c>
      <c r="D238" s="4">
        <v>12.742000000000001</v>
      </c>
      <c r="E238" s="4">
        <v>12.51</v>
      </c>
      <c r="F238" s="4" t="s">
        <v>789</v>
      </c>
      <c r="G238" s="2" t="s">
        <v>1072</v>
      </c>
      <c r="I238">
        <f t="shared" si="44"/>
        <v>12.2186</v>
      </c>
      <c r="J238">
        <f t="shared" si="45"/>
        <v>12.13355</v>
      </c>
      <c r="L238">
        <f t="shared" si="46"/>
        <v>1</v>
      </c>
      <c r="M238">
        <f t="shared" si="47"/>
        <v>0</v>
      </c>
      <c r="O238">
        <f t="shared" si="48"/>
        <v>0.1980000000000004</v>
      </c>
      <c r="P238">
        <f t="shared" si="49"/>
        <v>0</v>
      </c>
      <c r="R238">
        <f t="shared" si="50"/>
        <v>0.11750000000000016</v>
      </c>
      <c r="S238">
        <f t="shared" si="51"/>
        <v>2.4999999999999467E-2</v>
      </c>
      <c r="U238">
        <f t="shared" si="52"/>
        <v>82.456140350877519</v>
      </c>
      <c r="AH238">
        <f t="shared" si="53"/>
        <v>1.0082806574285073</v>
      </c>
      <c r="AI238">
        <f t="shared" si="54"/>
        <v>9.6407660729495568</v>
      </c>
      <c r="AJ238">
        <f t="shared" si="55"/>
        <v>14.796433927050444</v>
      </c>
      <c r="AL238" s="6">
        <f t="shared" si="56"/>
        <v>14.235161314857015</v>
      </c>
      <c r="AM238">
        <f t="shared" si="57"/>
        <v>10.202038685142986</v>
      </c>
    </row>
    <row r="239" spans="1:39" ht="16.5" x14ac:dyDescent="0.25">
      <c r="A239" s="1">
        <v>45357</v>
      </c>
      <c r="B239" s="5">
        <v>12.561999999999999</v>
      </c>
      <c r="C239" s="4">
        <v>12.596</v>
      </c>
      <c r="D239" s="4">
        <v>12.696</v>
      </c>
      <c r="E239" s="4">
        <v>12.456</v>
      </c>
      <c r="F239" s="4" t="s">
        <v>1073</v>
      </c>
      <c r="G239" s="2" t="s">
        <v>1074</v>
      </c>
      <c r="I239">
        <f t="shared" si="44"/>
        <v>12.163700000000002</v>
      </c>
      <c r="J239">
        <f t="shared" si="45"/>
        <v>12.120749999999999</v>
      </c>
      <c r="L239">
        <f t="shared" si="46"/>
        <v>0</v>
      </c>
      <c r="M239">
        <f t="shared" si="47"/>
        <v>1</v>
      </c>
      <c r="O239">
        <f t="shared" si="48"/>
        <v>0</v>
      </c>
      <c r="P239">
        <f t="shared" si="49"/>
        <v>3.4000000000000696E-2</v>
      </c>
      <c r="R239">
        <f t="shared" si="50"/>
        <v>0.10600000000000012</v>
      </c>
      <c r="S239">
        <f t="shared" si="51"/>
        <v>3.6857142857142478E-2</v>
      </c>
      <c r="U239">
        <f t="shared" si="52"/>
        <v>74.200000000000216</v>
      </c>
      <c r="AH239">
        <f t="shared" si="53"/>
        <v>1.0058488561777912</v>
      </c>
      <c r="AI239">
        <f t="shared" si="54"/>
        <v>9.5858660729495568</v>
      </c>
      <c r="AJ239">
        <f t="shared" si="55"/>
        <v>14.741533927050448</v>
      </c>
      <c r="AL239" s="6">
        <f t="shared" si="56"/>
        <v>14.175397712355585</v>
      </c>
      <c r="AM239">
        <f t="shared" si="57"/>
        <v>10.15200228764442</v>
      </c>
    </row>
    <row r="240" spans="1:39" ht="16.5" x14ac:dyDescent="0.25">
      <c r="A240" s="1">
        <v>45356</v>
      </c>
      <c r="B240" s="5">
        <v>12.632</v>
      </c>
      <c r="C240" s="4">
        <v>12.512</v>
      </c>
      <c r="D240" s="4">
        <v>12.688000000000001</v>
      </c>
      <c r="E240" s="4">
        <v>12.384</v>
      </c>
      <c r="F240" s="4" t="s">
        <v>1075</v>
      </c>
      <c r="G240" s="2" t="s">
        <v>1076</v>
      </c>
      <c r="I240">
        <f t="shared" si="44"/>
        <v>12.1157</v>
      </c>
      <c r="J240">
        <f t="shared" si="45"/>
        <v>12.125449999999999</v>
      </c>
      <c r="L240">
        <f t="shared" si="46"/>
        <v>1</v>
      </c>
      <c r="M240">
        <f t="shared" si="47"/>
        <v>0</v>
      </c>
      <c r="O240">
        <f t="shared" si="48"/>
        <v>0.11999999999999922</v>
      </c>
      <c r="P240">
        <f t="shared" si="49"/>
        <v>0</v>
      </c>
      <c r="R240">
        <f t="shared" si="50"/>
        <v>9.550000000000014E-2</v>
      </c>
      <c r="S240">
        <f t="shared" si="51"/>
        <v>3.7333333333332774E-2</v>
      </c>
      <c r="U240">
        <f t="shared" si="52"/>
        <v>71.894604767879883</v>
      </c>
      <c r="AH240">
        <f t="shared" si="53"/>
        <v>1.0036560961916501</v>
      </c>
      <c r="AI240">
        <f t="shared" si="54"/>
        <v>9.537866072949555</v>
      </c>
      <c r="AJ240">
        <f t="shared" si="55"/>
        <v>14.693533927050446</v>
      </c>
      <c r="AL240" s="6">
        <f t="shared" si="56"/>
        <v>14.1230121923833</v>
      </c>
      <c r="AM240">
        <f t="shared" si="57"/>
        <v>10.108387807616701</v>
      </c>
    </row>
    <row r="241" spans="1:39" ht="16.5" x14ac:dyDescent="0.25">
      <c r="A241" s="1">
        <v>45355</v>
      </c>
      <c r="B241" s="5">
        <v>12.596</v>
      </c>
      <c r="C241" s="4">
        <v>12.56</v>
      </c>
      <c r="D241" s="4">
        <v>12.618</v>
      </c>
      <c r="E241" s="4">
        <v>12.401999999999999</v>
      </c>
      <c r="F241" s="4" t="s">
        <v>1077</v>
      </c>
      <c r="G241" s="2" t="s">
        <v>662</v>
      </c>
      <c r="I241">
        <f t="shared" si="44"/>
        <v>12.098500000000001</v>
      </c>
      <c r="J241">
        <f t="shared" si="45"/>
        <v>12.127149999999999</v>
      </c>
      <c r="L241">
        <f t="shared" si="46"/>
        <v>1</v>
      </c>
      <c r="M241">
        <f t="shared" si="47"/>
        <v>0</v>
      </c>
      <c r="O241">
        <f t="shared" si="48"/>
        <v>3.5999999999999588E-2</v>
      </c>
      <c r="P241">
        <f t="shared" si="49"/>
        <v>0</v>
      </c>
      <c r="R241">
        <f t="shared" si="50"/>
        <v>9.1250000000000275E-2</v>
      </c>
      <c r="S241">
        <f t="shared" si="51"/>
        <v>3.7333333333332774E-2</v>
      </c>
      <c r="U241">
        <f t="shared" si="52"/>
        <v>70.96565132858106</v>
      </c>
      <c r="AH241">
        <f t="shared" si="53"/>
        <v>1.0016638336138257</v>
      </c>
      <c r="AI241">
        <f t="shared" si="54"/>
        <v>9.520666072949556</v>
      </c>
      <c r="AJ241">
        <f t="shared" si="55"/>
        <v>14.676333927050447</v>
      </c>
      <c r="AL241" s="6">
        <f t="shared" si="56"/>
        <v>14.101827667227653</v>
      </c>
      <c r="AM241">
        <f t="shared" si="57"/>
        <v>10.09517233277235</v>
      </c>
    </row>
    <row r="242" spans="1:39" ht="16.5" x14ac:dyDescent="0.25">
      <c r="A242" s="1">
        <v>45352</v>
      </c>
      <c r="B242" s="5">
        <v>12.566000000000001</v>
      </c>
      <c r="C242" s="4">
        <v>12.404</v>
      </c>
      <c r="D242" s="4">
        <v>12.598000000000001</v>
      </c>
      <c r="E242" s="4">
        <v>12.284000000000001</v>
      </c>
      <c r="F242" s="4" t="s">
        <v>1078</v>
      </c>
      <c r="G242" s="2" t="s">
        <v>1079</v>
      </c>
      <c r="I242">
        <f t="shared" si="44"/>
        <v>12.0924</v>
      </c>
      <c r="J242">
        <f t="shared" si="45"/>
        <v>12.130049999999997</v>
      </c>
      <c r="L242">
        <f t="shared" si="46"/>
        <v>1</v>
      </c>
      <c r="M242">
        <f t="shared" si="47"/>
        <v>0</v>
      </c>
      <c r="O242">
        <f t="shared" si="48"/>
        <v>0.16200000000000081</v>
      </c>
      <c r="P242">
        <f t="shared" si="49"/>
        <v>0</v>
      </c>
      <c r="R242">
        <f t="shared" si="50"/>
        <v>9.9142857142857518E-2</v>
      </c>
      <c r="S242">
        <f t="shared" si="51"/>
        <v>3.5999999999999588E-2</v>
      </c>
      <c r="U242">
        <f t="shared" si="52"/>
        <v>73.361522198731805</v>
      </c>
      <c r="AH242">
        <f t="shared" si="53"/>
        <v>0.99971547690828533</v>
      </c>
      <c r="AI242">
        <f t="shared" si="54"/>
        <v>9.514566072949556</v>
      </c>
      <c r="AJ242">
        <f t="shared" si="55"/>
        <v>14.670233927050443</v>
      </c>
      <c r="AL242" s="6">
        <f t="shared" si="56"/>
        <v>14.09183095381657</v>
      </c>
      <c r="AM242">
        <f t="shared" si="57"/>
        <v>10.092969046183429</v>
      </c>
    </row>
    <row r="243" spans="1:39" ht="16.5" x14ac:dyDescent="0.25">
      <c r="A243" s="1">
        <v>45351</v>
      </c>
      <c r="B243" s="5">
        <v>12.362</v>
      </c>
      <c r="C243" s="4">
        <v>12.372</v>
      </c>
      <c r="D243" s="4">
        <v>12.456</v>
      </c>
      <c r="E243" s="4">
        <v>12.346</v>
      </c>
      <c r="F243" s="4" t="s">
        <v>933</v>
      </c>
      <c r="G243" s="2" t="s">
        <v>544</v>
      </c>
      <c r="I243">
        <f t="shared" si="44"/>
        <v>12.105399999999999</v>
      </c>
      <c r="J243">
        <f t="shared" si="45"/>
        <v>12.130099999999997</v>
      </c>
      <c r="L243">
        <f t="shared" si="46"/>
        <v>0</v>
      </c>
      <c r="M243">
        <f t="shared" si="47"/>
        <v>1</v>
      </c>
      <c r="O243">
        <f t="shared" si="48"/>
        <v>0</v>
      </c>
      <c r="P243">
        <f t="shared" si="49"/>
        <v>9.9999999999997868E-3</v>
      </c>
      <c r="R243">
        <f t="shared" si="50"/>
        <v>0.10800000000000029</v>
      </c>
      <c r="S243">
        <f t="shared" si="51"/>
        <v>3.5999999999999588E-2</v>
      </c>
      <c r="U243">
        <f t="shared" si="52"/>
        <v>75.00000000000027</v>
      </c>
      <c r="AH243">
        <f t="shared" si="53"/>
        <v>0.99775517301728889</v>
      </c>
      <c r="AI243">
        <f t="shared" si="54"/>
        <v>9.5275660729495542</v>
      </c>
      <c r="AJ243">
        <f t="shared" si="55"/>
        <v>14.683233927050445</v>
      </c>
      <c r="AL243" s="6">
        <f t="shared" si="56"/>
        <v>14.100910346034578</v>
      </c>
      <c r="AM243">
        <f t="shared" si="57"/>
        <v>10.109889653965421</v>
      </c>
    </row>
    <row r="244" spans="1:39" ht="16.5" x14ac:dyDescent="0.25">
      <c r="A244" s="1">
        <v>45350</v>
      </c>
      <c r="B244" s="5">
        <v>12.396000000000001</v>
      </c>
      <c r="C244" s="4">
        <v>12.407999999999999</v>
      </c>
      <c r="D244" s="4">
        <v>12.436</v>
      </c>
      <c r="E244" s="4">
        <v>12.324</v>
      </c>
      <c r="F244" s="4" t="s">
        <v>1080</v>
      </c>
      <c r="G244" s="2" t="s">
        <v>180</v>
      </c>
      <c r="I244">
        <f t="shared" si="44"/>
        <v>12.106799999999998</v>
      </c>
      <c r="J244">
        <f t="shared" si="45"/>
        <v>12.134049999999997</v>
      </c>
      <c r="L244">
        <f t="shared" si="46"/>
        <v>0</v>
      </c>
      <c r="M244">
        <f t="shared" si="47"/>
        <v>1</v>
      </c>
      <c r="O244">
        <f t="shared" si="48"/>
        <v>0</v>
      </c>
      <c r="P244">
        <f t="shared" si="49"/>
        <v>1.1999999999998678E-2</v>
      </c>
      <c r="R244">
        <f t="shared" si="50"/>
        <v>0.10800000000000029</v>
      </c>
      <c r="S244">
        <f t="shared" si="51"/>
        <v>3.5999999999999588E-2</v>
      </c>
      <c r="U244">
        <f t="shared" si="52"/>
        <v>75.00000000000027</v>
      </c>
      <c r="AH244">
        <f t="shared" si="53"/>
        <v>0.99568447523274595</v>
      </c>
      <c r="AI244">
        <f t="shared" si="54"/>
        <v>9.5289660729495544</v>
      </c>
      <c r="AJ244">
        <f t="shared" si="55"/>
        <v>14.684633927050442</v>
      </c>
      <c r="AL244" s="6">
        <f t="shared" si="56"/>
        <v>14.098168950465491</v>
      </c>
      <c r="AM244">
        <f t="shared" si="57"/>
        <v>10.115431049534505</v>
      </c>
    </row>
    <row r="245" spans="1:39" ht="16.5" x14ac:dyDescent="0.25">
      <c r="A245" s="1">
        <v>45349</v>
      </c>
      <c r="B245" s="5">
        <v>12.384</v>
      </c>
      <c r="C245" s="4">
        <v>12.25</v>
      </c>
      <c r="D245" s="4">
        <v>12.414</v>
      </c>
      <c r="E245" s="4">
        <v>12.146000000000001</v>
      </c>
      <c r="F245" s="4" t="s">
        <v>994</v>
      </c>
      <c r="G245" s="2" t="s">
        <v>290</v>
      </c>
      <c r="I245">
        <f t="shared" si="44"/>
        <v>12.088699999999999</v>
      </c>
      <c r="J245">
        <f t="shared" si="45"/>
        <v>12.130399999999998</v>
      </c>
      <c r="L245">
        <f t="shared" si="46"/>
        <v>1</v>
      </c>
      <c r="M245">
        <f t="shared" si="47"/>
        <v>0</v>
      </c>
      <c r="O245">
        <f t="shared" si="48"/>
        <v>0.13400000000000034</v>
      </c>
      <c r="P245">
        <f t="shared" si="49"/>
        <v>0</v>
      </c>
      <c r="R245">
        <f t="shared" si="50"/>
        <v>0.10800000000000029</v>
      </c>
      <c r="S245">
        <f t="shared" si="51"/>
        <v>4.0285714285714036E-2</v>
      </c>
      <c r="U245">
        <f t="shared" si="52"/>
        <v>72.832369942196706</v>
      </c>
      <c r="AH245">
        <f t="shared" si="53"/>
        <v>0.99356088731068548</v>
      </c>
      <c r="AI245">
        <f t="shared" si="54"/>
        <v>9.510866072949554</v>
      </c>
      <c r="AJ245">
        <f t="shared" si="55"/>
        <v>14.666533927050445</v>
      </c>
      <c r="AL245" s="6">
        <f t="shared" si="56"/>
        <v>14.075821774621371</v>
      </c>
      <c r="AM245">
        <f t="shared" si="57"/>
        <v>10.101578225378628</v>
      </c>
    </row>
    <row r="246" spans="1:39" ht="16.5" x14ac:dyDescent="0.25">
      <c r="A246" s="1">
        <v>45348</v>
      </c>
      <c r="B246" s="5">
        <v>12.302</v>
      </c>
      <c r="C246" s="4">
        <v>12.37</v>
      </c>
      <c r="D246" s="4">
        <v>12.42</v>
      </c>
      <c r="E246" s="4">
        <v>12.276</v>
      </c>
      <c r="F246" s="4" t="s">
        <v>1081</v>
      </c>
      <c r="G246" s="2" t="s">
        <v>396</v>
      </c>
      <c r="I246">
        <f t="shared" si="44"/>
        <v>12.074499999999999</v>
      </c>
      <c r="J246">
        <f t="shared" si="45"/>
        <v>12.132849999999996</v>
      </c>
      <c r="L246">
        <f t="shared" si="46"/>
        <v>0</v>
      </c>
      <c r="M246">
        <f t="shared" si="47"/>
        <v>1</v>
      </c>
      <c r="O246">
        <f t="shared" si="48"/>
        <v>0</v>
      </c>
      <c r="P246">
        <f t="shared" si="49"/>
        <v>6.7999999999999616E-2</v>
      </c>
      <c r="R246">
        <f t="shared" si="50"/>
        <v>0.10366666666666695</v>
      </c>
      <c r="S246">
        <f t="shared" si="51"/>
        <v>0.11749999999999972</v>
      </c>
      <c r="U246">
        <f t="shared" si="52"/>
        <v>46.872645064054389</v>
      </c>
      <c r="AH246">
        <f t="shared" si="53"/>
        <v>0.99148550023258109</v>
      </c>
      <c r="AI246">
        <f t="shared" si="54"/>
        <v>9.4966660729495551</v>
      </c>
      <c r="AJ246">
        <f t="shared" si="55"/>
        <v>14.652333927050442</v>
      </c>
      <c r="AL246" s="6">
        <f t="shared" si="56"/>
        <v>14.05747100046516</v>
      </c>
      <c r="AM246">
        <f t="shared" si="57"/>
        <v>10.091528999534837</v>
      </c>
    </row>
    <row r="247" spans="1:39" ht="16.5" x14ac:dyDescent="0.25">
      <c r="A247" s="1">
        <v>45345</v>
      </c>
      <c r="B247" s="5">
        <v>12.39</v>
      </c>
      <c r="C247" s="4">
        <v>12.272</v>
      </c>
      <c r="D247" s="4">
        <v>12.432</v>
      </c>
      <c r="E247" s="4">
        <v>12.218</v>
      </c>
      <c r="F247" s="4" t="s">
        <v>1049</v>
      </c>
      <c r="G247" s="2" t="s">
        <v>61</v>
      </c>
      <c r="I247">
        <f t="shared" si="44"/>
        <v>12.058200000000001</v>
      </c>
      <c r="J247">
        <f t="shared" si="45"/>
        <v>12.134399999999998</v>
      </c>
      <c r="L247">
        <f t="shared" si="46"/>
        <v>1</v>
      </c>
      <c r="M247">
        <f t="shared" si="47"/>
        <v>0</v>
      </c>
      <c r="O247">
        <f t="shared" si="48"/>
        <v>0.11800000000000033</v>
      </c>
      <c r="P247">
        <f t="shared" si="49"/>
        <v>0</v>
      </c>
      <c r="R247">
        <f t="shared" si="50"/>
        <v>0.10366666666666695</v>
      </c>
      <c r="S247">
        <f t="shared" si="51"/>
        <v>0.14049999999999963</v>
      </c>
      <c r="U247">
        <f t="shared" si="52"/>
        <v>42.457337883959177</v>
      </c>
      <c r="AH247">
        <f t="shared" si="53"/>
        <v>0.98943843408644183</v>
      </c>
      <c r="AI247">
        <f t="shared" si="54"/>
        <v>9.4803660729495576</v>
      </c>
      <c r="AJ247">
        <f t="shared" si="55"/>
        <v>14.636033927050445</v>
      </c>
      <c r="AL247" s="6">
        <f t="shared" si="56"/>
        <v>14.037076868172885</v>
      </c>
      <c r="AM247">
        <f t="shared" si="57"/>
        <v>10.079323131827117</v>
      </c>
    </row>
    <row r="248" spans="1:39" ht="16.5" x14ac:dyDescent="0.25">
      <c r="A248" s="1">
        <v>45344</v>
      </c>
      <c r="B248" s="5">
        <v>12.252000000000001</v>
      </c>
      <c r="C248" s="4">
        <v>12.1</v>
      </c>
      <c r="D248" s="4">
        <v>12.334</v>
      </c>
      <c r="E248" s="4">
        <v>12.04</v>
      </c>
      <c r="F248" s="4" t="s">
        <v>1082</v>
      </c>
      <c r="G248" s="2" t="s">
        <v>1083</v>
      </c>
      <c r="I248">
        <f t="shared" si="44"/>
        <v>12.0427</v>
      </c>
      <c r="J248">
        <f t="shared" si="45"/>
        <v>12.132399999999999</v>
      </c>
      <c r="L248">
        <f t="shared" si="46"/>
        <v>1</v>
      </c>
      <c r="M248">
        <f t="shared" si="47"/>
        <v>0</v>
      </c>
      <c r="O248">
        <f t="shared" si="48"/>
        <v>0.15200000000000102</v>
      </c>
      <c r="P248">
        <f t="shared" si="49"/>
        <v>0</v>
      </c>
      <c r="R248">
        <f t="shared" si="50"/>
        <v>0.10080000000000026</v>
      </c>
      <c r="S248">
        <f t="shared" si="51"/>
        <v>0.17222222222222192</v>
      </c>
      <c r="U248">
        <f t="shared" si="52"/>
        <v>36.920071626241345</v>
      </c>
      <c r="AH248">
        <f t="shared" si="53"/>
        <v>0.98743091229314484</v>
      </c>
      <c r="AI248">
        <f t="shared" si="54"/>
        <v>9.4648660729495546</v>
      </c>
      <c r="AJ248">
        <f t="shared" si="55"/>
        <v>14.620533927050445</v>
      </c>
      <c r="AL248" s="6">
        <f t="shared" si="56"/>
        <v>14.01756182458629</v>
      </c>
      <c r="AM248">
        <f t="shared" si="57"/>
        <v>10.06783817541371</v>
      </c>
    </row>
    <row r="249" spans="1:39" ht="16.5" x14ac:dyDescent="0.25">
      <c r="A249" s="1">
        <v>45343</v>
      </c>
      <c r="B249" s="5">
        <v>11.994</v>
      </c>
      <c r="C249" s="4">
        <v>11.974</v>
      </c>
      <c r="D249" s="4">
        <v>12.098000000000001</v>
      </c>
      <c r="E249" s="4">
        <v>11.884</v>
      </c>
      <c r="F249" s="4" t="s">
        <v>1084</v>
      </c>
      <c r="G249" s="2" t="s">
        <v>821</v>
      </c>
      <c r="I249">
        <f t="shared" si="44"/>
        <v>12.034099999999999</v>
      </c>
      <c r="J249">
        <f t="shared" si="45"/>
        <v>12.136099999999995</v>
      </c>
      <c r="L249">
        <f t="shared" si="46"/>
        <v>1</v>
      </c>
      <c r="M249">
        <f t="shared" si="47"/>
        <v>0</v>
      </c>
      <c r="O249">
        <f t="shared" si="48"/>
        <v>1.9999999999999574E-2</v>
      </c>
      <c r="P249">
        <f t="shared" si="49"/>
        <v>0</v>
      </c>
      <c r="R249">
        <f t="shared" si="50"/>
        <v>0.12120000000000034</v>
      </c>
      <c r="S249">
        <f t="shared" si="51"/>
        <v>0.17222222222222192</v>
      </c>
      <c r="U249">
        <f t="shared" si="52"/>
        <v>41.305664950015263</v>
      </c>
      <c r="AH249">
        <f t="shared" si="53"/>
        <v>0.98545915363397218</v>
      </c>
      <c r="AI249">
        <f t="shared" si="54"/>
        <v>9.4562660729495533</v>
      </c>
      <c r="AJ249">
        <f t="shared" si="55"/>
        <v>14.611933927050444</v>
      </c>
      <c r="AL249" s="6">
        <f t="shared" si="56"/>
        <v>14.005018307267942</v>
      </c>
      <c r="AM249">
        <f t="shared" si="57"/>
        <v>10.063181692732055</v>
      </c>
    </row>
    <row r="250" spans="1:39" ht="16.5" x14ac:dyDescent="0.25">
      <c r="A250" s="1">
        <v>45342</v>
      </c>
      <c r="B250" s="5">
        <v>11.954000000000001</v>
      </c>
      <c r="C250" s="4">
        <v>11.968</v>
      </c>
      <c r="D250" s="4">
        <v>11.968</v>
      </c>
      <c r="E250" s="4">
        <v>11.795999999999999</v>
      </c>
      <c r="F250" s="4" t="s">
        <v>1085</v>
      </c>
      <c r="G250" s="2" t="s">
        <v>258</v>
      </c>
      <c r="I250">
        <f t="shared" si="44"/>
        <v>12.0426</v>
      </c>
      <c r="J250">
        <f t="shared" si="45"/>
        <v>12.145749999999998</v>
      </c>
      <c r="L250">
        <f t="shared" si="46"/>
        <v>0</v>
      </c>
      <c r="M250">
        <f t="shared" si="47"/>
        <v>1</v>
      </c>
      <c r="O250">
        <f t="shared" si="48"/>
        <v>0</v>
      </c>
      <c r="P250">
        <f t="shared" si="49"/>
        <v>1.3999999999999346E-2</v>
      </c>
      <c r="R250">
        <f t="shared" si="50"/>
        <v>0.19320000000000057</v>
      </c>
      <c r="S250">
        <f t="shared" si="51"/>
        <v>0.17222222222222192</v>
      </c>
      <c r="U250">
        <f t="shared" si="52"/>
        <v>52.870347847239223</v>
      </c>
      <c r="AH250">
        <f t="shared" si="53"/>
        <v>0.9834876767323909</v>
      </c>
      <c r="AI250">
        <f t="shared" si="54"/>
        <v>9.4647660729495549</v>
      </c>
      <c r="AJ250">
        <f t="shared" si="55"/>
        <v>14.620433927050446</v>
      </c>
      <c r="AL250" s="6">
        <f t="shared" si="56"/>
        <v>14.009575353464783</v>
      </c>
      <c r="AM250">
        <f t="shared" si="57"/>
        <v>10.075624646535218</v>
      </c>
    </row>
    <row r="251" spans="1:39" ht="16.5" x14ac:dyDescent="0.25">
      <c r="A251" s="1">
        <v>45341</v>
      </c>
      <c r="B251" s="5">
        <v>11.996</v>
      </c>
      <c r="C251" s="4">
        <v>12.007999999999999</v>
      </c>
      <c r="D251" s="4">
        <v>12.054</v>
      </c>
      <c r="E251" s="4">
        <v>11.94</v>
      </c>
      <c r="F251" s="4" t="s">
        <v>1086</v>
      </c>
      <c r="G251" s="2" t="s">
        <v>944</v>
      </c>
      <c r="I251">
        <f t="shared" si="44"/>
        <v>12.0443</v>
      </c>
      <c r="J251">
        <f t="shared" si="45"/>
        <v>12.153999999999996</v>
      </c>
      <c r="L251">
        <f t="shared" si="46"/>
        <v>0</v>
      </c>
      <c r="M251">
        <f t="shared" si="47"/>
        <v>1</v>
      </c>
      <c r="O251">
        <f t="shared" si="48"/>
        <v>0</v>
      </c>
      <c r="P251">
        <f t="shared" si="49"/>
        <v>1.1999999999998678E-2</v>
      </c>
      <c r="R251">
        <f t="shared" si="50"/>
        <v>0.19320000000000057</v>
      </c>
      <c r="S251">
        <f t="shared" si="51"/>
        <v>0.17133333333333292</v>
      </c>
      <c r="U251">
        <f t="shared" si="52"/>
        <v>52.999268471104735</v>
      </c>
      <c r="AH251">
        <f t="shared" si="53"/>
        <v>0.98142663123662055</v>
      </c>
      <c r="AI251">
        <f t="shared" si="54"/>
        <v>9.4664660729495544</v>
      </c>
      <c r="AJ251">
        <f t="shared" si="55"/>
        <v>14.622133927050445</v>
      </c>
      <c r="AL251" s="6">
        <f t="shared" si="56"/>
        <v>14.00715326247324</v>
      </c>
      <c r="AM251">
        <f t="shared" si="57"/>
        <v>10.081446737526759</v>
      </c>
    </row>
    <row r="252" spans="1:39" ht="16.5" x14ac:dyDescent="0.25">
      <c r="A252" s="1">
        <v>45338</v>
      </c>
      <c r="B252" s="5">
        <v>11.981999999999999</v>
      </c>
      <c r="C252" s="4">
        <v>12.09</v>
      </c>
      <c r="D252" s="4">
        <v>12.263999999999999</v>
      </c>
      <c r="E252" s="4">
        <v>11.981999999999999</v>
      </c>
      <c r="F252" s="4" t="s">
        <v>817</v>
      </c>
      <c r="G252" s="2" t="s">
        <v>924</v>
      </c>
      <c r="I252">
        <f t="shared" si="44"/>
        <v>12.041500000000001</v>
      </c>
      <c r="J252">
        <f t="shared" si="45"/>
        <v>12.161499999999997</v>
      </c>
      <c r="L252">
        <f t="shared" si="46"/>
        <v>0</v>
      </c>
      <c r="M252">
        <f t="shared" si="47"/>
        <v>1</v>
      </c>
      <c r="O252">
        <f t="shared" si="48"/>
        <v>0</v>
      </c>
      <c r="P252">
        <f t="shared" si="49"/>
        <v>0.10800000000000054</v>
      </c>
      <c r="R252">
        <f t="shared" si="50"/>
        <v>0.17766666666666708</v>
      </c>
      <c r="S252">
        <f t="shared" si="51"/>
        <v>0.1912499999999997</v>
      </c>
      <c r="U252">
        <f t="shared" si="52"/>
        <v>48.159024169866818</v>
      </c>
      <c r="AH252">
        <f t="shared" si="53"/>
        <v>0.97930988993524182</v>
      </c>
      <c r="AI252">
        <f t="shared" si="54"/>
        <v>9.4636660729495574</v>
      </c>
      <c r="AJ252">
        <f t="shared" si="55"/>
        <v>14.619333927050445</v>
      </c>
      <c r="AL252" s="6">
        <f t="shared" si="56"/>
        <v>14.000119779870484</v>
      </c>
      <c r="AM252">
        <f t="shared" si="57"/>
        <v>10.082880220129518</v>
      </c>
    </row>
    <row r="253" spans="1:39" ht="16.5" x14ac:dyDescent="0.25">
      <c r="A253" s="1">
        <v>45337</v>
      </c>
      <c r="B253" s="5">
        <v>12.012</v>
      </c>
      <c r="C253" s="4">
        <v>11.99</v>
      </c>
      <c r="D253" s="4">
        <v>12.068</v>
      </c>
      <c r="E253" s="4">
        <v>11.728</v>
      </c>
      <c r="F253" s="4" t="s">
        <v>1087</v>
      </c>
      <c r="G253" s="2" t="s">
        <v>1088</v>
      </c>
      <c r="I253">
        <f t="shared" si="44"/>
        <v>12.032999999999999</v>
      </c>
      <c r="J253">
        <f t="shared" si="45"/>
        <v>12.162999999999993</v>
      </c>
      <c r="L253">
        <f t="shared" si="46"/>
        <v>1</v>
      </c>
      <c r="M253">
        <f t="shared" si="47"/>
        <v>0</v>
      </c>
      <c r="O253">
        <f t="shared" si="48"/>
        <v>2.2000000000000242E-2</v>
      </c>
      <c r="P253">
        <f t="shared" si="49"/>
        <v>0</v>
      </c>
      <c r="R253">
        <f t="shared" si="50"/>
        <v>0.17766666666666708</v>
      </c>
      <c r="S253">
        <f t="shared" si="51"/>
        <v>0.18774999999999942</v>
      </c>
      <c r="U253">
        <f t="shared" si="52"/>
        <v>48.620296465222481</v>
      </c>
      <c r="AH253">
        <f t="shared" si="53"/>
        <v>0.97716037649729914</v>
      </c>
      <c r="AI253">
        <f t="shared" si="54"/>
        <v>9.4551660729495559</v>
      </c>
      <c r="AJ253">
        <f t="shared" si="55"/>
        <v>14.610833927050443</v>
      </c>
      <c r="AL253" s="6">
        <f t="shared" si="56"/>
        <v>13.987320752994599</v>
      </c>
      <c r="AM253">
        <f t="shared" si="57"/>
        <v>10.0786792470054</v>
      </c>
    </row>
    <row r="254" spans="1:39" ht="16.5" x14ac:dyDescent="0.25">
      <c r="A254" s="1">
        <v>45336</v>
      </c>
      <c r="B254" s="5">
        <v>11.93</v>
      </c>
      <c r="C254" s="4">
        <v>11.843999999999999</v>
      </c>
      <c r="D254" s="4">
        <v>12.05</v>
      </c>
      <c r="E254" s="4">
        <v>11.83</v>
      </c>
      <c r="F254" s="4" t="s">
        <v>1089</v>
      </c>
      <c r="G254" s="2" t="s">
        <v>160</v>
      </c>
      <c r="I254">
        <f t="shared" si="44"/>
        <v>12.027900000000001</v>
      </c>
      <c r="J254">
        <f t="shared" si="45"/>
        <v>12.162399999999995</v>
      </c>
      <c r="L254">
        <f t="shared" si="46"/>
        <v>1</v>
      </c>
      <c r="M254">
        <f t="shared" si="47"/>
        <v>0</v>
      </c>
      <c r="O254">
        <f t="shared" si="48"/>
        <v>8.6000000000000298E-2</v>
      </c>
      <c r="P254">
        <f t="shared" si="49"/>
        <v>0</v>
      </c>
      <c r="R254">
        <f t="shared" si="50"/>
        <v>0.17900000000000027</v>
      </c>
      <c r="S254">
        <f t="shared" si="51"/>
        <v>0.18774999999999942</v>
      </c>
      <c r="U254">
        <f t="shared" si="52"/>
        <v>48.807089297886954</v>
      </c>
      <c r="AH254">
        <f t="shared" si="53"/>
        <v>0.97500823435649064</v>
      </c>
      <c r="AI254">
        <f t="shared" si="54"/>
        <v>9.4500660729495571</v>
      </c>
      <c r="AJ254">
        <f t="shared" si="55"/>
        <v>14.605733927050444</v>
      </c>
      <c r="AL254" s="6">
        <f t="shared" si="56"/>
        <v>13.977916468712982</v>
      </c>
      <c r="AM254">
        <f t="shared" si="57"/>
        <v>10.07788353128702</v>
      </c>
    </row>
    <row r="255" spans="1:39" ht="16.5" x14ac:dyDescent="0.25">
      <c r="A255" s="1">
        <v>45335</v>
      </c>
      <c r="B255" s="5">
        <v>11.875999999999999</v>
      </c>
      <c r="C255" s="4">
        <v>11.904</v>
      </c>
      <c r="D255" s="4">
        <v>12.002000000000001</v>
      </c>
      <c r="E255" s="4">
        <v>11.773999999999999</v>
      </c>
      <c r="F255" s="4" t="s">
        <v>1090</v>
      </c>
      <c r="G255" s="2" t="s">
        <v>949</v>
      </c>
      <c r="I255">
        <f t="shared" si="44"/>
        <v>12.0228</v>
      </c>
      <c r="J255">
        <f t="shared" si="45"/>
        <v>12.166649999999997</v>
      </c>
      <c r="L255">
        <f t="shared" si="46"/>
        <v>0</v>
      </c>
      <c r="M255">
        <f t="shared" si="47"/>
        <v>1</v>
      </c>
      <c r="O255">
        <f t="shared" si="48"/>
        <v>0</v>
      </c>
      <c r="P255">
        <f t="shared" si="49"/>
        <v>2.8000000000000469E-2</v>
      </c>
      <c r="R255">
        <f t="shared" si="50"/>
        <v>0.19760000000000028</v>
      </c>
      <c r="S255">
        <f t="shared" si="51"/>
        <v>0.17133333333333273</v>
      </c>
      <c r="U255">
        <f t="shared" si="52"/>
        <v>53.559812070834958</v>
      </c>
      <c r="AH255">
        <f t="shared" si="53"/>
        <v>0.97283494661686187</v>
      </c>
      <c r="AI255">
        <f t="shared" si="54"/>
        <v>9.4449660729495548</v>
      </c>
      <c r="AJ255">
        <f t="shared" si="55"/>
        <v>14.600633927050445</v>
      </c>
      <c r="AL255" s="6">
        <f t="shared" si="56"/>
        <v>13.968469893233724</v>
      </c>
      <c r="AM255">
        <f t="shared" si="57"/>
        <v>10.077130106766276</v>
      </c>
    </row>
    <row r="256" spans="1:39" ht="16.5" x14ac:dyDescent="0.25">
      <c r="A256" s="1">
        <v>45334</v>
      </c>
      <c r="B256" s="5">
        <v>11.874000000000001</v>
      </c>
      <c r="C256" s="4">
        <v>11.65</v>
      </c>
      <c r="D256" s="4">
        <v>11.891999999999999</v>
      </c>
      <c r="E256" s="4">
        <v>11.65</v>
      </c>
      <c r="F256" s="4" t="s">
        <v>1091</v>
      </c>
      <c r="G256" s="2" t="s">
        <v>679</v>
      </c>
      <c r="I256">
        <f t="shared" si="44"/>
        <v>12.0228</v>
      </c>
      <c r="J256">
        <f t="shared" si="45"/>
        <v>12.168999999999999</v>
      </c>
      <c r="L256">
        <f t="shared" si="46"/>
        <v>1</v>
      </c>
      <c r="M256">
        <f t="shared" si="47"/>
        <v>0</v>
      </c>
      <c r="O256">
        <f t="shared" si="48"/>
        <v>0.2240000000000002</v>
      </c>
      <c r="P256">
        <f t="shared" si="49"/>
        <v>0</v>
      </c>
      <c r="R256">
        <f t="shared" si="50"/>
        <v>0.17866666666666683</v>
      </c>
      <c r="S256">
        <f t="shared" si="51"/>
        <v>0.18924999999999925</v>
      </c>
      <c r="U256">
        <f t="shared" si="52"/>
        <v>48.561721404303633</v>
      </c>
      <c r="AH256">
        <f t="shared" si="53"/>
        <v>0.97064008605921215</v>
      </c>
      <c r="AI256">
        <f t="shared" si="54"/>
        <v>9.4449660729495548</v>
      </c>
      <c r="AJ256">
        <f t="shared" si="55"/>
        <v>14.600633927050445</v>
      </c>
      <c r="AL256" s="6">
        <f t="shared" si="56"/>
        <v>13.964080172118425</v>
      </c>
      <c r="AM256">
        <f t="shared" si="57"/>
        <v>10.081519827881575</v>
      </c>
    </row>
    <row r="257" spans="1:39" ht="16.5" x14ac:dyDescent="0.25">
      <c r="A257" s="1">
        <v>45331</v>
      </c>
      <c r="B257" s="5">
        <v>11.6</v>
      </c>
      <c r="C257" s="4">
        <v>11.61</v>
      </c>
      <c r="D257" s="4">
        <v>11.731999999999999</v>
      </c>
      <c r="E257" s="4">
        <v>11.523999999999999</v>
      </c>
      <c r="F257" s="4" t="s">
        <v>1092</v>
      </c>
      <c r="G257" s="2" t="s">
        <v>121</v>
      </c>
      <c r="I257">
        <f t="shared" si="44"/>
        <v>12.026</v>
      </c>
      <c r="J257">
        <f t="shared" si="45"/>
        <v>12.167999999999997</v>
      </c>
      <c r="L257">
        <f t="shared" si="46"/>
        <v>0</v>
      </c>
      <c r="M257">
        <f t="shared" si="47"/>
        <v>1</v>
      </c>
      <c r="O257">
        <f t="shared" si="48"/>
        <v>0</v>
      </c>
      <c r="P257">
        <f t="shared" si="49"/>
        <v>9.9999999999997868E-3</v>
      </c>
      <c r="R257">
        <f t="shared" si="50"/>
        <v>0.16960000000000014</v>
      </c>
      <c r="S257">
        <f t="shared" si="51"/>
        <v>0.16822222222222155</v>
      </c>
      <c r="U257">
        <f t="shared" si="52"/>
        <v>50.203920536771591</v>
      </c>
      <c r="AH257">
        <f t="shared" si="53"/>
        <v>0.9683951297360246</v>
      </c>
      <c r="AI257">
        <f t="shared" si="54"/>
        <v>9.4481660729495545</v>
      </c>
      <c r="AJ257">
        <f t="shared" si="55"/>
        <v>14.603833927050445</v>
      </c>
      <c r="AL257" s="6">
        <f t="shared" si="56"/>
        <v>13.962790259472049</v>
      </c>
      <c r="AM257">
        <f t="shared" si="57"/>
        <v>10.08920974052795</v>
      </c>
    </row>
    <row r="258" spans="1:39" ht="16.5" x14ac:dyDescent="0.25">
      <c r="A258" s="1">
        <v>45330</v>
      </c>
      <c r="B258" s="5">
        <v>11.614000000000001</v>
      </c>
      <c r="C258" s="4">
        <v>11.656000000000001</v>
      </c>
      <c r="D258" s="4">
        <v>11.772</v>
      </c>
      <c r="E258" s="4">
        <v>11.606</v>
      </c>
      <c r="F258" s="4" t="s">
        <v>1093</v>
      </c>
      <c r="G258" s="2" t="s">
        <v>180</v>
      </c>
      <c r="I258">
        <f t="shared" ref="I258:I321" si="58">AVERAGE(B258:B277)</f>
        <v>12.048500000000001</v>
      </c>
      <c r="J258">
        <f t="shared" ref="J258:J321" si="59">AVERAGE(B258:B297)</f>
        <v>12.176249999999998</v>
      </c>
      <c r="L258">
        <f t="shared" ref="L258:L321" si="60">IF($C258&lt;$B258,1,0)</f>
        <v>0</v>
      </c>
      <c r="M258">
        <f t="shared" ref="M258:M321" si="61">IF($C258&lt;$B258,0,1)</f>
        <v>1</v>
      </c>
      <c r="O258">
        <f t="shared" ref="O258:O321" si="62">IF($C258&lt;$B258,B258-C258,0)</f>
        <v>0</v>
      </c>
      <c r="P258">
        <f t="shared" ref="P258:P321" si="63">IF($B258&lt;$C258,C258-B258,0)</f>
        <v>4.1999999999999815E-2</v>
      </c>
      <c r="R258">
        <f t="shared" ref="R258:R321" si="64">SUM(O258:O271)/SUM(L258:L271)</f>
        <v>0.16960000000000014</v>
      </c>
      <c r="S258">
        <f t="shared" ref="S258:S321" si="65">SUM(P258:P271)/SUM(M258:M271)</f>
        <v>0.16755555555555507</v>
      </c>
      <c r="U258">
        <f t="shared" ref="U258:U321" si="66">100-(100/(1+(R258/S258)))</f>
        <v>50.303190087002463</v>
      </c>
      <c r="AH258">
        <f t="shared" si="53"/>
        <v>0.96608106708071528</v>
      </c>
      <c r="AI258">
        <f t="shared" si="54"/>
        <v>9.4706660729495553</v>
      </c>
      <c r="AJ258">
        <f t="shared" si="55"/>
        <v>14.626333927050446</v>
      </c>
      <c r="AL258" s="6">
        <f t="shared" si="56"/>
        <v>13.980662134161431</v>
      </c>
      <c r="AM258">
        <f t="shared" si="57"/>
        <v>10.11633786583857</v>
      </c>
    </row>
    <row r="259" spans="1:39" ht="16.5" x14ac:dyDescent="0.25">
      <c r="A259" s="1">
        <v>45329</v>
      </c>
      <c r="B259" s="5">
        <v>11.602</v>
      </c>
      <c r="C259" s="4">
        <v>12.26</v>
      </c>
      <c r="D259" s="4">
        <v>12.262</v>
      </c>
      <c r="E259" s="4">
        <v>11.598000000000001</v>
      </c>
      <c r="F259" s="4" t="s">
        <v>1094</v>
      </c>
      <c r="G259" s="2" t="s">
        <v>1095</v>
      </c>
      <c r="I259">
        <f t="shared" si="58"/>
        <v>12.0778</v>
      </c>
      <c r="J259">
        <f t="shared" si="59"/>
        <v>12.183449999999997</v>
      </c>
      <c r="L259">
        <f t="shared" si="60"/>
        <v>0</v>
      </c>
      <c r="M259">
        <f t="shared" si="61"/>
        <v>1</v>
      </c>
      <c r="O259">
        <f t="shared" si="62"/>
        <v>0</v>
      </c>
      <c r="P259">
        <f t="shared" si="63"/>
        <v>0.65799999999999947</v>
      </c>
      <c r="R259">
        <f t="shared" si="64"/>
        <v>0.16960000000000014</v>
      </c>
      <c r="S259">
        <f t="shared" si="65"/>
        <v>0.18377777777777737</v>
      </c>
      <c r="U259">
        <f t="shared" si="66"/>
        <v>47.993963023519136</v>
      </c>
      <c r="AH259">
        <f t="shared" ref="AH259:AH322" si="67">_xlfn.STDEV.S(I259:I789)</f>
        <v>0.96358637162920691</v>
      </c>
      <c r="AI259">
        <f t="shared" ref="AI259:AI322" si="68">I259-$AH$2</f>
        <v>9.4999660729495545</v>
      </c>
      <c r="AJ259">
        <f t="shared" ref="AJ259:AJ322" si="69">I259+$AH$2</f>
        <v>14.655633927050445</v>
      </c>
      <c r="AL259" s="6">
        <f t="shared" ref="AL259:AL322" si="70">I259+(AH259*2)</f>
        <v>14.004972743258413</v>
      </c>
      <c r="AM259">
        <f t="shared" ref="AM259:AM322" si="71">I259-(AH259*2)</f>
        <v>10.150627256741586</v>
      </c>
    </row>
    <row r="260" spans="1:39" ht="16.5" x14ac:dyDescent="0.25">
      <c r="A260" s="1">
        <v>45328</v>
      </c>
      <c r="B260" s="5">
        <v>12.288</v>
      </c>
      <c r="C260" s="4">
        <v>12.54</v>
      </c>
      <c r="D260" s="4">
        <v>12.568</v>
      </c>
      <c r="E260" s="4">
        <v>12.268000000000001</v>
      </c>
      <c r="F260" s="4" t="s">
        <v>901</v>
      </c>
      <c r="G260" s="2" t="s">
        <v>1096</v>
      </c>
      <c r="I260">
        <f t="shared" si="58"/>
        <v>12.135199999999999</v>
      </c>
      <c r="J260">
        <f t="shared" si="59"/>
        <v>12.188999999999997</v>
      </c>
      <c r="L260">
        <f t="shared" si="60"/>
        <v>0</v>
      </c>
      <c r="M260">
        <f t="shared" si="61"/>
        <v>1</v>
      </c>
      <c r="O260">
        <f t="shared" si="62"/>
        <v>0</v>
      </c>
      <c r="P260">
        <f t="shared" si="63"/>
        <v>0.25199999999999889</v>
      </c>
      <c r="R260">
        <f t="shared" si="64"/>
        <v>0.15700000000000003</v>
      </c>
      <c r="S260">
        <f t="shared" si="65"/>
        <v>0.12449999999999961</v>
      </c>
      <c r="U260">
        <f t="shared" si="66"/>
        <v>55.772646536412161</v>
      </c>
      <c r="AH260">
        <f t="shared" si="67"/>
        <v>0.96086398249016891</v>
      </c>
      <c r="AI260">
        <f t="shared" si="68"/>
        <v>9.5573660729495558</v>
      </c>
      <c r="AJ260">
        <f t="shared" si="69"/>
        <v>14.713033927050443</v>
      </c>
      <c r="AL260" s="6">
        <f t="shared" si="70"/>
        <v>14.056927964980337</v>
      </c>
      <c r="AM260">
        <f t="shared" si="71"/>
        <v>10.213472035019661</v>
      </c>
    </row>
    <row r="261" spans="1:39" ht="16.5" x14ac:dyDescent="0.25">
      <c r="A261" s="1">
        <v>45327</v>
      </c>
      <c r="B261" s="5">
        <v>12.474</v>
      </c>
      <c r="C261" s="4">
        <v>12.9</v>
      </c>
      <c r="D261" s="4">
        <v>12.917999999999999</v>
      </c>
      <c r="E261" s="4">
        <v>12.448</v>
      </c>
      <c r="F261" s="4" t="s">
        <v>1097</v>
      </c>
      <c r="G261" s="2" t="s">
        <v>1098</v>
      </c>
      <c r="I261">
        <f t="shared" si="58"/>
        <v>12.155799999999999</v>
      </c>
      <c r="J261">
        <f t="shared" si="59"/>
        <v>12.170949999999996</v>
      </c>
      <c r="L261">
        <f t="shared" si="60"/>
        <v>0</v>
      </c>
      <c r="M261">
        <f t="shared" si="61"/>
        <v>1</v>
      </c>
      <c r="O261">
        <f t="shared" si="62"/>
        <v>0</v>
      </c>
      <c r="P261">
        <f t="shared" si="63"/>
        <v>0.42600000000000016</v>
      </c>
      <c r="R261">
        <f t="shared" si="64"/>
        <v>0.15999999999999989</v>
      </c>
      <c r="S261">
        <f t="shared" si="65"/>
        <v>0.106285714285714</v>
      </c>
      <c r="U261">
        <f t="shared" si="66"/>
        <v>60.085836909871297</v>
      </c>
      <c r="AH261">
        <f t="shared" si="67"/>
        <v>0.95773173762711528</v>
      </c>
      <c r="AI261">
        <f t="shared" si="68"/>
        <v>9.5779660729495539</v>
      </c>
      <c r="AJ261">
        <f t="shared" si="69"/>
        <v>14.733633927050445</v>
      </c>
      <c r="AL261" s="6">
        <f t="shared" si="70"/>
        <v>14.071263475254231</v>
      </c>
      <c r="AM261">
        <f t="shared" si="71"/>
        <v>10.240336524745768</v>
      </c>
    </row>
    <row r="262" spans="1:39" ht="16.5" x14ac:dyDescent="0.25">
      <c r="A262" s="1">
        <v>45324</v>
      </c>
      <c r="B262" s="5">
        <v>12.826000000000001</v>
      </c>
      <c r="C262" s="4">
        <v>12.571999999999999</v>
      </c>
      <c r="D262" s="4">
        <v>12.826000000000001</v>
      </c>
      <c r="E262" s="4">
        <v>12.486000000000001</v>
      </c>
      <c r="F262" s="4" t="s">
        <v>1099</v>
      </c>
      <c r="G262" s="2" t="s">
        <v>1100</v>
      </c>
      <c r="I262">
        <f t="shared" si="58"/>
        <v>12.1677</v>
      </c>
      <c r="J262">
        <f t="shared" si="59"/>
        <v>12.150849999999998</v>
      </c>
      <c r="L262">
        <f t="shared" si="60"/>
        <v>1</v>
      </c>
      <c r="M262">
        <f t="shared" si="61"/>
        <v>0</v>
      </c>
      <c r="O262">
        <f t="shared" si="62"/>
        <v>0.25400000000000134</v>
      </c>
      <c r="P262">
        <f t="shared" si="63"/>
        <v>0</v>
      </c>
      <c r="R262">
        <f t="shared" si="64"/>
        <v>0.15949999999999975</v>
      </c>
      <c r="S262">
        <f t="shared" si="65"/>
        <v>5.2999999999999638E-2</v>
      </c>
      <c r="U262">
        <f t="shared" si="66"/>
        <v>75.058823529411853</v>
      </c>
      <c r="AH262">
        <f t="shared" si="67"/>
        <v>0.95439953276349943</v>
      </c>
      <c r="AI262">
        <f t="shared" si="68"/>
        <v>9.5898660729495546</v>
      </c>
      <c r="AJ262">
        <f t="shared" si="69"/>
        <v>14.745533927050445</v>
      </c>
      <c r="AL262" s="6">
        <f t="shared" si="70"/>
        <v>14.076499065526999</v>
      </c>
      <c r="AM262">
        <f t="shared" si="71"/>
        <v>10.258900934473001</v>
      </c>
    </row>
    <row r="263" spans="1:39" ht="16.5" x14ac:dyDescent="0.25">
      <c r="A263" s="1">
        <v>45323</v>
      </c>
      <c r="B263" s="5">
        <v>12.39</v>
      </c>
      <c r="C263" s="4">
        <v>12.01</v>
      </c>
      <c r="D263" s="4">
        <v>12.736000000000001</v>
      </c>
      <c r="E263" s="4">
        <v>11.997999999999999</v>
      </c>
      <c r="F263" s="4" t="s">
        <v>1101</v>
      </c>
      <c r="G263" s="2" t="s">
        <v>1102</v>
      </c>
      <c r="I263">
        <f t="shared" si="58"/>
        <v>12.154799999999998</v>
      </c>
      <c r="J263">
        <f t="shared" si="59"/>
        <v>12.119449999999997</v>
      </c>
      <c r="L263">
        <f t="shared" si="60"/>
        <v>1</v>
      </c>
      <c r="M263">
        <f t="shared" si="61"/>
        <v>0</v>
      </c>
      <c r="O263">
        <f t="shared" si="62"/>
        <v>0.38000000000000078</v>
      </c>
      <c r="P263">
        <f t="shared" si="63"/>
        <v>0</v>
      </c>
      <c r="R263">
        <f t="shared" si="64"/>
        <v>0.14599999999999952</v>
      </c>
      <c r="S263">
        <f t="shared" si="65"/>
        <v>6.7142857142856727E-2</v>
      </c>
      <c r="U263">
        <f t="shared" si="66"/>
        <v>68.498659517426333</v>
      </c>
      <c r="AH263">
        <f t="shared" si="67"/>
        <v>0.95091583432370519</v>
      </c>
      <c r="AI263">
        <f t="shared" si="68"/>
        <v>9.5769660729495527</v>
      </c>
      <c r="AJ263">
        <f t="shared" si="69"/>
        <v>14.732633927050443</v>
      </c>
      <c r="AL263" s="6">
        <f t="shared" si="70"/>
        <v>14.056631668647409</v>
      </c>
      <c r="AM263">
        <f t="shared" si="71"/>
        <v>10.252968331352587</v>
      </c>
    </row>
    <row r="264" spans="1:39" ht="16.5" x14ac:dyDescent="0.25">
      <c r="A264" s="1">
        <v>45322</v>
      </c>
      <c r="B264" s="5">
        <v>12.034000000000001</v>
      </c>
      <c r="C264" s="4">
        <v>12.04</v>
      </c>
      <c r="D264" s="4">
        <v>12.19</v>
      </c>
      <c r="E264" s="4">
        <v>11.916</v>
      </c>
      <c r="F264" s="4" t="s">
        <v>1103</v>
      </c>
      <c r="G264" s="2" t="s">
        <v>1074</v>
      </c>
      <c r="I264">
        <f t="shared" si="58"/>
        <v>12.161299999999999</v>
      </c>
      <c r="J264">
        <f t="shared" si="59"/>
        <v>12.097949999999997</v>
      </c>
      <c r="L264">
        <f t="shared" si="60"/>
        <v>0</v>
      </c>
      <c r="M264">
        <f t="shared" si="61"/>
        <v>1</v>
      </c>
      <c r="O264">
        <f t="shared" si="62"/>
        <v>0</v>
      </c>
      <c r="P264">
        <f t="shared" si="63"/>
        <v>5.999999999998451E-3</v>
      </c>
      <c r="R264">
        <f t="shared" si="64"/>
        <v>0.10699999999999932</v>
      </c>
      <c r="S264">
        <f t="shared" si="65"/>
        <v>7.8749999999999654E-2</v>
      </c>
      <c r="U264">
        <f t="shared" si="66"/>
        <v>57.604306864064554</v>
      </c>
      <c r="AH264">
        <f t="shared" si="67"/>
        <v>0.94743718468929006</v>
      </c>
      <c r="AI264">
        <f t="shared" si="68"/>
        <v>9.5834660729495553</v>
      </c>
      <c r="AJ264">
        <f t="shared" si="69"/>
        <v>14.739133927050442</v>
      </c>
      <c r="AL264" s="6">
        <f t="shared" si="70"/>
        <v>14.05617436937858</v>
      </c>
      <c r="AM264">
        <f t="shared" si="71"/>
        <v>10.266425630621418</v>
      </c>
    </row>
    <row r="265" spans="1:39" ht="16.5" x14ac:dyDescent="0.25">
      <c r="A265" s="1">
        <v>45321</v>
      </c>
      <c r="B265" s="5">
        <v>12.1</v>
      </c>
      <c r="C265" s="4">
        <v>12</v>
      </c>
      <c r="D265" s="4">
        <v>12.116</v>
      </c>
      <c r="E265" s="4">
        <v>11.97</v>
      </c>
      <c r="F265" s="4" t="s">
        <v>1104</v>
      </c>
      <c r="G265" s="2" t="s">
        <v>888</v>
      </c>
      <c r="I265">
        <f t="shared" si="58"/>
        <v>12.172099999999999</v>
      </c>
      <c r="J265">
        <f t="shared" si="59"/>
        <v>12.085099999999997</v>
      </c>
      <c r="L265">
        <f t="shared" si="60"/>
        <v>1</v>
      </c>
      <c r="M265">
        <f t="shared" si="61"/>
        <v>0</v>
      </c>
      <c r="O265">
        <f t="shared" si="62"/>
        <v>9.9999999999999645E-2</v>
      </c>
      <c r="P265">
        <f t="shared" si="63"/>
        <v>0</v>
      </c>
      <c r="R265">
        <f t="shared" si="64"/>
        <v>0.10699999999999932</v>
      </c>
      <c r="S265">
        <f t="shared" si="65"/>
        <v>0.15300000000000002</v>
      </c>
      <c r="U265">
        <f t="shared" si="66"/>
        <v>41.15384615384599</v>
      </c>
      <c r="AH265">
        <f t="shared" si="67"/>
        <v>0.94383701945925624</v>
      </c>
      <c r="AI265">
        <f t="shared" si="68"/>
        <v>9.594266072949555</v>
      </c>
      <c r="AJ265">
        <f t="shared" si="69"/>
        <v>14.749933927050442</v>
      </c>
      <c r="AL265" s="6">
        <f t="shared" si="70"/>
        <v>14.059774038918512</v>
      </c>
      <c r="AM265">
        <f t="shared" si="71"/>
        <v>10.284425961081485</v>
      </c>
    </row>
    <row r="266" spans="1:39" ht="16.5" x14ac:dyDescent="0.25">
      <c r="A266" s="1">
        <v>45320</v>
      </c>
      <c r="B266" s="5">
        <v>11.976000000000001</v>
      </c>
      <c r="C266" s="4">
        <v>12.055999999999999</v>
      </c>
      <c r="D266" s="4">
        <v>12.093999999999999</v>
      </c>
      <c r="E266" s="4">
        <v>11.938000000000001</v>
      </c>
      <c r="F266" s="4" t="s">
        <v>1084</v>
      </c>
      <c r="G266" s="2" t="s">
        <v>542</v>
      </c>
      <c r="I266">
        <f t="shared" si="58"/>
        <v>12.1912</v>
      </c>
      <c r="J266">
        <f t="shared" si="59"/>
        <v>12.068249999999997</v>
      </c>
      <c r="L266">
        <f t="shared" si="60"/>
        <v>0</v>
      </c>
      <c r="M266">
        <f t="shared" si="61"/>
        <v>1</v>
      </c>
      <c r="O266">
        <f t="shared" si="62"/>
        <v>0</v>
      </c>
      <c r="P266">
        <f t="shared" si="63"/>
        <v>7.9999999999998295E-2</v>
      </c>
      <c r="R266">
        <f t="shared" si="64"/>
        <v>0.10433333333333265</v>
      </c>
      <c r="S266">
        <f t="shared" si="65"/>
        <v>0.15300000000000002</v>
      </c>
      <c r="U266">
        <f t="shared" si="66"/>
        <v>40.544041450777044</v>
      </c>
      <c r="AH266">
        <f t="shared" si="67"/>
        <v>0.94008288219753611</v>
      </c>
      <c r="AI266">
        <f t="shared" si="68"/>
        <v>9.6133660729495567</v>
      </c>
      <c r="AJ266">
        <f t="shared" si="69"/>
        <v>14.769033927050444</v>
      </c>
      <c r="AL266" s="6">
        <f t="shared" si="70"/>
        <v>14.071365764395072</v>
      </c>
      <c r="AM266">
        <f t="shared" si="71"/>
        <v>10.311034235604929</v>
      </c>
    </row>
    <row r="267" spans="1:39" ht="16.5" x14ac:dyDescent="0.25">
      <c r="A267" s="1">
        <v>45317</v>
      </c>
      <c r="B267" s="5">
        <v>12.08</v>
      </c>
      <c r="C267" s="4">
        <v>12.05</v>
      </c>
      <c r="D267" s="4">
        <v>12.141999999999999</v>
      </c>
      <c r="E267" s="4">
        <v>11.992000000000001</v>
      </c>
      <c r="F267" s="4" t="s">
        <v>990</v>
      </c>
      <c r="G267" s="2" t="s">
        <v>365</v>
      </c>
      <c r="I267">
        <f t="shared" si="58"/>
        <v>12.210599999999999</v>
      </c>
      <c r="J267">
        <f t="shared" si="59"/>
        <v>12.050649999999997</v>
      </c>
      <c r="L267">
        <f t="shared" si="60"/>
        <v>1</v>
      </c>
      <c r="M267">
        <f t="shared" si="61"/>
        <v>0</v>
      </c>
      <c r="O267">
        <f t="shared" si="62"/>
        <v>2.9999999999999361E-2</v>
      </c>
      <c r="P267">
        <f t="shared" si="63"/>
        <v>0</v>
      </c>
      <c r="R267">
        <f t="shared" si="64"/>
        <v>0.10433333333333265</v>
      </c>
      <c r="S267">
        <f t="shared" si="65"/>
        <v>0.14625000000000044</v>
      </c>
      <c r="U267">
        <f t="shared" si="66"/>
        <v>41.636182241436416</v>
      </c>
      <c r="AH267">
        <f t="shared" si="67"/>
        <v>0.93611289336468806</v>
      </c>
      <c r="AI267">
        <f t="shared" si="68"/>
        <v>9.6327660729495541</v>
      </c>
      <c r="AJ267">
        <f t="shared" si="69"/>
        <v>14.788433927050445</v>
      </c>
      <c r="AL267" s="6">
        <f t="shared" si="70"/>
        <v>14.082825786729376</v>
      </c>
      <c r="AM267">
        <f t="shared" si="71"/>
        <v>10.338374213270622</v>
      </c>
    </row>
    <row r="268" spans="1:39" ht="16.5" x14ac:dyDescent="0.25">
      <c r="A268" s="1">
        <v>45316</v>
      </c>
      <c r="B268" s="5">
        <v>12.08</v>
      </c>
      <c r="C268" s="4">
        <v>12.12</v>
      </c>
      <c r="D268" s="4">
        <v>12.172000000000001</v>
      </c>
      <c r="E268" s="4">
        <v>12.034000000000001</v>
      </c>
      <c r="F268" s="4" t="s">
        <v>1105</v>
      </c>
      <c r="G268" s="2" t="s">
        <v>410</v>
      </c>
      <c r="I268">
        <f t="shared" si="58"/>
        <v>12.222100000000001</v>
      </c>
      <c r="J268">
        <f t="shared" si="59"/>
        <v>12.025899999999996</v>
      </c>
      <c r="L268">
        <f t="shared" si="60"/>
        <v>0</v>
      </c>
      <c r="M268">
        <f t="shared" si="61"/>
        <v>1</v>
      </c>
      <c r="O268">
        <f t="shared" si="62"/>
        <v>0</v>
      </c>
      <c r="P268">
        <f t="shared" si="63"/>
        <v>3.9999999999999147E-2</v>
      </c>
      <c r="R268">
        <f t="shared" si="64"/>
        <v>0.13299999999999942</v>
      </c>
      <c r="S268">
        <f t="shared" si="65"/>
        <v>0.14625000000000044</v>
      </c>
      <c r="U268">
        <f t="shared" si="66"/>
        <v>47.627573858549503</v>
      </c>
      <c r="AH268">
        <f t="shared" si="67"/>
        <v>0.93191642149834064</v>
      </c>
      <c r="AI268">
        <f t="shared" si="68"/>
        <v>9.6442660729495557</v>
      </c>
      <c r="AJ268">
        <f t="shared" si="69"/>
        <v>14.799933927050446</v>
      </c>
      <c r="AL268" s="6">
        <f t="shared" si="70"/>
        <v>14.085932842996682</v>
      </c>
      <c r="AM268">
        <f t="shared" si="71"/>
        <v>10.35826715700332</v>
      </c>
    </row>
    <row r="269" spans="1:39" ht="16.5" x14ac:dyDescent="0.25">
      <c r="A269" s="1">
        <v>45315</v>
      </c>
      <c r="B269" s="5">
        <v>12.164</v>
      </c>
      <c r="C269" s="4">
        <v>12.08</v>
      </c>
      <c r="D269" s="4">
        <v>12.224</v>
      </c>
      <c r="E269" s="4">
        <v>12.055999999999999</v>
      </c>
      <c r="F269" s="4" t="s">
        <v>1106</v>
      </c>
      <c r="G269" s="2" t="s">
        <v>748</v>
      </c>
      <c r="I269">
        <f t="shared" si="58"/>
        <v>12.238100000000001</v>
      </c>
      <c r="J269">
        <f t="shared" si="59"/>
        <v>12.0002</v>
      </c>
      <c r="L269">
        <f t="shared" si="60"/>
        <v>1</v>
      </c>
      <c r="M269">
        <f t="shared" si="61"/>
        <v>0</v>
      </c>
      <c r="O269">
        <f t="shared" si="62"/>
        <v>8.3999999999999631E-2</v>
      </c>
      <c r="P269">
        <f t="shared" si="63"/>
        <v>0</v>
      </c>
      <c r="R269">
        <f t="shared" si="64"/>
        <v>0.1337142857142852</v>
      </c>
      <c r="S269">
        <f t="shared" si="65"/>
        <v>0.16142857142857206</v>
      </c>
      <c r="U269">
        <f t="shared" si="66"/>
        <v>45.304937076476094</v>
      </c>
      <c r="AH269">
        <f t="shared" si="67"/>
        <v>0.92754090607749773</v>
      </c>
      <c r="AI269">
        <f t="shared" si="68"/>
        <v>9.6602660729495575</v>
      </c>
      <c r="AJ269">
        <f t="shared" si="69"/>
        <v>14.815933927050445</v>
      </c>
      <c r="AL269" s="6">
        <f t="shared" si="70"/>
        <v>14.093181812154997</v>
      </c>
      <c r="AM269">
        <f t="shared" si="71"/>
        <v>10.383018187845005</v>
      </c>
    </row>
    <row r="270" spans="1:39" ht="16.5" x14ac:dyDescent="0.25">
      <c r="A270" s="1">
        <v>45314</v>
      </c>
      <c r="B270" s="5">
        <v>11.988</v>
      </c>
      <c r="C270" s="4">
        <v>11.988</v>
      </c>
      <c r="D270" s="4">
        <v>12.038</v>
      </c>
      <c r="E270" s="4">
        <v>11.928000000000001</v>
      </c>
      <c r="F270" s="4" t="s">
        <v>1046</v>
      </c>
      <c r="G270" s="2" t="s">
        <v>233</v>
      </c>
      <c r="I270">
        <f t="shared" si="58"/>
        <v>12.248900000000001</v>
      </c>
      <c r="J270">
        <f t="shared" si="59"/>
        <v>11.973649999999997</v>
      </c>
      <c r="L270">
        <f t="shared" si="60"/>
        <v>0</v>
      </c>
      <c r="M270">
        <f t="shared" si="61"/>
        <v>1</v>
      </c>
      <c r="O270">
        <f t="shared" si="62"/>
        <v>0</v>
      </c>
      <c r="P270">
        <f t="shared" si="63"/>
        <v>0</v>
      </c>
      <c r="R270">
        <f t="shared" si="64"/>
        <v>0.15542857142857081</v>
      </c>
      <c r="S270">
        <f t="shared" si="65"/>
        <v>0.16142857142857206</v>
      </c>
      <c r="U270">
        <f t="shared" si="66"/>
        <v>49.053201082055708</v>
      </c>
      <c r="AH270">
        <f t="shared" si="67"/>
        <v>0.92294712401614165</v>
      </c>
      <c r="AI270">
        <f t="shared" si="68"/>
        <v>9.6710660729495572</v>
      </c>
      <c r="AJ270">
        <f t="shared" si="69"/>
        <v>14.826733927050444</v>
      </c>
      <c r="AL270" s="6">
        <f t="shared" si="70"/>
        <v>14.094794248032285</v>
      </c>
      <c r="AM270">
        <f t="shared" si="71"/>
        <v>10.403005751967717</v>
      </c>
    </row>
    <row r="271" spans="1:39" ht="16.5" x14ac:dyDescent="0.25">
      <c r="A271" s="1">
        <v>45313</v>
      </c>
      <c r="B271" s="5">
        <v>11.94</v>
      </c>
      <c r="C271" s="4">
        <v>11.944000000000001</v>
      </c>
      <c r="D271" s="4">
        <v>12.012</v>
      </c>
      <c r="E271" s="4">
        <v>11.882</v>
      </c>
      <c r="F271" s="4" t="s">
        <v>1107</v>
      </c>
      <c r="G271" s="2" t="s">
        <v>257</v>
      </c>
      <c r="I271">
        <f t="shared" si="58"/>
        <v>12.2637</v>
      </c>
      <c r="J271">
        <f t="shared" si="59"/>
        <v>11.951799999999997</v>
      </c>
      <c r="L271">
        <f t="shared" si="60"/>
        <v>0</v>
      </c>
      <c r="M271">
        <f t="shared" si="61"/>
        <v>1</v>
      </c>
      <c r="O271">
        <f t="shared" si="62"/>
        <v>0</v>
      </c>
      <c r="P271">
        <f t="shared" si="63"/>
        <v>4.0000000000013358E-3</v>
      </c>
      <c r="R271">
        <f t="shared" si="64"/>
        <v>0.15542857142857081</v>
      </c>
      <c r="S271">
        <f t="shared" si="65"/>
        <v>0.19657142857142926</v>
      </c>
      <c r="U271">
        <f t="shared" si="66"/>
        <v>44.155844155843972</v>
      </c>
      <c r="AH271">
        <f t="shared" si="67"/>
        <v>0.91816526515407282</v>
      </c>
      <c r="AI271">
        <f t="shared" si="68"/>
        <v>9.6858660729495547</v>
      </c>
      <c r="AJ271">
        <f t="shared" si="69"/>
        <v>14.841533927050445</v>
      </c>
      <c r="AL271" s="6">
        <f t="shared" si="70"/>
        <v>14.100030530308146</v>
      </c>
      <c r="AM271">
        <f t="shared" si="71"/>
        <v>10.427369469691854</v>
      </c>
    </row>
    <row r="272" spans="1:39" ht="16.5" x14ac:dyDescent="0.25">
      <c r="A272" s="1">
        <v>45310</v>
      </c>
      <c r="B272" s="5">
        <v>11.811999999999999</v>
      </c>
      <c r="C272" s="4">
        <v>12</v>
      </c>
      <c r="D272" s="4">
        <v>12.022</v>
      </c>
      <c r="E272" s="4">
        <v>11.794</v>
      </c>
      <c r="F272" s="4" t="s">
        <v>718</v>
      </c>
      <c r="G272" s="2" t="s">
        <v>88</v>
      </c>
      <c r="I272">
        <f t="shared" si="58"/>
        <v>12.281500000000001</v>
      </c>
      <c r="J272">
        <f t="shared" si="59"/>
        <v>11.931199999999999</v>
      </c>
      <c r="L272">
        <f t="shared" si="60"/>
        <v>0</v>
      </c>
      <c r="M272">
        <f t="shared" si="61"/>
        <v>1</v>
      </c>
      <c r="O272">
        <f t="shared" si="62"/>
        <v>0</v>
      </c>
      <c r="P272">
        <f t="shared" si="63"/>
        <v>0.18800000000000061</v>
      </c>
      <c r="R272">
        <f t="shared" si="64"/>
        <v>0.15124999999999944</v>
      </c>
      <c r="S272">
        <f t="shared" si="65"/>
        <v>0.22866666666666724</v>
      </c>
      <c r="U272">
        <f t="shared" si="66"/>
        <v>39.811362140820208</v>
      </c>
      <c r="AH272">
        <f t="shared" si="67"/>
        <v>0.91315808458466852</v>
      </c>
      <c r="AI272">
        <f t="shared" si="68"/>
        <v>9.7036660729495559</v>
      </c>
      <c r="AJ272">
        <f t="shared" si="69"/>
        <v>14.859333927050447</v>
      </c>
      <c r="AL272" s="6">
        <f t="shared" si="70"/>
        <v>14.107816169169338</v>
      </c>
      <c r="AM272">
        <f t="shared" si="71"/>
        <v>10.455183830830665</v>
      </c>
    </row>
    <row r="273" spans="1:39" ht="16.5" x14ac:dyDescent="0.25">
      <c r="A273" s="1">
        <v>45309</v>
      </c>
      <c r="B273" s="5">
        <v>11.91</v>
      </c>
      <c r="C273" s="4">
        <v>11.816000000000001</v>
      </c>
      <c r="D273" s="4">
        <v>11.978</v>
      </c>
      <c r="E273" s="4">
        <v>11.782</v>
      </c>
      <c r="F273" s="4" t="s">
        <v>1000</v>
      </c>
      <c r="G273" s="2" t="s">
        <v>1088</v>
      </c>
      <c r="I273">
        <f t="shared" si="58"/>
        <v>12.293000000000001</v>
      </c>
      <c r="J273">
        <f t="shared" si="59"/>
        <v>11.915649999999998</v>
      </c>
      <c r="L273">
        <f t="shared" si="60"/>
        <v>1</v>
      </c>
      <c r="M273">
        <f t="shared" si="61"/>
        <v>0</v>
      </c>
      <c r="O273">
        <f t="shared" si="62"/>
        <v>9.3999999999999417E-2</v>
      </c>
      <c r="P273">
        <f t="shared" si="63"/>
        <v>0</v>
      </c>
      <c r="R273">
        <f t="shared" si="64"/>
        <v>0.14199999999999965</v>
      </c>
      <c r="S273">
        <f t="shared" si="65"/>
        <v>0.23680000000000057</v>
      </c>
      <c r="U273">
        <f t="shared" si="66"/>
        <v>37.486800422386366</v>
      </c>
      <c r="AH273">
        <f t="shared" si="67"/>
        <v>0.90789334648193321</v>
      </c>
      <c r="AI273">
        <f t="shared" si="68"/>
        <v>9.7151660729495575</v>
      </c>
      <c r="AJ273">
        <f t="shared" si="69"/>
        <v>14.870833927050445</v>
      </c>
      <c r="AL273" s="6">
        <f t="shared" si="70"/>
        <v>14.108786692963868</v>
      </c>
      <c r="AM273">
        <f t="shared" si="71"/>
        <v>10.477213307036134</v>
      </c>
    </row>
    <row r="274" spans="1:39" ht="16.5" x14ac:dyDescent="0.25">
      <c r="A274" s="1">
        <v>45308</v>
      </c>
      <c r="B274" s="5">
        <v>11.827999999999999</v>
      </c>
      <c r="C274" s="4">
        <v>11.65</v>
      </c>
      <c r="D274" s="4">
        <v>11.827999999999999</v>
      </c>
      <c r="E274" s="4">
        <v>11.561999999999999</v>
      </c>
      <c r="F274" s="4" t="s">
        <v>977</v>
      </c>
      <c r="G274" s="2" t="s">
        <v>814</v>
      </c>
      <c r="I274">
        <f t="shared" si="58"/>
        <v>12.296899999999999</v>
      </c>
      <c r="J274">
        <f t="shared" si="59"/>
        <v>11.900099999999998</v>
      </c>
      <c r="L274">
        <f t="shared" si="60"/>
        <v>1</v>
      </c>
      <c r="M274">
        <f t="shared" si="61"/>
        <v>0</v>
      </c>
      <c r="O274">
        <f t="shared" si="62"/>
        <v>0.17799999999999905</v>
      </c>
      <c r="P274">
        <f t="shared" si="63"/>
        <v>0</v>
      </c>
      <c r="R274">
        <f t="shared" si="64"/>
        <v>0.14799999999999969</v>
      </c>
      <c r="S274">
        <f t="shared" si="65"/>
        <v>0.21366666666666698</v>
      </c>
      <c r="U274">
        <f t="shared" si="66"/>
        <v>40.921658986175025</v>
      </c>
      <c r="AH274">
        <f t="shared" si="67"/>
        <v>0.90241031658972537</v>
      </c>
      <c r="AI274">
        <f t="shared" si="68"/>
        <v>9.7190660729495555</v>
      </c>
      <c r="AJ274">
        <f t="shared" si="69"/>
        <v>14.874733927050443</v>
      </c>
      <c r="AL274" s="6">
        <f t="shared" si="70"/>
        <v>14.10172063317945</v>
      </c>
      <c r="AM274">
        <f t="shared" si="71"/>
        <v>10.492079366820548</v>
      </c>
    </row>
    <row r="275" spans="1:39" ht="16.5" x14ac:dyDescent="0.25">
      <c r="A275" s="1">
        <v>45307</v>
      </c>
      <c r="B275" s="5">
        <v>11.875999999999999</v>
      </c>
      <c r="C275" s="4">
        <v>11.72</v>
      </c>
      <c r="D275" s="4">
        <v>11.882</v>
      </c>
      <c r="E275" s="4">
        <v>11.577999999999999</v>
      </c>
      <c r="F275" s="4" t="s">
        <v>1108</v>
      </c>
      <c r="G275" s="2" t="s">
        <v>294</v>
      </c>
      <c r="I275">
        <f t="shared" si="58"/>
        <v>12.310499999999999</v>
      </c>
      <c r="J275">
        <f t="shared" si="59"/>
        <v>11.883699999999997</v>
      </c>
      <c r="L275">
        <f t="shared" si="60"/>
        <v>1</v>
      </c>
      <c r="M275">
        <f t="shared" si="61"/>
        <v>0</v>
      </c>
      <c r="O275">
        <f t="shared" si="62"/>
        <v>0.15599999999999881</v>
      </c>
      <c r="P275">
        <f t="shared" si="63"/>
        <v>0</v>
      </c>
      <c r="R275">
        <f t="shared" si="64"/>
        <v>0.14371428571428549</v>
      </c>
      <c r="S275">
        <f t="shared" si="65"/>
        <v>0.1845714285714288</v>
      </c>
      <c r="U275">
        <f t="shared" si="66"/>
        <v>43.777197563098277</v>
      </c>
      <c r="AH275">
        <f t="shared" si="67"/>
        <v>0.89676190690434787</v>
      </c>
      <c r="AI275">
        <f t="shared" si="68"/>
        <v>9.7326660729495558</v>
      </c>
      <c r="AJ275">
        <f t="shared" si="69"/>
        <v>14.888333927050443</v>
      </c>
      <c r="AL275" s="6">
        <f t="shared" si="70"/>
        <v>14.104023813808695</v>
      </c>
      <c r="AM275">
        <f t="shared" si="71"/>
        <v>10.516976186191304</v>
      </c>
    </row>
    <row r="276" spans="1:39" ht="16.5" x14ac:dyDescent="0.25">
      <c r="A276" s="1">
        <v>45306</v>
      </c>
      <c r="B276" s="5">
        <v>11.938000000000001</v>
      </c>
      <c r="C276" s="4">
        <v>12.09</v>
      </c>
      <c r="D276" s="4">
        <v>12.13</v>
      </c>
      <c r="E276" s="4">
        <v>11.92</v>
      </c>
      <c r="F276" s="4" t="s">
        <v>862</v>
      </c>
      <c r="G276" s="2" t="s">
        <v>634</v>
      </c>
      <c r="I276">
        <f t="shared" si="58"/>
        <v>12.315199999999999</v>
      </c>
      <c r="J276">
        <f t="shared" si="59"/>
        <v>11.858949999999997</v>
      </c>
      <c r="L276">
        <f t="shared" si="60"/>
        <v>0</v>
      </c>
      <c r="M276">
        <f t="shared" si="61"/>
        <v>1</v>
      </c>
      <c r="O276">
        <f t="shared" si="62"/>
        <v>0</v>
      </c>
      <c r="P276">
        <f t="shared" si="63"/>
        <v>0.15199999999999925</v>
      </c>
      <c r="R276">
        <f t="shared" si="64"/>
        <v>0.13599999999999998</v>
      </c>
      <c r="S276">
        <f t="shared" si="65"/>
        <v>0.1845714285714288</v>
      </c>
      <c r="U276">
        <f t="shared" si="66"/>
        <v>42.424242424242387</v>
      </c>
      <c r="AH276">
        <f t="shared" si="67"/>
        <v>0.89086254187544811</v>
      </c>
      <c r="AI276">
        <f t="shared" si="68"/>
        <v>9.7373660729495555</v>
      </c>
      <c r="AJ276">
        <f t="shared" si="69"/>
        <v>14.893033927050443</v>
      </c>
      <c r="AL276" s="6">
        <f t="shared" si="70"/>
        <v>14.096925083750895</v>
      </c>
      <c r="AM276">
        <f t="shared" si="71"/>
        <v>10.533474916249103</v>
      </c>
    </row>
    <row r="277" spans="1:39" ht="16.5" x14ac:dyDescent="0.25">
      <c r="A277" s="1">
        <v>45303</v>
      </c>
      <c r="B277" s="5">
        <v>12.05</v>
      </c>
      <c r="C277" s="4">
        <v>12.21</v>
      </c>
      <c r="D277" s="4">
        <v>12.294</v>
      </c>
      <c r="E277" s="4">
        <v>12.016</v>
      </c>
      <c r="F277" s="4" t="s">
        <v>1109</v>
      </c>
      <c r="G277" s="2" t="s">
        <v>431</v>
      </c>
      <c r="I277">
        <f t="shared" si="58"/>
        <v>12.309999999999999</v>
      </c>
      <c r="J277">
        <f t="shared" si="59"/>
        <v>11.833499999999997</v>
      </c>
      <c r="L277">
        <f t="shared" si="60"/>
        <v>0</v>
      </c>
      <c r="M277">
        <f t="shared" si="61"/>
        <v>1</v>
      </c>
      <c r="O277">
        <f t="shared" si="62"/>
        <v>0</v>
      </c>
      <c r="P277">
        <f t="shared" si="63"/>
        <v>0.16000000000000014</v>
      </c>
      <c r="R277">
        <f t="shared" si="64"/>
        <v>0.13075000000000014</v>
      </c>
      <c r="S277">
        <f t="shared" si="65"/>
        <v>0.19000000000000039</v>
      </c>
      <c r="U277">
        <f t="shared" si="66"/>
        <v>40.763834762275891</v>
      </c>
      <c r="AH277">
        <f t="shared" si="67"/>
        <v>0.88477660863620966</v>
      </c>
      <c r="AI277">
        <f t="shared" si="68"/>
        <v>9.7321660729495534</v>
      </c>
      <c r="AJ277">
        <f t="shared" si="69"/>
        <v>14.887833927050444</v>
      </c>
      <c r="AL277" s="6">
        <f t="shared" si="70"/>
        <v>14.079553217272418</v>
      </c>
      <c r="AM277">
        <f t="shared" si="71"/>
        <v>10.54044678272758</v>
      </c>
    </row>
    <row r="278" spans="1:39" ht="16.5" x14ac:dyDescent="0.25">
      <c r="A278" s="1">
        <v>45302</v>
      </c>
      <c r="B278" s="5">
        <v>12.2</v>
      </c>
      <c r="C278" s="4">
        <v>12.8</v>
      </c>
      <c r="D278" s="4">
        <v>12.8</v>
      </c>
      <c r="E278" s="4">
        <v>12.125999999999999</v>
      </c>
      <c r="F278" s="4" t="s">
        <v>1110</v>
      </c>
      <c r="G278" s="2" t="s">
        <v>1111</v>
      </c>
      <c r="I278">
        <f t="shared" si="58"/>
        <v>12.303999999999998</v>
      </c>
      <c r="J278">
        <f t="shared" si="59"/>
        <v>11.800349999999998</v>
      </c>
      <c r="L278">
        <f t="shared" si="60"/>
        <v>0</v>
      </c>
      <c r="M278">
        <f t="shared" si="61"/>
        <v>1</v>
      </c>
      <c r="O278">
        <f t="shared" si="62"/>
        <v>0</v>
      </c>
      <c r="P278">
        <f t="shared" si="63"/>
        <v>0.60000000000000142</v>
      </c>
      <c r="R278">
        <f t="shared" si="64"/>
        <v>0.13200000000000006</v>
      </c>
      <c r="S278">
        <f t="shared" si="65"/>
        <v>0.19600000000000045</v>
      </c>
      <c r="U278">
        <f t="shared" si="66"/>
        <v>40.243902439024346</v>
      </c>
      <c r="AH278">
        <f t="shared" si="67"/>
        <v>0.87858144051695131</v>
      </c>
      <c r="AI278">
        <f t="shared" si="68"/>
        <v>9.7261660729495532</v>
      </c>
      <c r="AJ278">
        <f t="shared" si="69"/>
        <v>14.881833927050444</v>
      </c>
      <c r="AL278" s="6">
        <f t="shared" si="70"/>
        <v>14.061162881033901</v>
      </c>
      <c r="AM278">
        <f t="shared" si="71"/>
        <v>10.546837118966096</v>
      </c>
    </row>
    <row r="279" spans="1:39" ht="16.5" x14ac:dyDescent="0.25">
      <c r="A279" s="1">
        <v>45301</v>
      </c>
      <c r="B279" s="5">
        <v>12.75</v>
      </c>
      <c r="C279" s="4">
        <v>12.666</v>
      </c>
      <c r="D279" s="4">
        <v>12.754</v>
      </c>
      <c r="E279" s="4">
        <v>12.632</v>
      </c>
      <c r="F279" s="4" t="s">
        <v>1052</v>
      </c>
      <c r="G279" s="2" t="s">
        <v>90</v>
      </c>
      <c r="I279">
        <f t="shared" si="58"/>
        <v>12.289099999999999</v>
      </c>
      <c r="J279">
        <f t="shared" si="59"/>
        <v>11.760499999999997</v>
      </c>
      <c r="L279">
        <f t="shared" si="60"/>
        <v>1</v>
      </c>
      <c r="M279">
        <f t="shared" si="61"/>
        <v>0</v>
      </c>
      <c r="O279">
        <f t="shared" si="62"/>
        <v>8.3999999999999631E-2</v>
      </c>
      <c r="P279">
        <f t="shared" si="63"/>
        <v>0</v>
      </c>
      <c r="R279">
        <f t="shared" si="64"/>
        <v>0.13000000000000006</v>
      </c>
      <c r="S279">
        <f t="shared" si="65"/>
        <v>9.5000000000000195E-2</v>
      </c>
      <c r="U279">
        <f t="shared" si="66"/>
        <v>57.777777777777743</v>
      </c>
      <c r="AH279">
        <f t="shared" si="67"/>
        <v>0.87228043465620808</v>
      </c>
      <c r="AI279">
        <f t="shared" si="68"/>
        <v>9.7112660729495559</v>
      </c>
      <c r="AJ279">
        <f t="shared" si="69"/>
        <v>14.866933927050443</v>
      </c>
      <c r="AL279" s="6">
        <f t="shared" si="70"/>
        <v>14.033660869312415</v>
      </c>
      <c r="AM279">
        <f t="shared" si="71"/>
        <v>10.544539130687584</v>
      </c>
    </row>
    <row r="280" spans="1:39" ht="16.5" x14ac:dyDescent="0.25">
      <c r="A280" s="1">
        <v>45300</v>
      </c>
      <c r="B280" s="5">
        <v>12.7</v>
      </c>
      <c r="C280" s="4">
        <v>12.726000000000001</v>
      </c>
      <c r="D280" s="4">
        <v>12.853999999999999</v>
      </c>
      <c r="E280" s="4">
        <v>12.64</v>
      </c>
      <c r="F280" s="4" t="s">
        <v>1112</v>
      </c>
      <c r="G280" s="2" t="s">
        <v>533</v>
      </c>
      <c r="I280">
        <f t="shared" si="58"/>
        <v>12.242799999999999</v>
      </c>
      <c r="J280">
        <f t="shared" si="59"/>
        <v>11.704149999999997</v>
      </c>
      <c r="L280">
        <f t="shared" si="60"/>
        <v>0</v>
      </c>
      <c r="M280">
        <f t="shared" si="61"/>
        <v>1</v>
      </c>
      <c r="O280">
        <f t="shared" si="62"/>
        <v>0</v>
      </c>
      <c r="P280">
        <f t="shared" si="63"/>
        <v>2.6000000000001577E-2</v>
      </c>
      <c r="R280">
        <f t="shared" si="64"/>
        <v>0.13511111111111124</v>
      </c>
      <c r="S280">
        <f t="shared" si="65"/>
        <v>8.1600000000000256E-2</v>
      </c>
      <c r="U280">
        <f t="shared" si="66"/>
        <v>62.346185397867053</v>
      </c>
      <c r="AH280">
        <f t="shared" si="67"/>
        <v>0.86594742846574724</v>
      </c>
      <c r="AI280">
        <f t="shared" si="68"/>
        <v>9.6649660729495537</v>
      </c>
      <c r="AJ280">
        <f t="shared" si="69"/>
        <v>14.820633927050444</v>
      </c>
      <c r="AL280" s="6">
        <f t="shared" si="70"/>
        <v>13.974694856931494</v>
      </c>
      <c r="AM280">
        <f t="shared" si="71"/>
        <v>10.510905143068504</v>
      </c>
    </row>
    <row r="281" spans="1:39" ht="16.5" x14ac:dyDescent="0.25">
      <c r="A281" s="1">
        <v>45299</v>
      </c>
      <c r="B281" s="5">
        <v>12.712</v>
      </c>
      <c r="C281" s="4">
        <v>12.51</v>
      </c>
      <c r="D281" s="4">
        <v>12.715999999999999</v>
      </c>
      <c r="E281" s="4">
        <v>12.494</v>
      </c>
      <c r="F281" s="4" t="s">
        <v>1113</v>
      </c>
      <c r="G281" s="2" t="s">
        <v>455</v>
      </c>
      <c r="I281">
        <f t="shared" si="58"/>
        <v>12.1861</v>
      </c>
      <c r="J281">
        <f t="shared" si="59"/>
        <v>11.650249999999996</v>
      </c>
      <c r="L281">
        <f t="shared" si="60"/>
        <v>1</v>
      </c>
      <c r="M281">
        <f t="shared" si="61"/>
        <v>0</v>
      </c>
      <c r="O281">
        <f t="shared" si="62"/>
        <v>0.20199999999999996</v>
      </c>
      <c r="P281">
        <f t="shared" si="63"/>
        <v>0</v>
      </c>
      <c r="R281">
        <f t="shared" si="64"/>
        <v>0.13360000000000002</v>
      </c>
      <c r="S281">
        <f t="shared" si="65"/>
        <v>9.5499999999999918E-2</v>
      </c>
      <c r="U281">
        <f t="shared" si="66"/>
        <v>58.315146224356198</v>
      </c>
      <c r="AH281">
        <f t="shared" si="67"/>
        <v>0.85985302462022528</v>
      </c>
      <c r="AI281">
        <f t="shared" si="68"/>
        <v>9.6082660729495544</v>
      </c>
      <c r="AJ281">
        <f t="shared" si="69"/>
        <v>14.763933927050445</v>
      </c>
      <c r="AL281" s="6">
        <f t="shared" si="70"/>
        <v>13.90580604924045</v>
      </c>
      <c r="AM281">
        <f t="shared" si="71"/>
        <v>10.466393950759549</v>
      </c>
    </row>
    <row r="282" spans="1:39" ht="16.5" x14ac:dyDescent="0.25">
      <c r="A282" s="1">
        <v>45296</v>
      </c>
      <c r="B282" s="5">
        <v>12.568</v>
      </c>
      <c r="C282" s="4">
        <v>12.43</v>
      </c>
      <c r="D282" s="4">
        <v>12.635999999999999</v>
      </c>
      <c r="E282" s="4">
        <v>12.3</v>
      </c>
      <c r="F282" s="4" t="s">
        <v>1114</v>
      </c>
      <c r="G282" s="2" t="s">
        <v>138</v>
      </c>
      <c r="I282">
        <f t="shared" si="58"/>
        <v>12.134</v>
      </c>
      <c r="J282">
        <f t="shared" si="59"/>
        <v>11.595849999999997</v>
      </c>
      <c r="L282">
        <f t="shared" si="60"/>
        <v>1</v>
      </c>
      <c r="M282">
        <f t="shared" si="61"/>
        <v>0</v>
      </c>
      <c r="O282">
        <f t="shared" si="62"/>
        <v>0.1379999999999999</v>
      </c>
      <c r="P282">
        <f t="shared" si="63"/>
        <v>0</v>
      </c>
      <c r="R282">
        <f t="shared" si="64"/>
        <v>0.11660000000000004</v>
      </c>
      <c r="S282">
        <f t="shared" si="65"/>
        <v>9.5499999999999918E-2</v>
      </c>
      <c r="U282">
        <f t="shared" si="66"/>
        <v>54.974068835455007</v>
      </c>
      <c r="AH282">
        <f t="shared" si="67"/>
        <v>0.85408764281607286</v>
      </c>
      <c r="AI282">
        <f t="shared" si="68"/>
        <v>9.556166072949555</v>
      </c>
      <c r="AJ282">
        <f t="shared" si="69"/>
        <v>14.711833927050446</v>
      </c>
      <c r="AL282" s="6">
        <f t="shared" si="70"/>
        <v>13.842175285632146</v>
      </c>
      <c r="AM282">
        <f t="shared" si="71"/>
        <v>10.425824714367854</v>
      </c>
    </row>
    <row r="283" spans="1:39" ht="16.5" x14ac:dyDescent="0.25">
      <c r="A283" s="1">
        <v>45295</v>
      </c>
      <c r="B283" s="5">
        <v>12.52</v>
      </c>
      <c r="C283" s="4">
        <v>12.284000000000001</v>
      </c>
      <c r="D283" s="4">
        <v>12.522</v>
      </c>
      <c r="E283" s="4">
        <v>12.257999999999999</v>
      </c>
      <c r="F283" s="4" t="s">
        <v>819</v>
      </c>
      <c r="G283" s="2" t="s">
        <v>1115</v>
      </c>
      <c r="I283">
        <f t="shared" si="58"/>
        <v>12.084099999999999</v>
      </c>
      <c r="J283">
        <f t="shared" si="59"/>
        <v>11.544749999999997</v>
      </c>
      <c r="L283">
        <f t="shared" si="60"/>
        <v>1</v>
      </c>
      <c r="M283">
        <f t="shared" si="61"/>
        <v>0</v>
      </c>
      <c r="O283">
        <f t="shared" si="62"/>
        <v>0.23599999999999888</v>
      </c>
      <c r="P283">
        <f t="shared" si="63"/>
        <v>0</v>
      </c>
      <c r="R283">
        <f t="shared" si="64"/>
        <v>0.11422222222222228</v>
      </c>
      <c r="S283">
        <f t="shared" si="65"/>
        <v>8.9600000000000082E-2</v>
      </c>
      <c r="U283">
        <f t="shared" si="66"/>
        <v>56.040122110771911</v>
      </c>
      <c r="AH283">
        <f t="shared" si="67"/>
        <v>0.84861415288874864</v>
      </c>
      <c r="AI283">
        <f t="shared" si="68"/>
        <v>9.5062660729495541</v>
      </c>
      <c r="AJ283">
        <f t="shared" si="69"/>
        <v>14.661933927050445</v>
      </c>
      <c r="AL283" s="6">
        <f t="shared" si="70"/>
        <v>13.781328305777496</v>
      </c>
      <c r="AM283">
        <f t="shared" si="71"/>
        <v>10.386871694222503</v>
      </c>
    </row>
    <row r="284" spans="1:39" ht="16.5" x14ac:dyDescent="0.25">
      <c r="A284" s="1">
        <v>45294</v>
      </c>
      <c r="B284" s="5">
        <v>12.25</v>
      </c>
      <c r="C284" s="4">
        <v>12.496</v>
      </c>
      <c r="D284" s="4">
        <v>12.548</v>
      </c>
      <c r="E284" s="4">
        <v>12.183999999999999</v>
      </c>
      <c r="F284" s="4" t="s">
        <v>1055</v>
      </c>
      <c r="G284" s="2" t="s">
        <v>963</v>
      </c>
      <c r="I284">
        <f t="shared" si="58"/>
        <v>12.034600000000001</v>
      </c>
      <c r="J284">
        <f t="shared" si="59"/>
        <v>11.497399999999999</v>
      </c>
      <c r="L284">
        <f t="shared" si="60"/>
        <v>0</v>
      </c>
      <c r="M284">
        <f t="shared" si="61"/>
        <v>1</v>
      </c>
      <c r="O284">
        <f t="shared" si="62"/>
        <v>0</v>
      </c>
      <c r="P284">
        <f t="shared" si="63"/>
        <v>0.24600000000000044</v>
      </c>
      <c r="R284">
        <f t="shared" si="64"/>
        <v>8.8222222222222271E-2</v>
      </c>
      <c r="S284">
        <f t="shared" si="65"/>
        <v>8.9600000000000082E-2</v>
      </c>
      <c r="U284">
        <f t="shared" si="66"/>
        <v>49.612596850787291</v>
      </c>
      <c r="AH284">
        <f t="shared" si="67"/>
        <v>0.84341580765522872</v>
      </c>
      <c r="AI284">
        <f t="shared" si="68"/>
        <v>9.4567660729495557</v>
      </c>
      <c r="AJ284">
        <f t="shared" si="69"/>
        <v>14.612433927050446</v>
      </c>
      <c r="AL284" s="6">
        <f t="shared" si="70"/>
        <v>13.721431615310458</v>
      </c>
      <c r="AM284">
        <f t="shared" si="71"/>
        <v>10.347768384689545</v>
      </c>
    </row>
    <row r="285" spans="1:39" ht="16.5" x14ac:dyDescent="0.25">
      <c r="A285" s="1">
        <v>45293</v>
      </c>
      <c r="B285" s="5">
        <v>12.481999999999999</v>
      </c>
      <c r="C285" s="4">
        <v>12.36</v>
      </c>
      <c r="D285" s="4">
        <v>12.52</v>
      </c>
      <c r="E285" s="4">
        <v>12.336</v>
      </c>
      <c r="F285" s="4" t="s">
        <v>1116</v>
      </c>
      <c r="G285" s="2" t="s">
        <v>94</v>
      </c>
      <c r="I285">
        <f t="shared" si="58"/>
        <v>11.998099999999999</v>
      </c>
      <c r="J285">
        <f t="shared" si="59"/>
        <v>11.457649999999997</v>
      </c>
      <c r="L285">
        <f t="shared" si="60"/>
        <v>1</v>
      </c>
      <c r="M285">
        <f t="shared" si="61"/>
        <v>0</v>
      </c>
      <c r="O285">
        <f t="shared" si="62"/>
        <v>0.12199999999999989</v>
      </c>
      <c r="P285">
        <f t="shared" si="63"/>
        <v>0</v>
      </c>
      <c r="R285">
        <f t="shared" si="64"/>
        <v>8.9599999999999902E-2</v>
      </c>
      <c r="S285">
        <f t="shared" si="65"/>
        <v>5.0499999999999989E-2</v>
      </c>
      <c r="U285">
        <f t="shared" si="66"/>
        <v>63.954318344039955</v>
      </c>
      <c r="AH285">
        <f t="shared" si="67"/>
        <v>0.83849052745942376</v>
      </c>
      <c r="AI285">
        <f t="shared" si="68"/>
        <v>9.4202660729495555</v>
      </c>
      <c r="AJ285">
        <f t="shared" si="69"/>
        <v>14.575933927050443</v>
      </c>
      <c r="AL285" s="6">
        <f t="shared" si="70"/>
        <v>13.675081054918847</v>
      </c>
      <c r="AM285">
        <f t="shared" si="71"/>
        <v>10.321118945081151</v>
      </c>
    </row>
    <row r="286" spans="1:39" ht="16.5" x14ac:dyDescent="0.25">
      <c r="A286" s="1">
        <v>45289</v>
      </c>
      <c r="B286" s="5">
        <v>12.364000000000001</v>
      </c>
      <c r="C286" s="4">
        <v>12.295999999999999</v>
      </c>
      <c r="D286" s="4">
        <v>12.388</v>
      </c>
      <c r="E286" s="4">
        <v>12.29</v>
      </c>
      <c r="F286" s="4" t="s">
        <v>826</v>
      </c>
      <c r="G286" s="2" t="s">
        <v>688</v>
      </c>
      <c r="I286">
        <f t="shared" si="58"/>
        <v>11.9453</v>
      </c>
      <c r="J286">
        <f t="shared" si="59"/>
        <v>11.4109</v>
      </c>
      <c r="L286">
        <f t="shared" si="60"/>
        <v>1</v>
      </c>
      <c r="M286">
        <f t="shared" si="61"/>
        <v>0</v>
      </c>
      <c r="O286">
        <f t="shared" si="62"/>
        <v>6.8000000000001393E-2</v>
      </c>
      <c r="P286">
        <f t="shared" si="63"/>
        <v>0</v>
      </c>
      <c r="R286">
        <f t="shared" si="64"/>
        <v>0.10259999999999998</v>
      </c>
      <c r="S286">
        <f t="shared" si="65"/>
        <v>5.0499999999999989E-2</v>
      </c>
      <c r="U286">
        <f t="shared" si="66"/>
        <v>67.015022860875249</v>
      </c>
      <c r="AH286">
        <f t="shared" si="67"/>
        <v>0.8337357133925688</v>
      </c>
      <c r="AI286">
        <f t="shared" si="68"/>
        <v>9.3674660729495542</v>
      </c>
      <c r="AJ286">
        <f t="shared" si="69"/>
        <v>14.523133927050445</v>
      </c>
      <c r="AL286" s="6">
        <f t="shared" si="70"/>
        <v>13.612771426785137</v>
      </c>
      <c r="AM286">
        <f t="shared" si="71"/>
        <v>10.277828573214862</v>
      </c>
    </row>
    <row r="287" spans="1:39" ht="16.5" x14ac:dyDescent="0.25">
      <c r="A287" s="1">
        <v>45288</v>
      </c>
      <c r="B287" s="5">
        <v>12.31</v>
      </c>
      <c r="C287" s="4">
        <v>12.407999999999999</v>
      </c>
      <c r="D287" s="4">
        <v>12.472</v>
      </c>
      <c r="E287" s="4">
        <v>12.286</v>
      </c>
      <c r="F287" s="4" t="s">
        <v>1117</v>
      </c>
      <c r="G287" s="2" t="s">
        <v>174</v>
      </c>
      <c r="I287">
        <f t="shared" si="58"/>
        <v>11.890699999999999</v>
      </c>
      <c r="J287">
        <f t="shared" si="59"/>
        <v>11.363349999999999</v>
      </c>
      <c r="L287">
        <f t="shared" si="60"/>
        <v>0</v>
      </c>
      <c r="M287">
        <f t="shared" si="61"/>
        <v>1</v>
      </c>
      <c r="O287">
        <f t="shared" si="62"/>
        <v>0</v>
      </c>
      <c r="P287">
        <f t="shared" si="63"/>
        <v>9.7999999999998977E-2</v>
      </c>
      <c r="R287">
        <f t="shared" si="64"/>
        <v>0.10644444444444427</v>
      </c>
      <c r="S287">
        <f t="shared" si="65"/>
        <v>4.5199999999999817E-2</v>
      </c>
      <c r="U287">
        <f t="shared" si="66"/>
        <v>70.193434935521736</v>
      </c>
      <c r="AH287">
        <f t="shared" si="67"/>
        <v>0.82928147128819563</v>
      </c>
      <c r="AI287">
        <f t="shared" si="68"/>
        <v>9.3128660729495536</v>
      </c>
      <c r="AJ287">
        <f t="shared" si="69"/>
        <v>14.468533927050444</v>
      </c>
      <c r="AL287" s="6">
        <f t="shared" si="70"/>
        <v>13.549262942576391</v>
      </c>
      <c r="AM287">
        <f t="shared" si="71"/>
        <v>10.232137057423607</v>
      </c>
    </row>
    <row r="288" spans="1:39" ht="16.5" x14ac:dyDescent="0.25">
      <c r="A288" s="1">
        <v>45287</v>
      </c>
      <c r="B288" s="5">
        <v>12.4</v>
      </c>
      <c r="C288" s="4">
        <v>12.41</v>
      </c>
      <c r="D288" s="4">
        <v>12.446</v>
      </c>
      <c r="E288" s="4">
        <v>12.346</v>
      </c>
      <c r="F288" s="4" t="s">
        <v>1118</v>
      </c>
      <c r="G288" s="2" t="s">
        <v>301</v>
      </c>
      <c r="I288">
        <f t="shared" si="58"/>
        <v>11.829699999999999</v>
      </c>
      <c r="J288">
        <f t="shared" si="59"/>
        <v>11.314499999999999</v>
      </c>
      <c r="L288">
        <f t="shared" si="60"/>
        <v>0</v>
      </c>
      <c r="M288">
        <f t="shared" si="61"/>
        <v>1</v>
      </c>
      <c r="O288">
        <f t="shared" si="62"/>
        <v>0</v>
      </c>
      <c r="P288">
        <f t="shared" si="63"/>
        <v>9.9999999999997868E-3</v>
      </c>
      <c r="R288">
        <f t="shared" si="64"/>
        <v>0.10479999999999982</v>
      </c>
      <c r="S288">
        <f t="shared" si="65"/>
        <v>3.2000000000000028E-2</v>
      </c>
      <c r="U288">
        <f t="shared" si="66"/>
        <v>76.608187134502884</v>
      </c>
      <c r="AH288">
        <f t="shared" si="67"/>
        <v>0.82514110563033605</v>
      </c>
      <c r="AI288">
        <f t="shared" si="68"/>
        <v>9.2518660729495537</v>
      </c>
      <c r="AJ288">
        <f t="shared" si="69"/>
        <v>14.407533927050444</v>
      </c>
      <c r="AL288" s="6">
        <f t="shared" si="70"/>
        <v>13.479982211260671</v>
      </c>
      <c r="AM288">
        <f t="shared" si="71"/>
        <v>10.179417788739327</v>
      </c>
    </row>
    <row r="289" spans="1:39" ht="16.5" x14ac:dyDescent="0.25">
      <c r="A289" s="1">
        <v>45282</v>
      </c>
      <c r="B289" s="5">
        <v>12.38</v>
      </c>
      <c r="C289" s="4">
        <v>12.278</v>
      </c>
      <c r="D289" s="4">
        <v>12.396000000000001</v>
      </c>
      <c r="E289" s="4">
        <v>12.272</v>
      </c>
      <c r="F289" s="4" t="s">
        <v>1119</v>
      </c>
      <c r="G289" s="2" t="s">
        <v>345</v>
      </c>
      <c r="I289">
        <f t="shared" si="58"/>
        <v>11.7623</v>
      </c>
      <c r="J289">
        <f t="shared" si="59"/>
        <v>11.264700000000001</v>
      </c>
      <c r="L289">
        <f t="shared" si="60"/>
        <v>1</v>
      </c>
      <c r="M289">
        <f t="shared" si="61"/>
        <v>0</v>
      </c>
      <c r="O289">
        <f t="shared" si="62"/>
        <v>0.10200000000000031</v>
      </c>
      <c r="P289">
        <f t="shared" si="63"/>
        <v>0</v>
      </c>
      <c r="R289">
        <f t="shared" si="64"/>
        <v>0.10345454545454529</v>
      </c>
      <c r="S289">
        <f t="shared" si="65"/>
        <v>3.9333333333333442E-2</v>
      </c>
      <c r="U289">
        <f t="shared" si="66"/>
        <v>72.453310696094988</v>
      </c>
      <c r="AH289">
        <f t="shared" si="67"/>
        <v>0.82136096733486474</v>
      </c>
      <c r="AI289">
        <f t="shared" si="68"/>
        <v>9.1844660729495544</v>
      </c>
      <c r="AJ289">
        <f t="shared" si="69"/>
        <v>14.340133927050445</v>
      </c>
      <c r="AL289" s="6">
        <f t="shared" si="70"/>
        <v>13.40502193466973</v>
      </c>
      <c r="AM289">
        <f t="shared" si="71"/>
        <v>10.11957806533027</v>
      </c>
    </row>
    <row r="290" spans="1:39" ht="16.5" x14ac:dyDescent="0.25">
      <c r="A290" s="1">
        <v>45281</v>
      </c>
      <c r="B290" s="5">
        <v>12.284000000000001</v>
      </c>
      <c r="C290" s="4">
        <v>12.19</v>
      </c>
      <c r="D290" s="4">
        <v>12.334</v>
      </c>
      <c r="E290" s="4">
        <v>12.186</v>
      </c>
      <c r="F290" s="4" t="s">
        <v>1120</v>
      </c>
      <c r="G290" s="2" t="s">
        <v>929</v>
      </c>
      <c r="I290">
        <f t="shared" si="58"/>
        <v>11.698399999999999</v>
      </c>
      <c r="J290">
        <f t="shared" si="59"/>
        <v>11.215350000000001</v>
      </c>
      <c r="L290">
        <f t="shared" si="60"/>
        <v>1</v>
      </c>
      <c r="M290">
        <f t="shared" si="61"/>
        <v>0</v>
      </c>
      <c r="O290">
        <f t="shared" si="62"/>
        <v>9.4000000000001194E-2</v>
      </c>
      <c r="P290">
        <f t="shared" si="63"/>
        <v>0</v>
      </c>
      <c r="R290">
        <f t="shared" si="64"/>
        <v>9.6909090909090653E-2</v>
      </c>
      <c r="S290">
        <f t="shared" si="65"/>
        <v>3.9333333333333442E-2</v>
      </c>
      <c r="U290">
        <f t="shared" si="66"/>
        <v>71.12989323843405</v>
      </c>
      <c r="AH290">
        <f t="shared" si="67"/>
        <v>0.81798323162296904</v>
      </c>
      <c r="AI290">
        <f t="shared" si="68"/>
        <v>9.1205660729495541</v>
      </c>
      <c r="AJ290">
        <f t="shared" si="69"/>
        <v>14.276233927050445</v>
      </c>
      <c r="AL290" s="6">
        <f t="shared" si="70"/>
        <v>13.334366463245937</v>
      </c>
      <c r="AM290">
        <f t="shared" si="71"/>
        <v>10.062433536754062</v>
      </c>
    </row>
    <row r="291" spans="1:39" ht="16.5" x14ac:dyDescent="0.25">
      <c r="A291" s="1">
        <v>45280</v>
      </c>
      <c r="B291" s="5">
        <v>12.295999999999999</v>
      </c>
      <c r="C291" s="4">
        <v>12.154</v>
      </c>
      <c r="D291" s="4">
        <v>12.358000000000001</v>
      </c>
      <c r="E291" s="4">
        <v>12.124000000000001</v>
      </c>
      <c r="F291" s="4" t="s">
        <v>1121</v>
      </c>
      <c r="G291" s="2" t="s">
        <v>865</v>
      </c>
      <c r="I291">
        <f t="shared" si="58"/>
        <v>11.639899999999999</v>
      </c>
      <c r="J291">
        <f t="shared" si="59"/>
        <v>11.167750000000002</v>
      </c>
      <c r="L291">
        <f t="shared" si="60"/>
        <v>1</v>
      </c>
      <c r="M291">
        <f t="shared" si="61"/>
        <v>0</v>
      </c>
      <c r="O291">
        <f t="shared" si="62"/>
        <v>0.14199999999999946</v>
      </c>
      <c r="P291">
        <f t="shared" si="63"/>
        <v>0</v>
      </c>
      <c r="R291">
        <f t="shared" si="64"/>
        <v>9.018181818181778E-2</v>
      </c>
      <c r="S291">
        <f t="shared" si="65"/>
        <v>3.9333333333333442E-2</v>
      </c>
      <c r="U291">
        <f t="shared" si="66"/>
        <v>69.630322882545471</v>
      </c>
      <c r="AH291">
        <f t="shared" si="67"/>
        <v>0.81497611966515326</v>
      </c>
      <c r="AI291">
        <f t="shared" si="68"/>
        <v>9.0620660729495555</v>
      </c>
      <c r="AJ291">
        <f t="shared" si="69"/>
        <v>14.217733927050443</v>
      </c>
      <c r="AL291" s="6">
        <f t="shared" si="70"/>
        <v>13.269852239330305</v>
      </c>
      <c r="AM291">
        <f t="shared" si="71"/>
        <v>10.009947760669693</v>
      </c>
    </row>
    <row r="292" spans="1:39" ht="16.5" x14ac:dyDescent="0.25">
      <c r="A292" s="1">
        <v>45279</v>
      </c>
      <c r="B292" s="5">
        <v>12.042</v>
      </c>
      <c r="C292" s="4">
        <v>11.93</v>
      </c>
      <c r="D292" s="4">
        <v>12.042</v>
      </c>
      <c r="E292" s="4">
        <v>11.898</v>
      </c>
      <c r="F292" s="4" t="s">
        <v>1122</v>
      </c>
      <c r="G292" s="2" t="s">
        <v>160</v>
      </c>
      <c r="I292">
        <f t="shared" si="58"/>
        <v>11.5809</v>
      </c>
      <c r="J292">
        <f t="shared" si="59"/>
        <v>11.117300000000002</v>
      </c>
      <c r="L292">
        <f t="shared" si="60"/>
        <v>1</v>
      </c>
      <c r="M292">
        <f t="shared" si="61"/>
        <v>0</v>
      </c>
      <c r="O292">
        <f t="shared" si="62"/>
        <v>0.1120000000000001</v>
      </c>
      <c r="P292">
        <f t="shared" si="63"/>
        <v>0</v>
      </c>
      <c r="R292">
        <f t="shared" si="64"/>
        <v>8.5818181818181405E-2</v>
      </c>
      <c r="S292">
        <f t="shared" si="65"/>
        <v>3.9333333333333442E-2</v>
      </c>
      <c r="U292">
        <f t="shared" si="66"/>
        <v>68.571428571428413</v>
      </c>
      <c r="AH292">
        <f t="shared" si="67"/>
        <v>0.81229629181105589</v>
      </c>
      <c r="AI292">
        <f t="shared" si="68"/>
        <v>9.0030660729495544</v>
      </c>
      <c r="AJ292">
        <f t="shared" si="69"/>
        <v>14.158733927050445</v>
      </c>
      <c r="AL292" s="6">
        <f t="shared" si="70"/>
        <v>13.205492583622112</v>
      </c>
      <c r="AM292">
        <f t="shared" si="71"/>
        <v>9.9563074163778875</v>
      </c>
    </row>
    <row r="293" spans="1:39" ht="16.5" x14ac:dyDescent="0.25">
      <c r="A293" s="1">
        <v>45278</v>
      </c>
      <c r="B293" s="5">
        <v>11.988</v>
      </c>
      <c r="C293" s="4">
        <v>12.016</v>
      </c>
      <c r="D293" s="4">
        <v>12.05</v>
      </c>
      <c r="E293" s="4">
        <v>11.842000000000001</v>
      </c>
      <c r="F293" s="4" t="s">
        <v>1123</v>
      </c>
      <c r="G293" s="2" t="s">
        <v>634</v>
      </c>
      <c r="I293">
        <f t="shared" si="58"/>
        <v>11.538299999999998</v>
      </c>
      <c r="J293">
        <f t="shared" si="59"/>
        <v>11.053774999999998</v>
      </c>
      <c r="L293">
        <f t="shared" si="60"/>
        <v>0</v>
      </c>
      <c r="M293">
        <f t="shared" si="61"/>
        <v>1</v>
      </c>
      <c r="O293">
        <f t="shared" si="62"/>
        <v>0</v>
      </c>
      <c r="P293">
        <f t="shared" si="63"/>
        <v>2.8000000000000469E-2</v>
      </c>
      <c r="R293">
        <f t="shared" si="64"/>
        <v>9.7999999999999629E-2</v>
      </c>
      <c r="S293">
        <f t="shared" si="65"/>
        <v>3.9333333333333442E-2</v>
      </c>
      <c r="U293">
        <f t="shared" si="66"/>
        <v>71.35922330097074</v>
      </c>
      <c r="AH293">
        <f t="shared" si="67"/>
        <v>0.80994126281719192</v>
      </c>
      <c r="AI293">
        <f t="shared" si="68"/>
        <v>8.9604660729495542</v>
      </c>
      <c r="AJ293">
        <f t="shared" si="69"/>
        <v>14.116133927050441</v>
      </c>
      <c r="AL293" s="6">
        <f t="shared" si="70"/>
        <v>13.158182525634382</v>
      </c>
      <c r="AM293">
        <f t="shared" si="71"/>
        <v>9.9184174743656133</v>
      </c>
    </row>
    <row r="294" spans="1:39" ht="16.5" x14ac:dyDescent="0.25">
      <c r="A294" s="1">
        <v>45275</v>
      </c>
      <c r="B294" s="5">
        <v>12.1</v>
      </c>
      <c r="C294" s="4">
        <v>11.98</v>
      </c>
      <c r="D294" s="4">
        <v>12.3</v>
      </c>
      <c r="E294" s="4">
        <v>11.962</v>
      </c>
      <c r="F294" s="4" t="s">
        <v>1124</v>
      </c>
      <c r="G294" s="2" t="s">
        <v>239</v>
      </c>
      <c r="I294">
        <f t="shared" si="58"/>
        <v>11.503300000000001</v>
      </c>
      <c r="J294">
        <f t="shared" si="59"/>
        <v>10.994425</v>
      </c>
      <c r="L294">
        <f t="shared" si="60"/>
        <v>1</v>
      </c>
      <c r="M294">
        <f t="shared" si="61"/>
        <v>0</v>
      </c>
      <c r="O294">
        <f t="shared" si="62"/>
        <v>0.11999999999999922</v>
      </c>
      <c r="P294">
        <f t="shared" si="63"/>
        <v>0</v>
      </c>
      <c r="R294">
        <f t="shared" si="64"/>
        <v>9.733333333333298E-2</v>
      </c>
      <c r="S294">
        <f t="shared" si="65"/>
        <v>4.4999999999999929E-2</v>
      </c>
      <c r="U294">
        <f t="shared" si="66"/>
        <v>68.384074941451942</v>
      </c>
      <c r="AH294">
        <f t="shared" si="67"/>
        <v>0.80780072926854563</v>
      </c>
      <c r="AI294">
        <f t="shared" si="68"/>
        <v>8.9254660729495576</v>
      </c>
      <c r="AJ294">
        <f t="shared" si="69"/>
        <v>14.081133927050445</v>
      </c>
      <c r="AL294" s="6">
        <f t="shared" si="70"/>
        <v>13.118901458537092</v>
      </c>
      <c r="AM294">
        <f t="shared" si="71"/>
        <v>9.8876985414629104</v>
      </c>
    </row>
    <row r="295" spans="1:39" ht="16.5" x14ac:dyDescent="0.25">
      <c r="A295" s="1">
        <v>45274</v>
      </c>
      <c r="B295" s="5">
        <v>11.97</v>
      </c>
      <c r="C295" s="4">
        <v>11.938000000000001</v>
      </c>
      <c r="D295" s="4">
        <v>11.97</v>
      </c>
      <c r="E295" s="4">
        <v>11.818</v>
      </c>
      <c r="F295" s="4" t="s">
        <v>1125</v>
      </c>
      <c r="G295" s="2" t="s">
        <v>455</v>
      </c>
      <c r="I295">
        <f t="shared" si="58"/>
        <v>11.456900000000001</v>
      </c>
      <c r="J295">
        <f t="shared" si="59"/>
        <v>10.930125</v>
      </c>
      <c r="L295">
        <f t="shared" si="60"/>
        <v>1</v>
      </c>
      <c r="M295">
        <f t="shared" si="61"/>
        <v>0</v>
      </c>
      <c r="O295">
        <f t="shared" si="62"/>
        <v>3.2000000000000028E-2</v>
      </c>
      <c r="P295">
        <f t="shared" si="63"/>
        <v>0</v>
      </c>
      <c r="R295">
        <f t="shared" si="64"/>
        <v>9.5272727272726954E-2</v>
      </c>
      <c r="S295">
        <f t="shared" si="65"/>
        <v>3.6000000000000178E-2</v>
      </c>
      <c r="U295">
        <f t="shared" si="66"/>
        <v>72.576177285318394</v>
      </c>
      <c r="AH295">
        <f t="shared" si="67"/>
        <v>0.80582538097270373</v>
      </c>
      <c r="AI295">
        <f t="shared" si="68"/>
        <v>8.8790660729495556</v>
      </c>
      <c r="AJ295">
        <f t="shared" si="69"/>
        <v>14.034733927050446</v>
      </c>
      <c r="AL295" s="6">
        <f t="shared" si="70"/>
        <v>13.068550761945408</v>
      </c>
      <c r="AM295">
        <f t="shared" si="71"/>
        <v>9.8452492380545937</v>
      </c>
    </row>
    <row r="296" spans="1:39" ht="16.5" x14ac:dyDescent="0.25">
      <c r="A296" s="1">
        <v>45273</v>
      </c>
      <c r="B296" s="5">
        <v>11.834</v>
      </c>
      <c r="C296" s="4">
        <v>11.9</v>
      </c>
      <c r="D296" s="4">
        <v>11.916</v>
      </c>
      <c r="E296" s="4">
        <v>11.757999999999999</v>
      </c>
      <c r="F296" s="4" t="s">
        <v>1126</v>
      </c>
      <c r="G296" s="2" t="s">
        <v>792</v>
      </c>
      <c r="I296">
        <f t="shared" si="58"/>
        <v>11.402699999999999</v>
      </c>
      <c r="J296">
        <f t="shared" si="59"/>
        <v>10.874599999999999</v>
      </c>
      <c r="L296">
        <f t="shared" si="60"/>
        <v>0</v>
      </c>
      <c r="M296">
        <f t="shared" si="61"/>
        <v>1</v>
      </c>
      <c r="O296">
        <f t="shared" si="62"/>
        <v>0</v>
      </c>
      <c r="P296">
        <f t="shared" si="63"/>
        <v>6.6000000000000725E-2</v>
      </c>
      <c r="R296">
        <f t="shared" si="64"/>
        <v>0.10159999999999965</v>
      </c>
      <c r="S296">
        <f t="shared" si="65"/>
        <v>3.8499999999999979E-2</v>
      </c>
      <c r="U296">
        <f t="shared" si="66"/>
        <v>72.519628836545266</v>
      </c>
      <c r="AH296">
        <f t="shared" si="67"/>
        <v>0.80408401301800492</v>
      </c>
      <c r="AI296">
        <f t="shared" si="68"/>
        <v>8.8248660729495541</v>
      </c>
      <c r="AJ296">
        <f t="shared" si="69"/>
        <v>13.980533927050445</v>
      </c>
      <c r="AL296" s="6">
        <f t="shared" si="70"/>
        <v>13.010868026036009</v>
      </c>
      <c r="AM296">
        <f t="shared" si="71"/>
        <v>9.7945319739639896</v>
      </c>
    </row>
    <row r="297" spans="1:39" ht="16.5" x14ac:dyDescent="0.25">
      <c r="A297" s="1">
        <v>45272</v>
      </c>
      <c r="B297" s="5">
        <v>11.93</v>
      </c>
      <c r="C297" s="4">
        <v>11.928000000000001</v>
      </c>
      <c r="D297" s="4">
        <v>11.952</v>
      </c>
      <c r="E297" s="4">
        <v>11.802</v>
      </c>
      <c r="F297" s="4" t="s">
        <v>1127</v>
      </c>
      <c r="G297" s="2" t="s">
        <v>662</v>
      </c>
      <c r="I297">
        <f t="shared" si="58"/>
        <v>11.357000000000001</v>
      </c>
      <c r="J297">
        <f t="shared" si="59"/>
        <v>10.82395</v>
      </c>
      <c r="L297">
        <f t="shared" si="60"/>
        <v>1</v>
      </c>
      <c r="M297">
        <f t="shared" si="61"/>
        <v>0</v>
      </c>
      <c r="O297">
        <f t="shared" si="62"/>
        <v>1.9999999999988916E-3</v>
      </c>
      <c r="P297">
        <f t="shared" si="63"/>
        <v>0</v>
      </c>
      <c r="R297">
        <f t="shared" si="64"/>
        <v>9.4181818181817978E-2</v>
      </c>
      <c r="S297">
        <f t="shared" si="65"/>
        <v>2.9333333333333062E-2</v>
      </c>
      <c r="U297">
        <f t="shared" si="66"/>
        <v>76.251226692836241</v>
      </c>
      <c r="AH297">
        <f t="shared" si="67"/>
        <v>0.80261866979820995</v>
      </c>
      <c r="AI297">
        <f t="shared" si="68"/>
        <v>8.7791660729495575</v>
      </c>
      <c r="AJ297">
        <f t="shared" si="69"/>
        <v>13.934833927050445</v>
      </c>
      <c r="AL297" s="6">
        <f t="shared" si="70"/>
        <v>12.96223733959642</v>
      </c>
      <c r="AM297">
        <f t="shared" si="71"/>
        <v>9.7517626604035819</v>
      </c>
    </row>
    <row r="298" spans="1:39" ht="16.5" x14ac:dyDescent="0.25">
      <c r="A298" s="1">
        <v>45271</v>
      </c>
      <c r="B298" s="5">
        <v>11.901999999999999</v>
      </c>
      <c r="C298" s="4">
        <v>11.8</v>
      </c>
      <c r="D298" s="4">
        <v>11.922000000000001</v>
      </c>
      <c r="E298" s="4">
        <v>11.794</v>
      </c>
      <c r="F298" s="4" t="s">
        <v>1128</v>
      </c>
      <c r="G298" s="2" t="s">
        <v>835</v>
      </c>
      <c r="I298">
        <f t="shared" si="58"/>
        <v>11.2967</v>
      </c>
      <c r="J298">
        <f t="shared" si="59"/>
        <v>10.7775</v>
      </c>
      <c r="L298">
        <f t="shared" si="60"/>
        <v>1</v>
      </c>
      <c r="M298">
        <f t="shared" si="61"/>
        <v>0</v>
      </c>
      <c r="O298">
        <f t="shared" si="62"/>
        <v>0.10199999999999854</v>
      </c>
      <c r="P298">
        <f t="shared" si="63"/>
        <v>0</v>
      </c>
      <c r="R298">
        <f t="shared" si="64"/>
        <v>0.10339999999999989</v>
      </c>
      <c r="S298">
        <f t="shared" si="65"/>
        <v>4.2999999999999705E-2</v>
      </c>
      <c r="U298">
        <f t="shared" si="66"/>
        <v>70.628415300546578</v>
      </c>
      <c r="AH298">
        <f t="shared" si="67"/>
        <v>0.80137459065351802</v>
      </c>
      <c r="AI298">
        <f t="shared" si="68"/>
        <v>8.718866072949556</v>
      </c>
      <c r="AJ298">
        <f t="shared" si="69"/>
        <v>13.874533927050443</v>
      </c>
      <c r="AL298" s="6">
        <f t="shared" si="70"/>
        <v>12.899449181307036</v>
      </c>
      <c r="AM298">
        <f t="shared" si="71"/>
        <v>9.6939508186929633</v>
      </c>
    </row>
    <row r="299" spans="1:39" ht="16.5" x14ac:dyDescent="0.25">
      <c r="A299" s="1">
        <v>45268</v>
      </c>
      <c r="B299" s="5">
        <v>11.824</v>
      </c>
      <c r="C299" s="4">
        <v>11.571999999999999</v>
      </c>
      <c r="D299" s="4">
        <v>11.846</v>
      </c>
      <c r="E299" s="4">
        <v>11.564</v>
      </c>
      <c r="F299" s="4" t="s">
        <v>1129</v>
      </c>
      <c r="G299" s="2" t="s">
        <v>1130</v>
      </c>
      <c r="I299">
        <f t="shared" si="58"/>
        <v>11.2319</v>
      </c>
      <c r="J299">
        <f t="shared" si="59"/>
        <v>10.733250000000002</v>
      </c>
      <c r="L299">
        <f t="shared" si="60"/>
        <v>1</v>
      </c>
      <c r="M299">
        <f t="shared" si="61"/>
        <v>0</v>
      </c>
      <c r="O299">
        <f t="shared" si="62"/>
        <v>0.25200000000000067</v>
      </c>
      <c r="P299">
        <f t="shared" si="63"/>
        <v>0</v>
      </c>
      <c r="R299">
        <f t="shared" si="64"/>
        <v>0.1035555555555556</v>
      </c>
      <c r="S299">
        <f t="shared" si="65"/>
        <v>3.9599999999999726E-2</v>
      </c>
      <c r="U299">
        <f t="shared" si="66"/>
        <v>72.33778329711285</v>
      </c>
      <c r="AH299">
        <f t="shared" si="67"/>
        <v>0.80042660216714134</v>
      </c>
      <c r="AI299">
        <f t="shared" si="68"/>
        <v>8.6540660729495542</v>
      </c>
      <c r="AJ299">
        <f t="shared" si="69"/>
        <v>13.809733927050445</v>
      </c>
      <c r="AL299" s="6">
        <f t="shared" si="70"/>
        <v>12.832753204334281</v>
      </c>
      <c r="AM299">
        <f t="shared" si="71"/>
        <v>9.6310467956657178</v>
      </c>
    </row>
    <row r="300" spans="1:39" ht="16.5" x14ac:dyDescent="0.25">
      <c r="A300" s="1">
        <v>45267</v>
      </c>
      <c r="B300" s="5">
        <v>11.566000000000001</v>
      </c>
      <c r="C300" s="4">
        <v>11.59</v>
      </c>
      <c r="D300" s="4">
        <v>11.598000000000001</v>
      </c>
      <c r="E300" s="4">
        <v>11.433999999999999</v>
      </c>
      <c r="F300" s="4" t="s">
        <v>791</v>
      </c>
      <c r="G300" s="2" t="s">
        <v>606</v>
      </c>
      <c r="I300">
        <f t="shared" si="58"/>
        <v>11.1655</v>
      </c>
      <c r="J300">
        <f t="shared" si="59"/>
        <v>10.686650000000002</v>
      </c>
      <c r="L300">
        <f t="shared" si="60"/>
        <v>0</v>
      </c>
      <c r="M300">
        <f t="shared" si="61"/>
        <v>1</v>
      </c>
      <c r="O300">
        <f t="shared" si="62"/>
        <v>0</v>
      </c>
      <c r="P300">
        <f t="shared" si="63"/>
        <v>2.3999999999999133E-2</v>
      </c>
      <c r="R300">
        <f t="shared" si="64"/>
        <v>8.2666666666666638E-2</v>
      </c>
      <c r="S300">
        <f t="shared" si="65"/>
        <v>3.9599999999999726E-2</v>
      </c>
      <c r="U300">
        <f t="shared" si="66"/>
        <v>67.611777535441803</v>
      </c>
      <c r="AH300">
        <f t="shared" si="67"/>
        <v>0.79978675116099796</v>
      </c>
      <c r="AI300">
        <f t="shared" si="68"/>
        <v>8.5876660729495562</v>
      </c>
      <c r="AJ300">
        <f t="shared" si="69"/>
        <v>13.743333927050443</v>
      </c>
      <c r="AL300" s="6">
        <f t="shared" si="70"/>
        <v>12.765073502321997</v>
      </c>
      <c r="AM300">
        <f t="shared" si="71"/>
        <v>9.565926497678003</v>
      </c>
    </row>
    <row r="301" spans="1:39" ht="16.5" x14ac:dyDescent="0.25">
      <c r="A301" s="1">
        <v>45266</v>
      </c>
      <c r="B301" s="5">
        <v>11.67</v>
      </c>
      <c r="C301" s="4">
        <v>11.58</v>
      </c>
      <c r="D301" s="4">
        <v>11.71</v>
      </c>
      <c r="E301" s="4">
        <v>11.432</v>
      </c>
      <c r="F301" s="4" t="s">
        <v>1131</v>
      </c>
      <c r="G301" s="2" t="s">
        <v>30</v>
      </c>
      <c r="I301">
        <f t="shared" si="58"/>
        <v>11.114400000000002</v>
      </c>
      <c r="J301">
        <f t="shared" si="59"/>
        <v>10.650250000000003</v>
      </c>
      <c r="L301">
        <f t="shared" si="60"/>
        <v>1</v>
      </c>
      <c r="M301">
        <f t="shared" si="61"/>
        <v>0</v>
      </c>
      <c r="O301">
        <f t="shared" si="62"/>
        <v>8.9999999999999858E-2</v>
      </c>
      <c r="P301">
        <f t="shared" si="63"/>
        <v>0</v>
      </c>
      <c r="R301">
        <f t="shared" si="64"/>
        <v>9.8600000000000063E-2</v>
      </c>
      <c r="S301">
        <f t="shared" si="65"/>
        <v>4.3499999999999872E-2</v>
      </c>
      <c r="U301">
        <f t="shared" si="66"/>
        <v>69.387755102040899</v>
      </c>
      <c r="AH301">
        <f t="shared" si="67"/>
        <v>0.79944859891801634</v>
      </c>
      <c r="AI301">
        <f t="shared" si="68"/>
        <v>8.536566072949558</v>
      </c>
      <c r="AJ301">
        <f t="shared" si="69"/>
        <v>13.692233927050445</v>
      </c>
      <c r="AL301" s="6">
        <f t="shared" si="70"/>
        <v>12.713297197836035</v>
      </c>
      <c r="AM301">
        <f t="shared" si="71"/>
        <v>9.5155028021639687</v>
      </c>
    </row>
    <row r="302" spans="1:39" ht="16.5" x14ac:dyDescent="0.25">
      <c r="A302" s="1">
        <v>45265</v>
      </c>
      <c r="B302" s="5">
        <v>11.57</v>
      </c>
      <c r="C302" s="4">
        <v>11.48</v>
      </c>
      <c r="D302" s="4">
        <v>11.586</v>
      </c>
      <c r="E302" s="4">
        <v>11.45</v>
      </c>
      <c r="F302" s="4" t="s">
        <v>1132</v>
      </c>
      <c r="G302" s="2" t="s">
        <v>755</v>
      </c>
      <c r="I302">
        <f t="shared" si="58"/>
        <v>11.057700000000001</v>
      </c>
      <c r="J302">
        <f t="shared" si="59"/>
        <v>10.6126</v>
      </c>
      <c r="L302">
        <f t="shared" si="60"/>
        <v>1</v>
      </c>
      <c r="M302">
        <f t="shared" si="61"/>
        <v>0</v>
      </c>
      <c r="O302">
        <f t="shared" si="62"/>
        <v>8.9999999999999858E-2</v>
      </c>
      <c r="P302">
        <f t="shared" si="63"/>
        <v>0</v>
      </c>
      <c r="R302">
        <f t="shared" si="64"/>
        <v>9.220000000000006E-2</v>
      </c>
      <c r="S302">
        <f t="shared" si="65"/>
        <v>4.3499999999999872E-2</v>
      </c>
      <c r="U302">
        <f t="shared" si="66"/>
        <v>67.94399410464267</v>
      </c>
      <c r="AH302">
        <f t="shared" si="67"/>
        <v>0.79932767406738003</v>
      </c>
      <c r="AI302">
        <f t="shared" si="68"/>
        <v>8.4798660729495552</v>
      </c>
      <c r="AJ302">
        <f t="shared" si="69"/>
        <v>13.635533927050446</v>
      </c>
      <c r="AL302" s="6">
        <f t="shared" si="70"/>
        <v>12.65635534813476</v>
      </c>
      <c r="AM302">
        <f t="shared" si="71"/>
        <v>9.4590446518652413</v>
      </c>
    </row>
    <row r="303" spans="1:39" ht="16.5" x14ac:dyDescent="0.25">
      <c r="A303" s="1">
        <v>45264</v>
      </c>
      <c r="B303" s="5">
        <v>11.53</v>
      </c>
      <c r="C303" s="4">
        <v>11.5</v>
      </c>
      <c r="D303" s="4">
        <v>11.593999999999999</v>
      </c>
      <c r="E303" s="4">
        <v>11.474</v>
      </c>
      <c r="F303" s="4" t="s">
        <v>990</v>
      </c>
      <c r="G303" s="2" t="s">
        <v>326</v>
      </c>
      <c r="I303">
        <f t="shared" si="58"/>
        <v>11.005399999999998</v>
      </c>
      <c r="J303">
        <f t="shared" si="59"/>
        <v>10.578849999999999</v>
      </c>
      <c r="L303">
        <f t="shared" si="60"/>
        <v>1</v>
      </c>
      <c r="M303">
        <f t="shared" si="61"/>
        <v>0</v>
      </c>
      <c r="O303">
        <f t="shared" si="62"/>
        <v>2.9999999999999361E-2</v>
      </c>
      <c r="P303">
        <f t="shared" si="63"/>
        <v>0</v>
      </c>
      <c r="R303">
        <f t="shared" si="64"/>
        <v>0.10739999999999998</v>
      </c>
      <c r="S303">
        <f t="shared" si="65"/>
        <v>4.3499999999999872E-2</v>
      </c>
      <c r="U303">
        <f t="shared" si="66"/>
        <v>71.172962226640209</v>
      </c>
      <c r="AH303">
        <f t="shared" si="67"/>
        <v>0.79943931442642557</v>
      </c>
      <c r="AI303">
        <f t="shared" si="68"/>
        <v>8.4275660729495527</v>
      </c>
      <c r="AJ303">
        <f t="shared" si="69"/>
        <v>13.583233927050443</v>
      </c>
      <c r="AL303" s="6">
        <f t="shared" si="70"/>
        <v>12.60427862885285</v>
      </c>
      <c r="AM303">
        <f t="shared" si="71"/>
        <v>9.4065213711471465</v>
      </c>
    </row>
    <row r="304" spans="1:39" ht="16.5" x14ac:dyDescent="0.25">
      <c r="A304" s="1">
        <v>45261</v>
      </c>
      <c r="B304" s="5">
        <v>11.52</v>
      </c>
      <c r="C304" s="4">
        <v>11.5</v>
      </c>
      <c r="D304" s="4">
        <v>11.538</v>
      </c>
      <c r="E304" s="4">
        <v>11.43</v>
      </c>
      <c r="F304" s="4" t="s">
        <v>974</v>
      </c>
      <c r="G304" s="2" t="s">
        <v>84</v>
      </c>
      <c r="I304">
        <f t="shared" si="58"/>
        <v>10.960199999999999</v>
      </c>
      <c r="J304">
        <f t="shared" si="59"/>
        <v>10.53905</v>
      </c>
      <c r="L304">
        <f t="shared" si="60"/>
        <v>1</v>
      </c>
      <c r="M304">
        <f t="shared" si="61"/>
        <v>0</v>
      </c>
      <c r="O304">
        <f t="shared" si="62"/>
        <v>1.9999999999999574E-2</v>
      </c>
      <c r="P304">
        <f t="shared" si="63"/>
        <v>0</v>
      </c>
      <c r="R304">
        <f t="shared" si="64"/>
        <v>0.1168000000000001</v>
      </c>
      <c r="S304">
        <f t="shared" si="65"/>
        <v>4.3499999999999872E-2</v>
      </c>
      <c r="U304">
        <f t="shared" si="66"/>
        <v>72.863381160324465</v>
      </c>
      <c r="AH304">
        <f t="shared" si="67"/>
        <v>0.79975421392281154</v>
      </c>
      <c r="AI304">
        <f t="shared" si="68"/>
        <v>8.382366072949555</v>
      </c>
      <c r="AJ304">
        <f t="shared" si="69"/>
        <v>13.538033927050442</v>
      </c>
      <c r="AL304" s="6">
        <f t="shared" si="70"/>
        <v>12.559708427845621</v>
      </c>
      <c r="AM304">
        <f t="shared" si="71"/>
        <v>9.3606915721543764</v>
      </c>
    </row>
    <row r="305" spans="1:39" ht="16.5" x14ac:dyDescent="0.25">
      <c r="A305" s="1">
        <v>45260</v>
      </c>
      <c r="B305" s="5">
        <v>11.426</v>
      </c>
      <c r="C305" s="4">
        <v>11.332000000000001</v>
      </c>
      <c r="D305" s="4">
        <v>11.654</v>
      </c>
      <c r="E305" s="4">
        <v>11.33</v>
      </c>
      <c r="F305" s="4" t="s">
        <v>1133</v>
      </c>
      <c r="G305" s="2" t="s">
        <v>420</v>
      </c>
      <c r="I305">
        <f t="shared" si="58"/>
        <v>10.917199999999999</v>
      </c>
      <c r="J305">
        <f t="shared" si="59"/>
        <v>10.502849999999999</v>
      </c>
      <c r="L305">
        <f t="shared" si="60"/>
        <v>1</v>
      </c>
      <c r="M305">
        <f t="shared" si="61"/>
        <v>0</v>
      </c>
      <c r="O305">
        <f t="shared" si="62"/>
        <v>9.3999999999999417E-2</v>
      </c>
      <c r="P305">
        <f t="shared" si="63"/>
        <v>0</v>
      </c>
      <c r="R305">
        <f t="shared" si="64"/>
        <v>0.1224000000000002</v>
      </c>
      <c r="S305">
        <f t="shared" si="65"/>
        <v>4.3499999999999872E-2</v>
      </c>
      <c r="U305">
        <f t="shared" si="66"/>
        <v>73.779385171790324</v>
      </c>
      <c r="AH305">
        <f t="shared" si="67"/>
        <v>0.80023558359182578</v>
      </c>
      <c r="AI305">
        <f t="shared" si="68"/>
        <v>8.3393660729495558</v>
      </c>
      <c r="AJ305">
        <f t="shared" si="69"/>
        <v>13.495033927050443</v>
      </c>
      <c r="AL305" s="6">
        <f t="shared" si="70"/>
        <v>12.51767116718365</v>
      </c>
      <c r="AM305">
        <f t="shared" si="71"/>
        <v>9.3167288328163487</v>
      </c>
    </row>
    <row r="306" spans="1:39" ht="16.5" x14ac:dyDescent="0.25">
      <c r="A306" s="1">
        <v>45259</v>
      </c>
      <c r="B306" s="5">
        <v>11.272</v>
      </c>
      <c r="C306" s="4">
        <v>11.026</v>
      </c>
      <c r="D306" s="4">
        <v>11.308</v>
      </c>
      <c r="E306" s="4">
        <v>11.004</v>
      </c>
      <c r="F306" s="4" t="s">
        <v>1134</v>
      </c>
      <c r="G306" s="2" t="s">
        <v>1135</v>
      </c>
      <c r="I306">
        <f t="shared" si="58"/>
        <v>10.8765</v>
      </c>
      <c r="J306">
        <f t="shared" si="59"/>
        <v>10.465925</v>
      </c>
      <c r="L306">
        <f t="shared" si="60"/>
        <v>1</v>
      </c>
      <c r="M306">
        <f t="shared" si="61"/>
        <v>0</v>
      </c>
      <c r="O306">
        <f t="shared" si="62"/>
        <v>0.24600000000000044</v>
      </c>
      <c r="P306">
        <f t="shared" si="63"/>
        <v>0</v>
      </c>
      <c r="R306">
        <f t="shared" si="64"/>
        <v>0.12555555555555584</v>
      </c>
      <c r="S306">
        <f t="shared" si="65"/>
        <v>3.7599999999999766E-2</v>
      </c>
      <c r="U306">
        <f t="shared" si="66"/>
        <v>76.954508308362989</v>
      </c>
      <c r="AH306">
        <f t="shared" si="67"/>
        <v>0.8008682669196926</v>
      </c>
      <c r="AI306">
        <f t="shared" si="68"/>
        <v>8.2986660729495547</v>
      </c>
      <c r="AJ306">
        <f t="shared" si="69"/>
        <v>13.454333927050445</v>
      </c>
      <c r="AL306" s="6">
        <f t="shared" si="70"/>
        <v>12.478236533839386</v>
      </c>
      <c r="AM306">
        <f t="shared" si="71"/>
        <v>9.2747634661606142</v>
      </c>
    </row>
    <row r="307" spans="1:39" ht="16.5" x14ac:dyDescent="0.25">
      <c r="A307" s="1">
        <v>45258</v>
      </c>
      <c r="B307" s="5">
        <v>11.09</v>
      </c>
      <c r="C307" s="4">
        <v>11</v>
      </c>
      <c r="D307" s="4">
        <v>11.11</v>
      </c>
      <c r="E307" s="4">
        <v>10.9</v>
      </c>
      <c r="F307" s="4" t="s">
        <v>1136</v>
      </c>
      <c r="G307" s="2" t="s">
        <v>479</v>
      </c>
      <c r="I307">
        <f t="shared" si="58"/>
        <v>10.836</v>
      </c>
      <c r="J307">
        <f t="shared" si="59"/>
        <v>10.4321</v>
      </c>
      <c r="L307">
        <f t="shared" si="60"/>
        <v>1</v>
      </c>
      <c r="M307">
        <f t="shared" si="61"/>
        <v>0</v>
      </c>
      <c r="O307">
        <f t="shared" si="62"/>
        <v>8.9999999999999858E-2</v>
      </c>
      <c r="P307">
        <f t="shared" si="63"/>
        <v>0</v>
      </c>
      <c r="R307">
        <f t="shared" si="64"/>
        <v>9.9777777777778132E-2</v>
      </c>
      <c r="S307">
        <f t="shared" si="65"/>
        <v>3.7599999999999766E-2</v>
      </c>
      <c r="U307">
        <f t="shared" si="66"/>
        <v>72.630216758330832</v>
      </c>
      <c r="AH307">
        <f t="shared" si="67"/>
        <v>0.8016377970388594</v>
      </c>
      <c r="AI307">
        <f t="shared" si="68"/>
        <v>8.2581660729495567</v>
      </c>
      <c r="AJ307">
        <f t="shared" si="69"/>
        <v>13.413833927050444</v>
      </c>
      <c r="AL307" s="6">
        <f t="shared" si="70"/>
        <v>12.439275594077719</v>
      </c>
      <c r="AM307">
        <f t="shared" si="71"/>
        <v>9.2327244059222817</v>
      </c>
    </row>
    <row r="308" spans="1:39" ht="16.5" x14ac:dyDescent="0.25">
      <c r="A308" s="1">
        <v>45257</v>
      </c>
      <c r="B308" s="5">
        <v>11.052</v>
      </c>
      <c r="C308" s="4">
        <v>11.07</v>
      </c>
      <c r="D308" s="4">
        <v>11.148</v>
      </c>
      <c r="E308" s="4">
        <v>11.045999999999999</v>
      </c>
      <c r="F308" s="4" t="s">
        <v>1137</v>
      </c>
      <c r="G308" s="2" t="s">
        <v>652</v>
      </c>
      <c r="I308">
        <f t="shared" si="58"/>
        <v>10.799299999999999</v>
      </c>
      <c r="J308">
        <f t="shared" si="59"/>
        <v>10.403124999999999</v>
      </c>
      <c r="L308">
        <f t="shared" si="60"/>
        <v>0</v>
      </c>
      <c r="M308">
        <f t="shared" si="61"/>
        <v>1</v>
      </c>
      <c r="O308">
        <f t="shared" si="62"/>
        <v>0</v>
      </c>
      <c r="P308">
        <f t="shared" si="63"/>
        <v>1.8000000000000682E-2</v>
      </c>
      <c r="R308">
        <f t="shared" si="64"/>
        <v>9.6888888888889274E-2</v>
      </c>
      <c r="S308">
        <f t="shared" si="65"/>
        <v>3.7599999999999766E-2</v>
      </c>
      <c r="U308">
        <f t="shared" si="66"/>
        <v>72.042300066094057</v>
      </c>
      <c r="AH308">
        <f t="shared" si="67"/>
        <v>0.8025374433369491</v>
      </c>
      <c r="AI308">
        <f t="shared" si="68"/>
        <v>8.2214660729495534</v>
      </c>
      <c r="AJ308">
        <f t="shared" si="69"/>
        <v>13.377133927050444</v>
      </c>
      <c r="AL308" s="6">
        <f t="shared" si="70"/>
        <v>12.404374886673898</v>
      </c>
      <c r="AM308">
        <f t="shared" si="71"/>
        <v>9.1942251133260999</v>
      </c>
    </row>
    <row r="309" spans="1:39" ht="16.5" x14ac:dyDescent="0.25">
      <c r="A309" s="1">
        <v>45254</v>
      </c>
      <c r="B309" s="5">
        <v>11.102</v>
      </c>
      <c r="C309" s="4">
        <v>11.148</v>
      </c>
      <c r="D309" s="4">
        <v>11.194000000000001</v>
      </c>
      <c r="E309" s="4">
        <v>11.08</v>
      </c>
      <c r="F309" s="4" t="s">
        <v>1138</v>
      </c>
      <c r="G309" s="2" t="s">
        <v>114</v>
      </c>
      <c r="I309">
        <f t="shared" si="58"/>
        <v>10.767099999999997</v>
      </c>
      <c r="J309">
        <f t="shared" si="59"/>
        <v>10.379724999999999</v>
      </c>
      <c r="L309">
        <f t="shared" si="60"/>
        <v>0</v>
      </c>
      <c r="M309">
        <f t="shared" si="61"/>
        <v>1</v>
      </c>
      <c r="O309">
        <f t="shared" si="62"/>
        <v>0</v>
      </c>
      <c r="P309">
        <f t="shared" si="63"/>
        <v>4.5999999999999375E-2</v>
      </c>
      <c r="R309">
        <f t="shared" si="64"/>
        <v>9.6888888888889274E-2</v>
      </c>
      <c r="S309">
        <f t="shared" si="65"/>
        <v>3.9199999999999943E-2</v>
      </c>
      <c r="U309">
        <f t="shared" si="66"/>
        <v>71.195297191378302</v>
      </c>
      <c r="AH309">
        <f t="shared" si="67"/>
        <v>0.80354963089580766</v>
      </c>
      <c r="AI309">
        <f t="shared" si="68"/>
        <v>8.1892660729495539</v>
      </c>
      <c r="AJ309">
        <f t="shared" si="69"/>
        <v>13.344933927050441</v>
      </c>
      <c r="AL309" s="6">
        <f t="shared" si="70"/>
        <v>12.374199261791613</v>
      </c>
      <c r="AM309">
        <f t="shared" si="71"/>
        <v>9.1600007382083817</v>
      </c>
    </row>
    <row r="310" spans="1:39" ht="16.5" x14ac:dyDescent="0.25">
      <c r="A310" s="1">
        <v>45253</v>
      </c>
      <c r="B310" s="5">
        <v>11.114000000000001</v>
      </c>
      <c r="C310" s="4">
        <v>11.093999999999999</v>
      </c>
      <c r="D310" s="4">
        <v>11.125999999999999</v>
      </c>
      <c r="E310" s="4">
        <v>11.036</v>
      </c>
      <c r="F310" s="4" t="s">
        <v>931</v>
      </c>
      <c r="G310" s="2" t="s">
        <v>231</v>
      </c>
      <c r="I310">
        <f t="shared" si="58"/>
        <v>10.732299999999999</v>
      </c>
      <c r="J310">
        <f t="shared" si="59"/>
        <v>10.363424999999998</v>
      </c>
      <c r="L310">
        <f t="shared" si="60"/>
        <v>1</v>
      </c>
      <c r="M310">
        <f t="shared" si="61"/>
        <v>0</v>
      </c>
      <c r="O310">
        <f t="shared" si="62"/>
        <v>2.000000000000135E-2</v>
      </c>
      <c r="P310">
        <f t="shared" si="63"/>
        <v>0</v>
      </c>
      <c r="R310">
        <f t="shared" si="64"/>
        <v>9.6888888888889274E-2</v>
      </c>
      <c r="S310">
        <f t="shared" si="65"/>
        <v>4.0800000000000128E-2</v>
      </c>
      <c r="U310">
        <f t="shared" si="66"/>
        <v>70.367979341510676</v>
      </c>
      <c r="AH310">
        <f t="shared" si="67"/>
        <v>0.80465659752026852</v>
      </c>
      <c r="AI310">
        <f t="shared" si="68"/>
        <v>8.1544660729495533</v>
      </c>
      <c r="AJ310">
        <f t="shared" si="69"/>
        <v>13.310133927050444</v>
      </c>
      <c r="AL310" s="6">
        <f t="shared" si="70"/>
        <v>12.341613195040535</v>
      </c>
      <c r="AM310">
        <f t="shared" si="71"/>
        <v>9.1229868049594618</v>
      </c>
    </row>
    <row r="311" spans="1:39" ht="16.5" x14ac:dyDescent="0.25">
      <c r="A311" s="1">
        <v>45252</v>
      </c>
      <c r="B311" s="5">
        <v>11.116</v>
      </c>
      <c r="C311" s="4">
        <v>11.2</v>
      </c>
      <c r="D311" s="4">
        <v>11.224</v>
      </c>
      <c r="E311" s="4">
        <v>11.092000000000001</v>
      </c>
      <c r="F311" s="4" t="s">
        <v>954</v>
      </c>
      <c r="G311" s="2" t="s">
        <v>292</v>
      </c>
      <c r="I311">
        <f t="shared" si="58"/>
        <v>10.695599999999997</v>
      </c>
      <c r="J311">
        <f t="shared" si="59"/>
        <v>10.345124999999998</v>
      </c>
      <c r="L311">
        <f t="shared" si="60"/>
        <v>0</v>
      </c>
      <c r="M311">
        <f t="shared" si="61"/>
        <v>1</v>
      </c>
      <c r="O311">
        <f t="shared" si="62"/>
        <v>0</v>
      </c>
      <c r="P311">
        <f t="shared" si="63"/>
        <v>8.3999999999999631E-2</v>
      </c>
      <c r="R311">
        <f t="shared" si="64"/>
        <v>9.5777777777777989E-2</v>
      </c>
      <c r="S311">
        <f t="shared" si="65"/>
        <v>4.0800000000000128E-2</v>
      </c>
      <c r="U311">
        <f t="shared" si="66"/>
        <v>70.126911812560991</v>
      </c>
      <c r="AH311">
        <f t="shared" si="67"/>
        <v>0.80586147791153129</v>
      </c>
      <c r="AI311">
        <f t="shared" si="68"/>
        <v>8.1177660729495535</v>
      </c>
      <c r="AJ311">
        <f t="shared" si="69"/>
        <v>13.273433927050441</v>
      </c>
      <c r="AL311" s="6">
        <f t="shared" si="70"/>
        <v>12.307322955823059</v>
      </c>
      <c r="AM311">
        <f t="shared" si="71"/>
        <v>9.0838770441769352</v>
      </c>
    </row>
    <row r="312" spans="1:39" ht="16.5" x14ac:dyDescent="0.25">
      <c r="A312" s="1">
        <v>45251</v>
      </c>
      <c r="B312" s="5">
        <v>11.19</v>
      </c>
      <c r="C312" s="4">
        <v>11.215999999999999</v>
      </c>
      <c r="D312" s="4">
        <v>11.332000000000001</v>
      </c>
      <c r="E312" s="4">
        <v>11.17</v>
      </c>
      <c r="F312" s="4" t="s">
        <v>1139</v>
      </c>
      <c r="G312" s="2" t="s">
        <v>484</v>
      </c>
      <c r="I312">
        <f t="shared" si="58"/>
        <v>10.653699999999997</v>
      </c>
      <c r="J312">
        <f t="shared" si="59"/>
        <v>10.325774999999997</v>
      </c>
      <c r="L312">
        <f t="shared" si="60"/>
        <v>0</v>
      </c>
      <c r="M312">
        <f t="shared" si="61"/>
        <v>1</v>
      </c>
      <c r="O312">
        <f t="shared" si="62"/>
        <v>0</v>
      </c>
      <c r="P312">
        <f t="shared" si="63"/>
        <v>2.5999999999999801E-2</v>
      </c>
      <c r="R312">
        <f t="shared" si="64"/>
        <v>0.1006000000000002</v>
      </c>
      <c r="S312">
        <f t="shared" si="65"/>
        <v>3.0000000000000249E-2</v>
      </c>
      <c r="U312">
        <f t="shared" si="66"/>
        <v>77.029096477794681</v>
      </c>
      <c r="AH312">
        <f t="shared" si="67"/>
        <v>0.80716421461693566</v>
      </c>
      <c r="AI312">
        <f t="shared" si="68"/>
        <v>8.0758660729495517</v>
      </c>
      <c r="AJ312">
        <f t="shared" si="69"/>
        <v>13.231533927050442</v>
      </c>
      <c r="AL312" s="6">
        <f t="shared" si="70"/>
        <v>12.268028429233869</v>
      </c>
      <c r="AM312">
        <f t="shared" si="71"/>
        <v>9.0393715707661251</v>
      </c>
    </row>
    <row r="313" spans="1:39" ht="16.5" x14ac:dyDescent="0.25">
      <c r="A313" s="1">
        <v>45250</v>
      </c>
      <c r="B313" s="5">
        <v>11.288</v>
      </c>
      <c r="C313" s="4">
        <v>11.224</v>
      </c>
      <c r="D313" s="4">
        <v>11.31</v>
      </c>
      <c r="E313" s="4">
        <v>11.13</v>
      </c>
      <c r="F313" s="4" t="s">
        <v>1140</v>
      </c>
      <c r="G313" s="2" t="s">
        <v>888</v>
      </c>
      <c r="I313">
        <f t="shared" si="58"/>
        <v>10.569249999999998</v>
      </c>
      <c r="J313">
        <f t="shared" si="59"/>
        <v>10.298474999999998</v>
      </c>
      <c r="L313">
        <f t="shared" si="60"/>
        <v>1</v>
      </c>
      <c r="M313">
        <f t="shared" si="61"/>
        <v>0</v>
      </c>
      <c r="O313">
        <f t="shared" si="62"/>
        <v>6.4000000000000057E-2</v>
      </c>
      <c r="P313">
        <f t="shared" si="63"/>
        <v>0</v>
      </c>
      <c r="R313">
        <f t="shared" si="64"/>
        <v>9.5272727272727439E-2</v>
      </c>
      <c r="S313">
        <f t="shared" si="65"/>
        <v>3.1333333333333734E-2</v>
      </c>
      <c r="U313">
        <f t="shared" si="66"/>
        <v>75.25131641933919</v>
      </c>
      <c r="AH313">
        <f t="shared" si="67"/>
        <v>0.8085709839088383</v>
      </c>
      <c r="AI313">
        <f t="shared" si="68"/>
        <v>7.991416072949554</v>
      </c>
      <c r="AJ313">
        <f t="shared" si="69"/>
        <v>13.147083927050442</v>
      </c>
      <c r="AL313" s="6">
        <f t="shared" si="70"/>
        <v>12.186391967817675</v>
      </c>
      <c r="AM313">
        <f t="shared" si="71"/>
        <v>8.9521080321823217</v>
      </c>
    </row>
    <row r="314" spans="1:39" ht="16.5" x14ac:dyDescent="0.25">
      <c r="A314" s="1">
        <v>45247</v>
      </c>
      <c r="B314" s="5">
        <v>11.172000000000001</v>
      </c>
      <c r="C314" s="4">
        <v>10.93</v>
      </c>
      <c r="D314" s="4">
        <v>11.176</v>
      </c>
      <c r="E314" s="4">
        <v>10.916</v>
      </c>
      <c r="F314" s="4" t="s">
        <v>1141</v>
      </c>
      <c r="G314" s="2" t="s">
        <v>1142</v>
      </c>
      <c r="I314">
        <f t="shared" si="58"/>
        <v>10.48555</v>
      </c>
      <c r="J314">
        <f t="shared" si="59"/>
        <v>10.267374999999998</v>
      </c>
      <c r="L314">
        <f t="shared" si="60"/>
        <v>1</v>
      </c>
      <c r="M314">
        <f t="shared" si="61"/>
        <v>0</v>
      </c>
      <c r="O314">
        <f t="shared" si="62"/>
        <v>0.24200000000000088</v>
      </c>
      <c r="P314">
        <f t="shared" si="63"/>
        <v>0</v>
      </c>
      <c r="R314">
        <f t="shared" si="64"/>
        <v>9.8400000000000182E-2</v>
      </c>
      <c r="S314">
        <f t="shared" si="65"/>
        <v>3.7500000000000533E-2</v>
      </c>
      <c r="U314">
        <f t="shared" si="66"/>
        <v>72.40618101545229</v>
      </c>
      <c r="AH314">
        <f t="shared" si="67"/>
        <v>0.81015485039948787</v>
      </c>
      <c r="AI314">
        <f t="shared" si="68"/>
        <v>7.9077160729495555</v>
      </c>
      <c r="AJ314">
        <f t="shared" si="69"/>
        <v>13.063383927050445</v>
      </c>
      <c r="AL314" s="6">
        <f t="shared" si="70"/>
        <v>12.105859700798975</v>
      </c>
      <c r="AM314">
        <f t="shared" si="71"/>
        <v>8.8652402992010249</v>
      </c>
    </row>
    <row r="315" spans="1:39" ht="16.5" x14ac:dyDescent="0.25">
      <c r="A315" s="1">
        <v>45246</v>
      </c>
      <c r="B315" s="5">
        <v>10.885999999999999</v>
      </c>
      <c r="C315" s="4">
        <v>10.86</v>
      </c>
      <c r="D315" s="4">
        <v>10.956</v>
      </c>
      <c r="E315" s="4">
        <v>10.824</v>
      </c>
      <c r="F315" s="4" t="s">
        <v>1143</v>
      </c>
      <c r="G315" s="2" t="s">
        <v>67</v>
      </c>
      <c r="I315">
        <f t="shared" si="58"/>
        <v>10.40335</v>
      </c>
      <c r="J315">
        <f t="shared" si="59"/>
        <v>10.240874999999999</v>
      </c>
      <c r="L315">
        <f t="shared" si="60"/>
        <v>1</v>
      </c>
      <c r="M315">
        <f t="shared" si="61"/>
        <v>0</v>
      </c>
      <c r="O315">
        <f t="shared" si="62"/>
        <v>2.5999999999999801E-2</v>
      </c>
      <c r="P315">
        <f t="shared" si="63"/>
        <v>0</v>
      </c>
      <c r="R315">
        <f t="shared" si="64"/>
        <v>7.4600000000000041E-2</v>
      </c>
      <c r="S315">
        <f t="shared" si="65"/>
        <v>3.7500000000000533E-2</v>
      </c>
      <c r="U315">
        <f t="shared" si="66"/>
        <v>66.547725245316371</v>
      </c>
      <c r="AH315">
        <f t="shared" si="67"/>
        <v>0.81187764314091249</v>
      </c>
      <c r="AI315">
        <f t="shared" si="68"/>
        <v>7.8255160729495552</v>
      </c>
      <c r="AJ315">
        <f t="shared" si="69"/>
        <v>12.981183927050445</v>
      </c>
      <c r="AL315" s="6">
        <f t="shared" si="70"/>
        <v>12.027105286281824</v>
      </c>
      <c r="AM315">
        <f t="shared" si="71"/>
        <v>8.7795947137181756</v>
      </c>
    </row>
    <row r="316" spans="1:39" ht="16.5" x14ac:dyDescent="0.25">
      <c r="A316" s="1">
        <v>45245</v>
      </c>
      <c r="B316" s="5">
        <v>10.92</v>
      </c>
      <c r="C316" s="4">
        <v>10.678000000000001</v>
      </c>
      <c r="D316" s="4">
        <v>10.944000000000001</v>
      </c>
      <c r="E316" s="4">
        <v>10.656000000000001</v>
      </c>
      <c r="F316" s="4" t="s">
        <v>951</v>
      </c>
      <c r="G316" s="2" t="s">
        <v>1144</v>
      </c>
      <c r="I316">
        <f t="shared" si="58"/>
        <v>10.346499999999999</v>
      </c>
      <c r="J316">
        <f t="shared" si="59"/>
        <v>10.221024999999999</v>
      </c>
      <c r="L316">
        <f t="shared" si="60"/>
        <v>1</v>
      </c>
      <c r="M316">
        <f t="shared" si="61"/>
        <v>0</v>
      </c>
      <c r="O316">
        <f t="shared" si="62"/>
        <v>0.2419999999999991</v>
      </c>
      <c r="P316">
        <f t="shared" si="63"/>
        <v>0</v>
      </c>
      <c r="R316">
        <f t="shared" si="64"/>
        <v>8.0000000000000071E-2</v>
      </c>
      <c r="S316">
        <f t="shared" si="65"/>
        <v>4.0400000000000345E-2</v>
      </c>
      <c r="U316">
        <f t="shared" si="66"/>
        <v>66.445182724252319</v>
      </c>
      <c r="AH316">
        <f t="shared" si="67"/>
        <v>0.81370063959011429</v>
      </c>
      <c r="AI316">
        <f t="shared" si="68"/>
        <v>7.7686660729495545</v>
      </c>
      <c r="AJ316">
        <f t="shared" si="69"/>
        <v>12.924333927050444</v>
      </c>
      <c r="AL316" s="6">
        <f t="shared" si="70"/>
        <v>11.973901279180227</v>
      </c>
      <c r="AM316">
        <f t="shared" si="71"/>
        <v>8.7190987208197708</v>
      </c>
    </row>
    <row r="317" spans="1:39" ht="16.5" x14ac:dyDescent="0.25">
      <c r="A317" s="1">
        <v>45244</v>
      </c>
      <c r="B317" s="5">
        <v>10.724</v>
      </c>
      <c r="C317" s="4">
        <v>10.6</v>
      </c>
      <c r="D317" s="4">
        <v>10.772</v>
      </c>
      <c r="E317" s="4">
        <v>10.523999999999999</v>
      </c>
      <c r="F317" s="4" t="s">
        <v>1145</v>
      </c>
      <c r="G317" s="2" t="s">
        <v>879</v>
      </c>
      <c r="I317">
        <f t="shared" si="58"/>
        <v>10.290899999999999</v>
      </c>
      <c r="J317">
        <f t="shared" si="59"/>
        <v>10.201774999999998</v>
      </c>
      <c r="L317">
        <f t="shared" si="60"/>
        <v>1</v>
      </c>
      <c r="M317">
        <f t="shared" si="61"/>
        <v>0</v>
      </c>
      <c r="O317">
        <f t="shared" si="62"/>
        <v>0.12400000000000055</v>
      </c>
      <c r="P317">
        <f t="shared" si="63"/>
        <v>0</v>
      </c>
      <c r="R317">
        <f t="shared" si="64"/>
        <v>7.2222222222222465E-2</v>
      </c>
      <c r="S317">
        <f t="shared" si="65"/>
        <v>4.0400000000000345E-2</v>
      </c>
      <c r="U317">
        <f t="shared" si="66"/>
        <v>64.12786108918695</v>
      </c>
      <c r="AH317">
        <f t="shared" si="67"/>
        <v>0.81557531383281134</v>
      </c>
      <c r="AI317">
        <f t="shared" si="68"/>
        <v>7.7130660729495544</v>
      </c>
      <c r="AJ317">
        <f t="shared" si="69"/>
        <v>12.868733927050442</v>
      </c>
      <c r="AL317" s="6">
        <f t="shared" si="70"/>
        <v>11.922050627665621</v>
      </c>
      <c r="AM317">
        <f t="shared" si="71"/>
        <v>8.6597493723343764</v>
      </c>
    </row>
    <row r="318" spans="1:39" ht="16.5" x14ac:dyDescent="0.25">
      <c r="A318" s="1">
        <v>45243</v>
      </c>
      <c r="B318" s="5">
        <v>10.606</v>
      </c>
      <c r="C318" s="4">
        <v>10.53</v>
      </c>
      <c r="D318" s="4">
        <v>10.616</v>
      </c>
      <c r="E318" s="4">
        <v>10.5</v>
      </c>
      <c r="F318" s="4" t="s">
        <v>1146</v>
      </c>
      <c r="G318" s="2" t="s">
        <v>1147</v>
      </c>
      <c r="I318">
        <f t="shared" si="58"/>
        <v>10.2583</v>
      </c>
      <c r="J318">
        <f t="shared" si="59"/>
        <v>10.184974999999998</v>
      </c>
      <c r="L318">
        <f t="shared" si="60"/>
        <v>1</v>
      </c>
      <c r="M318">
        <f t="shared" si="61"/>
        <v>0</v>
      </c>
      <c r="O318">
        <f t="shared" si="62"/>
        <v>7.6000000000000512E-2</v>
      </c>
      <c r="P318">
        <f t="shared" si="63"/>
        <v>0</v>
      </c>
      <c r="R318">
        <f t="shared" si="64"/>
        <v>0.10044444444444463</v>
      </c>
      <c r="S318">
        <f t="shared" si="65"/>
        <v>4.0400000000000345E-2</v>
      </c>
      <c r="U318">
        <f t="shared" si="66"/>
        <v>71.315872514988826</v>
      </c>
      <c r="AH318">
        <f t="shared" si="67"/>
        <v>0.8174836875935686</v>
      </c>
      <c r="AI318">
        <f t="shared" si="68"/>
        <v>7.6804660729495557</v>
      </c>
      <c r="AJ318">
        <f t="shared" si="69"/>
        <v>12.836133927050444</v>
      </c>
      <c r="AL318" s="6">
        <f t="shared" si="70"/>
        <v>11.893267375187138</v>
      </c>
      <c r="AM318">
        <f t="shared" si="71"/>
        <v>8.6233326248128623</v>
      </c>
    </row>
    <row r="319" spans="1:39" ht="16.5" x14ac:dyDescent="0.25">
      <c r="A319" s="1">
        <v>45240</v>
      </c>
      <c r="B319" s="5">
        <v>10.496</v>
      </c>
      <c r="C319" s="4">
        <v>10.51</v>
      </c>
      <c r="D319" s="4">
        <v>10.528</v>
      </c>
      <c r="E319" s="4">
        <v>10.417999999999999</v>
      </c>
      <c r="F319" s="4" t="s">
        <v>1054</v>
      </c>
      <c r="G319" s="2" t="s">
        <v>93</v>
      </c>
      <c r="I319">
        <f t="shared" si="58"/>
        <v>10.234599999999999</v>
      </c>
      <c r="J319">
        <f t="shared" si="59"/>
        <v>10.171174999999996</v>
      </c>
      <c r="L319">
        <f t="shared" si="60"/>
        <v>0</v>
      </c>
      <c r="M319">
        <f t="shared" si="61"/>
        <v>1</v>
      </c>
      <c r="O319">
        <f t="shared" si="62"/>
        <v>0</v>
      </c>
      <c r="P319">
        <f t="shared" si="63"/>
        <v>1.3999999999999346E-2</v>
      </c>
      <c r="R319">
        <f t="shared" si="64"/>
        <v>0.10350000000000015</v>
      </c>
      <c r="S319">
        <f t="shared" si="65"/>
        <v>5.6833333333333812E-2</v>
      </c>
      <c r="U319">
        <f t="shared" si="66"/>
        <v>64.553014553014393</v>
      </c>
      <c r="AH319">
        <f t="shared" si="67"/>
        <v>0.81940939473313357</v>
      </c>
      <c r="AI319">
        <f t="shared" si="68"/>
        <v>7.6567660729495541</v>
      </c>
      <c r="AJ319">
        <f t="shared" si="69"/>
        <v>12.812433927050442</v>
      </c>
      <c r="AL319" s="6">
        <f t="shared" si="70"/>
        <v>11.873418789466266</v>
      </c>
      <c r="AM319">
        <f t="shared" si="71"/>
        <v>8.5957812105337315</v>
      </c>
    </row>
    <row r="320" spans="1:39" ht="16.5" x14ac:dyDescent="0.25">
      <c r="A320" s="1">
        <v>45239</v>
      </c>
      <c r="B320" s="5">
        <v>10.544</v>
      </c>
      <c r="C320" s="4">
        <v>10.53</v>
      </c>
      <c r="D320" s="4">
        <v>10.574</v>
      </c>
      <c r="E320" s="4">
        <v>10.428000000000001</v>
      </c>
      <c r="F320" s="4" t="s">
        <v>1148</v>
      </c>
      <c r="G320" s="2" t="s">
        <v>1149</v>
      </c>
      <c r="I320">
        <f t="shared" si="58"/>
        <v>10.207800000000001</v>
      </c>
      <c r="J320">
        <f t="shared" si="59"/>
        <v>10.165024999999996</v>
      </c>
      <c r="L320">
        <f t="shared" si="60"/>
        <v>1</v>
      </c>
      <c r="M320">
        <f t="shared" si="61"/>
        <v>0</v>
      </c>
      <c r="O320">
        <f t="shared" si="62"/>
        <v>1.4000000000001123E-2</v>
      </c>
      <c r="P320">
        <f t="shared" si="63"/>
        <v>0</v>
      </c>
      <c r="R320">
        <f t="shared" si="64"/>
        <v>9.8333333333333509E-2</v>
      </c>
      <c r="S320">
        <f t="shared" si="65"/>
        <v>6.5400000000000708E-2</v>
      </c>
      <c r="U320">
        <f t="shared" si="66"/>
        <v>60.057003257328773</v>
      </c>
      <c r="AH320">
        <f t="shared" si="67"/>
        <v>0.82134773326676369</v>
      </c>
      <c r="AI320">
        <f t="shared" si="68"/>
        <v>7.6299660729495562</v>
      </c>
      <c r="AJ320">
        <f t="shared" si="69"/>
        <v>12.785633927050444</v>
      </c>
      <c r="AL320" s="6">
        <f t="shared" si="70"/>
        <v>11.850495466533529</v>
      </c>
      <c r="AM320">
        <f t="shared" si="71"/>
        <v>8.5651045334664726</v>
      </c>
    </row>
    <row r="321" spans="1:39" ht="16.5" x14ac:dyDescent="0.25">
      <c r="A321" s="1">
        <v>45238</v>
      </c>
      <c r="B321" s="5">
        <v>10.536</v>
      </c>
      <c r="C321" s="4">
        <v>10.472</v>
      </c>
      <c r="D321" s="4">
        <v>10.593999999999999</v>
      </c>
      <c r="E321" s="4">
        <v>10.385999999999999</v>
      </c>
      <c r="F321" s="4" t="s">
        <v>1150</v>
      </c>
      <c r="G321" s="2" t="s">
        <v>336</v>
      </c>
      <c r="I321">
        <f t="shared" si="58"/>
        <v>10.1861</v>
      </c>
      <c r="J321">
        <f t="shared" si="59"/>
        <v>10.158874999999998</v>
      </c>
      <c r="L321">
        <f t="shared" si="60"/>
        <v>1</v>
      </c>
      <c r="M321">
        <f t="shared" si="61"/>
        <v>0</v>
      </c>
      <c r="O321">
        <f t="shared" si="62"/>
        <v>6.4000000000000057E-2</v>
      </c>
      <c r="P321">
        <f t="shared" si="63"/>
        <v>0</v>
      </c>
      <c r="R321">
        <f t="shared" si="64"/>
        <v>0.10887500000000006</v>
      </c>
      <c r="S321">
        <f t="shared" si="65"/>
        <v>6.6500000000000448E-2</v>
      </c>
      <c r="U321">
        <f t="shared" si="66"/>
        <v>62.0812544547397</v>
      </c>
      <c r="AH321">
        <f t="shared" si="67"/>
        <v>0.82329476497735188</v>
      </c>
      <c r="AI321">
        <f t="shared" si="68"/>
        <v>7.6082660729495553</v>
      </c>
      <c r="AJ321">
        <f t="shared" si="69"/>
        <v>12.763933927050445</v>
      </c>
      <c r="AL321" s="6">
        <f t="shared" si="70"/>
        <v>11.832689529954703</v>
      </c>
      <c r="AM321">
        <f t="shared" si="71"/>
        <v>8.5395104700452968</v>
      </c>
    </row>
    <row r="322" spans="1:39" ht="16.5" x14ac:dyDescent="0.25">
      <c r="A322" s="1">
        <v>45237</v>
      </c>
      <c r="B322" s="5">
        <v>10.523999999999999</v>
      </c>
      <c r="C322" s="4">
        <v>10.55</v>
      </c>
      <c r="D322" s="4">
        <v>10.6</v>
      </c>
      <c r="E322" s="4">
        <v>10.44</v>
      </c>
      <c r="F322" s="4" t="s">
        <v>1151</v>
      </c>
      <c r="G322" s="2" t="s">
        <v>719</v>
      </c>
      <c r="I322">
        <f t="shared" ref="I322:I385" si="72">AVERAGE(B322:B341)</f>
        <v>10.1675</v>
      </c>
      <c r="J322">
        <f t="shared" ref="J322:J385" si="73">AVERAGE(B322:B361)</f>
        <v>10.148374999999998</v>
      </c>
      <c r="L322">
        <f t="shared" ref="L322:L385" si="74">IF($C322&lt;$B322,1,0)</f>
        <v>0</v>
      </c>
      <c r="M322">
        <f t="shared" ref="M322:M385" si="75">IF($C322&lt;$B322,0,1)</f>
        <v>1</v>
      </c>
      <c r="O322">
        <f t="shared" ref="O322:O385" si="76">IF($C322&lt;$B322,B322-C322,0)</f>
        <v>0</v>
      </c>
      <c r="P322">
        <f t="shared" ref="P322:P385" si="77">IF($B322&lt;$C322,C322-B322,0)</f>
        <v>2.6000000000001577E-2</v>
      </c>
      <c r="R322">
        <f t="shared" ref="R322:R385" si="78">SUM(O322:O335)/SUM(L322:L335)</f>
        <v>0.11528571428571434</v>
      </c>
      <c r="S322">
        <f t="shared" ref="S322:S385" si="79">SUM(P322:P335)/SUM(M322:M335)</f>
        <v>5.7142857142857446E-2</v>
      </c>
      <c r="U322">
        <f t="shared" ref="U322:U385" si="80">100-(100/(1+(R322/S322)))</f>
        <v>66.859983429991615</v>
      </c>
      <c r="AH322">
        <f t="shared" si="67"/>
        <v>0.82524845388368573</v>
      </c>
      <c r="AI322">
        <f t="shared" si="68"/>
        <v>7.589666072949556</v>
      </c>
      <c r="AJ322">
        <f t="shared" si="69"/>
        <v>12.745333927050446</v>
      </c>
      <c r="AL322" s="6">
        <f t="shared" si="70"/>
        <v>11.817996907767371</v>
      </c>
      <c r="AM322">
        <f t="shared" si="71"/>
        <v>8.5170030922326294</v>
      </c>
    </row>
    <row r="323" spans="1:39" ht="16.5" x14ac:dyDescent="0.25">
      <c r="A323" s="1">
        <v>45236</v>
      </c>
      <c r="B323" s="5">
        <v>10.625999999999999</v>
      </c>
      <c r="C323" s="4">
        <v>10.68</v>
      </c>
      <c r="D323" s="4">
        <v>10.712</v>
      </c>
      <c r="E323" s="4">
        <v>10.59</v>
      </c>
      <c r="F323" s="4" t="s">
        <v>1091</v>
      </c>
      <c r="G323" s="2" t="s">
        <v>296</v>
      </c>
      <c r="I323">
        <f t="shared" si="72"/>
        <v>10.1523</v>
      </c>
      <c r="J323">
        <f t="shared" si="73"/>
        <v>10.131175000000001</v>
      </c>
      <c r="L323">
        <f t="shared" si="74"/>
        <v>0</v>
      </c>
      <c r="M323">
        <f t="shared" si="75"/>
        <v>1</v>
      </c>
      <c r="O323">
        <f t="shared" si="76"/>
        <v>0</v>
      </c>
      <c r="P323">
        <f t="shared" si="77"/>
        <v>5.400000000000027E-2</v>
      </c>
      <c r="R323">
        <f t="shared" si="78"/>
        <v>0.11528571428571434</v>
      </c>
      <c r="S323">
        <f t="shared" si="79"/>
        <v>8.9714285714285733E-2</v>
      </c>
      <c r="U323">
        <f t="shared" si="80"/>
        <v>56.236933797909415</v>
      </c>
      <c r="AH323">
        <f t="shared" ref="AH323:AH386" si="81">_xlfn.STDEV.S(I323:I853)</f>
        <v>0.82720765912995819</v>
      </c>
      <c r="AI323">
        <f t="shared" ref="AI323:AI386" si="82">I323-$AH$2</f>
        <v>7.5744660729495559</v>
      </c>
      <c r="AJ323">
        <f t="shared" ref="AJ323:AJ386" si="83">I323+$AH$2</f>
        <v>12.730133927050446</v>
      </c>
      <c r="AL323" s="6">
        <f t="shared" ref="AL323:AL386" si="84">I323+(AH323*2)</f>
        <v>11.806715318259917</v>
      </c>
      <c r="AM323">
        <f t="shared" ref="AM323:AM386" si="85">I323-(AH323*2)</f>
        <v>8.4978846817400839</v>
      </c>
    </row>
    <row r="324" spans="1:39" ht="16.5" x14ac:dyDescent="0.25">
      <c r="A324" s="1">
        <v>45233</v>
      </c>
      <c r="B324" s="5">
        <v>10.66</v>
      </c>
      <c r="C324" s="4">
        <v>10.65</v>
      </c>
      <c r="D324" s="4">
        <v>10.76</v>
      </c>
      <c r="E324" s="4">
        <v>10.616</v>
      </c>
      <c r="F324" s="4" t="s">
        <v>1152</v>
      </c>
      <c r="G324" s="2" t="s">
        <v>160</v>
      </c>
      <c r="I324">
        <f t="shared" si="72"/>
        <v>10.117899999999999</v>
      </c>
      <c r="J324">
        <f t="shared" si="73"/>
        <v>10.11145</v>
      </c>
      <c r="L324">
        <f t="shared" si="74"/>
        <v>1</v>
      </c>
      <c r="M324">
        <f t="shared" si="75"/>
        <v>0</v>
      </c>
      <c r="O324">
        <f t="shared" si="76"/>
        <v>9.9999999999997868E-3</v>
      </c>
      <c r="P324">
        <f t="shared" si="77"/>
        <v>0</v>
      </c>
      <c r="R324">
        <f t="shared" si="78"/>
        <v>0.11528571428571434</v>
      </c>
      <c r="S324">
        <f t="shared" si="79"/>
        <v>8.6571428571428549E-2</v>
      </c>
      <c r="U324">
        <f t="shared" si="80"/>
        <v>57.112526539278143</v>
      </c>
      <c r="AH324">
        <f t="shared" si="81"/>
        <v>0.82917241347652149</v>
      </c>
      <c r="AI324">
        <f t="shared" si="82"/>
        <v>7.5400660729495543</v>
      </c>
      <c r="AJ324">
        <f t="shared" si="83"/>
        <v>12.695733927050444</v>
      </c>
      <c r="AL324" s="6">
        <f t="shared" si="84"/>
        <v>11.776244826953041</v>
      </c>
      <c r="AM324">
        <f t="shared" si="85"/>
        <v>8.4595551730469563</v>
      </c>
    </row>
    <row r="325" spans="1:39" ht="16.5" x14ac:dyDescent="0.25">
      <c r="A325" s="1">
        <v>45232</v>
      </c>
      <c r="B325" s="5">
        <v>10.612</v>
      </c>
      <c r="C325" s="4">
        <v>10.468</v>
      </c>
      <c r="D325" s="4">
        <v>10.634</v>
      </c>
      <c r="E325" s="4">
        <v>10.428000000000001</v>
      </c>
      <c r="F325" s="4" t="s">
        <v>1153</v>
      </c>
      <c r="G325" s="2" t="s">
        <v>1154</v>
      </c>
      <c r="I325">
        <f t="shared" si="72"/>
        <v>10.0885</v>
      </c>
      <c r="J325">
        <f t="shared" si="73"/>
        <v>10.08625</v>
      </c>
      <c r="L325">
        <f t="shared" si="74"/>
        <v>1</v>
      </c>
      <c r="M325">
        <f t="shared" si="75"/>
        <v>0</v>
      </c>
      <c r="O325">
        <f t="shared" si="76"/>
        <v>0.14400000000000013</v>
      </c>
      <c r="P325">
        <f t="shared" si="77"/>
        <v>0</v>
      </c>
      <c r="R325">
        <f t="shared" si="78"/>
        <v>0.13557142857142854</v>
      </c>
      <c r="S325">
        <f t="shared" si="79"/>
        <v>8.6571428571428549E-2</v>
      </c>
      <c r="U325">
        <f t="shared" si="80"/>
        <v>61.028938906752408</v>
      </c>
      <c r="AH325">
        <f t="shared" si="81"/>
        <v>0.83112690765972663</v>
      </c>
      <c r="AI325">
        <f t="shared" si="82"/>
        <v>7.5106660729495553</v>
      </c>
      <c r="AJ325">
        <f t="shared" si="83"/>
        <v>12.666333927050445</v>
      </c>
      <c r="AL325" s="6">
        <f t="shared" si="84"/>
        <v>11.750753815319452</v>
      </c>
      <c r="AM325">
        <f t="shared" si="85"/>
        <v>8.4262461846805472</v>
      </c>
    </row>
    <row r="326" spans="1:39" ht="16.5" x14ac:dyDescent="0.25">
      <c r="A326" s="1">
        <v>45231</v>
      </c>
      <c r="B326" s="5">
        <v>10.462</v>
      </c>
      <c r="C326" s="4">
        <v>10.42</v>
      </c>
      <c r="D326" s="4">
        <v>10.542</v>
      </c>
      <c r="E326" s="4">
        <v>10.37</v>
      </c>
      <c r="F326" s="4" t="s">
        <v>1155</v>
      </c>
      <c r="G326" s="2" t="s">
        <v>1156</v>
      </c>
      <c r="I326">
        <f t="shared" si="72"/>
        <v>10.055350000000001</v>
      </c>
      <c r="J326">
        <f t="shared" si="73"/>
        <v>10.060549999999999</v>
      </c>
      <c r="L326">
        <f t="shared" si="74"/>
        <v>1</v>
      </c>
      <c r="M326">
        <f t="shared" si="75"/>
        <v>0</v>
      </c>
      <c r="O326">
        <f t="shared" si="76"/>
        <v>4.1999999999999815E-2</v>
      </c>
      <c r="P326">
        <f t="shared" si="77"/>
        <v>0</v>
      </c>
      <c r="R326">
        <f t="shared" si="78"/>
        <v>0.13416666666666663</v>
      </c>
      <c r="S326">
        <f t="shared" si="79"/>
        <v>9.3249999999999833E-2</v>
      </c>
      <c r="U326">
        <f t="shared" si="80"/>
        <v>58.995969219494356</v>
      </c>
      <c r="AH326">
        <f t="shared" si="81"/>
        <v>0.83306880134830941</v>
      </c>
      <c r="AI326">
        <f t="shared" si="82"/>
        <v>7.4775160729495562</v>
      </c>
      <c r="AJ326">
        <f t="shared" si="83"/>
        <v>12.633183927050446</v>
      </c>
      <c r="AL326" s="6">
        <f t="shared" si="84"/>
        <v>11.721487602696619</v>
      </c>
      <c r="AM326">
        <f t="shared" si="85"/>
        <v>8.3892123973033819</v>
      </c>
    </row>
    <row r="327" spans="1:39" ht="16.5" x14ac:dyDescent="0.25">
      <c r="A327" s="1">
        <v>45230</v>
      </c>
      <c r="B327" s="5">
        <v>10.356</v>
      </c>
      <c r="C327" s="4">
        <v>10.412000000000001</v>
      </c>
      <c r="D327" s="4">
        <v>10.497999999999999</v>
      </c>
      <c r="E327" s="4">
        <v>10.327999999999999</v>
      </c>
      <c r="F327" s="4" t="s">
        <v>1157</v>
      </c>
      <c r="G327" s="2" t="s">
        <v>508</v>
      </c>
      <c r="I327">
        <f t="shared" si="72"/>
        <v>10.028200000000002</v>
      </c>
      <c r="J327">
        <f t="shared" si="73"/>
        <v>10.038275000000001</v>
      </c>
      <c r="L327">
        <f t="shared" si="74"/>
        <v>0</v>
      </c>
      <c r="M327">
        <f t="shared" si="75"/>
        <v>1</v>
      </c>
      <c r="O327">
        <f t="shared" si="76"/>
        <v>0</v>
      </c>
      <c r="P327">
        <f t="shared" si="77"/>
        <v>5.6000000000000938E-2</v>
      </c>
      <c r="R327">
        <f t="shared" si="78"/>
        <v>0.15259999999999999</v>
      </c>
      <c r="S327">
        <f t="shared" si="79"/>
        <v>9.8222222222222058E-2</v>
      </c>
      <c r="U327">
        <f t="shared" si="80"/>
        <v>60.839904314698366</v>
      </c>
      <c r="AH327">
        <f t="shared" si="81"/>
        <v>0.83498813615334555</v>
      </c>
      <c r="AI327">
        <f t="shared" si="82"/>
        <v>7.4503660729495573</v>
      </c>
      <c r="AJ327">
        <f t="shared" si="83"/>
        <v>12.606033927050447</v>
      </c>
      <c r="AL327" s="6">
        <f t="shared" si="84"/>
        <v>11.698176272306693</v>
      </c>
      <c r="AM327">
        <f t="shared" si="85"/>
        <v>8.3582237276933107</v>
      </c>
    </row>
    <row r="328" spans="1:39" ht="16.5" x14ac:dyDescent="0.25">
      <c r="A328" s="1">
        <v>45229</v>
      </c>
      <c r="B328" s="5">
        <v>10.407999999999999</v>
      </c>
      <c r="C328" s="4">
        <v>10.404</v>
      </c>
      <c r="D328" s="4">
        <v>10.496</v>
      </c>
      <c r="E328" s="4">
        <v>10.26</v>
      </c>
      <c r="F328" s="4" t="s">
        <v>811</v>
      </c>
      <c r="G328" s="2" t="s">
        <v>949</v>
      </c>
      <c r="I328">
        <f t="shared" si="72"/>
        <v>10.006950000000002</v>
      </c>
      <c r="J328">
        <f t="shared" si="73"/>
        <v>10.023375000000001</v>
      </c>
      <c r="L328">
        <f t="shared" si="74"/>
        <v>1</v>
      </c>
      <c r="M328">
        <f t="shared" si="75"/>
        <v>0</v>
      </c>
      <c r="O328">
        <f t="shared" si="76"/>
        <v>3.9999999999995595E-3</v>
      </c>
      <c r="P328">
        <f t="shared" si="77"/>
        <v>0</v>
      </c>
      <c r="R328">
        <f t="shared" si="78"/>
        <v>0.12783333333333324</v>
      </c>
      <c r="S328">
        <f t="shared" si="79"/>
        <v>0.1034999999999997</v>
      </c>
      <c r="U328">
        <f t="shared" si="80"/>
        <v>55.259365994236369</v>
      </c>
      <c r="AH328">
        <f t="shared" si="81"/>
        <v>0.83688600314429951</v>
      </c>
      <c r="AI328">
        <f t="shared" si="82"/>
        <v>7.4291160729495571</v>
      </c>
      <c r="AJ328">
        <f t="shared" si="83"/>
        <v>12.584783927050445</v>
      </c>
      <c r="AL328" s="6">
        <f t="shared" si="84"/>
        <v>11.680722006288601</v>
      </c>
      <c r="AM328">
        <f t="shared" si="85"/>
        <v>8.3331779937114021</v>
      </c>
    </row>
    <row r="329" spans="1:39" ht="16.5" x14ac:dyDescent="0.25">
      <c r="A329" s="1">
        <v>45226</v>
      </c>
      <c r="B329" s="5">
        <v>10.406000000000001</v>
      </c>
      <c r="C329" s="4">
        <v>10.458</v>
      </c>
      <c r="D329" s="4">
        <v>10.536</v>
      </c>
      <c r="E329" s="4">
        <v>10.37</v>
      </c>
      <c r="F329" s="4" t="s">
        <v>1158</v>
      </c>
      <c r="G329" s="2" t="s">
        <v>463</v>
      </c>
      <c r="I329">
        <f t="shared" si="72"/>
        <v>9.9923500000000018</v>
      </c>
      <c r="J329">
        <f t="shared" si="73"/>
        <v>10.014625000000001</v>
      </c>
      <c r="L329">
        <f t="shared" si="74"/>
        <v>0</v>
      </c>
      <c r="M329">
        <f t="shared" si="75"/>
        <v>1</v>
      </c>
      <c r="O329">
        <f t="shared" si="76"/>
        <v>0</v>
      </c>
      <c r="P329">
        <f t="shared" si="77"/>
        <v>5.1999999999999602E-2</v>
      </c>
      <c r="R329">
        <f t="shared" si="78"/>
        <v>0.15950000000000011</v>
      </c>
      <c r="S329">
        <f t="shared" si="79"/>
        <v>0.1034999999999997</v>
      </c>
      <c r="U329">
        <f t="shared" si="80"/>
        <v>60.646387832699702</v>
      </c>
      <c r="AH329">
        <f t="shared" si="81"/>
        <v>0.83876630974336885</v>
      </c>
      <c r="AI329">
        <f t="shared" si="82"/>
        <v>7.4145160729495574</v>
      </c>
      <c r="AJ329">
        <f t="shared" si="83"/>
        <v>12.570183927050447</v>
      </c>
      <c r="AL329" s="6">
        <f t="shared" si="84"/>
        <v>11.669882619486739</v>
      </c>
      <c r="AM329">
        <f t="shared" si="85"/>
        <v>8.314817380513265</v>
      </c>
    </row>
    <row r="330" spans="1:39" ht="16.5" x14ac:dyDescent="0.25">
      <c r="A330" s="1">
        <v>45225</v>
      </c>
      <c r="B330" s="5">
        <v>10.38</v>
      </c>
      <c r="C330" s="4">
        <v>10.208</v>
      </c>
      <c r="D330" s="4">
        <v>10.442</v>
      </c>
      <c r="E330" s="4">
        <v>10.061999999999999</v>
      </c>
      <c r="F330" s="4" t="s">
        <v>1159</v>
      </c>
      <c r="G330" s="2" t="s">
        <v>477</v>
      </c>
      <c r="I330">
        <f t="shared" si="72"/>
        <v>9.9945500000000003</v>
      </c>
      <c r="J330">
        <f t="shared" si="73"/>
        <v>10.006575000000002</v>
      </c>
      <c r="L330">
        <f t="shared" si="74"/>
        <v>1</v>
      </c>
      <c r="M330">
        <f t="shared" si="75"/>
        <v>0</v>
      </c>
      <c r="O330">
        <f t="shared" si="76"/>
        <v>0.1720000000000006</v>
      </c>
      <c r="P330">
        <f t="shared" si="77"/>
        <v>0</v>
      </c>
      <c r="R330">
        <f t="shared" si="78"/>
        <v>0.15950000000000011</v>
      </c>
      <c r="S330">
        <f t="shared" si="79"/>
        <v>0.10424999999999973</v>
      </c>
      <c r="U330">
        <f t="shared" si="80"/>
        <v>60.473933649289172</v>
      </c>
      <c r="AH330">
        <f t="shared" si="81"/>
        <v>0.84063654126792509</v>
      </c>
      <c r="AI330">
        <f t="shared" si="82"/>
        <v>7.4167160729495558</v>
      </c>
      <c r="AJ330">
        <f t="shared" si="83"/>
        <v>12.572383927050446</v>
      </c>
      <c r="AL330" s="6">
        <f t="shared" si="84"/>
        <v>11.67582308253585</v>
      </c>
      <c r="AM330">
        <f t="shared" si="85"/>
        <v>8.313276917464151</v>
      </c>
    </row>
    <row r="331" spans="1:39" ht="16.5" x14ac:dyDescent="0.25">
      <c r="A331" s="1">
        <v>45224</v>
      </c>
      <c r="B331" s="5">
        <v>10.278</v>
      </c>
      <c r="C331" s="4">
        <v>9.9</v>
      </c>
      <c r="D331" s="4">
        <v>10.278</v>
      </c>
      <c r="E331" s="4">
        <v>9.891</v>
      </c>
      <c r="F331" s="4" t="s">
        <v>1160</v>
      </c>
      <c r="G331" s="2" t="s">
        <v>1031</v>
      </c>
      <c r="I331">
        <f t="shared" si="72"/>
        <v>9.9946500000000018</v>
      </c>
      <c r="J331">
        <f t="shared" si="73"/>
        <v>9.9983750000000011</v>
      </c>
      <c r="L331">
        <f t="shared" si="74"/>
        <v>1</v>
      </c>
      <c r="M331">
        <f t="shared" si="75"/>
        <v>0</v>
      </c>
      <c r="O331">
        <f t="shared" si="76"/>
        <v>0.37800000000000011</v>
      </c>
      <c r="P331">
        <f t="shared" si="77"/>
        <v>0</v>
      </c>
      <c r="R331">
        <f t="shared" si="78"/>
        <v>0.14683333333333307</v>
      </c>
      <c r="S331">
        <f t="shared" si="79"/>
        <v>0.10424999999999973</v>
      </c>
      <c r="U331">
        <f t="shared" si="80"/>
        <v>58.479920345170946</v>
      </c>
      <c r="AH331">
        <f t="shared" si="81"/>
        <v>0.842522649205522</v>
      </c>
      <c r="AI331">
        <f t="shared" si="82"/>
        <v>7.4168160729495574</v>
      </c>
      <c r="AJ331">
        <f t="shared" si="83"/>
        <v>12.572483927050445</v>
      </c>
      <c r="AL331" s="6">
        <f t="shared" si="84"/>
        <v>11.679695298411046</v>
      </c>
      <c r="AM331">
        <f t="shared" si="85"/>
        <v>8.3096047015889578</v>
      </c>
    </row>
    <row r="332" spans="1:39" ht="16.5" x14ac:dyDescent="0.25">
      <c r="A332" s="1">
        <v>45223</v>
      </c>
      <c r="B332" s="5">
        <v>9.5009999999999994</v>
      </c>
      <c r="C332" s="4">
        <v>9.64</v>
      </c>
      <c r="D332" s="4">
        <v>9.6639999999999997</v>
      </c>
      <c r="E332" s="4">
        <v>9.44</v>
      </c>
      <c r="F332" s="4" t="s">
        <v>1161</v>
      </c>
      <c r="G332" s="2" t="s">
        <v>76</v>
      </c>
      <c r="I332">
        <f t="shared" si="72"/>
        <v>9.9978500000000015</v>
      </c>
      <c r="J332">
        <f t="shared" si="73"/>
        <v>9.9961750000000009</v>
      </c>
      <c r="L332">
        <f t="shared" si="74"/>
        <v>0</v>
      </c>
      <c r="M332">
        <f t="shared" si="75"/>
        <v>1</v>
      </c>
      <c r="O332">
        <f t="shared" si="76"/>
        <v>0</v>
      </c>
      <c r="P332">
        <f t="shared" si="77"/>
        <v>0.13900000000000112</v>
      </c>
      <c r="R332">
        <f t="shared" si="78"/>
        <v>0.10059999999999966</v>
      </c>
      <c r="S332">
        <f t="shared" si="79"/>
        <v>9.6111111111110939E-2</v>
      </c>
      <c r="U332">
        <f t="shared" si="80"/>
        <v>51.140985088115642</v>
      </c>
      <c r="AH332">
        <f t="shared" si="81"/>
        <v>0.84442146225208448</v>
      </c>
      <c r="AI332">
        <f t="shared" si="82"/>
        <v>7.420016072949557</v>
      </c>
      <c r="AJ332">
        <f t="shared" si="83"/>
        <v>12.575683927050445</v>
      </c>
      <c r="AL332" s="6">
        <f t="shared" si="84"/>
        <v>11.68669292450417</v>
      </c>
      <c r="AM332">
        <f t="shared" si="85"/>
        <v>8.309007075495833</v>
      </c>
    </row>
    <row r="333" spans="1:39" ht="16.5" x14ac:dyDescent="0.25">
      <c r="A333" s="1">
        <v>45222</v>
      </c>
      <c r="B333" s="5">
        <v>9.6140000000000008</v>
      </c>
      <c r="C333" s="4">
        <v>9.5570000000000004</v>
      </c>
      <c r="D333" s="4">
        <v>9.6470000000000002</v>
      </c>
      <c r="E333" s="4">
        <v>9.5030000000000001</v>
      </c>
      <c r="F333" s="4" t="s">
        <v>1162</v>
      </c>
      <c r="G333" s="2" t="s">
        <v>550</v>
      </c>
      <c r="I333">
        <f t="shared" si="72"/>
        <v>10.027700000000003</v>
      </c>
      <c r="J333">
        <f t="shared" si="73"/>
        <v>10.015400000000001</v>
      </c>
      <c r="L333">
        <f t="shared" si="74"/>
        <v>1</v>
      </c>
      <c r="M333">
        <f t="shared" si="75"/>
        <v>0</v>
      </c>
      <c r="O333">
        <f t="shared" si="76"/>
        <v>5.7000000000000384E-2</v>
      </c>
      <c r="P333">
        <f t="shared" si="77"/>
        <v>0</v>
      </c>
      <c r="R333">
        <f t="shared" si="78"/>
        <v>0.10566666666666642</v>
      </c>
      <c r="S333">
        <f t="shared" si="79"/>
        <v>9.0749999999999664E-2</v>
      </c>
      <c r="U333">
        <f t="shared" si="80"/>
        <v>53.797199830292783</v>
      </c>
      <c r="AH333">
        <f t="shared" si="81"/>
        <v>0.84633810552587152</v>
      </c>
      <c r="AI333">
        <f t="shared" si="82"/>
        <v>7.4498660729495585</v>
      </c>
      <c r="AJ333">
        <f t="shared" si="83"/>
        <v>12.605533927050448</v>
      </c>
      <c r="AL333" s="6">
        <f t="shared" si="84"/>
        <v>11.720376211051747</v>
      </c>
      <c r="AM333">
        <f t="shared" si="85"/>
        <v>8.3350237889482592</v>
      </c>
    </row>
    <row r="334" spans="1:39" ht="16.5" x14ac:dyDescent="0.25">
      <c r="A334" s="1">
        <v>45219</v>
      </c>
      <c r="B334" s="5">
        <v>9.5280000000000005</v>
      </c>
      <c r="C334" s="4">
        <v>9.6</v>
      </c>
      <c r="D334" s="4">
        <v>9.734</v>
      </c>
      <c r="E334" s="4">
        <v>9.5050000000000008</v>
      </c>
      <c r="F334" s="4" t="s">
        <v>1029</v>
      </c>
      <c r="G334" s="2" t="s">
        <v>1163</v>
      </c>
      <c r="I334">
        <f t="shared" si="72"/>
        <v>10.049200000000003</v>
      </c>
      <c r="J334">
        <f t="shared" si="73"/>
        <v>10.028350000000001</v>
      </c>
      <c r="L334">
        <f t="shared" si="74"/>
        <v>0</v>
      </c>
      <c r="M334">
        <f t="shared" si="75"/>
        <v>1</v>
      </c>
      <c r="O334">
        <f t="shared" si="76"/>
        <v>0</v>
      </c>
      <c r="P334">
        <f t="shared" si="77"/>
        <v>7.1999999999999176E-2</v>
      </c>
      <c r="R334">
        <f t="shared" si="78"/>
        <v>0.11539999999999964</v>
      </c>
      <c r="S334">
        <f t="shared" si="79"/>
        <v>9.2777777777777473E-2</v>
      </c>
      <c r="U334">
        <f t="shared" si="80"/>
        <v>55.433390264731003</v>
      </c>
      <c r="AH334">
        <f t="shared" si="81"/>
        <v>0.84831306724750533</v>
      </c>
      <c r="AI334">
        <f t="shared" si="82"/>
        <v>7.4713660729495581</v>
      </c>
      <c r="AJ334">
        <f t="shared" si="83"/>
        <v>12.627033927050448</v>
      </c>
      <c r="AL334" s="6">
        <f t="shared" si="84"/>
        <v>11.745826134495013</v>
      </c>
      <c r="AM334">
        <f t="shared" si="85"/>
        <v>8.3525738655049917</v>
      </c>
    </row>
    <row r="335" spans="1:39" ht="16.5" x14ac:dyDescent="0.25">
      <c r="A335" s="1">
        <v>45218</v>
      </c>
      <c r="B335" s="5">
        <v>9.7490000000000006</v>
      </c>
      <c r="C335" s="4">
        <v>9.75</v>
      </c>
      <c r="D335" s="4">
        <v>9.8140000000000001</v>
      </c>
      <c r="E335" s="4">
        <v>9.6300000000000008</v>
      </c>
      <c r="F335" s="4" t="s">
        <v>1164</v>
      </c>
      <c r="G335" s="2" t="s">
        <v>766</v>
      </c>
      <c r="I335">
        <f t="shared" si="72"/>
        <v>10.0784</v>
      </c>
      <c r="J335">
        <f t="shared" si="73"/>
        <v>10.03755</v>
      </c>
      <c r="L335">
        <f t="shared" si="74"/>
        <v>0</v>
      </c>
      <c r="M335">
        <f t="shared" si="75"/>
        <v>1</v>
      </c>
      <c r="O335">
        <f t="shared" si="76"/>
        <v>0</v>
      </c>
      <c r="P335">
        <f t="shared" si="77"/>
        <v>9.9999999999944578E-4</v>
      </c>
      <c r="R335">
        <f t="shared" si="78"/>
        <v>0.11539999999999964</v>
      </c>
      <c r="S335">
        <f t="shared" si="79"/>
        <v>0.12344444444444432</v>
      </c>
      <c r="U335">
        <f t="shared" si="80"/>
        <v>48.31596576107178</v>
      </c>
      <c r="AH335">
        <f t="shared" si="81"/>
        <v>0.85033141670810852</v>
      </c>
      <c r="AI335">
        <f t="shared" si="82"/>
        <v>7.5005660729495558</v>
      </c>
      <c r="AJ335">
        <f t="shared" si="83"/>
        <v>12.656233927050444</v>
      </c>
      <c r="AL335" s="6">
        <f t="shared" si="84"/>
        <v>11.779062833416218</v>
      </c>
      <c r="AM335">
        <f t="shared" si="85"/>
        <v>8.377737166583783</v>
      </c>
    </row>
    <row r="336" spans="1:39" ht="16.5" x14ac:dyDescent="0.25">
      <c r="A336" s="1">
        <v>45217</v>
      </c>
      <c r="B336" s="5">
        <v>9.8079999999999998</v>
      </c>
      <c r="C336" s="4">
        <v>10.061999999999999</v>
      </c>
      <c r="D336" s="4">
        <v>10.093999999999999</v>
      </c>
      <c r="E336" s="4">
        <v>9.7789999999999999</v>
      </c>
      <c r="F336" s="4" t="s">
        <v>1165</v>
      </c>
      <c r="G336" s="2" t="s">
        <v>217</v>
      </c>
      <c r="I336">
        <f t="shared" si="72"/>
        <v>10.095550000000003</v>
      </c>
      <c r="J336">
        <f t="shared" si="73"/>
        <v>10.041975000000003</v>
      </c>
      <c r="L336">
        <f t="shared" si="74"/>
        <v>0</v>
      </c>
      <c r="M336">
        <f t="shared" si="75"/>
        <v>1</v>
      </c>
      <c r="O336">
        <f t="shared" si="76"/>
        <v>0</v>
      </c>
      <c r="P336">
        <f t="shared" si="77"/>
        <v>0.25399999999999956</v>
      </c>
      <c r="R336">
        <f t="shared" si="78"/>
        <v>0.10283333333333289</v>
      </c>
      <c r="S336">
        <f t="shared" si="79"/>
        <v>0.13874999999999993</v>
      </c>
      <c r="U336">
        <f t="shared" si="80"/>
        <v>42.566402207657717</v>
      </c>
      <c r="AH336">
        <f t="shared" si="81"/>
        <v>0.85240021776787633</v>
      </c>
      <c r="AI336">
        <f t="shared" si="82"/>
        <v>7.5177160729495585</v>
      </c>
      <c r="AJ336">
        <f t="shared" si="83"/>
        <v>12.673383927050448</v>
      </c>
      <c r="AL336" s="6">
        <f t="shared" si="84"/>
        <v>11.800350435535755</v>
      </c>
      <c r="AM336">
        <f t="shared" si="85"/>
        <v>8.3907495644642509</v>
      </c>
    </row>
    <row r="337" spans="1:39" ht="16.5" x14ac:dyDescent="0.25">
      <c r="A337" s="1">
        <v>45216</v>
      </c>
      <c r="B337" s="5">
        <v>10.071999999999999</v>
      </c>
      <c r="C337" s="4">
        <v>10.103999999999999</v>
      </c>
      <c r="D337" s="4">
        <v>10.154</v>
      </c>
      <c r="E337" s="4">
        <v>10.004</v>
      </c>
      <c r="F337" s="4" t="s">
        <v>1166</v>
      </c>
      <c r="G337" s="2" t="s">
        <v>1167</v>
      </c>
      <c r="I337">
        <f t="shared" si="72"/>
        <v>10.112650000000002</v>
      </c>
      <c r="J337">
        <f t="shared" si="73"/>
        <v>10.042600000000002</v>
      </c>
      <c r="L337">
        <f t="shared" si="74"/>
        <v>0</v>
      </c>
      <c r="M337">
        <f t="shared" si="75"/>
        <v>1</v>
      </c>
      <c r="O337">
        <f t="shared" si="76"/>
        <v>0</v>
      </c>
      <c r="P337">
        <f t="shared" si="77"/>
        <v>3.2000000000000028E-2</v>
      </c>
      <c r="R337">
        <f t="shared" si="78"/>
        <v>9.0714285714285178E-2</v>
      </c>
      <c r="S337">
        <f t="shared" si="79"/>
        <v>0.12228571428571426</v>
      </c>
      <c r="U337">
        <f t="shared" si="80"/>
        <v>42.588866532528371</v>
      </c>
      <c r="AH337">
        <f t="shared" si="81"/>
        <v>0.85450307253753177</v>
      </c>
      <c r="AI337">
        <f t="shared" si="82"/>
        <v>7.5348160729495577</v>
      </c>
      <c r="AJ337">
        <f t="shared" si="83"/>
        <v>12.690483927050447</v>
      </c>
      <c r="AL337" s="6">
        <f t="shared" si="84"/>
        <v>11.821656145075066</v>
      </c>
      <c r="AM337">
        <f t="shared" si="85"/>
        <v>8.4036438549249386</v>
      </c>
    </row>
    <row r="338" spans="1:39" ht="16.5" x14ac:dyDescent="0.25">
      <c r="A338" s="1">
        <v>45215</v>
      </c>
      <c r="B338" s="5">
        <v>10.132</v>
      </c>
      <c r="C338" s="4">
        <v>9.98</v>
      </c>
      <c r="D338" s="4">
        <v>10.183999999999999</v>
      </c>
      <c r="E338" s="4">
        <v>9.98</v>
      </c>
      <c r="F338" s="4" t="s">
        <v>1168</v>
      </c>
      <c r="G338" s="2" t="s">
        <v>502</v>
      </c>
      <c r="I338">
        <f t="shared" si="72"/>
        <v>10.111650000000001</v>
      </c>
      <c r="J338">
        <f t="shared" si="73"/>
        <v>10.036350000000002</v>
      </c>
      <c r="L338">
        <f t="shared" si="74"/>
        <v>1</v>
      </c>
      <c r="M338">
        <f t="shared" si="75"/>
        <v>0</v>
      </c>
      <c r="O338">
        <f t="shared" si="76"/>
        <v>0.15199999999999925</v>
      </c>
      <c r="P338">
        <f t="shared" si="77"/>
        <v>0</v>
      </c>
      <c r="R338">
        <f t="shared" si="78"/>
        <v>0.1111249999999997</v>
      </c>
      <c r="S338">
        <f t="shared" si="79"/>
        <v>0.13733333333333331</v>
      </c>
      <c r="U338">
        <f t="shared" si="80"/>
        <v>44.725809156464798</v>
      </c>
      <c r="AH338">
        <f t="shared" si="81"/>
        <v>0.85663877153921941</v>
      </c>
      <c r="AI338">
        <f t="shared" si="82"/>
        <v>7.5338160729495565</v>
      </c>
      <c r="AJ338">
        <f t="shared" si="83"/>
        <v>12.689483927050446</v>
      </c>
      <c r="AL338" s="6">
        <f t="shared" si="84"/>
        <v>11.82492754307844</v>
      </c>
      <c r="AM338">
        <f t="shared" si="85"/>
        <v>8.3983724569215621</v>
      </c>
    </row>
    <row r="339" spans="1:39" ht="16.5" x14ac:dyDescent="0.25">
      <c r="A339" s="1">
        <v>45212</v>
      </c>
      <c r="B339" s="5">
        <v>9.9600000000000009</v>
      </c>
      <c r="C339" s="4">
        <v>10.1</v>
      </c>
      <c r="D339" s="4">
        <v>10.118</v>
      </c>
      <c r="E339" s="4">
        <v>9.9030000000000005</v>
      </c>
      <c r="F339" s="4" t="s">
        <v>1169</v>
      </c>
      <c r="G339" s="2" t="s">
        <v>867</v>
      </c>
      <c r="I339">
        <f t="shared" si="72"/>
        <v>10.107750000000001</v>
      </c>
      <c r="J339">
        <f t="shared" si="73"/>
        <v>10.027975000000001</v>
      </c>
      <c r="L339">
        <f t="shared" si="74"/>
        <v>0</v>
      </c>
      <c r="M339">
        <f t="shared" si="75"/>
        <v>1</v>
      </c>
      <c r="O339">
        <f t="shared" si="76"/>
        <v>0</v>
      </c>
      <c r="P339">
        <f t="shared" si="77"/>
        <v>0.13999999999999879</v>
      </c>
      <c r="R339">
        <f t="shared" si="78"/>
        <v>9.7624999999999851E-2</v>
      </c>
      <c r="S339">
        <f t="shared" si="79"/>
        <v>0.13733333333333331</v>
      </c>
      <c r="U339">
        <f t="shared" si="80"/>
        <v>41.549920198616746</v>
      </c>
      <c r="AH339">
        <f t="shared" si="81"/>
        <v>0.85878957505035547</v>
      </c>
      <c r="AI339">
        <f t="shared" si="82"/>
        <v>7.5299160729495567</v>
      </c>
      <c r="AJ339">
        <f t="shared" si="83"/>
        <v>12.685583927050445</v>
      </c>
      <c r="AL339" s="6">
        <f t="shared" si="84"/>
        <v>11.825329150100712</v>
      </c>
      <c r="AM339">
        <f t="shared" si="85"/>
        <v>8.39017084989929</v>
      </c>
    </row>
    <row r="340" spans="1:39" ht="16.5" x14ac:dyDescent="0.25">
      <c r="A340" s="1">
        <v>45211</v>
      </c>
      <c r="B340" s="5">
        <v>10.11</v>
      </c>
      <c r="C340" s="4">
        <v>10.247999999999999</v>
      </c>
      <c r="D340" s="4">
        <v>10.272</v>
      </c>
      <c r="E340" s="4">
        <v>10.026</v>
      </c>
      <c r="F340" s="4" t="s">
        <v>1170</v>
      </c>
      <c r="G340" s="2" t="s">
        <v>413</v>
      </c>
      <c r="I340">
        <f t="shared" si="72"/>
        <v>10.122250000000001</v>
      </c>
      <c r="J340">
        <f t="shared" si="73"/>
        <v>10.025725000000003</v>
      </c>
      <c r="L340">
        <f t="shared" si="74"/>
        <v>0</v>
      </c>
      <c r="M340">
        <f t="shared" si="75"/>
        <v>1</v>
      </c>
      <c r="O340">
        <f t="shared" si="76"/>
        <v>0</v>
      </c>
      <c r="P340">
        <f t="shared" si="77"/>
        <v>0.1379999999999999</v>
      </c>
      <c r="R340">
        <f t="shared" si="78"/>
        <v>9.7624999999999851E-2</v>
      </c>
      <c r="S340">
        <f t="shared" si="79"/>
        <v>0.12166666666666674</v>
      </c>
      <c r="U340">
        <f t="shared" si="80"/>
        <v>44.518335550066446</v>
      </c>
      <c r="AH340">
        <f t="shared" si="81"/>
        <v>0.86095277818287153</v>
      </c>
      <c r="AI340">
        <f t="shared" si="82"/>
        <v>7.5444160729495566</v>
      </c>
      <c r="AJ340">
        <f t="shared" si="83"/>
        <v>12.700083927050446</v>
      </c>
      <c r="AL340" s="6">
        <f t="shared" si="84"/>
        <v>11.844155556365743</v>
      </c>
      <c r="AM340">
        <f t="shared" si="85"/>
        <v>8.4003444436342587</v>
      </c>
    </row>
    <row r="341" spans="1:39" ht="16.5" x14ac:dyDescent="0.25">
      <c r="A341" s="1">
        <v>45210</v>
      </c>
      <c r="B341" s="5">
        <v>10.164</v>
      </c>
      <c r="C341" s="4">
        <v>10.16</v>
      </c>
      <c r="D341" s="4">
        <v>10.224</v>
      </c>
      <c r="E341" s="4">
        <v>10.098000000000001</v>
      </c>
      <c r="F341" s="4" t="s">
        <v>1171</v>
      </c>
      <c r="G341" s="2" t="s">
        <v>1074</v>
      </c>
      <c r="I341">
        <f t="shared" si="72"/>
        <v>10.13165</v>
      </c>
      <c r="J341">
        <f t="shared" si="73"/>
        <v>10.020725000000002</v>
      </c>
      <c r="L341">
        <f t="shared" si="74"/>
        <v>1</v>
      </c>
      <c r="M341">
        <f t="shared" si="75"/>
        <v>0</v>
      </c>
      <c r="O341">
        <f t="shared" si="76"/>
        <v>3.9999999999995595E-3</v>
      </c>
      <c r="P341">
        <f t="shared" si="77"/>
        <v>0</v>
      </c>
      <c r="R341">
        <f t="shared" si="78"/>
        <v>9.033333333333321E-2</v>
      </c>
      <c r="S341">
        <f t="shared" si="79"/>
        <v>0.1184000000000001</v>
      </c>
      <c r="U341">
        <f t="shared" si="80"/>
        <v>43.276908335994833</v>
      </c>
      <c r="AH341">
        <f t="shared" si="81"/>
        <v>0.86314637346844736</v>
      </c>
      <c r="AI341">
        <f t="shared" si="82"/>
        <v>7.553816072949556</v>
      </c>
      <c r="AJ341">
        <f t="shared" si="83"/>
        <v>12.709483927050446</v>
      </c>
      <c r="AL341" s="6">
        <f t="shared" si="84"/>
        <v>11.857942746936896</v>
      </c>
      <c r="AM341">
        <f t="shared" si="85"/>
        <v>8.4053572530631051</v>
      </c>
    </row>
    <row r="342" spans="1:39" ht="16.5" x14ac:dyDescent="0.25">
      <c r="A342" s="1">
        <v>45209</v>
      </c>
      <c r="B342" s="5">
        <v>10.220000000000001</v>
      </c>
      <c r="C342" s="4">
        <v>10.026</v>
      </c>
      <c r="D342" s="4">
        <v>10.242000000000001</v>
      </c>
      <c r="E342" s="4">
        <v>10.012</v>
      </c>
      <c r="F342" s="4" t="s">
        <v>1172</v>
      </c>
      <c r="G342" s="2" t="s">
        <v>441</v>
      </c>
      <c r="I342">
        <f t="shared" si="72"/>
        <v>10.129250000000003</v>
      </c>
      <c r="J342">
        <f t="shared" si="73"/>
        <v>10.013300000000005</v>
      </c>
      <c r="L342">
        <f t="shared" si="74"/>
        <v>1</v>
      </c>
      <c r="M342">
        <f t="shared" si="75"/>
        <v>0</v>
      </c>
      <c r="O342">
        <f t="shared" si="76"/>
        <v>0.19400000000000084</v>
      </c>
      <c r="P342">
        <f t="shared" si="77"/>
        <v>0</v>
      </c>
      <c r="R342">
        <f t="shared" si="78"/>
        <v>9.4555555555555448E-2</v>
      </c>
      <c r="S342">
        <f t="shared" si="79"/>
        <v>0.1184000000000001</v>
      </c>
      <c r="U342">
        <f t="shared" si="80"/>
        <v>44.401544401544349</v>
      </c>
      <c r="AH342">
        <f t="shared" si="81"/>
        <v>0.86536525215380133</v>
      </c>
      <c r="AI342">
        <f t="shared" si="82"/>
        <v>7.5514160729495581</v>
      </c>
      <c r="AJ342">
        <f t="shared" si="83"/>
        <v>12.707083927050448</v>
      </c>
      <c r="AL342" s="6">
        <f t="shared" si="84"/>
        <v>11.859980504307606</v>
      </c>
      <c r="AM342">
        <f t="shared" si="85"/>
        <v>8.3985194956923994</v>
      </c>
    </row>
    <row r="343" spans="1:39" ht="16.5" x14ac:dyDescent="0.25">
      <c r="A343" s="1">
        <v>45208</v>
      </c>
      <c r="B343" s="5">
        <v>9.9380000000000006</v>
      </c>
      <c r="C343" s="4">
        <v>9.9960000000000004</v>
      </c>
      <c r="D343" s="4">
        <v>10.042</v>
      </c>
      <c r="E343" s="4">
        <v>9.8949999999999996</v>
      </c>
      <c r="F343" s="4" t="s">
        <v>1173</v>
      </c>
      <c r="G343" s="2" t="s">
        <v>570</v>
      </c>
      <c r="I343">
        <f t="shared" si="72"/>
        <v>10.110050000000001</v>
      </c>
      <c r="J343">
        <f t="shared" si="73"/>
        <v>10.005800000000004</v>
      </c>
      <c r="L343">
        <f t="shared" si="74"/>
        <v>0</v>
      </c>
      <c r="M343">
        <f t="shared" si="75"/>
        <v>1</v>
      </c>
      <c r="O343">
        <f t="shared" si="76"/>
        <v>0</v>
      </c>
      <c r="P343">
        <f t="shared" si="77"/>
        <v>5.7999999999999829E-2</v>
      </c>
      <c r="R343">
        <f t="shared" si="78"/>
        <v>7.8777777777777544E-2</v>
      </c>
      <c r="S343">
        <f t="shared" si="79"/>
        <v>0.1184000000000001</v>
      </c>
      <c r="U343">
        <f t="shared" si="80"/>
        <v>39.952665389383434</v>
      </c>
      <c r="AH343">
        <f t="shared" si="81"/>
        <v>0.86759919462089774</v>
      </c>
      <c r="AI343">
        <f t="shared" si="82"/>
        <v>7.5322160729495566</v>
      </c>
      <c r="AJ343">
        <f t="shared" si="83"/>
        <v>12.687883927050446</v>
      </c>
      <c r="AL343" s="6">
        <f t="shared" si="84"/>
        <v>11.845248389241796</v>
      </c>
      <c r="AM343">
        <f t="shared" si="85"/>
        <v>8.3748516107582063</v>
      </c>
    </row>
    <row r="344" spans="1:39" ht="16.5" x14ac:dyDescent="0.25">
      <c r="A344" s="1">
        <v>45205</v>
      </c>
      <c r="B344" s="5">
        <v>10.071999999999999</v>
      </c>
      <c r="C344" s="4">
        <v>9.9760000000000009</v>
      </c>
      <c r="D344" s="4">
        <v>10.157999999999999</v>
      </c>
      <c r="E344" s="4">
        <v>9.9510000000000005</v>
      </c>
      <c r="F344" s="4" t="s">
        <v>1174</v>
      </c>
      <c r="G344" s="2" t="s">
        <v>741</v>
      </c>
      <c r="I344">
        <f t="shared" si="72"/>
        <v>10.104999999999999</v>
      </c>
      <c r="J344">
        <f t="shared" si="73"/>
        <v>10.00675</v>
      </c>
      <c r="L344">
        <f t="shared" si="74"/>
        <v>1</v>
      </c>
      <c r="M344">
        <f t="shared" si="75"/>
        <v>0</v>
      </c>
      <c r="O344">
        <f t="shared" si="76"/>
        <v>9.5999999999998309E-2</v>
      </c>
      <c r="P344">
        <f t="shared" si="77"/>
        <v>0</v>
      </c>
      <c r="R344">
        <f t="shared" si="78"/>
        <v>7.1699999999999695E-2</v>
      </c>
      <c r="S344">
        <f t="shared" si="79"/>
        <v>0.13350000000000017</v>
      </c>
      <c r="U344">
        <f t="shared" si="80"/>
        <v>34.941520467836128</v>
      </c>
      <c r="AH344">
        <f t="shared" si="81"/>
        <v>0.8698321126852564</v>
      </c>
      <c r="AI344">
        <f t="shared" si="82"/>
        <v>7.5271660729495542</v>
      </c>
      <c r="AJ344">
        <f t="shared" si="83"/>
        <v>12.682833927050442</v>
      </c>
      <c r="AL344" s="6">
        <f t="shared" si="84"/>
        <v>11.844664225370511</v>
      </c>
      <c r="AM344">
        <f t="shared" si="85"/>
        <v>8.3653357746294859</v>
      </c>
    </row>
    <row r="345" spans="1:39" ht="16.5" x14ac:dyDescent="0.25">
      <c r="A345" s="1">
        <v>45204</v>
      </c>
      <c r="B345" s="5">
        <v>9.9489999999999998</v>
      </c>
      <c r="C345" s="4">
        <v>9.98</v>
      </c>
      <c r="D345" s="4">
        <v>10.012</v>
      </c>
      <c r="E345" s="4">
        <v>9.8149999999999995</v>
      </c>
      <c r="F345" s="4" t="s">
        <v>1175</v>
      </c>
      <c r="G345" s="2" t="s">
        <v>390</v>
      </c>
      <c r="I345">
        <f t="shared" si="72"/>
        <v>10.084</v>
      </c>
      <c r="J345">
        <f t="shared" si="73"/>
        <v>10.003475000000002</v>
      </c>
      <c r="L345">
        <f t="shared" si="74"/>
        <v>0</v>
      </c>
      <c r="M345">
        <f t="shared" si="75"/>
        <v>1</v>
      </c>
      <c r="O345">
        <f t="shared" si="76"/>
        <v>0</v>
      </c>
      <c r="P345">
        <f t="shared" si="77"/>
        <v>3.1000000000000583E-2</v>
      </c>
      <c r="R345">
        <f t="shared" si="78"/>
        <v>6.8999999999999853E-2</v>
      </c>
      <c r="S345">
        <f t="shared" si="79"/>
        <v>0.15040000000000014</v>
      </c>
      <c r="U345">
        <f t="shared" si="80"/>
        <v>31.449407474931562</v>
      </c>
      <c r="AH345">
        <f t="shared" si="81"/>
        <v>0.87207707239735488</v>
      </c>
      <c r="AI345">
        <f t="shared" si="82"/>
        <v>7.5061660729495552</v>
      </c>
      <c r="AJ345">
        <f t="shared" si="83"/>
        <v>12.661833927050445</v>
      </c>
      <c r="AL345" s="6">
        <f t="shared" si="84"/>
        <v>11.828154144794709</v>
      </c>
      <c r="AM345">
        <f t="shared" si="85"/>
        <v>8.3398458552052901</v>
      </c>
    </row>
    <row r="346" spans="1:39" ht="16.5" x14ac:dyDescent="0.25">
      <c r="A346" s="1">
        <v>45203</v>
      </c>
      <c r="B346" s="5">
        <v>9.9190000000000005</v>
      </c>
      <c r="C346" s="4">
        <v>9.7880000000000003</v>
      </c>
      <c r="D346" s="4">
        <v>9.9789999999999992</v>
      </c>
      <c r="E346" s="4">
        <v>9.6080000000000005</v>
      </c>
      <c r="F346" s="4" t="s">
        <v>1176</v>
      </c>
      <c r="G346" s="2" t="s">
        <v>121</v>
      </c>
      <c r="I346">
        <f t="shared" si="72"/>
        <v>10.06575</v>
      </c>
      <c r="J346">
        <f t="shared" si="73"/>
        <v>10.005050000000001</v>
      </c>
      <c r="L346">
        <f t="shared" si="74"/>
        <v>1</v>
      </c>
      <c r="M346">
        <f t="shared" si="75"/>
        <v>0</v>
      </c>
      <c r="O346">
        <f t="shared" si="76"/>
        <v>0.13100000000000023</v>
      </c>
      <c r="P346">
        <f t="shared" si="77"/>
        <v>0</v>
      </c>
      <c r="R346">
        <f t="shared" si="78"/>
        <v>6.8999999999999853E-2</v>
      </c>
      <c r="S346">
        <f t="shared" si="79"/>
        <v>0.1661999999999999</v>
      </c>
      <c r="U346">
        <f t="shared" si="80"/>
        <v>29.336734693877517</v>
      </c>
      <c r="AH346">
        <f t="shared" si="81"/>
        <v>0.87431571718269629</v>
      </c>
      <c r="AI346">
        <f t="shared" si="82"/>
        <v>7.4879160729495551</v>
      </c>
      <c r="AJ346">
        <f t="shared" si="83"/>
        <v>12.643583927050443</v>
      </c>
      <c r="AL346" s="6">
        <f t="shared" si="84"/>
        <v>11.814381434365393</v>
      </c>
      <c r="AM346">
        <f t="shared" si="85"/>
        <v>8.3171185656346065</v>
      </c>
    </row>
    <row r="347" spans="1:39" ht="16.5" x14ac:dyDescent="0.25">
      <c r="A347" s="1">
        <v>45202</v>
      </c>
      <c r="B347" s="5">
        <v>9.9309999999999992</v>
      </c>
      <c r="C347" s="4">
        <v>10.039999999999999</v>
      </c>
      <c r="D347" s="4">
        <v>10.162000000000001</v>
      </c>
      <c r="E347" s="4">
        <v>9.8889999999999993</v>
      </c>
      <c r="F347" s="4" t="s">
        <v>1177</v>
      </c>
      <c r="G347" s="2" t="s">
        <v>1178</v>
      </c>
      <c r="I347">
        <f t="shared" si="72"/>
        <v>10.048350000000001</v>
      </c>
      <c r="J347">
        <f t="shared" si="73"/>
        <v>10.003725000000001</v>
      </c>
      <c r="L347">
        <f t="shared" si="74"/>
        <v>0</v>
      </c>
      <c r="M347">
        <f t="shared" si="75"/>
        <v>1</v>
      </c>
      <c r="O347">
        <f t="shared" si="76"/>
        <v>0</v>
      </c>
      <c r="P347">
        <f t="shared" si="77"/>
        <v>0.10899999999999999</v>
      </c>
      <c r="R347">
        <f t="shared" si="78"/>
        <v>7.2222222222222063E-2</v>
      </c>
      <c r="S347">
        <f t="shared" si="79"/>
        <v>0.1661999999999999</v>
      </c>
      <c r="U347">
        <f t="shared" si="80"/>
        <v>30.291732687109672</v>
      </c>
      <c r="AH347">
        <f t="shared" si="81"/>
        <v>0.87654858182533479</v>
      </c>
      <c r="AI347">
        <f t="shared" si="82"/>
        <v>7.4705160729495566</v>
      </c>
      <c r="AJ347">
        <f t="shared" si="83"/>
        <v>12.626183927050445</v>
      </c>
      <c r="AL347" s="6">
        <f t="shared" si="84"/>
        <v>11.801447163650671</v>
      </c>
      <c r="AM347">
        <f t="shared" si="85"/>
        <v>8.2952528363493307</v>
      </c>
    </row>
    <row r="348" spans="1:39" ht="16.5" x14ac:dyDescent="0.25">
      <c r="A348" s="1">
        <v>45201</v>
      </c>
      <c r="B348" s="5">
        <v>10.116</v>
      </c>
      <c r="C348" s="4">
        <v>10.464</v>
      </c>
      <c r="D348" s="4">
        <v>10.5</v>
      </c>
      <c r="E348" s="4">
        <v>10.102</v>
      </c>
      <c r="F348" s="4" t="s">
        <v>1179</v>
      </c>
      <c r="G348" s="2" t="s">
        <v>1180</v>
      </c>
      <c r="I348">
        <f t="shared" si="72"/>
        <v>10.039799999999998</v>
      </c>
      <c r="J348">
        <f t="shared" si="73"/>
        <v>9.9982000000000006</v>
      </c>
      <c r="L348">
        <f t="shared" si="74"/>
        <v>0</v>
      </c>
      <c r="M348">
        <f t="shared" si="75"/>
        <v>1</v>
      </c>
      <c r="O348">
        <f t="shared" si="76"/>
        <v>0</v>
      </c>
      <c r="P348">
        <f t="shared" si="77"/>
        <v>0.34800000000000075</v>
      </c>
      <c r="R348">
        <f t="shared" si="78"/>
        <v>9.2599999999999835E-2</v>
      </c>
      <c r="S348">
        <f t="shared" si="79"/>
        <v>0.18049999999999988</v>
      </c>
      <c r="U348">
        <f t="shared" si="80"/>
        <v>33.906993775173902</v>
      </c>
      <c r="AH348">
        <f t="shared" si="81"/>
        <v>0.87877445022924372</v>
      </c>
      <c r="AI348">
        <f t="shared" si="82"/>
        <v>7.4619660729495534</v>
      </c>
      <c r="AJ348">
        <f t="shared" si="83"/>
        <v>12.617633927050441</v>
      </c>
      <c r="AL348" s="6">
        <f t="shared" si="84"/>
        <v>11.797348900458486</v>
      </c>
      <c r="AM348">
        <f t="shared" si="85"/>
        <v>8.2822510995415097</v>
      </c>
    </row>
    <row r="349" spans="1:39" ht="16.5" x14ac:dyDescent="0.25">
      <c r="A349" s="1">
        <v>45198</v>
      </c>
      <c r="B349" s="5">
        <v>10.45</v>
      </c>
      <c r="C349" s="4">
        <v>10.41</v>
      </c>
      <c r="D349" s="4">
        <v>10.555999999999999</v>
      </c>
      <c r="E349" s="4">
        <v>10.391999999999999</v>
      </c>
      <c r="F349" s="4" t="s">
        <v>1181</v>
      </c>
      <c r="G349" s="2" t="s">
        <v>825</v>
      </c>
      <c r="I349">
        <f t="shared" si="72"/>
        <v>10.036899999999999</v>
      </c>
      <c r="J349">
        <f t="shared" si="73"/>
        <v>9.9977499999999999</v>
      </c>
      <c r="L349">
        <f t="shared" si="74"/>
        <v>1</v>
      </c>
      <c r="M349">
        <f t="shared" si="75"/>
        <v>0</v>
      </c>
      <c r="O349">
        <f t="shared" si="76"/>
        <v>3.9999999999999147E-2</v>
      </c>
      <c r="P349">
        <f t="shared" si="77"/>
        <v>0</v>
      </c>
      <c r="R349">
        <f t="shared" si="78"/>
        <v>9.2599999999999835E-2</v>
      </c>
      <c r="S349">
        <f t="shared" si="79"/>
        <v>9.674999999999967E-2</v>
      </c>
      <c r="U349">
        <f t="shared" si="80"/>
        <v>48.904145761816785</v>
      </c>
      <c r="AH349">
        <f t="shared" si="81"/>
        <v>0.88100459984487722</v>
      </c>
      <c r="AI349">
        <f t="shared" si="82"/>
        <v>7.4590660729495548</v>
      </c>
      <c r="AJ349">
        <f t="shared" si="83"/>
        <v>12.614733927050445</v>
      </c>
      <c r="AL349" s="6">
        <f t="shared" si="84"/>
        <v>11.798909199689753</v>
      </c>
      <c r="AM349">
        <f t="shared" si="85"/>
        <v>8.2748908003102457</v>
      </c>
    </row>
    <row r="350" spans="1:39" ht="16.5" x14ac:dyDescent="0.25">
      <c r="A350" s="1">
        <v>45197</v>
      </c>
      <c r="B350" s="5">
        <v>10.382</v>
      </c>
      <c r="C350" s="4">
        <v>10.364000000000001</v>
      </c>
      <c r="D350" s="4">
        <v>10.417999999999999</v>
      </c>
      <c r="E350" s="4">
        <v>10.272</v>
      </c>
      <c r="F350" s="4" t="s">
        <v>1182</v>
      </c>
      <c r="G350" s="2" t="s">
        <v>90</v>
      </c>
      <c r="I350">
        <f t="shared" si="72"/>
        <v>10.018599999999998</v>
      </c>
      <c r="J350">
        <f t="shared" si="73"/>
        <v>9.9879500000000014</v>
      </c>
      <c r="L350">
        <f t="shared" si="74"/>
        <v>1</v>
      </c>
      <c r="M350">
        <f t="shared" si="75"/>
        <v>0</v>
      </c>
      <c r="O350">
        <f t="shared" si="76"/>
        <v>1.7999999999998906E-2</v>
      </c>
      <c r="P350">
        <f t="shared" si="77"/>
        <v>0</v>
      </c>
      <c r="R350">
        <f t="shared" si="78"/>
        <v>0.10029999999999983</v>
      </c>
      <c r="S350">
        <f t="shared" si="79"/>
        <v>9.674999999999967E-2</v>
      </c>
      <c r="U350">
        <f t="shared" si="80"/>
        <v>50.900786602385217</v>
      </c>
      <c r="AH350">
        <f t="shared" si="81"/>
        <v>0.88324724484757788</v>
      </c>
      <c r="AI350">
        <f t="shared" si="82"/>
        <v>7.4407660729495531</v>
      </c>
      <c r="AJ350">
        <f t="shared" si="83"/>
        <v>12.596433927050441</v>
      </c>
      <c r="AL350" s="6">
        <f t="shared" si="84"/>
        <v>11.785094489695153</v>
      </c>
      <c r="AM350">
        <f t="shared" si="85"/>
        <v>8.2521055103048422</v>
      </c>
    </row>
    <row r="351" spans="1:39" ht="16.5" x14ac:dyDescent="0.25">
      <c r="A351" s="1">
        <v>45196</v>
      </c>
      <c r="B351" s="5">
        <v>10.342000000000001</v>
      </c>
      <c r="C351" s="4">
        <v>10.087999999999999</v>
      </c>
      <c r="D351" s="4">
        <v>10.484</v>
      </c>
      <c r="E351" s="4">
        <v>10.087999999999999</v>
      </c>
      <c r="F351" s="4" t="s">
        <v>1183</v>
      </c>
      <c r="G351" s="2" t="s">
        <v>1184</v>
      </c>
      <c r="I351">
        <f t="shared" si="72"/>
        <v>10.002099999999999</v>
      </c>
      <c r="J351">
        <f t="shared" si="73"/>
        <v>9.9779999999999998</v>
      </c>
      <c r="L351">
        <f t="shared" si="74"/>
        <v>1</v>
      </c>
      <c r="M351">
        <f t="shared" si="75"/>
        <v>0</v>
      </c>
      <c r="O351">
        <f t="shared" si="76"/>
        <v>0.25400000000000134</v>
      </c>
      <c r="P351">
        <f t="shared" si="77"/>
        <v>0</v>
      </c>
      <c r="R351">
        <f t="shared" si="78"/>
        <v>0.10439999999999987</v>
      </c>
      <c r="S351">
        <f t="shared" si="79"/>
        <v>9.674999999999967E-2</v>
      </c>
      <c r="U351">
        <f t="shared" si="80"/>
        <v>51.901565995525779</v>
      </c>
      <c r="AH351">
        <f t="shared" si="81"/>
        <v>0.88547753374818294</v>
      </c>
      <c r="AI351">
        <f t="shared" si="82"/>
        <v>7.4242660729495542</v>
      </c>
      <c r="AJ351">
        <f t="shared" si="83"/>
        <v>12.579933927050444</v>
      </c>
      <c r="AL351" s="6">
        <f t="shared" si="84"/>
        <v>11.773055067496365</v>
      </c>
      <c r="AM351">
        <f t="shared" si="85"/>
        <v>8.2311449325036321</v>
      </c>
    </row>
    <row r="352" spans="1:39" ht="16.5" x14ac:dyDescent="0.25">
      <c r="A352" s="1">
        <v>45195</v>
      </c>
      <c r="B352" s="5">
        <v>10.098000000000001</v>
      </c>
      <c r="C352" s="4">
        <v>10.054</v>
      </c>
      <c r="D352" s="4">
        <v>10.116</v>
      </c>
      <c r="E352" s="4">
        <v>9.8640000000000008</v>
      </c>
      <c r="F352" s="4" t="s">
        <v>1185</v>
      </c>
      <c r="G352" s="2" t="s">
        <v>26</v>
      </c>
      <c r="I352">
        <f t="shared" si="72"/>
        <v>9.9944999999999986</v>
      </c>
      <c r="J352">
        <f t="shared" si="73"/>
        <v>9.9639499999999988</v>
      </c>
      <c r="L352">
        <f t="shared" si="74"/>
        <v>1</v>
      </c>
      <c r="M352">
        <f t="shared" si="75"/>
        <v>0</v>
      </c>
      <c r="O352">
        <f t="shared" si="76"/>
        <v>4.4000000000000483E-2</v>
      </c>
      <c r="P352">
        <f t="shared" si="77"/>
        <v>0</v>
      </c>
      <c r="R352">
        <f t="shared" si="78"/>
        <v>8.3899999999999683E-2</v>
      </c>
      <c r="S352">
        <f t="shared" si="79"/>
        <v>9.674999999999967E-2</v>
      </c>
      <c r="U352">
        <f t="shared" si="80"/>
        <v>46.443398837531127</v>
      </c>
      <c r="AH352">
        <f t="shared" si="81"/>
        <v>0.88769601804894216</v>
      </c>
      <c r="AI352">
        <f t="shared" si="82"/>
        <v>7.4166660729495542</v>
      </c>
      <c r="AJ352">
        <f t="shared" si="83"/>
        <v>12.572333927050444</v>
      </c>
      <c r="AL352" s="6">
        <f t="shared" si="84"/>
        <v>11.769892036097882</v>
      </c>
      <c r="AM352">
        <f t="shared" si="85"/>
        <v>8.2191079639021147</v>
      </c>
    </row>
    <row r="353" spans="1:39" ht="16.5" x14ac:dyDescent="0.25">
      <c r="A353" s="1">
        <v>45194</v>
      </c>
      <c r="B353" s="5">
        <v>10.044</v>
      </c>
      <c r="C353" s="4">
        <v>10.09</v>
      </c>
      <c r="D353" s="4">
        <v>10.220000000000001</v>
      </c>
      <c r="E353" s="4">
        <v>9.9860000000000007</v>
      </c>
      <c r="F353" s="4" t="s">
        <v>1186</v>
      </c>
      <c r="G353" s="2" t="s">
        <v>327</v>
      </c>
      <c r="I353">
        <f t="shared" si="72"/>
        <v>10.0031</v>
      </c>
      <c r="J353">
        <f t="shared" si="73"/>
        <v>9.9617499999999986</v>
      </c>
      <c r="L353">
        <f t="shared" si="74"/>
        <v>0</v>
      </c>
      <c r="M353">
        <f t="shared" si="75"/>
        <v>1</v>
      </c>
      <c r="O353">
        <f t="shared" si="76"/>
        <v>0</v>
      </c>
      <c r="P353">
        <f t="shared" si="77"/>
        <v>4.5999999999999375E-2</v>
      </c>
      <c r="R353">
        <f t="shared" si="78"/>
        <v>8.8333333333332931E-2</v>
      </c>
      <c r="S353">
        <f t="shared" si="79"/>
        <v>9.9999999999999645E-2</v>
      </c>
      <c r="U353">
        <f t="shared" si="80"/>
        <v>46.902654867256608</v>
      </c>
      <c r="AH353">
        <f t="shared" si="81"/>
        <v>0.88991712538855516</v>
      </c>
      <c r="AI353">
        <f t="shared" si="82"/>
        <v>7.4252660729495554</v>
      </c>
      <c r="AJ353">
        <f t="shared" si="83"/>
        <v>12.580933927050445</v>
      </c>
      <c r="AL353" s="6">
        <f t="shared" si="84"/>
        <v>11.78293425077711</v>
      </c>
      <c r="AM353">
        <f t="shared" si="85"/>
        <v>8.2232657492228896</v>
      </c>
    </row>
    <row r="354" spans="1:39" ht="16.5" x14ac:dyDescent="0.25">
      <c r="A354" s="1">
        <v>45191</v>
      </c>
      <c r="B354" s="5">
        <v>10.112</v>
      </c>
      <c r="C354" s="4">
        <v>10.08</v>
      </c>
      <c r="D354" s="4">
        <v>10.234</v>
      </c>
      <c r="E354" s="4">
        <v>10.044</v>
      </c>
      <c r="F354" s="4" t="s">
        <v>1187</v>
      </c>
      <c r="G354" s="2" t="s">
        <v>1024</v>
      </c>
      <c r="I354">
        <f t="shared" si="72"/>
        <v>10.0075</v>
      </c>
      <c r="J354">
        <f t="shared" si="73"/>
        <v>9.9626499999999982</v>
      </c>
      <c r="L354">
        <f t="shared" si="74"/>
        <v>1</v>
      </c>
      <c r="M354">
        <f t="shared" si="75"/>
        <v>0</v>
      </c>
      <c r="O354">
        <f t="shared" si="76"/>
        <v>3.2000000000000028E-2</v>
      </c>
      <c r="P354">
        <f t="shared" si="77"/>
        <v>0</v>
      </c>
      <c r="R354">
        <f t="shared" si="78"/>
        <v>8.8333333333332931E-2</v>
      </c>
      <c r="S354">
        <f t="shared" si="79"/>
        <v>0.13719999999999999</v>
      </c>
      <c r="U354">
        <f t="shared" si="80"/>
        <v>39.166420336978902</v>
      </c>
      <c r="AH354">
        <f t="shared" si="81"/>
        <v>0.89217047074173617</v>
      </c>
      <c r="AI354">
        <f t="shared" si="82"/>
        <v>7.4296660729495558</v>
      </c>
      <c r="AJ354">
        <f t="shared" si="83"/>
        <v>12.585333927050446</v>
      </c>
      <c r="AL354" s="6">
        <f t="shared" si="84"/>
        <v>11.791840941483473</v>
      </c>
      <c r="AM354">
        <f t="shared" si="85"/>
        <v>8.2231590585165275</v>
      </c>
    </row>
    <row r="355" spans="1:39" ht="16.5" x14ac:dyDescent="0.25">
      <c r="A355" s="1">
        <v>45190</v>
      </c>
      <c r="B355" s="5">
        <v>10.092000000000001</v>
      </c>
      <c r="C355" s="4">
        <v>10.050000000000001</v>
      </c>
      <c r="D355" s="4">
        <v>10.11</v>
      </c>
      <c r="E355" s="4">
        <v>9.9510000000000005</v>
      </c>
      <c r="F355" s="4" t="s">
        <v>1170</v>
      </c>
      <c r="G355" s="2" t="s">
        <v>313</v>
      </c>
      <c r="I355">
        <f t="shared" si="72"/>
        <v>9.9967000000000006</v>
      </c>
      <c r="J355">
        <f t="shared" si="73"/>
        <v>9.96265</v>
      </c>
      <c r="L355">
        <f t="shared" si="74"/>
        <v>1</v>
      </c>
      <c r="M355">
        <f t="shared" si="75"/>
        <v>0</v>
      </c>
      <c r="O355">
        <f t="shared" si="76"/>
        <v>4.1999999999999815E-2</v>
      </c>
      <c r="P355">
        <f t="shared" si="77"/>
        <v>0</v>
      </c>
      <c r="R355">
        <f t="shared" si="78"/>
        <v>9.5374999999999543E-2</v>
      </c>
      <c r="S355">
        <f t="shared" si="79"/>
        <v>0.12800000000000011</v>
      </c>
      <c r="U355">
        <f t="shared" si="80"/>
        <v>42.697257974258399</v>
      </c>
      <c r="AH355">
        <f t="shared" si="81"/>
        <v>0.89444870418272393</v>
      </c>
      <c r="AI355">
        <f t="shared" si="82"/>
        <v>7.4188660729495561</v>
      </c>
      <c r="AJ355">
        <f t="shared" si="83"/>
        <v>12.574533927050446</v>
      </c>
      <c r="AL355" s="6">
        <f t="shared" si="84"/>
        <v>11.785597408365449</v>
      </c>
      <c r="AM355">
        <f t="shared" si="85"/>
        <v>8.2078025916345521</v>
      </c>
    </row>
    <row r="356" spans="1:39" ht="16.5" x14ac:dyDescent="0.25">
      <c r="A356" s="1">
        <v>45189</v>
      </c>
      <c r="B356" s="5">
        <v>10.15</v>
      </c>
      <c r="C356" s="4">
        <v>10.098000000000001</v>
      </c>
      <c r="D356" s="4">
        <v>10.178000000000001</v>
      </c>
      <c r="E356" s="4">
        <v>10.058</v>
      </c>
      <c r="F356" s="4" t="s">
        <v>968</v>
      </c>
      <c r="G356" s="2" t="s">
        <v>1188</v>
      </c>
      <c r="I356">
        <f t="shared" si="72"/>
        <v>9.9884000000000022</v>
      </c>
      <c r="J356">
        <f t="shared" si="73"/>
        <v>9.9652999999999974</v>
      </c>
      <c r="L356">
        <f t="shared" si="74"/>
        <v>1</v>
      </c>
      <c r="M356">
        <f t="shared" si="75"/>
        <v>0</v>
      </c>
      <c r="O356">
        <f t="shared" si="76"/>
        <v>5.1999999999999602E-2</v>
      </c>
      <c r="P356">
        <f t="shared" si="77"/>
        <v>0</v>
      </c>
      <c r="R356">
        <f t="shared" si="78"/>
        <v>0.10299999999999951</v>
      </c>
      <c r="S356">
        <f t="shared" si="79"/>
        <v>0.11000000000000019</v>
      </c>
      <c r="U356">
        <f t="shared" si="80"/>
        <v>48.356807511736925</v>
      </c>
      <c r="AH356">
        <f t="shared" si="81"/>
        <v>0.89672425077641471</v>
      </c>
      <c r="AI356">
        <f t="shared" si="82"/>
        <v>7.4105660729495577</v>
      </c>
      <c r="AJ356">
        <f t="shared" si="83"/>
        <v>12.566233927050448</v>
      </c>
      <c r="AL356" s="6">
        <f t="shared" si="84"/>
        <v>11.781848501552831</v>
      </c>
      <c r="AM356">
        <f t="shared" si="85"/>
        <v>8.194951498447173</v>
      </c>
    </row>
    <row r="357" spans="1:39" ht="16.5" x14ac:dyDescent="0.25">
      <c r="A357" s="1">
        <v>45188</v>
      </c>
      <c r="B357" s="5">
        <v>10.052</v>
      </c>
      <c r="C357" s="4">
        <v>10.044</v>
      </c>
      <c r="D357" s="4">
        <v>10.138</v>
      </c>
      <c r="E357" s="4">
        <v>9.9819999999999993</v>
      </c>
      <c r="F357" s="4" t="s">
        <v>1189</v>
      </c>
      <c r="G357" s="2" t="s">
        <v>231</v>
      </c>
      <c r="I357">
        <f t="shared" si="72"/>
        <v>9.97255</v>
      </c>
      <c r="J357">
        <f t="shared" si="73"/>
        <v>9.9752999999999972</v>
      </c>
      <c r="L357">
        <f t="shared" si="74"/>
        <v>1</v>
      </c>
      <c r="M357">
        <f t="shared" si="75"/>
        <v>0</v>
      </c>
      <c r="O357">
        <f t="shared" si="76"/>
        <v>7.9999999999991189E-3</v>
      </c>
      <c r="P357">
        <f t="shared" si="77"/>
        <v>0</v>
      </c>
      <c r="R357">
        <f t="shared" si="78"/>
        <v>0.11149999999999949</v>
      </c>
      <c r="S357">
        <f t="shared" si="79"/>
        <v>0.11475000000000013</v>
      </c>
      <c r="U357">
        <f t="shared" si="80"/>
        <v>49.281767955800959</v>
      </c>
      <c r="AH357">
        <f t="shared" si="81"/>
        <v>0.8990009407192403</v>
      </c>
      <c r="AI357">
        <f t="shared" si="82"/>
        <v>7.3947160729495556</v>
      </c>
      <c r="AJ357">
        <f t="shared" si="83"/>
        <v>12.550383927050444</v>
      </c>
      <c r="AL357" s="6">
        <f t="shared" si="84"/>
        <v>11.770551881438481</v>
      </c>
      <c r="AM357">
        <f t="shared" si="85"/>
        <v>8.1745481185615194</v>
      </c>
    </row>
    <row r="358" spans="1:39" ht="16.5" x14ac:dyDescent="0.25">
      <c r="A358" s="1">
        <v>45187</v>
      </c>
      <c r="B358" s="5">
        <v>10.054</v>
      </c>
      <c r="C358" s="4">
        <v>10.272</v>
      </c>
      <c r="D358" s="4">
        <v>10.32</v>
      </c>
      <c r="E358" s="4">
        <v>10.022</v>
      </c>
      <c r="F358" s="4" t="s">
        <v>1190</v>
      </c>
      <c r="G358" s="2" t="s">
        <v>986</v>
      </c>
      <c r="I358">
        <f t="shared" si="72"/>
        <v>9.961050000000002</v>
      </c>
      <c r="J358">
        <f t="shared" si="73"/>
        <v>9.9841999999999977</v>
      </c>
      <c r="L358">
        <f t="shared" si="74"/>
        <v>0</v>
      </c>
      <c r="M358">
        <f t="shared" si="75"/>
        <v>1</v>
      </c>
      <c r="O358">
        <f t="shared" si="76"/>
        <v>0</v>
      </c>
      <c r="P358">
        <f t="shared" si="77"/>
        <v>0.21799999999999997</v>
      </c>
      <c r="R358">
        <f t="shared" si="78"/>
        <v>0.13219999999999957</v>
      </c>
      <c r="S358">
        <f t="shared" si="79"/>
        <v>0.1120000000000001</v>
      </c>
      <c r="U358">
        <f t="shared" si="80"/>
        <v>54.135954135954037</v>
      </c>
      <c r="AH358">
        <f t="shared" si="81"/>
        <v>0.90126264584354809</v>
      </c>
      <c r="AI358">
        <f t="shared" si="82"/>
        <v>7.3832160729495575</v>
      </c>
      <c r="AJ358">
        <f t="shared" si="83"/>
        <v>12.538883927050446</v>
      </c>
      <c r="AL358" s="6">
        <f t="shared" si="84"/>
        <v>11.763575291687099</v>
      </c>
      <c r="AM358">
        <f t="shared" si="85"/>
        <v>8.1585247083129051</v>
      </c>
    </row>
    <row r="359" spans="1:39" ht="16.5" x14ac:dyDescent="0.25">
      <c r="A359" s="1">
        <v>45184</v>
      </c>
      <c r="B359" s="5">
        <v>10.25</v>
      </c>
      <c r="C359" s="4">
        <v>10.36</v>
      </c>
      <c r="D359" s="4">
        <v>10.396000000000001</v>
      </c>
      <c r="E359" s="4">
        <v>10.214</v>
      </c>
      <c r="F359" s="4" t="s">
        <v>1191</v>
      </c>
      <c r="G359" s="2" t="s">
        <v>370</v>
      </c>
      <c r="I359">
        <f t="shared" si="72"/>
        <v>9.9481999999999999</v>
      </c>
      <c r="J359">
        <f t="shared" si="73"/>
        <v>9.9896999999999974</v>
      </c>
      <c r="L359">
        <f t="shared" si="74"/>
        <v>0</v>
      </c>
      <c r="M359">
        <f t="shared" si="75"/>
        <v>1</v>
      </c>
      <c r="O359">
        <f t="shared" si="76"/>
        <v>0</v>
      </c>
      <c r="P359">
        <f t="shared" si="77"/>
        <v>0.10999999999999943</v>
      </c>
      <c r="R359">
        <f t="shared" si="78"/>
        <v>0.12549999999999942</v>
      </c>
      <c r="S359">
        <f t="shared" si="79"/>
        <v>9.8750000000000115E-2</v>
      </c>
      <c r="U359">
        <f t="shared" si="80"/>
        <v>55.964325529542776</v>
      </c>
      <c r="AH359">
        <f t="shared" si="81"/>
        <v>0.90351655224526972</v>
      </c>
      <c r="AI359">
        <f t="shared" si="82"/>
        <v>7.3703660729495555</v>
      </c>
      <c r="AJ359">
        <f t="shared" si="83"/>
        <v>12.526033927050445</v>
      </c>
      <c r="AL359" s="6">
        <f t="shared" si="84"/>
        <v>11.755233104490539</v>
      </c>
      <c r="AM359">
        <f t="shared" si="85"/>
        <v>8.1411668955094605</v>
      </c>
    </row>
    <row r="360" spans="1:39" ht="16.5" x14ac:dyDescent="0.25">
      <c r="A360" s="1">
        <v>45183</v>
      </c>
      <c r="B360" s="5">
        <v>10.298</v>
      </c>
      <c r="C360" s="4">
        <v>10.138</v>
      </c>
      <c r="D360" s="4">
        <v>10.353999999999999</v>
      </c>
      <c r="E360" s="4">
        <v>10.042</v>
      </c>
      <c r="F360" s="4" t="s">
        <v>1192</v>
      </c>
      <c r="G360" s="2" t="s">
        <v>247</v>
      </c>
      <c r="I360">
        <f t="shared" si="72"/>
        <v>9.9291999999999998</v>
      </c>
      <c r="J360">
        <f t="shared" si="73"/>
        <v>9.9883999999999968</v>
      </c>
      <c r="L360">
        <f t="shared" si="74"/>
        <v>1</v>
      </c>
      <c r="M360">
        <f t="shared" si="75"/>
        <v>0</v>
      </c>
      <c r="O360">
        <f t="shared" si="76"/>
        <v>0.16000000000000014</v>
      </c>
      <c r="P360">
        <f t="shared" si="77"/>
        <v>0</v>
      </c>
      <c r="R360">
        <f t="shared" si="78"/>
        <v>0.13142857142857092</v>
      </c>
      <c r="S360">
        <f t="shared" si="79"/>
        <v>9.714285714285735E-2</v>
      </c>
      <c r="U360">
        <f t="shared" si="80"/>
        <v>57.499999999999851</v>
      </c>
      <c r="AH360">
        <f t="shared" si="81"/>
        <v>0.90575826634553624</v>
      </c>
      <c r="AI360">
        <f t="shared" si="82"/>
        <v>7.3513660729495554</v>
      </c>
      <c r="AJ360">
        <f t="shared" si="83"/>
        <v>12.507033927050443</v>
      </c>
      <c r="AL360" s="6">
        <f t="shared" si="84"/>
        <v>11.740716532691073</v>
      </c>
      <c r="AM360">
        <f t="shared" si="85"/>
        <v>8.1176834673089271</v>
      </c>
    </row>
    <row r="361" spans="1:39" ht="16.5" x14ac:dyDescent="0.25">
      <c r="A361" s="1">
        <v>45182</v>
      </c>
      <c r="B361" s="5">
        <v>10.116</v>
      </c>
      <c r="C361" s="4">
        <v>9.84</v>
      </c>
      <c r="D361" s="4">
        <v>10.128</v>
      </c>
      <c r="E361" s="4">
        <v>9.8219999999999992</v>
      </c>
      <c r="F361" s="4" t="s">
        <v>1125</v>
      </c>
      <c r="G361" s="2" t="s">
        <v>1193</v>
      </c>
      <c r="I361">
        <f t="shared" si="72"/>
        <v>9.9097999999999971</v>
      </c>
      <c r="J361">
        <f t="shared" si="73"/>
        <v>9.9839499999999965</v>
      </c>
      <c r="L361">
        <f t="shared" si="74"/>
        <v>1</v>
      </c>
      <c r="M361">
        <f t="shared" si="75"/>
        <v>0</v>
      </c>
      <c r="O361">
        <f t="shared" si="76"/>
        <v>0.2759999999999998</v>
      </c>
      <c r="P361">
        <f t="shared" si="77"/>
        <v>0</v>
      </c>
      <c r="R361">
        <f t="shared" si="78"/>
        <v>0.12666666666666604</v>
      </c>
      <c r="S361">
        <f t="shared" si="79"/>
        <v>9.1749999999999998E-2</v>
      </c>
      <c r="U361">
        <f t="shared" si="80"/>
        <v>57.993132392216594</v>
      </c>
      <c r="AH361">
        <f t="shared" si="81"/>
        <v>0.90797138323877824</v>
      </c>
      <c r="AI361">
        <f t="shared" si="82"/>
        <v>7.3319660729495526</v>
      </c>
      <c r="AJ361">
        <f t="shared" si="83"/>
        <v>12.487633927050442</v>
      </c>
      <c r="AL361" s="6">
        <f t="shared" si="84"/>
        <v>11.725742766477554</v>
      </c>
      <c r="AM361">
        <f t="shared" si="85"/>
        <v>8.0938572335224404</v>
      </c>
    </row>
    <row r="362" spans="1:39" ht="16.5" x14ac:dyDescent="0.25">
      <c r="A362" s="1">
        <v>45181</v>
      </c>
      <c r="B362" s="5">
        <v>9.8360000000000003</v>
      </c>
      <c r="C362" s="4">
        <v>9.8490000000000002</v>
      </c>
      <c r="D362" s="4">
        <v>9.8989999999999991</v>
      </c>
      <c r="E362" s="4">
        <v>9.7759999999999998</v>
      </c>
      <c r="F362" s="4" t="s">
        <v>807</v>
      </c>
      <c r="G362" s="2" t="s">
        <v>458</v>
      </c>
      <c r="I362">
        <f t="shared" si="72"/>
        <v>9.8973499999999994</v>
      </c>
      <c r="J362">
        <f t="shared" si="73"/>
        <v>9.9823999999999966</v>
      </c>
      <c r="L362">
        <f t="shared" si="74"/>
        <v>0</v>
      </c>
      <c r="M362">
        <f t="shared" si="75"/>
        <v>1</v>
      </c>
      <c r="O362">
        <f t="shared" si="76"/>
        <v>0</v>
      </c>
      <c r="P362">
        <f t="shared" si="77"/>
        <v>1.2999999999999901E-2</v>
      </c>
      <c r="R362">
        <f t="shared" si="78"/>
        <v>9.6799999999999289E-2</v>
      </c>
      <c r="S362">
        <f t="shared" si="79"/>
        <v>8.1999999999999948E-2</v>
      </c>
      <c r="U362">
        <f t="shared" si="80"/>
        <v>54.138702460849949</v>
      </c>
      <c r="AH362">
        <f t="shared" si="81"/>
        <v>0.91015143684273481</v>
      </c>
      <c r="AI362">
        <f t="shared" si="82"/>
        <v>7.319516072949555</v>
      </c>
      <c r="AJ362">
        <f t="shared" si="83"/>
        <v>12.475183927050445</v>
      </c>
      <c r="AL362" s="6">
        <f t="shared" si="84"/>
        <v>11.71765287368547</v>
      </c>
      <c r="AM362">
        <f t="shared" si="85"/>
        <v>8.0770471263145289</v>
      </c>
    </row>
    <row r="363" spans="1:39" ht="16.5" x14ac:dyDescent="0.25">
      <c r="A363" s="1">
        <v>45180</v>
      </c>
      <c r="B363" s="5">
        <v>9.8369999999999997</v>
      </c>
      <c r="C363" s="4">
        <v>9.7200000000000006</v>
      </c>
      <c r="D363" s="4">
        <v>9.9350000000000005</v>
      </c>
      <c r="E363" s="4">
        <v>9.7200000000000006</v>
      </c>
      <c r="F363" s="4" t="s">
        <v>1194</v>
      </c>
      <c r="G363" s="2" t="s">
        <v>1195</v>
      </c>
      <c r="I363">
        <f t="shared" si="72"/>
        <v>9.9015499999999967</v>
      </c>
      <c r="J363">
        <f t="shared" si="73"/>
        <v>9.9839499999999965</v>
      </c>
      <c r="L363">
        <f t="shared" si="74"/>
        <v>1</v>
      </c>
      <c r="M363">
        <f t="shared" si="75"/>
        <v>0</v>
      </c>
      <c r="O363">
        <f t="shared" si="76"/>
        <v>0.1169999999999991</v>
      </c>
      <c r="P363">
        <f t="shared" si="77"/>
        <v>0</v>
      </c>
      <c r="R363">
        <f t="shared" si="78"/>
        <v>9.6799999999999289E-2</v>
      </c>
      <c r="S363">
        <f t="shared" si="79"/>
        <v>8.4222222222222129E-2</v>
      </c>
      <c r="U363">
        <f t="shared" si="80"/>
        <v>53.474097716670599</v>
      </c>
      <c r="AH363">
        <f t="shared" si="81"/>
        <v>0.91231344751368293</v>
      </c>
      <c r="AI363">
        <f t="shared" si="82"/>
        <v>7.3237160729495523</v>
      </c>
      <c r="AJ363">
        <f t="shared" si="83"/>
        <v>12.479383927050442</v>
      </c>
      <c r="AL363" s="6">
        <f t="shared" si="84"/>
        <v>11.726176895027363</v>
      </c>
      <c r="AM363">
        <f t="shared" si="85"/>
        <v>8.0769231049726304</v>
      </c>
    </row>
    <row r="364" spans="1:39" ht="16.5" x14ac:dyDescent="0.25">
      <c r="A364" s="1">
        <v>45177</v>
      </c>
      <c r="B364" s="5">
        <v>9.6519999999999992</v>
      </c>
      <c r="C364" s="4">
        <v>9.593</v>
      </c>
      <c r="D364" s="4">
        <v>9.6820000000000004</v>
      </c>
      <c r="E364" s="4">
        <v>9.5310000000000006</v>
      </c>
      <c r="F364" s="4" t="s">
        <v>1196</v>
      </c>
      <c r="G364" s="2" t="s">
        <v>424</v>
      </c>
      <c r="I364">
        <f t="shared" si="72"/>
        <v>9.9085000000000001</v>
      </c>
      <c r="J364">
        <f t="shared" si="73"/>
        <v>9.9839499999999983</v>
      </c>
      <c r="L364">
        <f t="shared" si="74"/>
        <v>1</v>
      </c>
      <c r="M364">
        <f t="shared" si="75"/>
        <v>0</v>
      </c>
      <c r="O364">
        <f t="shared" si="76"/>
        <v>5.8999999999999275E-2</v>
      </c>
      <c r="P364">
        <f t="shared" si="77"/>
        <v>0</v>
      </c>
      <c r="R364">
        <f t="shared" si="78"/>
        <v>9.1749999999999332E-2</v>
      </c>
      <c r="S364">
        <f t="shared" si="79"/>
        <v>7.9299999999999926E-2</v>
      </c>
      <c r="U364">
        <f t="shared" si="80"/>
        <v>53.639286758257661</v>
      </c>
      <c r="AH364">
        <f t="shared" si="81"/>
        <v>0.91450092169513397</v>
      </c>
      <c r="AI364">
        <f t="shared" si="82"/>
        <v>7.3306660729495556</v>
      </c>
      <c r="AJ364">
        <f t="shared" si="83"/>
        <v>12.486333927050445</v>
      </c>
      <c r="AL364" s="6">
        <f t="shared" si="84"/>
        <v>11.737501843390268</v>
      </c>
      <c r="AM364">
        <f t="shared" si="85"/>
        <v>8.0794981566097324</v>
      </c>
    </row>
    <row r="365" spans="1:39" ht="16.5" x14ac:dyDescent="0.25">
      <c r="A365" s="1">
        <v>45176</v>
      </c>
      <c r="B365" s="5">
        <v>9.5839999999999996</v>
      </c>
      <c r="C365" s="4">
        <v>9.5350000000000001</v>
      </c>
      <c r="D365" s="4">
        <v>9.6539999999999999</v>
      </c>
      <c r="E365" s="4">
        <v>9.5259999999999998</v>
      </c>
      <c r="F365" s="4" t="s">
        <v>1052</v>
      </c>
      <c r="G365" s="2" t="s">
        <v>438</v>
      </c>
      <c r="I365">
        <f t="shared" si="72"/>
        <v>9.9229499999999984</v>
      </c>
      <c r="J365">
        <f t="shared" si="73"/>
        <v>9.982899999999999</v>
      </c>
      <c r="L365">
        <f t="shared" si="74"/>
        <v>1</v>
      </c>
      <c r="M365">
        <f t="shared" si="75"/>
        <v>0</v>
      </c>
      <c r="O365">
        <f t="shared" si="76"/>
        <v>4.8999999999999488E-2</v>
      </c>
      <c r="P365">
        <f t="shared" si="77"/>
        <v>0</v>
      </c>
      <c r="R365">
        <f t="shared" si="78"/>
        <v>0.10266666666666602</v>
      </c>
      <c r="S365">
        <f t="shared" si="79"/>
        <v>7.690909090909076E-2</v>
      </c>
      <c r="U365">
        <f t="shared" si="80"/>
        <v>57.171785352682981</v>
      </c>
      <c r="AH365">
        <f t="shared" si="81"/>
        <v>0.91672150180573164</v>
      </c>
      <c r="AI365">
        <f t="shared" si="82"/>
        <v>7.3451160729495539</v>
      </c>
      <c r="AJ365">
        <f t="shared" si="83"/>
        <v>12.500783927050442</v>
      </c>
      <c r="AL365" s="6">
        <f t="shared" si="84"/>
        <v>11.756393003611462</v>
      </c>
      <c r="AM365">
        <f t="shared" si="85"/>
        <v>8.0895069963885344</v>
      </c>
    </row>
    <row r="366" spans="1:39" ht="16.5" x14ac:dyDescent="0.25">
      <c r="A366" s="1">
        <v>45175</v>
      </c>
      <c r="B366" s="5">
        <v>9.5709999999999997</v>
      </c>
      <c r="C366" s="4">
        <v>9.6839999999999993</v>
      </c>
      <c r="D366" s="4">
        <v>9.7360000000000007</v>
      </c>
      <c r="E366" s="4">
        <v>9.5120000000000005</v>
      </c>
      <c r="F366" s="4" t="s">
        <v>1197</v>
      </c>
      <c r="G366" s="2" t="s">
        <v>1198</v>
      </c>
      <c r="I366">
        <f t="shared" si="72"/>
        <v>9.94435</v>
      </c>
      <c r="J366">
        <f t="shared" si="73"/>
        <v>9.9831249999999994</v>
      </c>
      <c r="L366">
        <f t="shared" si="74"/>
        <v>0</v>
      </c>
      <c r="M366">
        <f t="shared" si="75"/>
        <v>1</v>
      </c>
      <c r="O366">
        <f t="shared" si="76"/>
        <v>0</v>
      </c>
      <c r="P366">
        <f t="shared" si="77"/>
        <v>0.11299999999999955</v>
      </c>
      <c r="R366">
        <f t="shared" si="78"/>
        <v>9.6333333333332646E-2</v>
      </c>
      <c r="S366">
        <f t="shared" si="79"/>
        <v>7.690909090909076E-2</v>
      </c>
      <c r="U366">
        <f t="shared" si="80"/>
        <v>55.606087108623278</v>
      </c>
      <c r="AH366">
        <f t="shared" si="81"/>
        <v>0.91899505182696306</v>
      </c>
      <c r="AI366">
        <f t="shared" si="82"/>
        <v>7.3665160729495556</v>
      </c>
      <c r="AJ366">
        <f t="shared" si="83"/>
        <v>12.522183927050445</v>
      </c>
      <c r="AL366" s="6">
        <f t="shared" si="84"/>
        <v>11.782340103653926</v>
      </c>
      <c r="AM366">
        <f t="shared" si="85"/>
        <v>8.1063598963460741</v>
      </c>
    </row>
    <row r="367" spans="1:39" ht="16.5" x14ac:dyDescent="0.25">
      <c r="A367" s="1">
        <v>45174</v>
      </c>
      <c r="B367" s="5">
        <v>9.76</v>
      </c>
      <c r="C367" s="4">
        <v>9.9920000000000009</v>
      </c>
      <c r="D367" s="4">
        <v>9.9939999999999998</v>
      </c>
      <c r="E367" s="4">
        <v>9.7210000000000001</v>
      </c>
      <c r="F367" s="4" t="s">
        <v>1199</v>
      </c>
      <c r="G367" s="2" t="s">
        <v>371</v>
      </c>
      <c r="I367">
        <f t="shared" si="72"/>
        <v>9.9590999999999976</v>
      </c>
      <c r="J367">
        <f t="shared" si="73"/>
        <v>9.9799249999999997</v>
      </c>
      <c r="L367">
        <f t="shared" si="74"/>
        <v>0</v>
      </c>
      <c r="M367">
        <f t="shared" si="75"/>
        <v>1</v>
      </c>
      <c r="O367">
        <f t="shared" si="76"/>
        <v>0</v>
      </c>
      <c r="P367">
        <f t="shared" si="77"/>
        <v>0.23200000000000109</v>
      </c>
      <c r="R367">
        <f t="shared" si="78"/>
        <v>9.5499999999999474E-2</v>
      </c>
      <c r="S367">
        <f t="shared" si="79"/>
        <v>7.3299999999999879E-2</v>
      </c>
      <c r="U367">
        <f t="shared" si="80"/>
        <v>56.575829383886166</v>
      </c>
      <c r="AH367">
        <f t="shared" si="81"/>
        <v>0.92133867508209566</v>
      </c>
      <c r="AI367">
        <f t="shared" si="82"/>
        <v>7.3812660729495532</v>
      </c>
      <c r="AJ367">
        <f t="shared" si="83"/>
        <v>12.536933927050441</v>
      </c>
      <c r="AL367" s="6">
        <f t="shared" si="84"/>
        <v>11.801777350164189</v>
      </c>
      <c r="AM367">
        <f t="shared" si="85"/>
        <v>8.1164226498358065</v>
      </c>
    </row>
    <row r="368" spans="1:39" ht="16.5" x14ac:dyDescent="0.25">
      <c r="A368" s="1">
        <v>45173</v>
      </c>
      <c r="B368" s="5">
        <v>10.058</v>
      </c>
      <c r="C368" s="4">
        <v>10.14</v>
      </c>
      <c r="D368" s="4">
        <v>10.172000000000001</v>
      </c>
      <c r="E368" s="4">
        <v>10.028</v>
      </c>
      <c r="F368" s="4" t="s">
        <v>1200</v>
      </c>
      <c r="G368" s="2" t="s">
        <v>843</v>
      </c>
      <c r="I368">
        <f t="shared" si="72"/>
        <v>9.9565999999999981</v>
      </c>
      <c r="J368">
        <f t="shared" si="73"/>
        <v>9.9728499999999993</v>
      </c>
      <c r="L368">
        <f t="shared" si="74"/>
        <v>0</v>
      </c>
      <c r="M368">
        <f t="shared" si="75"/>
        <v>1</v>
      </c>
      <c r="O368">
        <f t="shared" si="76"/>
        <v>0</v>
      </c>
      <c r="P368">
        <f t="shared" si="77"/>
        <v>8.2000000000000739E-2</v>
      </c>
      <c r="R368">
        <f t="shared" si="78"/>
        <v>9.5499999999999474E-2</v>
      </c>
      <c r="S368">
        <f t="shared" si="79"/>
        <v>5.0299999999999657E-2</v>
      </c>
      <c r="U368">
        <f t="shared" si="80"/>
        <v>65.500685871056277</v>
      </c>
      <c r="AH368">
        <f t="shared" si="81"/>
        <v>0.92373533418925569</v>
      </c>
      <c r="AI368">
        <f t="shared" si="82"/>
        <v>7.3787660729495537</v>
      </c>
      <c r="AJ368">
        <f t="shared" si="83"/>
        <v>12.534433927050443</v>
      </c>
      <c r="AL368" s="6">
        <f t="shared" si="84"/>
        <v>11.804070668378509</v>
      </c>
      <c r="AM368">
        <f t="shared" si="85"/>
        <v>8.109129331621487</v>
      </c>
    </row>
    <row r="369" spans="1:39" ht="16.5" x14ac:dyDescent="0.25">
      <c r="A369" s="1">
        <v>45170</v>
      </c>
      <c r="B369" s="5">
        <v>10.084</v>
      </c>
      <c r="C369" s="4">
        <v>10.086</v>
      </c>
      <c r="D369" s="4">
        <v>10.132</v>
      </c>
      <c r="E369" s="4">
        <v>9.984</v>
      </c>
      <c r="F369" s="4" t="s">
        <v>1051</v>
      </c>
      <c r="G369" s="2" t="s">
        <v>245</v>
      </c>
      <c r="I369">
        <f t="shared" si="72"/>
        <v>9.9586000000000006</v>
      </c>
      <c r="J369">
        <f t="shared" si="73"/>
        <v>9.9570499999999988</v>
      </c>
      <c r="L369">
        <f t="shared" si="74"/>
        <v>0</v>
      </c>
      <c r="M369">
        <f t="shared" si="75"/>
        <v>1</v>
      </c>
      <c r="O369">
        <f t="shared" si="76"/>
        <v>0</v>
      </c>
      <c r="P369">
        <f t="shared" si="77"/>
        <v>2.0000000000006679E-3</v>
      </c>
      <c r="R369">
        <f t="shared" si="78"/>
        <v>9.5499999999999474E-2</v>
      </c>
      <c r="S369">
        <f t="shared" si="79"/>
        <v>4.8099999999999629E-2</v>
      </c>
      <c r="U369">
        <f t="shared" si="80"/>
        <v>66.504178272980553</v>
      </c>
      <c r="AH369">
        <f t="shared" si="81"/>
        <v>0.92614398837396972</v>
      </c>
      <c r="AI369">
        <f t="shared" si="82"/>
        <v>7.3807660729495561</v>
      </c>
      <c r="AJ369">
        <f t="shared" si="83"/>
        <v>12.536433927050446</v>
      </c>
      <c r="AL369" s="6">
        <f t="shared" si="84"/>
        <v>11.81088797674794</v>
      </c>
      <c r="AM369">
        <f t="shared" si="85"/>
        <v>8.1063120232520607</v>
      </c>
    </row>
    <row r="370" spans="1:39" ht="16.5" x14ac:dyDescent="0.25">
      <c r="A370" s="1">
        <v>45169</v>
      </c>
      <c r="B370" s="5">
        <v>10.052</v>
      </c>
      <c r="C370" s="4">
        <v>10.199999999999999</v>
      </c>
      <c r="D370" s="4">
        <v>10.254</v>
      </c>
      <c r="E370" s="4">
        <v>10.052</v>
      </c>
      <c r="F370" s="4" t="s">
        <v>1201</v>
      </c>
      <c r="G370" s="2" t="s">
        <v>1202</v>
      </c>
      <c r="I370">
        <f t="shared" si="72"/>
        <v>9.9573000000000018</v>
      </c>
      <c r="J370">
        <f t="shared" si="73"/>
        <v>9.9368500000000015</v>
      </c>
      <c r="L370">
        <f t="shared" si="74"/>
        <v>0</v>
      </c>
      <c r="M370">
        <f t="shared" si="75"/>
        <v>1</v>
      </c>
      <c r="O370">
        <f t="shared" si="76"/>
        <v>0</v>
      </c>
      <c r="P370">
        <f t="shared" si="77"/>
        <v>0.14799999999999969</v>
      </c>
      <c r="R370">
        <f t="shared" si="78"/>
        <v>8.199999999999967E-2</v>
      </c>
      <c r="S370">
        <f t="shared" si="79"/>
        <v>5.3222222222221741E-2</v>
      </c>
      <c r="U370">
        <f t="shared" si="80"/>
        <v>60.640920295809487</v>
      </c>
      <c r="AH370">
        <f t="shared" si="81"/>
        <v>0.9285756529301481</v>
      </c>
      <c r="AI370">
        <f t="shared" si="82"/>
        <v>7.3794660729495574</v>
      </c>
      <c r="AJ370">
        <f t="shared" si="83"/>
        <v>12.535133927050445</v>
      </c>
      <c r="AL370" s="6">
        <f t="shared" si="84"/>
        <v>11.814451305860299</v>
      </c>
      <c r="AM370">
        <f t="shared" si="85"/>
        <v>8.1001486941397047</v>
      </c>
    </row>
    <row r="371" spans="1:39" ht="16.5" x14ac:dyDescent="0.25">
      <c r="A371" s="1">
        <v>45168</v>
      </c>
      <c r="B371" s="5">
        <v>10.19</v>
      </c>
      <c r="C371" s="4">
        <v>10.28</v>
      </c>
      <c r="D371" s="4">
        <v>10.38</v>
      </c>
      <c r="E371" s="4">
        <v>10.173999999999999</v>
      </c>
      <c r="F371" s="4" t="s">
        <v>1203</v>
      </c>
      <c r="G371" s="2" t="s">
        <v>379</v>
      </c>
      <c r="I371">
        <f t="shared" si="72"/>
        <v>9.9539000000000009</v>
      </c>
      <c r="J371">
        <f t="shared" si="73"/>
        <v>9.9126000000000012</v>
      </c>
      <c r="L371">
        <f t="shared" si="74"/>
        <v>0</v>
      </c>
      <c r="M371">
        <f t="shared" si="75"/>
        <v>1</v>
      </c>
      <c r="O371">
        <f t="shared" si="76"/>
        <v>0</v>
      </c>
      <c r="P371">
        <f t="shared" si="77"/>
        <v>8.9999999999999858E-2</v>
      </c>
      <c r="R371">
        <f t="shared" si="78"/>
        <v>8.199999999999967E-2</v>
      </c>
      <c r="S371">
        <f t="shared" si="79"/>
        <v>4.3333333333332807E-2</v>
      </c>
      <c r="U371">
        <f t="shared" si="80"/>
        <v>65.42553191489381</v>
      </c>
      <c r="AH371">
        <f t="shared" si="81"/>
        <v>0.93102255325860461</v>
      </c>
      <c r="AI371">
        <f t="shared" si="82"/>
        <v>7.3760660729495564</v>
      </c>
      <c r="AJ371">
        <f t="shared" si="83"/>
        <v>12.531733927050446</v>
      </c>
      <c r="AL371" s="6">
        <f t="shared" si="84"/>
        <v>11.81594510651721</v>
      </c>
      <c r="AM371">
        <f t="shared" si="85"/>
        <v>8.0918548934827914</v>
      </c>
    </row>
    <row r="372" spans="1:39" ht="16.5" x14ac:dyDescent="0.25">
      <c r="A372" s="1">
        <v>45167</v>
      </c>
      <c r="B372" s="5">
        <v>10.27</v>
      </c>
      <c r="C372" s="4">
        <v>10.178000000000001</v>
      </c>
      <c r="D372" s="4">
        <v>10.298</v>
      </c>
      <c r="E372" s="4">
        <v>10.178000000000001</v>
      </c>
      <c r="F372" s="4" t="s">
        <v>841</v>
      </c>
      <c r="G372" s="2" t="s">
        <v>315</v>
      </c>
      <c r="I372">
        <f t="shared" si="72"/>
        <v>9.9334000000000024</v>
      </c>
      <c r="J372">
        <f t="shared" si="73"/>
        <v>9.8951999999999991</v>
      </c>
      <c r="L372">
        <f t="shared" si="74"/>
        <v>1</v>
      </c>
      <c r="M372">
        <f t="shared" si="75"/>
        <v>0</v>
      </c>
      <c r="O372">
        <f t="shared" si="76"/>
        <v>9.1999999999998749E-2</v>
      </c>
      <c r="P372">
        <f t="shared" si="77"/>
        <v>0</v>
      </c>
      <c r="R372">
        <f t="shared" si="78"/>
        <v>8.1833333333333272E-2</v>
      </c>
      <c r="S372">
        <f t="shared" si="79"/>
        <v>3.7499999999999423E-2</v>
      </c>
      <c r="U372">
        <f t="shared" si="80"/>
        <v>68.575418994413724</v>
      </c>
      <c r="AH372">
        <f t="shared" si="81"/>
        <v>0.93347953535621098</v>
      </c>
      <c r="AI372">
        <f t="shared" si="82"/>
        <v>7.355566072949558</v>
      </c>
      <c r="AJ372">
        <f t="shared" si="83"/>
        <v>12.511233927050448</v>
      </c>
      <c r="AL372" s="6">
        <f t="shared" si="84"/>
        <v>11.800359070712425</v>
      </c>
      <c r="AM372">
        <f t="shared" si="85"/>
        <v>8.0664409292875803</v>
      </c>
    </row>
    <row r="373" spans="1:39" ht="16.5" x14ac:dyDescent="0.25">
      <c r="A373" s="1">
        <v>45166</v>
      </c>
      <c r="B373" s="5">
        <v>10.132</v>
      </c>
      <c r="C373" s="4">
        <v>9.9649999999999999</v>
      </c>
      <c r="D373" s="4">
        <v>10.157999999999999</v>
      </c>
      <c r="E373" s="4">
        <v>9.9640000000000004</v>
      </c>
      <c r="F373" s="4" t="s">
        <v>1204</v>
      </c>
      <c r="G373" s="2" t="s">
        <v>1205</v>
      </c>
      <c r="I373">
        <f t="shared" si="72"/>
        <v>9.920399999999999</v>
      </c>
      <c r="J373">
        <f t="shared" si="73"/>
        <v>9.8792249999999964</v>
      </c>
      <c r="L373">
        <f t="shared" si="74"/>
        <v>1</v>
      </c>
      <c r="M373">
        <f t="shared" si="75"/>
        <v>0</v>
      </c>
      <c r="O373">
        <f t="shared" si="76"/>
        <v>0.16699999999999982</v>
      </c>
      <c r="P373">
        <f t="shared" si="77"/>
        <v>0</v>
      </c>
      <c r="R373">
        <f t="shared" si="78"/>
        <v>7.3166666666666672E-2</v>
      </c>
      <c r="S373">
        <f t="shared" si="79"/>
        <v>3.7499999999999423E-2</v>
      </c>
      <c r="U373">
        <f t="shared" si="80"/>
        <v>66.114457831325637</v>
      </c>
      <c r="AH373">
        <f t="shared" si="81"/>
        <v>0.93590166675636066</v>
      </c>
      <c r="AI373">
        <f t="shared" si="82"/>
        <v>7.3425660729495545</v>
      </c>
      <c r="AJ373">
        <f t="shared" si="83"/>
        <v>12.498233927050443</v>
      </c>
      <c r="AL373" s="6">
        <f t="shared" si="84"/>
        <v>11.79220333351272</v>
      </c>
      <c r="AM373">
        <f t="shared" si="85"/>
        <v>8.0485966664872777</v>
      </c>
    </row>
    <row r="374" spans="1:39" ht="16.5" x14ac:dyDescent="0.25">
      <c r="A374" s="1">
        <v>45163</v>
      </c>
      <c r="B374" s="5">
        <v>9.8960000000000008</v>
      </c>
      <c r="C374" s="4">
        <v>9.9499999999999993</v>
      </c>
      <c r="D374" s="4">
        <v>10.007999999999999</v>
      </c>
      <c r="E374" s="4">
        <v>9.8780000000000001</v>
      </c>
      <c r="F374" s="4" t="s">
        <v>1206</v>
      </c>
      <c r="G374" s="2" t="s">
        <v>219</v>
      </c>
      <c r="I374">
        <f t="shared" si="72"/>
        <v>9.9178000000000033</v>
      </c>
      <c r="J374">
        <f t="shared" si="73"/>
        <v>9.869175000000002</v>
      </c>
      <c r="L374">
        <f t="shared" si="74"/>
        <v>0</v>
      </c>
      <c r="M374">
        <f t="shared" si="75"/>
        <v>1</v>
      </c>
      <c r="O374">
        <f t="shared" si="76"/>
        <v>0</v>
      </c>
      <c r="P374">
        <f t="shared" si="77"/>
        <v>5.3999999999998494E-2</v>
      </c>
      <c r="R374">
        <f t="shared" si="78"/>
        <v>5.4400000000000046E-2</v>
      </c>
      <c r="S374">
        <f t="shared" si="79"/>
        <v>5.3333333333332789E-2</v>
      </c>
      <c r="U374">
        <f t="shared" si="80"/>
        <v>50.495049504950771</v>
      </c>
      <c r="AH374">
        <f t="shared" si="81"/>
        <v>0.93830582062812273</v>
      </c>
      <c r="AI374">
        <f t="shared" si="82"/>
        <v>7.3399660729495588</v>
      </c>
      <c r="AJ374">
        <f t="shared" si="83"/>
        <v>12.495633927050449</v>
      </c>
      <c r="AL374" s="6">
        <f t="shared" si="84"/>
        <v>11.794411641256248</v>
      </c>
      <c r="AM374">
        <f t="shared" si="85"/>
        <v>8.0411883587437583</v>
      </c>
    </row>
    <row r="375" spans="1:39" ht="16.5" x14ac:dyDescent="0.25">
      <c r="A375" s="1">
        <v>45162</v>
      </c>
      <c r="B375" s="5">
        <v>9.9260000000000002</v>
      </c>
      <c r="C375" s="4">
        <v>9.93</v>
      </c>
      <c r="D375" s="4">
        <v>9.9860000000000007</v>
      </c>
      <c r="E375" s="4">
        <v>9.8550000000000004</v>
      </c>
      <c r="F375" s="4" t="s">
        <v>1207</v>
      </c>
      <c r="G375" s="2" t="s">
        <v>94</v>
      </c>
      <c r="I375">
        <f t="shared" si="72"/>
        <v>9.9286000000000012</v>
      </c>
      <c r="J375">
        <f t="shared" si="73"/>
        <v>9.8622249999999987</v>
      </c>
      <c r="L375">
        <f t="shared" si="74"/>
        <v>0</v>
      </c>
      <c r="M375">
        <f t="shared" si="75"/>
        <v>1</v>
      </c>
      <c r="O375">
        <f t="shared" si="76"/>
        <v>0</v>
      </c>
      <c r="P375">
        <f t="shared" si="77"/>
        <v>3.9999999999995595E-3</v>
      </c>
      <c r="R375">
        <f t="shared" si="78"/>
        <v>5.5666666666666899E-2</v>
      </c>
      <c r="S375">
        <f t="shared" si="79"/>
        <v>5.3249999999999575E-2</v>
      </c>
      <c r="U375">
        <f t="shared" si="80"/>
        <v>51.109410864575658</v>
      </c>
      <c r="AH375">
        <f t="shared" si="81"/>
        <v>0.9407198566005518</v>
      </c>
      <c r="AI375">
        <f t="shared" si="82"/>
        <v>7.3507660729495568</v>
      </c>
      <c r="AJ375">
        <f t="shared" si="83"/>
        <v>12.506433927050445</v>
      </c>
      <c r="AL375" s="6">
        <f t="shared" si="84"/>
        <v>11.810039713201105</v>
      </c>
      <c r="AM375">
        <f t="shared" si="85"/>
        <v>8.0471602867988974</v>
      </c>
    </row>
    <row r="376" spans="1:39" ht="16.5" x14ac:dyDescent="0.25">
      <c r="A376" s="1">
        <v>45161</v>
      </c>
      <c r="B376" s="5">
        <v>9.8330000000000002</v>
      </c>
      <c r="C376" s="4">
        <v>9.8659999999999997</v>
      </c>
      <c r="D376" s="4">
        <v>9.9610000000000003</v>
      </c>
      <c r="E376" s="4">
        <v>9.7579999999999991</v>
      </c>
      <c r="F376" s="4" t="s">
        <v>906</v>
      </c>
      <c r="G376" s="2" t="s">
        <v>336</v>
      </c>
      <c r="I376">
        <f t="shared" si="72"/>
        <v>9.9422000000000015</v>
      </c>
      <c r="J376">
        <f t="shared" si="73"/>
        <v>9.8520250000000011</v>
      </c>
      <c r="L376">
        <f t="shared" si="74"/>
        <v>0</v>
      </c>
      <c r="M376">
        <f t="shared" si="75"/>
        <v>1</v>
      </c>
      <c r="O376">
        <f t="shared" si="76"/>
        <v>0</v>
      </c>
      <c r="P376">
        <f t="shared" si="77"/>
        <v>3.2999999999999474E-2</v>
      </c>
      <c r="R376">
        <f t="shared" si="78"/>
        <v>5.5666666666666899E-2</v>
      </c>
      <c r="S376">
        <f t="shared" si="79"/>
        <v>5.4249999999999687E-2</v>
      </c>
      <c r="U376">
        <f t="shared" si="80"/>
        <v>50.644427596664393</v>
      </c>
      <c r="AH376">
        <f t="shared" si="81"/>
        <v>0.94318176860847613</v>
      </c>
      <c r="AI376">
        <f t="shared" si="82"/>
        <v>7.364366072949557</v>
      </c>
      <c r="AJ376">
        <f t="shared" si="83"/>
        <v>12.520033927050445</v>
      </c>
      <c r="AL376" s="6">
        <f t="shared" si="84"/>
        <v>11.828563537216954</v>
      </c>
      <c r="AM376">
        <f t="shared" si="85"/>
        <v>8.0558364627830485</v>
      </c>
    </row>
    <row r="377" spans="1:39" ht="16.5" x14ac:dyDescent="0.25">
      <c r="A377" s="1">
        <v>45160</v>
      </c>
      <c r="B377" s="5">
        <v>9.8219999999999992</v>
      </c>
      <c r="C377" s="4">
        <v>9.8569999999999993</v>
      </c>
      <c r="D377" s="4">
        <v>9.9390000000000001</v>
      </c>
      <c r="E377" s="4">
        <v>9.8219999999999992</v>
      </c>
      <c r="F377" s="4" t="s">
        <v>852</v>
      </c>
      <c r="G377" s="2" t="s">
        <v>450</v>
      </c>
      <c r="I377">
        <f t="shared" si="72"/>
        <v>9.9780500000000014</v>
      </c>
      <c r="J377">
        <f t="shared" si="73"/>
        <v>9.8406999999999982</v>
      </c>
      <c r="L377">
        <f t="shared" si="74"/>
        <v>0</v>
      </c>
      <c r="M377">
        <f t="shared" si="75"/>
        <v>1</v>
      </c>
      <c r="O377">
        <f t="shared" si="76"/>
        <v>0</v>
      </c>
      <c r="P377">
        <f t="shared" si="77"/>
        <v>3.5000000000000142E-2</v>
      </c>
      <c r="R377">
        <f t="shared" si="78"/>
        <v>7.6857142857143151E-2</v>
      </c>
      <c r="S377">
        <f t="shared" si="79"/>
        <v>5.7285714285714003E-2</v>
      </c>
      <c r="U377">
        <f t="shared" si="80"/>
        <v>57.29499467518658</v>
      </c>
      <c r="AH377">
        <f t="shared" si="81"/>
        <v>0.94569954608508422</v>
      </c>
      <c r="AI377">
        <f t="shared" si="82"/>
        <v>7.400216072949557</v>
      </c>
      <c r="AJ377">
        <f t="shared" si="83"/>
        <v>12.555883927050445</v>
      </c>
      <c r="AL377" s="6">
        <f t="shared" si="84"/>
        <v>11.86944909217017</v>
      </c>
      <c r="AM377">
        <f t="shared" si="85"/>
        <v>8.0866509078298332</v>
      </c>
    </row>
    <row r="378" spans="1:39" ht="16.5" x14ac:dyDescent="0.25">
      <c r="A378" s="1">
        <v>45159</v>
      </c>
      <c r="B378" s="5">
        <v>9.7970000000000006</v>
      </c>
      <c r="C378" s="4">
        <v>9.85</v>
      </c>
      <c r="D378" s="4">
        <v>9.9149999999999991</v>
      </c>
      <c r="E378" s="4">
        <v>9.7970000000000006</v>
      </c>
      <c r="F378" s="4" t="s">
        <v>862</v>
      </c>
      <c r="G378" s="2" t="s">
        <v>969</v>
      </c>
      <c r="I378">
        <f t="shared" si="72"/>
        <v>10.007350000000001</v>
      </c>
      <c r="J378">
        <f t="shared" si="73"/>
        <v>9.8287249999999986</v>
      </c>
      <c r="L378">
        <f t="shared" si="74"/>
        <v>0</v>
      </c>
      <c r="M378">
        <f t="shared" si="75"/>
        <v>1</v>
      </c>
      <c r="O378">
        <f t="shared" si="76"/>
        <v>0</v>
      </c>
      <c r="P378">
        <f t="shared" si="77"/>
        <v>5.2999999999999048E-2</v>
      </c>
      <c r="R378">
        <f t="shared" si="78"/>
        <v>7.6857142857143151E-2</v>
      </c>
      <c r="S378">
        <f t="shared" si="79"/>
        <v>6.7999999999999866E-2</v>
      </c>
      <c r="U378">
        <f t="shared" si="80"/>
        <v>53.057199211045514</v>
      </c>
      <c r="AH378">
        <f t="shared" si="81"/>
        <v>0.94833084743162521</v>
      </c>
      <c r="AI378">
        <f t="shared" si="82"/>
        <v>7.4295160729495562</v>
      </c>
      <c r="AJ378">
        <f t="shared" si="83"/>
        <v>12.585183927050444</v>
      </c>
      <c r="AL378" s="6">
        <f t="shared" si="84"/>
        <v>11.90401169486325</v>
      </c>
      <c r="AM378">
        <f t="shared" si="85"/>
        <v>8.1106883051367511</v>
      </c>
    </row>
    <row r="379" spans="1:39" ht="16.5" x14ac:dyDescent="0.25">
      <c r="A379" s="1">
        <v>45156</v>
      </c>
      <c r="B379" s="5">
        <v>9.8699999999999992</v>
      </c>
      <c r="C379" s="4">
        <v>9.84</v>
      </c>
      <c r="D379" s="4">
        <v>9.8960000000000008</v>
      </c>
      <c r="E379" s="4">
        <v>9.7620000000000005</v>
      </c>
      <c r="F379" s="4" t="s">
        <v>1116</v>
      </c>
      <c r="G379" s="2" t="s">
        <v>814</v>
      </c>
      <c r="I379">
        <f t="shared" si="72"/>
        <v>10.0312</v>
      </c>
      <c r="J379">
        <f t="shared" si="73"/>
        <v>9.8132499999999983</v>
      </c>
      <c r="L379">
        <f t="shared" si="74"/>
        <v>1</v>
      </c>
      <c r="M379">
        <f t="shared" si="75"/>
        <v>0</v>
      </c>
      <c r="O379">
        <f t="shared" si="76"/>
        <v>2.9999999999999361E-2</v>
      </c>
      <c r="P379">
        <f t="shared" si="77"/>
        <v>0</v>
      </c>
      <c r="R379">
        <f t="shared" si="78"/>
        <v>7.6857142857143151E-2</v>
      </c>
      <c r="S379">
        <f t="shared" si="79"/>
        <v>7.014285714285709E-2</v>
      </c>
      <c r="U379">
        <f t="shared" si="80"/>
        <v>52.283770651117699</v>
      </c>
      <c r="AH379">
        <f t="shared" si="81"/>
        <v>0.9510547120825118</v>
      </c>
      <c r="AI379">
        <f t="shared" si="82"/>
        <v>7.4533660729495557</v>
      </c>
      <c r="AJ379">
        <f t="shared" si="83"/>
        <v>12.609033927050444</v>
      </c>
      <c r="AL379" s="6">
        <f t="shared" si="84"/>
        <v>11.933309424165024</v>
      </c>
      <c r="AM379">
        <f t="shared" si="85"/>
        <v>8.1290905758349759</v>
      </c>
    </row>
    <row r="380" spans="1:39" ht="16.5" x14ac:dyDescent="0.25">
      <c r="A380" s="1">
        <v>45155</v>
      </c>
      <c r="B380" s="5">
        <v>9.91</v>
      </c>
      <c r="C380" s="4">
        <v>9.8170000000000002</v>
      </c>
      <c r="D380" s="4">
        <v>9.9979999999999993</v>
      </c>
      <c r="E380" s="4">
        <v>9.8109999999999999</v>
      </c>
      <c r="F380" s="4" t="s">
        <v>1208</v>
      </c>
      <c r="G380" s="2" t="s">
        <v>688</v>
      </c>
      <c r="I380">
        <f t="shared" si="72"/>
        <v>10.047600000000001</v>
      </c>
      <c r="J380">
        <f t="shared" si="73"/>
        <v>9.7956249999999976</v>
      </c>
      <c r="L380">
        <f t="shared" si="74"/>
        <v>1</v>
      </c>
      <c r="M380">
        <f t="shared" si="75"/>
        <v>0</v>
      </c>
      <c r="O380">
        <f t="shared" si="76"/>
        <v>9.2999999999999972E-2</v>
      </c>
      <c r="P380">
        <f t="shared" si="77"/>
        <v>0</v>
      </c>
      <c r="R380">
        <f t="shared" si="78"/>
        <v>8.4666666666667112E-2</v>
      </c>
      <c r="S380">
        <f t="shared" si="79"/>
        <v>7.0124999999999993E-2</v>
      </c>
      <c r="U380">
        <f t="shared" si="80"/>
        <v>54.697173620457733</v>
      </c>
      <c r="AH380">
        <f t="shared" si="81"/>
        <v>0.9538557713059852</v>
      </c>
      <c r="AI380">
        <f t="shared" si="82"/>
        <v>7.4697660729495565</v>
      </c>
      <c r="AJ380">
        <f t="shared" si="83"/>
        <v>12.625433927050445</v>
      </c>
      <c r="AL380" s="6">
        <f t="shared" si="84"/>
        <v>11.955311542611971</v>
      </c>
      <c r="AM380">
        <f t="shared" si="85"/>
        <v>8.1398884573880306</v>
      </c>
    </row>
    <row r="381" spans="1:39" ht="16.5" x14ac:dyDescent="0.25">
      <c r="A381" s="1">
        <v>45154</v>
      </c>
      <c r="B381" s="5">
        <v>9.8670000000000009</v>
      </c>
      <c r="C381" s="4">
        <v>9.8689999999999998</v>
      </c>
      <c r="D381" s="4">
        <v>9.9260000000000002</v>
      </c>
      <c r="E381" s="4">
        <v>9.8320000000000007</v>
      </c>
      <c r="F381" s="4" t="s">
        <v>880</v>
      </c>
      <c r="G381" s="2" t="s">
        <v>413</v>
      </c>
      <c r="I381">
        <f t="shared" si="72"/>
        <v>10.058100000000001</v>
      </c>
      <c r="J381">
        <f t="shared" si="73"/>
        <v>9.7803749999999994</v>
      </c>
      <c r="L381">
        <f t="shared" si="74"/>
        <v>0</v>
      </c>
      <c r="M381">
        <f t="shared" si="75"/>
        <v>1</v>
      </c>
      <c r="O381">
        <f t="shared" si="76"/>
        <v>0</v>
      </c>
      <c r="P381">
        <f t="shared" si="77"/>
        <v>1.9999999999988916E-3</v>
      </c>
      <c r="R381">
        <f t="shared" si="78"/>
        <v>8.3000000000000546E-2</v>
      </c>
      <c r="S381">
        <f t="shared" si="79"/>
        <v>6.9000000000000047E-2</v>
      </c>
      <c r="U381">
        <f t="shared" si="80"/>
        <v>54.605263157894882</v>
      </c>
      <c r="AH381">
        <f t="shared" si="81"/>
        <v>0.95671658809286253</v>
      </c>
      <c r="AI381">
        <f t="shared" si="82"/>
        <v>7.4802660729495569</v>
      </c>
      <c r="AJ381">
        <f t="shared" si="83"/>
        <v>12.635933927050445</v>
      </c>
      <c r="AL381" s="6">
        <f t="shared" si="84"/>
        <v>11.971533176185726</v>
      </c>
      <c r="AM381">
        <f t="shared" si="85"/>
        <v>8.1446668238142763</v>
      </c>
    </row>
    <row r="382" spans="1:39" ht="16.5" x14ac:dyDescent="0.25">
      <c r="A382" s="1">
        <v>45153</v>
      </c>
      <c r="B382" s="5">
        <v>9.92</v>
      </c>
      <c r="C382" s="4">
        <v>9.98</v>
      </c>
      <c r="D382" s="4">
        <v>10.038</v>
      </c>
      <c r="E382" s="4">
        <v>9.8699999999999992</v>
      </c>
      <c r="F382" s="4" t="s">
        <v>1209</v>
      </c>
      <c r="G382" s="2" t="s">
        <v>1210</v>
      </c>
      <c r="I382">
        <f t="shared" si="72"/>
        <v>10.067450000000003</v>
      </c>
      <c r="J382">
        <f t="shared" si="73"/>
        <v>9.7696000000000005</v>
      </c>
      <c r="L382">
        <f t="shared" si="74"/>
        <v>0</v>
      </c>
      <c r="M382">
        <f t="shared" si="75"/>
        <v>1</v>
      </c>
      <c r="O382">
        <f t="shared" si="76"/>
        <v>0</v>
      </c>
      <c r="P382">
        <f t="shared" si="77"/>
        <v>6.0000000000000497E-2</v>
      </c>
      <c r="R382">
        <f t="shared" si="78"/>
        <v>8.3000000000000546E-2</v>
      </c>
      <c r="S382">
        <f t="shared" si="79"/>
        <v>0.11922222222222227</v>
      </c>
      <c r="U382">
        <f t="shared" si="80"/>
        <v>41.043956043956193</v>
      </c>
      <c r="AH382">
        <f t="shared" si="81"/>
        <v>0.95962476805954366</v>
      </c>
      <c r="AI382">
        <f t="shared" si="82"/>
        <v>7.4896160729495582</v>
      </c>
      <c r="AJ382">
        <f t="shared" si="83"/>
        <v>12.645283927050446</v>
      </c>
      <c r="AL382" s="6">
        <f t="shared" si="84"/>
        <v>11.98669953611909</v>
      </c>
      <c r="AM382">
        <f t="shared" si="85"/>
        <v>8.1482004638809151</v>
      </c>
    </row>
    <row r="383" spans="1:39" ht="16.5" x14ac:dyDescent="0.25">
      <c r="A383" s="1">
        <v>45152</v>
      </c>
      <c r="B383" s="5">
        <v>9.9760000000000009</v>
      </c>
      <c r="C383" s="4">
        <v>9.9480000000000004</v>
      </c>
      <c r="D383" s="4">
        <v>10.042</v>
      </c>
      <c r="E383" s="4">
        <v>9.907</v>
      </c>
      <c r="F383" s="4" t="s">
        <v>1211</v>
      </c>
      <c r="G383" s="2" t="s">
        <v>755</v>
      </c>
      <c r="I383">
        <f t="shared" si="72"/>
        <v>10.06635</v>
      </c>
      <c r="J383">
        <f t="shared" si="73"/>
        <v>9.7547500000000014</v>
      </c>
      <c r="L383">
        <f t="shared" si="74"/>
        <v>1</v>
      </c>
      <c r="M383">
        <f t="shared" si="75"/>
        <v>0</v>
      </c>
      <c r="O383">
        <f t="shared" si="76"/>
        <v>2.8000000000000469E-2</v>
      </c>
      <c r="P383">
        <f t="shared" si="77"/>
        <v>0</v>
      </c>
      <c r="R383">
        <f t="shared" si="78"/>
        <v>0.11083333333333378</v>
      </c>
      <c r="S383">
        <f t="shared" si="79"/>
        <v>0.12662499999999999</v>
      </c>
      <c r="U383">
        <f t="shared" si="80"/>
        <v>46.674855237761115</v>
      </c>
      <c r="AH383">
        <f t="shared" si="81"/>
        <v>0.96257829125795202</v>
      </c>
      <c r="AI383">
        <f t="shared" si="82"/>
        <v>7.4885160729495555</v>
      </c>
      <c r="AJ383">
        <f t="shared" si="83"/>
        <v>12.644183927050445</v>
      </c>
      <c r="AL383" s="6">
        <f t="shared" si="84"/>
        <v>11.991506582515903</v>
      </c>
      <c r="AM383">
        <f t="shared" si="85"/>
        <v>8.1411934174840965</v>
      </c>
    </row>
    <row r="384" spans="1:39" ht="16.5" x14ac:dyDescent="0.25">
      <c r="A384" s="1">
        <v>45149</v>
      </c>
      <c r="B384" s="5">
        <v>9.9410000000000007</v>
      </c>
      <c r="C384" s="4">
        <v>10</v>
      </c>
      <c r="D384" s="4">
        <v>10.054</v>
      </c>
      <c r="E384" s="4">
        <v>9.91</v>
      </c>
      <c r="F384" s="4" t="s">
        <v>995</v>
      </c>
      <c r="G384" s="2" t="s">
        <v>396</v>
      </c>
      <c r="I384">
        <f t="shared" si="72"/>
        <v>10.0594</v>
      </c>
      <c r="J384">
        <f t="shared" si="73"/>
        <v>9.7404749999999982</v>
      </c>
      <c r="L384">
        <f t="shared" si="74"/>
        <v>0</v>
      </c>
      <c r="M384">
        <f t="shared" si="75"/>
        <v>1</v>
      </c>
      <c r="O384">
        <f t="shared" si="76"/>
        <v>0</v>
      </c>
      <c r="P384">
        <f t="shared" si="77"/>
        <v>5.8999999999999275E-2</v>
      </c>
      <c r="R384">
        <f t="shared" si="78"/>
        <v>0.11916666666666693</v>
      </c>
      <c r="S384">
        <f t="shared" si="79"/>
        <v>0.12662499999999999</v>
      </c>
      <c r="U384">
        <f t="shared" si="80"/>
        <v>48.482793693846475</v>
      </c>
      <c r="AH384">
        <f t="shared" si="81"/>
        <v>0.96555671253102227</v>
      </c>
      <c r="AI384">
        <f t="shared" si="82"/>
        <v>7.4815660729495557</v>
      </c>
      <c r="AJ384">
        <f t="shared" si="83"/>
        <v>12.637233927050445</v>
      </c>
      <c r="AL384" s="6">
        <f t="shared" si="84"/>
        <v>11.990513425062044</v>
      </c>
      <c r="AM384">
        <f t="shared" si="85"/>
        <v>8.128286574937956</v>
      </c>
    </row>
    <row r="385" spans="1:39" ht="16.5" x14ac:dyDescent="0.25">
      <c r="A385" s="1">
        <v>45148</v>
      </c>
      <c r="B385" s="5">
        <v>10.012</v>
      </c>
      <c r="C385" s="4">
        <v>9.9309999999999992</v>
      </c>
      <c r="D385" s="4">
        <v>10.116</v>
      </c>
      <c r="E385" s="4">
        <v>9.9260000000000002</v>
      </c>
      <c r="F385" s="4" t="s">
        <v>1075</v>
      </c>
      <c r="G385" s="2" t="s">
        <v>1212</v>
      </c>
      <c r="I385">
        <f t="shared" si="72"/>
        <v>10.042849999999998</v>
      </c>
      <c r="J385">
        <f t="shared" si="73"/>
        <v>9.7296750000000003</v>
      </c>
      <c r="L385">
        <f t="shared" si="74"/>
        <v>1</v>
      </c>
      <c r="M385">
        <f t="shared" si="75"/>
        <v>0</v>
      </c>
      <c r="O385">
        <f t="shared" si="76"/>
        <v>8.1000000000001293E-2</v>
      </c>
      <c r="P385">
        <f t="shared" si="77"/>
        <v>0</v>
      </c>
      <c r="R385">
        <f t="shared" si="78"/>
        <v>0.11842857142857152</v>
      </c>
      <c r="S385">
        <f t="shared" si="79"/>
        <v>0.13628571428571437</v>
      </c>
      <c r="U385">
        <f t="shared" si="80"/>
        <v>46.494671901289969</v>
      </c>
      <c r="AH385">
        <f t="shared" si="81"/>
        <v>0.96854820285731191</v>
      </c>
      <c r="AI385">
        <f t="shared" si="82"/>
        <v>7.4650160729495534</v>
      </c>
      <c r="AJ385">
        <f t="shared" si="83"/>
        <v>12.620683927050443</v>
      </c>
      <c r="AL385" s="6">
        <f t="shared" si="84"/>
        <v>11.979946405714621</v>
      </c>
      <c r="AM385">
        <f t="shared" si="85"/>
        <v>8.1057535942853747</v>
      </c>
    </row>
    <row r="386" spans="1:39" ht="16.5" x14ac:dyDescent="0.25">
      <c r="A386" s="1">
        <v>45147</v>
      </c>
      <c r="B386" s="5">
        <v>9.8659999999999997</v>
      </c>
      <c r="C386" s="4">
        <v>9.8260000000000005</v>
      </c>
      <c r="D386" s="4">
        <v>10.012</v>
      </c>
      <c r="E386" s="4">
        <v>9.8260000000000005</v>
      </c>
      <c r="F386" s="4" t="s">
        <v>1213</v>
      </c>
      <c r="G386" s="2" t="s">
        <v>276</v>
      </c>
      <c r="I386">
        <f t="shared" ref="I386:I449" si="86">AVERAGE(B386:B405)</f>
        <v>10.021899999999999</v>
      </c>
      <c r="J386">
        <f t="shared" ref="J386:J449" si="87">AVERAGE(B386:B425)</f>
        <v>9.7202749999999991</v>
      </c>
      <c r="L386">
        <f t="shared" ref="L386:L449" si="88">IF($C386&lt;$B386,1,0)</f>
        <v>1</v>
      </c>
      <c r="M386">
        <f t="shared" ref="M386:M449" si="89">IF($C386&lt;$B386,0,1)</f>
        <v>0</v>
      </c>
      <c r="O386">
        <f t="shared" ref="O386:O449" si="90">IF($C386&lt;$B386,B386-C386,0)</f>
        <v>3.9999999999999147E-2</v>
      </c>
      <c r="P386">
        <f t="shared" ref="P386:P449" si="91">IF($B386&lt;$C386,C386-B386,0)</f>
        <v>0</v>
      </c>
      <c r="R386">
        <f t="shared" ref="R386:R449" si="92">SUM(O386:O399)/SUM(L386:L399)</f>
        <v>0.11228571428571422</v>
      </c>
      <c r="S386">
        <f t="shared" ref="S386:S449" si="93">SUM(P386:P399)/SUM(M386:M399)</f>
        <v>0.13628571428571437</v>
      </c>
      <c r="U386">
        <f t="shared" ref="U386:U449" si="94">100-(100/(1+(R386/S386)))</f>
        <v>45.172413793103424</v>
      </c>
      <c r="AH386">
        <f t="shared" si="81"/>
        <v>0.97153119576749369</v>
      </c>
      <c r="AI386">
        <f t="shared" si="82"/>
        <v>7.4440660729495542</v>
      </c>
      <c r="AJ386">
        <f t="shared" si="83"/>
        <v>12.599733927050444</v>
      </c>
      <c r="AL386" s="6">
        <f t="shared" si="84"/>
        <v>11.964962391534986</v>
      </c>
      <c r="AM386">
        <f t="shared" si="85"/>
        <v>8.0788376084650118</v>
      </c>
    </row>
    <row r="387" spans="1:39" ht="16.5" x14ac:dyDescent="0.25">
      <c r="A387" s="1">
        <v>45146</v>
      </c>
      <c r="B387" s="5">
        <v>9.7100000000000009</v>
      </c>
      <c r="C387" s="4">
        <v>9.89</v>
      </c>
      <c r="D387" s="4">
        <v>9.9179999999999993</v>
      </c>
      <c r="E387" s="4">
        <v>9.64</v>
      </c>
      <c r="F387" s="4" t="s">
        <v>1214</v>
      </c>
      <c r="G387" s="2" t="s">
        <v>1215</v>
      </c>
      <c r="I387">
        <f t="shared" si="86"/>
        <v>10.00075</v>
      </c>
      <c r="J387">
        <f t="shared" si="87"/>
        <v>9.7218750000000007</v>
      </c>
      <c r="L387">
        <f t="shared" si="88"/>
        <v>0</v>
      </c>
      <c r="M387">
        <f t="shared" si="89"/>
        <v>1</v>
      </c>
      <c r="O387">
        <f t="shared" si="90"/>
        <v>0</v>
      </c>
      <c r="P387">
        <f t="shared" si="91"/>
        <v>0.17999999999999972</v>
      </c>
      <c r="R387">
        <f t="shared" si="92"/>
        <v>0.11800000000000008</v>
      </c>
      <c r="S387">
        <f t="shared" si="93"/>
        <v>0.13628571428571437</v>
      </c>
      <c r="U387">
        <f t="shared" si="94"/>
        <v>46.40449438202247</v>
      </c>
      <c r="AH387">
        <f t="shared" ref="AH387:AH450" si="95">_xlfn.STDEV.S(I387:I917)</f>
        <v>0.97449241744856352</v>
      </c>
      <c r="AI387">
        <f t="shared" ref="AI387:AI450" si="96">I387-$AH$2</f>
        <v>7.4229160729495556</v>
      </c>
      <c r="AJ387">
        <f t="shared" ref="AJ387:AJ450" si="97">I387+$AH$2</f>
        <v>12.578583927050445</v>
      </c>
      <c r="AL387" s="6">
        <f t="shared" ref="AL387:AL450" si="98">I387+(AH387*2)</f>
        <v>11.949734834897127</v>
      </c>
      <c r="AM387">
        <f t="shared" ref="AM387:AM450" si="99">I387-(AH387*2)</f>
        <v>8.0517651651028732</v>
      </c>
    </row>
    <row r="388" spans="1:39" ht="16.5" x14ac:dyDescent="0.25">
      <c r="A388" s="1">
        <v>45145</v>
      </c>
      <c r="B388" s="5">
        <v>10.098000000000001</v>
      </c>
      <c r="C388" s="4">
        <v>10.036</v>
      </c>
      <c r="D388" s="4">
        <v>10.141999999999999</v>
      </c>
      <c r="E388" s="4">
        <v>9.9619999999999997</v>
      </c>
      <c r="F388" s="4" t="s">
        <v>987</v>
      </c>
      <c r="G388" s="2" t="s">
        <v>233</v>
      </c>
      <c r="I388">
        <f t="shared" si="86"/>
        <v>9.9891000000000005</v>
      </c>
      <c r="J388">
        <f t="shared" si="87"/>
        <v>9.7256250000000026</v>
      </c>
      <c r="L388">
        <f t="shared" si="88"/>
        <v>1</v>
      </c>
      <c r="M388">
        <f t="shared" si="89"/>
        <v>0</v>
      </c>
      <c r="O388">
        <f t="shared" si="90"/>
        <v>6.2000000000001165E-2</v>
      </c>
      <c r="P388">
        <f t="shared" si="91"/>
        <v>0</v>
      </c>
      <c r="R388">
        <f t="shared" si="92"/>
        <v>0.11637500000000012</v>
      </c>
      <c r="S388">
        <f t="shared" si="93"/>
        <v>0.12900000000000014</v>
      </c>
      <c r="U388">
        <f t="shared" si="94"/>
        <v>47.427407030056038</v>
      </c>
      <c r="AH388">
        <f t="shared" si="95"/>
        <v>0.97742698296568942</v>
      </c>
      <c r="AI388">
        <f t="shared" si="96"/>
        <v>7.4112660729495561</v>
      </c>
      <c r="AJ388">
        <f t="shared" si="97"/>
        <v>12.566933927050446</v>
      </c>
      <c r="AL388" s="6">
        <f t="shared" si="98"/>
        <v>11.94395396593138</v>
      </c>
      <c r="AM388">
        <f t="shared" si="99"/>
        <v>8.0342460340686213</v>
      </c>
    </row>
    <row r="389" spans="1:39" ht="16.5" x14ac:dyDescent="0.25">
      <c r="A389" s="1">
        <v>45142</v>
      </c>
      <c r="B389" s="5">
        <v>10.058</v>
      </c>
      <c r="C389" s="4">
        <v>10.07</v>
      </c>
      <c r="D389" s="4">
        <v>10.084</v>
      </c>
      <c r="E389" s="4">
        <v>9.9369999999999994</v>
      </c>
      <c r="F389" s="4" t="s">
        <v>1216</v>
      </c>
      <c r="G389" s="2" t="s">
        <v>516</v>
      </c>
      <c r="I389">
        <f t="shared" si="86"/>
        <v>9.9554999999999989</v>
      </c>
      <c r="J389">
        <f t="shared" si="87"/>
        <v>9.7195750000000007</v>
      </c>
      <c r="L389">
        <f t="shared" si="88"/>
        <v>0</v>
      </c>
      <c r="M389">
        <f t="shared" si="89"/>
        <v>1</v>
      </c>
      <c r="O389">
        <f t="shared" si="90"/>
        <v>0</v>
      </c>
      <c r="P389">
        <f t="shared" si="91"/>
        <v>1.2000000000000455E-2</v>
      </c>
      <c r="R389">
        <f t="shared" si="92"/>
        <v>0.11712499999999992</v>
      </c>
      <c r="S389">
        <f t="shared" si="93"/>
        <v>0.12900000000000014</v>
      </c>
      <c r="U389">
        <f t="shared" si="94"/>
        <v>47.587607922803407</v>
      </c>
      <c r="AH389">
        <f t="shared" si="95"/>
        <v>0.98035631169645887</v>
      </c>
      <c r="AI389">
        <f t="shared" si="96"/>
        <v>7.3776660729495545</v>
      </c>
      <c r="AJ389">
        <f t="shared" si="97"/>
        <v>12.533333927050442</v>
      </c>
      <c r="AL389" s="6">
        <f t="shared" si="98"/>
        <v>11.916212623392916</v>
      </c>
      <c r="AM389">
        <f t="shared" si="99"/>
        <v>7.9947873766070812</v>
      </c>
    </row>
    <row r="390" spans="1:39" ht="16.5" x14ac:dyDescent="0.25">
      <c r="A390" s="1">
        <v>45141</v>
      </c>
      <c r="B390" s="5">
        <v>9.984</v>
      </c>
      <c r="C390" s="4">
        <v>9.7799999999999994</v>
      </c>
      <c r="D390" s="4">
        <v>9.984</v>
      </c>
      <c r="E390" s="4">
        <v>9.7409999999999997</v>
      </c>
      <c r="F390" s="4" t="s">
        <v>1217</v>
      </c>
      <c r="G390" s="2" t="s">
        <v>1053</v>
      </c>
      <c r="I390">
        <f t="shared" si="86"/>
        <v>9.9163999999999994</v>
      </c>
      <c r="J390">
        <f t="shared" si="87"/>
        <v>9.7142000000000017</v>
      </c>
      <c r="L390">
        <f t="shared" si="88"/>
        <v>1</v>
      </c>
      <c r="M390">
        <f t="shared" si="89"/>
        <v>0</v>
      </c>
      <c r="O390">
        <f t="shared" si="90"/>
        <v>0.20400000000000063</v>
      </c>
      <c r="P390">
        <f t="shared" si="91"/>
        <v>0</v>
      </c>
      <c r="R390">
        <f t="shared" si="92"/>
        <v>0.13322222222222221</v>
      </c>
      <c r="S390">
        <f t="shared" si="93"/>
        <v>0.15240000000000009</v>
      </c>
      <c r="U390">
        <f t="shared" si="94"/>
        <v>46.64280712674082</v>
      </c>
      <c r="AH390">
        <f t="shared" si="95"/>
        <v>0.98321505347951477</v>
      </c>
      <c r="AI390">
        <f t="shared" si="96"/>
        <v>7.338566072949555</v>
      </c>
      <c r="AJ390">
        <f t="shared" si="97"/>
        <v>12.494233927050445</v>
      </c>
      <c r="AL390" s="6">
        <f t="shared" si="98"/>
        <v>11.882830106959029</v>
      </c>
      <c r="AM390">
        <f t="shared" si="99"/>
        <v>7.9499698930409703</v>
      </c>
    </row>
    <row r="391" spans="1:39" ht="16.5" x14ac:dyDescent="0.25">
      <c r="A391" s="1">
        <v>45140</v>
      </c>
      <c r="B391" s="5">
        <v>9.7799999999999994</v>
      </c>
      <c r="C391" s="4">
        <v>9.89</v>
      </c>
      <c r="D391" s="4">
        <v>9.9260000000000002</v>
      </c>
      <c r="E391" s="4">
        <v>9.7539999999999996</v>
      </c>
      <c r="F391" s="4" t="s">
        <v>1192</v>
      </c>
      <c r="G391" s="2" t="s">
        <v>1218</v>
      </c>
      <c r="I391">
        <f t="shared" si="86"/>
        <v>9.8713000000000015</v>
      </c>
      <c r="J391">
        <f t="shared" si="87"/>
        <v>9.7111750000000008</v>
      </c>
      <c r="L391">
        <f t="shared" si="88"/>
        <v>0</v>
      </c>
      <c r="M391">
        <f t="shared" si="89"/>
        <v>1</v>
      </c>
      <c r="O391">
        <f t="shared" si="90"/>
        <v>0</v>
      </c>
      <c r="P391">
        <f t="shared" si="91"/>
        <v>0.11000000000000121</v>
      </c>
      <c r="R391">
        <f t="shared" si="92"/>
        <v>0.11455555555555542</v>
      </c>
      <c r="S391">
        <f t="shared" si="93"/>
        <v>0.15240000000000009</v>
      </c>
      <c r="U391">
        <f t="shared" si="94"/>
        <v>42.911845500707521</v>
      </c>
      <c r="AH391">
        <f t="shared" si="95"/>
        <v>0.98597398629947297</v>
      </c>
      <c r="AI391">
        <f t="shared" si="96"/>
        <v>7.2934660729495571</v>
      </c>
      <c r="AJ391">
        <f t="shared" si="97"/>
        <v>12.449133927050447</v>
      </c>
      <c r="AL391" s="6">
        <f t="shared" si="98"/>
        <v>11.843247972598947</v>
      </c>
      <c r="AM391">
        <f t="shared" si="99"/>
        <v>7.899352027401056</v>
      </c>
    </row>
    <row r="392" spans="1:39" ht="16.5" x14ac:dyDescent="0.25">
      <c r="A392" s="1">
        <v>45139</v>
      </c>
      <c r="B392" s="5">
        <v>10.01</v>
      </c>
      <c r="C392" s="4">
        <v>10.077999999999999</v>
      </c>
      <c r="D392" s="4">
        <v>10.108000000000001</v>
      </c>
      <c r="E392" s="4">
        <v>9.9489999999999998</v>
      </c>
      <c r="F392" s="4" t="s">
        <v>1219</v>
      </c>
      <c r="G392" s="2" t="s">
        <v>410</v>
      </c>
      <c r="I392">
        <f t="shared" si="86"/>
        <v>9.8570000000000011</v>
      </c>
      <c r="J392">
        <f t="shared" si="87"/>
        <v>9.7119750000000025</v>
      </c>
      <c r="L392">
        <f t="shared" si="88"/>
        <v>0</v>
      </c>
      <c r="M392">
        <f t="shared" si="89"/>
        <v>1</v>
      </c>
      <c r="O392">
        <f t="shared" si="90"/>
        <v>0</v>
      </c>
      <c r="P392">
        <f t="shared" si="91"/>
        <v>6.7999999999999616E-2</v>
      </c>
      <c r="R392">
        <f t="shared" si="92"/>
        <v>0.11899999999999995</v>
      </c>
      <c r="S392">
        <f t="shared" si="93"/>
        <v>0.16299999999999981</v>
      </c>
      <c r="U392">
        <f t="shared" si="94"/>
        <v>42.198581560283714</v>
      </c>
      <c r="AH392">
        <f t="shared" si="95"/>
        <v>0.98859599957729405</v>
      </c>
      <c r="AI392">
        <f t="shared" si="96"/>
        <v>7.2791660729495566</v>
      </c>
      <c r="AJ392">
        <f t="shared" si="97"/>
        <v>12.434833927050445</v>
      </c>
      <c r="AL392" s="6">
        <f t="shared" si="98"/>
        <v>11.834191999154589</v>
      </c>
      <c r="AM392">
        <f t="shared" si="99"/>
        <v>7.8798080008454132</v>
      </c>
    </row>
    <row r="393" spans="1:39" ht="16.5" x14ac:dyDescent="0.25">
      <c r="A393" s="1">
        <v>45138</v>
      </c>
      <c r="B393" s="5">
        <v>10.08</v>
      </c>
      <c r="C393" s="4">
        <v>10.15</v>
      </c>
      <c r="D393" s="4">
        <v>10.182</v>
      </c>
      <c r="E393" s="4">
        <v>10.055999999999999</v>
      </c>
      <c r="F393" s="4" t="s">
        <v>956</v>
      </c>
      <c r="G393" s="2" t="s">
        <v>296</v>
      </c>
      <c r="I393">
        <f t="shared" si="86"/>
        <v>9.8380499999999991</v>
      </c>
      <c r="J393">
        <f t="shared" si="87"/>
        <v>9.7063250000000014</v>
      </c>
      <c r="L393">
        <f t="shared" si="88"/>
        <v>0</v>
      </c>
      <c r="M393">
        <f t="shared" si="89"/>
        <v>1</v>
      </c>
      <c r="O393">
        <f t="shared" si="90"/>
        <v>0</v>
      </c>
      <c r="P393">
        <f t="shared" si="91"/>
        <v>7.0000000000000284E-2</v>
      </c>
      <c r="R393">
        <f t="shared" si="92"/>
        <v>0.11118181818181809</v>
      </c>
      <c r="S393">
        <f t="shared" si="93"/>
        <v>0.19466666666666654</v>
      </c>
      <c r="U393">
        <f t="shared" si="94"/>
        <v>36.351927078172984</v>
      </c>
      <c r="AH393">
        <f t="shared" si="95"/>
        <v>0.99118179606921031</v>
      </c>
      <c r="AI393">
        <f t="shared" si="96"/>
        <v>7.2602160729495546</v>
      </c>
      <c r="AJ393">
        <f t="shared" si="97"/>
        <v>12.415883927050444</v>
      </c>
      <c r="AL393" s="6">
        <f t="shared" si="98"/>
        <v>11.82041359213842</v>
      </c>
      <c r="AM393">
        <f t="shared" si="99"/>
        <v>7.8556864078615787</v>
      </c>
    </row>
    <row r="394" spans="1:39" ht="16.5" x14ac:dyDescent="0.25">
      <c r="A394" s="1">
        <v>45135</v>
      </c>
      <c r="B394" s="5">
        <v>10.112</v>
      </c>
      <c r="C394" s="4">
        <v>10.172000000000001</v>
      </c>
      <c r="D394" s="4">
        <v>10.26</v>
      </c>
      <c r="E394" s="4">
        <v>10.086</v>
      </c>
      <c r="F394" s="4" t="s">
        <v>1220</v>
      </c>
      <c r="G394" s="2" t="s">
        <v>1221</v>
      </c>
      <c r="I394">
        <f t="shared" si="86"/>
        <v>9.8205500000000008</v>
      </c>
      <c r="J394">
        <f t="shared" si="87"/>
        <v>9.6967250000000007</v>
      </c>
      <c r="L394">
        <f t="shared" si="88"/>
        <v>0</v>
      </c>
      <c r="M394">
        <f t="shared" si="89"/>
        <v>1</v>
      </c>
      <c r="O394">
        <f t="shared" si="90"/>
        <v>0</v>
      </c>
      <c r="P394">
        <f t="shared" si="91"/>
        <v>6.0000000000000497E-2</v>
      </c>
      <c r="R394">
        <f t="shared" si="92"/>
        <v>0.10666666666666662</v>
      </c>
      <c r="S394">
        <f t="shared" si="93"/>
        <v>0.25699999999999967</v>
      </c>
      <c r="U394">
        <f t="shared" si="94"/>
        <v>29.330889092575632</v>
      </c>
      <c r="AH394">
        <f t="shared" si="95"/>
        <v>0.99370949298441469</v>
      </c>
      <c r="AI394">
        <f t="shared" si="96"/>
        <v>7.2427160729495563</v>
      </c>
      <c r="AJ394">
        <f t="shared" si="97"/>
        <v>12.398383927050446</v>
      </c>
      <c r="AL394" s="6">
        <f t="shared" si="98"/>
        <v>11.807968985968831</v>
      </c>
      <c r="AM394">
        <f t="shared" si="99"/>
        <v>7.8331310140311716</v>
      </c>
    </row>
    <row r="395" spans="1:39" ht="16.5" x14ac:dyDescent="0.25">
      <c r="A395" s="1">
        <v>45134</v>
      </c>
      <c r="B395" s="5">
        <v>10.198</v>
      </c>
      <c r="C395" s="4">
        <v>10.651999999999999</v>
      </c>
      <c r="D395" s="4">
        <v>10.656000000000001</v>
      </c>
      <c r="E395" s="4">
        <v>10.058</v>
      </c>
      <c r="F395" s="4" t="s">
        <v>1222</v>
      </c>
      <c r="G395" s="2" t="s">
        <v>1223</v>
      </c>
      <c r="I395">
        <f t="shared" si="86"/>
        <v>9.7958499999999979</v>
      </c>
      <c r="J395">
        <f t="shared" si="87"/>
        <v>9.6904750000000028</v>
      </c>
      <c r="L395">
        <f t="shared" si="88"/>
        <v>0</v>
      </c>
      <c r="M395">
        <f t="shared" si="89"/>
        <v>1</v>
      </c>
      <c r="O395">
        <f t="shared" si="90"/>
        <v>0</v>
      </c>
      <c r="P395">
        <f t="shared" si="91"/>
        <v>0.45399999999999885</v>
      </c>
      <c r="R395">
        <f t="shared" si="92"/>
        <v>0.11199999999999996</v>
      </c>
      <c r="S395">
        <f t="shared" si="93"/>
        <v>0.45399999999999885</v>
      </c>
      <c r="U395">
        <f t="shared" si="94"/>
        <v>19.787985865724423</v>
      </c>
      <c r="AH395">
        <f t="shared" si="95"/>
        <v>0.99617983868191606</v>
      </c>
      <c r="AI395">
        <f t="shared" si="96"/>
        <v>7.2180160729495535</v>
      </c>
      <c r="AJ395">
        <f t="shared" si="97"/>
        <v>12.373683927050443</v>
      </c>
      <c r="AL395" s="6">
        <f t="shared" si="98"/>
        <v>11.788209677363831</v>
      </c>
      <c r="AM395">
        <f t="shared" si="99"/>
        <v>7.8034903226361658</v>
      </c>
    </row>
    <row r="396" spans="1:39" ht="16.5" x14ac:dyDescent="0.25">
      <c r="A396" s="1">
        <v>45133</v>
      </c>
      <c r="B396" s="5">
        <v>10.55</v>
      </c>
      <c r="C396" s="4">
        <v>10.3</v>
      </c>
      <c r="D396" s="4">
        <v>10.708</v>
      </c>
      <c r="E396" s="4">
        <v>10.183999999999999</v>
      </c>
      <c r="F396" s="4" t="s">
        <v>1224</v>
      </c>
      <c r="G396" s="2" t="s">
        <v>315</v>
      </c>
      <c r="I396">
        <f t="shared" si="86"/>
        <v>9.761849999999999</v>
      </c>
      <c r="J396">
        <f t="shared" si="87"/>
        <v>9.6749750000000017</v>
      </c>
      <c r="L396">
        <f t="shared" si="88"/>
        <v>1</v>
      </c>
      <c r="M396">
        <f t="shared" si="89"/>
        <v>0</v>
      </c>
      <c r="O396">
        <f t="shared" si="90"/>
        <v>0.25</v>
      </c>
      <c r="P396">
        <f t="shared" si="91"/>
        <v>0</v>
      </c>
      <c r="R396">
        <f t="shared" si="92"/>
        <v>0.11678571428571427</v>
      </c>
      <c r="S396" t="e">
        <f t="shared" si="93"/>
        <v>#DIV/0!</v>
      </c>
      <c r="U396" t="e">
        <f t="shared" si="94"/>
        <v>#DIV/0!</v>
      </c>
      <c r="AH396">
        <f t="shared" si="95"/>
        <v>0.9985562527935018</v>
      </c>
      <c r="AI396">
        <f t="shared" si="96"/>
        <v>7.1840160729495546</v>
      </c>
      <c r="AJ396">
        <f t="shared" si="97"/>
        <v>12.339683927050444</v>
      </c>
      <c r="AL396" s="6">
        <f t="shared" si="98"/>
        <v>11.758962505587002</v>
      </c>
      <c r="AM396">
        <f t="shared" si="99"/>
        <v>7.7647374944129952</v>
      </c>
    </row>
    <row r="397" spans="1:39" ht="16.5" x14ac:dyDescent="0.25">
      <c r="A397" s="1">
        <v>45132</v>
      </c>
      <c r="B397" s="5">
        <v>10.407999999999999</v>
      </c>
      <c r="C397" s="4">
        <v>10.33</v>
      </c>
      <c r="D397" s="4">
        <v>10.45</v>
      </c>
      <c r="E397" s="4">
        <v>10.276</v>
      </c>
      <c r="F397" s="4" t="s">
        <v>1225</v>
      </c>
      <c r="G397" s="2" t="s">
        <v>285</v>
      </c>
      <c r="I397">
        <f t="shared" si="86"/>
        <v>9.7033499999999986</v>
      </c>
      <c r="J397">
        <f t="shared" si="87"/>
        <v>9.6481250000000021</v>
      </c>
      <c r="L397">
        <f t="shared" si="88"/>
        <v>1</v>
      </c>
      <c r="M397">
        <f t="shared" si="89"/>
        <v>0</v>
      </c>
      <c r="O397">
        <f t="shared" si="90"/>
        <v>7.7999999999999403E-2</v>
      </c>
      <c r="P397">
        <f t="shared" si="91"/>
        <v>0</v>
      </c>
      <c r="R397">
        <f t="shared" si="92"/>
        <v>0.10653846153846153</v>
      </c>
      <c r="S397">
        <f t="shared" si="93"/>
        <v>0.2370000000000001</v>
      </c>
      <c r="U397">
        <f t="shared" si="94"/>
        <v>31.01209135691893</v>
      </c>
      <c r="AH397">
        <f t="shared" si="95"/>
        <v>1.0007863907373169</v>
      </c>
      <c r="AI397">
        <f t="shared" si="96"/>
        <v>7.1255160729495541</v>
      </c>
      <c r="AJ397">
        <f t="shared" si="97"/>
        <v>12.281183927050442</v>
      </c>
      <c r="AL397" s="6">
        <f t="shared" si="98"/>
        <v>11.704922781474632</v>
      </c>
      <c r="AM397">
        <f t="shared" si="99"/>
        <v>7.7017772185253648</v>
      </c>
    </row>
    <row r="398" spans="1:39" ht="16.5" x14ac:dyDescent="0.25">
      <c r="A398" s="1">
        <v>45131</v>
      </c>
      <c r="B398" s="5">
        <v>10.273999999999999</v>
      </c>
      <c r="C398" s="4">
        <v>10.16</v>
      </c>
      <c r="D398" s="4">
        <v>10.305999999999999</v>
      </c>
      <c r="E398" s="4">
        <v>10.130000000000001</v>
      </c>
      <c r="F398" s="4" t="s">
        <v>1174</v>
      </c>
      <c r="G398" s="2" t="s">
        <v>386</v>
      </c>
      <c r="I398">
        <f t="shared" si="86"/>
        <v>9.6500999999999983</v>
      </c>
      <c r="J398">
        <f t="shared" si="87"/>
        <v>9.629075000000002</v>
      </c>
      <c r="L398">
        <f t="shared" si="88"/>
        <v>1</v>
      </c>
      <c r="M398">
        <f t="shared" si="89"/>
        <v>0</v>
      </c>
      <c r="O398">
        <f t="shared" si="90"/>
        <v>0.11399999999999899</v>
      </c>
      <c r="P398">
        <f t="shared" si="91"/>
        <v>0</v>
      </c>
      <c r="R398">
        <f t="shared" si="92"/>
        <v>0.1089166666666667</v>
      </c>
      <c r="S398">
        <f t="shared" si="93"/>
        <v>0.14350000000000041</v>
      </c>
      <c r="U398">
        <f t="shared" si="94"/>
        <v>43.149554308352528</v>
      </c>
      <c r="AH398">
        <f t="shared" si="95"/>
        <v>1.002729351118014</v>
      </c>
      <c r="AI398">
        <f t="shared" si="96"/>
        <v>7.0722660729495539</v>
      </c>
      <c r="AJ398">
        <f t="shared" si="97"/>
        <v>12.227933927050444</v>
      </c>
      <c r="AL398" s="6">
        <f t="shared" si="98"/>
        <v>11.655558702236027</v>
      </c>
      <c r="AM398">
        <f t="shared" si="99"/>
        <v>7.6446412977639699</v>
      </c>
    </row>
    <row r="399" spans="1:39" ht="16.5" x14ac:dyDescent="0.25">
      <c r="A399" s="1">
        <v>45128</v>
      </c>
      <c r="B399" s="5">
        <v>10.198</v>
      </c>
      <c r="C399" s="4">
        <v>10.16</v>
      </c>
      <c r="D399" s="4">
        <v>10.256</v>
      </c>
      <c r="E399" s="4">
        <v>10.130000000000001</v>
      </c>
      <c r="F399" s="4" t="s">
        <v>1226</v>
      </c>
      <c r="G399" s="2" t="s">
        <v>861</v>
      </c>
      <c r="I399">
        <f t="shared" si="86"/>
        <v>9.5952999999999982</v>
      </c>
      <c r="J399">
        <f t="shared" si="87"/>
        <v>9.6144750000000023</v>
      </c>
      <c r="L399">
        <f t="shared" si="88"/>
        <v>1</v>
      </c>
      <c r="M399">
        <f t="shared" si="89"/>
        <v>0</v>
      </c>
      <c r="O399">
        <f t="shared" si="90"/>
        <v>3.8000000000000256E-2</v>
      </c>
      <c r="P399">
        <f t="shared" si="91"/>
        <v>0</v>
      </c>
      <c r="R399">
        <f t="shared" si="92"/>
        <v>0.10845454545454558</v>
      </c>
      <c r="S399">
        <f t="shared" si="93"/>
        <v>0.13533333333333353</v>
      </c>
      <c r="U399">
        <f t="shared" si="94"/>
        <v>44.487259167184583</v>
      </c>
      <c r="AH399">
        <f t="shared" si="95"/>
        <v>1.0043772132502506</v>
      </c>
      <c r="AI399">
        <f t="shared" si="96"/>
        <v>7.0174660729495537</v>
      </c>
      <c r="AJ399">
        <f t="shared" si="97"/>
        <v>12.173133927050444</v>
      </c>
      <c r="AL399" s="6">
        <f t="shared" si="98"/>
        <v>11.6040544265005</v>
      </c>
      <c r="AM399">
        <f t="shared" si="99"/>
        <v>7.5865455734994969</v>
      </c>
    </row>
    <row r="400" spans="1:39" ht="16.5" x14ac:dyDescent="0.25">
      <c r="A400" s="1">
        <v>45127</v>
      </c>
      <c r="B400" s="5">
        <v>10.119999999999999</v>
      </c>
      <c r="C400" s="4">
        <v>10.039999999999999</v>
      </c>
      <c r="D400" s="4">
        <v>10.206</v>
      </c>
      <c r="E400" s="4">
        <v>10.039999999999999</v>
      </c>
      <c r="F400" s="4" t="s">
        <v>1227</v>
      </c>
      <c r="G400" s="2" t="s">
        <v>835</v>
      </c>
      <c r="I400">
        <f t="shared" si="86"/>
        <v>9.5436499999999977</v>
      </c>
      <c r="J400">
        <f t="shared" si="87"/>
        <v>9.6030750000000005</v>
      </c>
      <c r="L400">
        <f t="shared" si="88"/>
        <v>1</v>
      </c>
      <c r="M400">
        <f t="shared" si="89"/>
        <v>0</v>
      </c>
      <c r="O400">
        <f t="shared" si="90"/>
        <v>8.0000000000000071E-2</v>
      </c>
      <c r="P400">
        <f t="shared" si="91"/>
        <v>0</v>
      </c>
      <c r="R400">
        <f t="shared" si="92"/>
        <v>0.1113636363636365</v>
      </c>
      <c r="S400">
        <f t="shared" si="93"/>
        <v>0.13533333333333353</v>
      </c>
      <c r="U400">
        <f t="shared" si="94"/>
        <v>45.141874462596725</v>
      </c>
      <c r="AH400">
        <f t="shared" si="95"/>
        <v>1.0056860460070876</v>
      </c>
      <c r="AI400">
        <f t="shared" si="96"/>
        <v>6.9658160729495533</v>
      </c>
      <c r="AJ400">
        <f t="shared" si="97"/>
        <v>12.121483927050441</v>
      </c>
      <c r="AL400" s="6">
        <f t="shared" si="98"/>
        <v>11.555022092014173</v>
      </c>
      <c r="AM400">
        <f t="shared" si="99"/>
        <v>7.5322779079858222</v>
      </c>
    </row>
    <row r="401" spans="1:39" ht="16.5" x14ac:dyDescent="0.25">
      <c r="A401" s="1">
        <v>45126</v>
      </c>
      <c r="B401" s="5">
        <v>10.054</v>
      </c>
      <c r="C401" s="4">
        <v>9.9489999999999998</v>
      </c>
      <c r="D401" s="4">
        <v>10.064</v>
      </c>
      <c r="E401" s="4">
        <v>9.9169999999999998</v>
      </c>
      <c r="F401" s="4" t="s">
        <v>1228</v>
      </c>
      <c r="G401" s="2" t="s">
        <v>1229</v>
      </c>
      <c r="I401">
        <f t="shared" si="86"/>
        <v>9.5026499999999992</v>
      </c>
      <c r="J401">
        <f t="shared" si="87"/>
        <v>9.5926000000000009</v>
      </c>
      <c r="L401">
        <f t="shared" si="88"/>
        <v>1</v>
      </c>
      <c r="M401">
        <f t="shared" si="89"/>
        <v>0</v>
      </c>
      <c r="O401">
        <f t="shared" si="90"/>
        <v>0.10500000000000043</v>
      </c>
      <c r="P401">
        <f t="shared" si="91"/>
        <v>0</v>
      </c>
      <c r="R401">
        <f t="shared" si="92"/>
        <v>0.10690909090909108</v>
      </c>
      <c r="S401">
        <f t="shared" si="93"/>
        <v>0.13533333333333353</v>
      </c>
      <c r="U401">
        <f t="shared" si="94"/>
        <v>44.133099824868658</v>
      </c>
      <c r="AH401">
        <f t="shared" si="95"/>
        <v>1.0066390035272805</v>
      </c>
      <c r="AI401">
        <f t="shared" si="96"/>
        <v>6.9248160729495547</v>
      </c>
      <c r="AJ401">
        <f t="shared" si="97"/>
        <v>12.080483927050444</v>
      </c>
      <c r="AL401" s="6">
        <f t="shared" si="98"/>
        <v>11.51592800705456</v>
      </c>
      <c r="AM401">
        <f t="shared" si="99"/>
        <v>7.4893719929454381</v>
      </c>
    </row>
    <row r="402" spans="1:39" ht="16.5" x14ac:dyDescent="0.25">
      <c r="A402" s="1">
        <v>45125</v>
      </c>
      <c r="B402" s="5">
        <v>9.8979999999999997</v>
      </c>
      <c r="C402" s="4">
        <v>9.83</v>
      </c>
      <c r="D402" s="4">
        <v>9.9090000000000007</v>
      </c>
      <c r="E402" s="4">
        <v>9.6929999999999996</v>
      </c>
      <c r="F402" s="4" t="s">
        <v>1230</v>
      </c>
      <c r="G402" s="2" t="s">
        <v>583</v>
      </c>
      <c r="I402">
        <f t="shared" si="86"/>
        <v>9.4717499999999983</v>
      </c>
      <c r="J402">
        <f t="shared" si="87"/>
        <v>9.5846499999999999</v>
      </c>
      <c r="L402">
        <f t="shared" si="88"/>
        <v>1</v>
      </c>
      <c r="M402">
        <f t="shared" si="89"/>
        <v>0</v>
      </c>
      <c r="O402">
        <f t="shared" si="90"/>
        <v>6.7999999999999616E-2</v>
      </c>
      <c r="P402">
        <f t="shared" si="91"/>
        <v>0</v>
      </c>
      <c r="R402">
        <f t="shared" si="92"/>
        <v>0.10536363636363659</v>
      </c>
      <c r="S402">
        <f t="shared" si="93"/>
        <v>0.13533333333333353</v>
      </c>
      <c r="U402">
        <f t="shared" si="94"/>
        <v>43.774392546896649</v>
      </c>
      <c r="AH402">
        <f t="shared" si="95"/>
        <v>1.007275599038866</v>
      </c>
      <c r="AI402">
        <f t="shared" si="96"/>
        <v>6.8939160729495539</v>
      </c>
      <c r="AJ402">
        <f t="shared" si="97"/>
        <v>12.049583927050442</v>
      </c>
      <c r="AL402" s="6">
        <f t="shared" si="98"/>
        <v>11.486301198077729</v>
      </c>
      <c r="AM402">
        <f t="shared" si="99"/>
        <v>7.4571988019222664</v>
      </c>
    </row>
    <row r="403" spans="1:39" ht="16.5" x14ac:dyDescent="0.25">
      <c r="A403" s="1">
        <v>45124</v>
      </c>
      <c r="B403" s="5">
        <v>9.8369999999999997</v>
      </c>
      <c r="C403" s="4">
        <v>9.5749999999999993</v>
      </c>
      <c r="D403" s="4">
        <v>9.8510000000000009</v>
      </c>
      <c r="E403" s="4">
        <v>9.5500000000000007</v>
      </c>
      <c r="F403" s="4" t="s">
        <v>1231</v>
      </c>
      <c r="G403" s="2" t="s">
        <v>679</v>
      </c>
      <c r="I403">
        <f t="shared" si="86"/>
        <v>9.4431499999999993</v>
      </c>
      <c r="J403">
        <f t="shared" si="87"/>
        <v>9.5863000000000014</v>
      </c>
      <c r="L403">
        <f t="shared" si="88"/>
        <v>1</v>
      </c>
      <c r="M403">
        <f t="shared" si="89"/>
        <v>0</v>
      </c>
      <c r="O403">
        <f t="shared" si="90"/>
        <v>0.26200000000000045</v>
      </c>
      <c r="P403">
        <f t="shared" si="91"/>
        <v>0</v>
      </c>
      <c r="R403">
        <f t="shared" si="92"/>
        <v>0.10190909090909127</v>
      </c>
      <c r="S403">
        <f t="shared" si="93"/>
        <v>0.13533333333333353</v>
      </c>
      <c r="U403">
        <f t="shared" si="94"/>
        <v>42.955677608890078</v>
      </c>
      <c r="AH403">
        <f t="shared" si="95"/>
        <v>1.0076439020461039</v>
      </c>
      <c r="AI403">
        <f t="shared" si="96"/>
        <v>6.8653160729495548</v>
      </c>
      <c r="AJ403">
        <f t="shared" si="97"/>
        <v>12.020983927050445</v>
      </c>
      <c r="AL403" s="6">
        <f t="shared" si="98"/>
        <v>11.458437804092206</v>
      </c>
      <c r="AM403">
        <f t="shared" si="99"/>
        <v>7.4278621959077915</v>
      </c>
    </row>
    <row r="404" spans="1:39" ht="16.5" x14ac:dyDescent="0.25">
      <c r="A404" s="1">
        <v>45121</v>
      </c>
      <c r="B404" s="5">
        <v>9.61</v>
      </c>
      <c r="C404" s="4">
        <v>9.5739999999999998</v>
      </c>
      <c r="D404" s="4">
        <v>9.8819999999999997</v>
      </c>
      <c r="E404" s="4">
        <v>9.5489999999999995</v>
      </c>
      <c r="F404" s="4" t="s">
        <v>1232</v>
      </c>
      <c r="G404" s="2" t="s">
        <v>372</v>
      </c>
      <c r="I404">
        <f t="shared" si="86"/>
        <v>9.4215499999999999</v>
      </c>
      <c r="J404">
        <f t="shared" si="87"/>
        <v>9.5870000000000015</v>
      </c>
      <c r="L404">
        <f t="shared" si="88"/>
        <v>1</v>
      </c>
      <c r="M404">
        <f t="shared" si="89"/>
        <v>0</v>
      </c>
      <c r="O404">
        <f t="shared" si="90"/>
        <v>3.5999999999999588E-2</v>
      </c>
      <c r="P404">
        <f t="shared" si="91"/>
        <v>0</v>
      </c>
      <c r="R404">
        <f t="shared" si="92"/>
        <v>8.654545454545487E-2</v>
      </c>
      <c r="S404">
        <f t="shared" si="93"/>
        <v>0.13533333333333353</v>
      </c>
      <c r="U404">
        <f t="shared" si="94"/>
        <v>39.005736137667363</v>
      </c>
      <c r="AH404">
        <f t="shared" si="95"/>
        <v>1.0077417416995749</v>
      </c>
      <c r="AI404">
        <f t="shared" si="96"/>
        <v>6.8437160729495554</v>
      </c>
      <c r="AJ404">
        <f t="shared" si="97"/>
        <v>11.999383927050445</v>
      </c>
      <c r="AL404" s="6">
        <f t="shared" si="98"/>
        <v>11.43703348339915</v>
      </c>
      <c r="AM404">
        <f t="shared" si="99"/>
        <v>7.4060665166008501</v>
      </c>
    </row>
    <row r="405" spans="1:39" ht="16.5" x14ac:dyDescent="0.25">
      <c r="A405" s="1">
        <v>45120</v>
      </c>
      <c r="B405" s="5">
        <v>9.593</v>
      </c>
      <c r="C405" s="4">
        <v>9.4339999999999993</v>
      </c>
      <c r="D405" s="4">
        <v>9.6479999999999997</v>
      </c>
      <c r="E405" s="4">
        <v>9.391</v>
      </c>
      <c r="F405" s="4" t="s">
        <v>1233</v>
      </c>
      <c r="G405" s="2" t="s">
        <v>783</v>
      </c>
      <c r="I405">
        <f t="shared" si="86"/>
        <v>9.4164999999999992</v>
      </c>
      <c r="J405">
        <f t="shared" si="87"/>
        <v>9.5912499999999987</v>
      </c>
      <c r="L405">
        <f t="shared" si="88"/>
        <v>1</v>
      </c>
      <c r="M405">
        <f t="shared" si="89"/>
        <v>0</v>
      </c>
      <c r="O405">
        <f t="shared" si="90"/>
        <v>0.1590000000000007</v>
      </c>
      <c r="P405">
        <f t="shared" si="91"/>
        <v>0</v>
      </c>
      <c r="R405">
        <f t="shared" si="92"/>
        <v>8.4363636363636765E-2</v>
      </c>
      <c r="S405">
        <f t="shared" si="93"/>
        <v>0.13533333333333353</v>
      </c>
      <c r="U405">
        <f t="shared" si="94"/>
        <v>38.400000000000077</v>
      </c>
      <c r="AH405">
        <f t="shared" si="95"/>
        <v>1.0076065749639518</v>
      </c>
      <c r="AI405">
        <f t="shared" si="96"/>
        <v>6.8386660729495548</v>
      </c>
      <c r="AJ405">
        <f t="shared" si="97"/>
        <v>11.994333927050445</v>
      </c>
      <c r="AL405" s="6">
        <f t="shared" si="98"/>
        <v>11.431713149927903</v>
      </c>
      <c r="AM405">
        <f t="shared" si="99"/>
        <v>7.4012868500720952</v>
      </c>
    </row>
    <row r="406" spans="1:39" ht="16.5" x14ac:dyDescent="0.25">
      <c r="A406" s="1">
        <v>45119</v>
      </c>
      <c r="B406" s="5">
        <v>9.4429999999999996</v>
      </c>
      <c r="C406" s="4">
        <v>9.41</v>
      </c>
      <c r="D406" s="4">
        <v>9.4619999999999997</v>
      </c>
      <c r="E406" s="4">
        <v>9.2590000000000003</v>
      </c>
      <c r="F406" s="4" t="s">
        <v>1234</v>
      </c>
      <c r="G406" s="2" t="s">
        <v>497</v>
      </c>
      <c r="I406">
        <f t="shared" si="86"/>
        <v>9.4186500000000013</v>
      </c>
      <c r="J406">
        <f t="shared" si="87"/>
        <v>9.5954250000000023</v>
      </c>
      <c r="L406">
        <f t="shared" si="88"/>
        <v>1</v>
      </c>
      <c r="M406">
        <f t="shared" si="89"/>
        <v>0</v>
      </c>
      <c r="O406">
        <f t="shared" si="90"/>
        <v>3.2999999999999474E-2</v>
      </c>
      <c r="P406">
        <f t="shared" si="91"/>
        <v>0</v>
      </c>
      <c r="R406">
        <f t="shared" si="92"/>
        <v>7.6900000000000371E-2</v>
      </c>
      <c r="S406">
        <f t="shared" si="93"/>
        <v>0.12275000000000036</v>
      </c>
      <c r="U406">
        <f t="shared" si="94"/>
        <v>38.517405459554269</v>
      </c>
      <c r="AH406">
        <f t="shared" si="95"/>
        <v>1.0073613781568782</v>
      </c>
      <c r="AI406">
        <f t="shared" si="96"/>
        <v>6.8408160729495568</v>
      </c>
      <c r="AJ406">
        <f t="shared" si="97"/>
        <v>11.996483927050445</v>
      </c>
      <c r="AL406" s="6">
        <f t="shared" si="98"/>
        <v>11.433372756313759</v>
      </c>
      <c r="AM406">
        <f t="shared" si="99"/>
        <v>7.4039272436862449</v>
      </c>
    </row>
    <row r="407" spans="1:39" ht="16.5" x14ac:dyDescent="0.25">
      <c r="A407" s="1">
        <v>45118</v>
      </c>
      <c r="B407" s="5">
        <v>9.4770000000000003</v>
      </c>
      <c r="C407" s="4">
        <v>9.42</v>
      </c>
      <c r="D407" s="4">
        <v>9.4870000000000001</v>
      </c>
      <c r="E407" s="4">
        <v>9.2989999999999995</v>
      </c>
      <c r="F407" s="4" t="s">
        <v>1021</v>
      </c>
      <c r="G407" s="2" t="s">
        <v>26</v>
      </c>
      <c r="I407">
        <f t="shared" si="86"/>
        <v>9.4429999999999996</v>
      </c>
      <c r="J407">
        <f t="shared" si="87"/>
        <v>9.6016249999999985</v>
      </c>
      <c r="L407">
        <f t="shared" si="88"/>
        <v>1</v>
      </c>
      <c r="M407">
        <f t="shared" si="89"/>
        <v>0</v>
      </c>
      <c r="O407">
        <f t="shared" si="90"/>
        <v>5.7000000000000384E-2</v>
      </c>
      <c r="P407">
        <f t="shared" si="91"/>
        <v>0</v>
      </c>
      <c r="R407">
        <f t="shared" si="92"/>
        <v>8.1777777777778241E-2</v>
      </c>
      <c r="S407">
        <f t="shared" si="93"/>
        <v>0.10820000000000007</v>
      </c>
      <c r="U407">
        <f t="shared" si="94"/>
        <v>43.045970288922796</v>
      </c>
      <c r="AH407">
        <f t="shared" si="95"/>
        <v>1.0070612317379484</v>
      </c>
      <c r="AI407">
        <f t="shared" si="96"/>
        <v>6.8651660729495552</v>
      </c>
      <c r="AJ407">
        <f t="shared" si="97"/>
        <v>12.020833927050443</v>
      </c>
      <c r="AL407" s="6">
        <f t="shared" si="98"/>
        <v>11.457122463475896</v>
      </c>
      <c r="AM407">
        <f t="shared" si="99"/>
        <v>7.4288775365241033</v>
      </c>
    </row>
    <row r="408" spans="1:39" ht="16.5" x14ac:dyDescent="0.25">
      <c r="A408" s="1">
        <v>45117</v>
      </c>
      <c r="B408" s="5">
        <v>9.4260000000000002</v>
      </c>
      <c r="C408" s="4">
        <v>9.25</v>
      </c>
      <c r="D408" s="4">
        <v>9.468</v>
      </c>
      <c r="E408" s="4">
        <v>9.2270000000000003</v>
      </c>
      <c r="F408" s="4" t="s">
        <v>1235</v>
      </c>
      <c r="G408" s="2" t="s">
        <v>442</v>
      </c>
      <c r="I408">
        <f t="shared" si="86"/>
        <v>9.4621499999999976</v>
      </c>
      <c r="J408">
        <f t="shared" si="87"/>
        <v>9.6048749999999981</v>
      </c>
      <c r="L408">
        <f t="shared" si="88"/>
        <v>1</v>
      </c>
      <c r="M408">
        <f t="shared" si="89"/>
        <v>0</v>
      </c>
      <c r="O408">
        <f t="shared" si="90"/>
        <v>0.17600000000000016</v>
      </c>
      <c r="P408">
        <f t="shared" si="91"/>
        <v>0</v>
      </c>
      <c r="R408">
        <f t="shared" si="92"/>
        <v>8.9000000000000412E-2</v>
      </c>
      <c r="S408">
        <f t="shared" si="93"/>
        <v>0.10820000000000007</v>
      </c>
      <c r="U408">
        <f t="shared" si="94"/>
        <v>45.131845841785079</v>
      </c>
      <c r="AH408">
        <f t="shared" si="95"/>
        <v>1.0068904757576296</v>
      </c>
      <c r="AI408">
        <f t="shared" si="96"/>
        <v>6.8843160729495532</v>
      </c>
      <c r="AJ408">
        <f t="shared" si="97"/>
        <v>12.039983927050443</v>
      </c>
      <c r="AL408" s="6">
        <f t="shared" si="98"/>
        <v>11.475930951515256</v>
      </c>
      <c r="AM408">
        <f t="shared" si="99"/>
        <v>7.4483690484847385</v>
      </c>
    </row>
    <row r="409" spans="1:39" ht="16.5" x14ac:dyDescent="0.25">
      <c r="A409" s="1">
        <v>45114</v>
      </c>
      <c r="B409" s="5">
        <v>9.2759999999999998</v>
      </c>
      <c r="C409" s="4">
        <v>9.0969999999999995</v>
      </c>
      <c r="D409" s="4">
        <v>9.3070000000000004</v>
      </c>
      <c r="E409" s="4">
        <v>9.0830000000000002</v>
      </c>
      <c r="F409" s="4" t="s">
        <v>1236</v>
      </c>
      <c r="G409" s="2" t="s">
        <v>732</v>
      </c>
      <c r="I409">
        <f t="shared" si="86"/>
        <v>9.4836500000000008</v>
      </c>
      <c r="J409">
        <f t="shared" si="87"/>
        <v>9.6122750000000003</v>
      </c>
      <c r="L409">
        <f t="shared" si="88"/>
        <v>1</v>
      </c>
      <c r="M409">
        <f t="shared" si="89"/>
        <v>0</v>
      </c>
      <c r="O409">
        <f t="shared" si="90"/>
        <v>0.17900000000000027</v>
      </c>
      <c r="P409">
        <f t="shared" si="91"/>
        <v>0</v>
      </c>
      <c r="R409">
        <f t="shared" si="92"/>
        <v>7.8125000000000444E-2</v>
      </c>
      <c r="S409">
        <f t="shared" si="93"/>
        <v>9.3333333333333421E-2</v>
      </c>
      <c r="U409">
        <f t="shared" si="94"/>
        <v>45.56500607533426</v>
      </c>
      <c r="AH409">
        <f t="shared" si="95"/>
        <v>1.0068076631977929</v>
      </c>
      <c r="AI409">
        <f t="shared" si="96"/>
        <v>6.9058160729495564</v>
      </c>
      <c r="AJ409">
        <f t="shared" si="97"/>
        <v>12.061483927050446</v>
      </c>
      <c r="AL409" s="6">
        <f t="shared" si="98"/>
        <v>11.497265326395587</v>
      </c>
      <c r="AM409">
        <f t="shared" si="99"/>
        <v>7.470034673604415</v>
      </c>
    </row>
    <row r="410" spans="1:39" ht="16.5" x14ac:dyDescent="0.25">
      <c r="A410" s="1">
        <v>45113</v>
      </c>
      <c r="B410" s="5">
        <v>9.0820000000000007</v>
      </c>
      <c r="C410" s="4">
        <v>9.3190000000000008</v>
      </c>
      <c r="D410" s="4">
        <v>9.3680000000000003</v>
      </c>
      <c r="E410" s="4">
        <v>9.0489999999999995</v>
      </c>
      <c r="F410" s="4" t="s">
        <v>1237</v>
      </c>
      <c r="G410" s="2" t="s">
        <v>1238</v>
      </c>
      <c r="I410">
        <f t="shared" si="86"/>
        <v>9.5119999999999987</v>
      </c>
      <c r="J410">
        <f t="shared" si="87"/>
        <v>9.6207749999999983</v>
      </c>
      <c r="L410">
        <f t="shared" si="88"/>
        <v>0</v>
      </c>
      <c r="M410">
        <f t="shared" si="89"/>
        <v>1</v>
      </c>
      <c r="O410">
        <f t="shared" si="90"/>
        <v>0</v>
      </c>
      <c r="P410">
        <f t="shared" si="91"/>
        <v>0.2370000000000001</v>
      </c>
      <c r="R410">
        <f t="shared" si="92"/>
        <v>6.3714285714286181E-2</v>
      </c>
      <c r="S410">
        <f t="shared" si="93"/>
        <v>8.8571428571428718E-2</v>
      </c>
      <c r="U410">
        <f t="shared" si="94"/>
        <v>41.838649155722464</v>
      </c>
      <c r="AH410">
        <f t="shared" si="95"/>
        <v>1.0068336623887124</v>
      </c>
      <c r="AI410">
        <f t="shared" si="96"/>
        <v>6.9341660729495542</v>
      </c>
      <c r="AJ410">
        <f t="shared" si="97"/>
        <v>12.089833927050442</v>
      </c>
      <c r="AL410" s="6">
        <f t="shared" si="98"/>
        <v>11.525667324777423</v>
      </c>
      <c r="AM410">
        <f t="shared" si="99"/>
        <v>7.4983326752225743</v>
      </c>
    </row>
    <row r="411" spans="1:39" ht="16.5" x14ac:dyDescent="0.25">
      <c r="A411" s="1">
        <v>45112</v>
      </c>
      <c r="B411" s="5">
        <v>9.4939999999999998</v>
      </c>
      <c r="C411" s="4">
        <v>9.5440000000000005</v>
      </c>
      <c r="D411" s="4">
        <v>9.5879999999999992</v>
      </c>
      <c r="E411" s="4">
        <v>9.4580000000000002</v>
      </c>
      <c r="F411" s="4" t="s">
        <v>1239</v>
      </c>
      <c r="G411" s="2" t="s">
        <v>727</v>
      </c>
      <c r="I411">
        <f t="shared" si="86"/>
        <v>9.5510499999999965</v>
      </c>
      <c r="J411">
        <f t="shared" si="87"/>
        <v>9.633424999999999</v>
      </c>
      <c r="L411">
        <f t="shared" si="88"/>
        <v>0</v>
      </c>
      <c r="M411">
        <f t="shared" si="89"/>
        <v>1</v>
      </c>
      <c r="O411">
        <f t="shared" si="90"/>
        <v>0</v>
      </c>
      <c r="P411">
        <f t="shared" si="91"/>
        <v>5.0000000000000711E-2</v>
      </c>
      <c r="R411">
        <f t="shared" si="92"/>
        <v>6.3714285714286181E-2</v>
      </c>
      <c r="S411">
        <f t="shared" si="93"/>
        <v>7.1571428571428744E-2</v>
      </c>
      <c r="U411">
        <f t="shared" si="94"/>
        <v>47.096092925026525</v>
      </c>
      <c r="AH411">
        <f t="shared" si="95"/>
        <v>1.0070262403221655</v>
      </c>
      <c r="AI411">
        <f t="shared" si="96"/>
        <v>6.973216072949552</v>
      </c>
      <c r="AJ411">
        <f t="shared" si="97"/>
        <v>12.128883927050442</v>
      </c>
      <c r="AL411" s="6">
        <f t="shared" si="98"/>
        <v>11.565102480644327</v>
      </c>
      <c r="AM411">
        <f t="shared" si="99"/>
        <v>7.5369975193556655</v>
      </c>
    </row>
    <row r="412" spans="1:39" ht="16.5" x14ac:dyDescent="0.25">
      <c r="A412" s="1">
        <v>45111</v>
      </c>
      <c r="B412" s="5">
        <v>9.6310000000000002</v>
      </c>
      <c r="C412" s="4">
        <v>9.75</v>
      </c>
      <c r="D412" s="4">
        <v>9.7910000000000004</v>
      </c>
      <c r="E412" s="4">
        <v>9.6219999999999999</v>
      </c>
      <c r="F412" s="4" t="s">
        <v>1240</v>
      </c>
      <c r="G412" s="2" t="s">
        <v>272</v>
      </c>
      <c r="I412">
        <f t="shared" si="86"/>
        <v>9.5669499999999985</v>
      </c>
      <c r="J412">
        <f t="shared" si="87"/>
        <v>9.6389749999999985</v>
      </c>
      <c r="L412">
        <f t="shared" si="88"/>
        <v>0</v>
      </c>
      <c r="M412">
        <f t="shared" si="89"/>
        <v>1</v>
      </c>
      <c r="O412">
        <f t="shared" si="90"/>
        <v>0</v>
      </c>
      <c r="P412">
        <f t="shared" si="91"/>
        <v>0.11899999999999977</v>
      </c>
      <c r="R412">
        <f t="shared" si="92"/>
        <v>6.3714285714286181E-2</v>
      </c>
      <c r="S412">
        <f t="shared" si="93"/>
        <v>9.8142857142857309E-2</v>
      </c>
      <c r="U412">
        <f t="shared" si="94"/>
        <v>39.364518976169599</v>
      </c>
      <c r="AH412">
        <f t="shared" si="95"/>
        <v>1.0074727368678837</v>
      </c>
      <c r="AI412">
        <f t="shared" si="96"/>
        <v>6.9891160729495541</v>
      </c>
      <c r="AJ412">
        <f t="shared" si="97"/>
        <v>12.144783927050444</v>
      </c>
      <c r="AL412" s="6">
        <f t="shared" si="98"/>
        <v>11.581895473735766</v>
      </c>
      <c r="AM412">
        <f t="shared" si="99"/>
        <v>7.5520045262642306</v>
      </c>
    </row>
    <row r="413" spans="1:39" ht="16.5" x14ac:dyDescent="0.25">
      <c r="A413" s="1">
        <v>45110</v>
      </c>
      <c r="B413" s="5">
        <v>9.73</v>
      </c>
      <c r="C413" s="4">
        <v>9.66</v>
      </c>
      <c r="D413" s="4">
        <v>9.7690000000000001</v>
      </c>
      <c r="E413" s="4">
        <v>9.6359999999999992</v>
      </c>
      <c r="F413" s="4" t="s">
        <v>1241</v>
      </c>
      <c r="G413" s="2" t="s">
        <v>149</v>
      </c>
      <c r="I413">
        <f t="shared" si="86"/>
        <v>9.5745999999999967</v>
      </c>
      <c r="J413">
        <f t="shared" si="87"/>
        <v>9.639974999999998</v>
      </c>
      <c r="L413">
        <f t="shared" si="88"/>
        <v>1</v>
      </c>
      <c r="M413">
        <f t="shared" si="89"/>
        <v>0</v>
      </c>
      <c r="O413">
        <f t="shared" si="90"/>
        <v>7.0000000000000284E-2</v>
      </c>
      <c r="P413">
        <f t="shared" si="91"/>
        <v>0</v>
      </c>
      <c r="R413">
        <f t="shared" si="92"/>
        <v>5.950000000000033E-2</v>
      </c>
      <c r="S413">
        <f t="shared" si="93"/>
        <v>9.4666666666666899E-2</v>
      </c>
      <c r="U413">
        <f t="shared" si="94"/>
        <v>38.594594594594668</v>
      </c>
      <c r="AH413">
        <f t="shared" si="95"/>
        <v>1.0079903623600963</v>
      </c>
      <c r="AI413">
        <f t="shared" si="96"/>
        <v>6.9967660729495522</v>
      </c>
      <c r="AJ413">
        <f t="shared" si="97"/>
        <v>12.152433927050442</v>
      </c>
      <c r="AL413" s="6">
        <f t="shared" si="98"/>
        <v>11.590580724720189</v>
      </c>
      <c r="AM413">
        <f t="shared" si="99"/>
        <v>7.5586192752798045</v>
      </c>
    </row>
    <row r="414" spans="1:39" ht="16.5" x14ac:dyDescent="0.25">
      <c r="A414" s="1">
        <v>45107</v>
      </c>
      <c r="B414" s="5">
        <v>9.6180000000000003</v>
      </c>
      <c r="C414" s="4">
        <v>9.5869999999999997</v>
      </c>
      <c r="D414" s="4">
        <v>9.6940000000000008</v>
      </c>
      <c r="E414" s="4">
        <v>9.5440000000000005</v>
      </c>
      <c r="F414" s="4" t="s">
        <v>1242</v>
      </c>
      <c r="G414" s="2" t="s">
        <v>1147</v>
      </c>
      <c r="I414">
        <f t="shared" si="86"/>
        <v>9.5728999999999989</v>
      </c>
      <c r="J414">
        <f t="shared" si="87"/>
        <v>9.6385749999999977</v>
      </c>
      <c r="L414">
        <f t="shared" si="88"/>
        <v>1</v>
      </c>
      <c r="M414">
        <f t="shared" si="89"/>
        <v>0</v>
      </c>
      <c r="O414">
        <f t="shared" si="90"/>
        <v>3.1000000000000583E-2</v>
      </c>
      <c r="P414">
        <f t="shared" si="91"/>
        <v>0</v>
      </c>
      <c r="R414">
        <f t="shared" si="92"/>
        <v>5.8000000000000336E-2</v>
      </c>
      <c r="S414">
        <f t="shared" si="93"/>
        <v>8.257142857142874E-2</v>
      </c>
      <c r="U414">
        <f t="shared" si="94"/>
        <v>41.260162601626106</v>
      </c>
      <c r="AH414">
        <f t="shared" si="95"/>
        <v>1.0085142626960015</v>
      </c>
      <c r="AI414">
        <f t="shared" si="96"/>
        <v>6.9950660729495544</v>
      </c>
      <c r="AJ414">
        <f t="shared" si="97"/>
        <v>12.150733927050442</v>
      </c>
      <c r="AL414" s="6">
        <f t="shared" si="98"/>
        <v>11.589928525392002</v>
      </c>
      <c r="AM414">
        <f t="shared" si="99"/>
        <v>7.5558714746079954</v>
      </c>
    </row>
    <row r="415" spans="1:39" ht="16.5" x14ac:dyDescent="0.25">
      <c r="A415" s="1">
        <v>45106</v>
      </c>
      <c r="B415" s="5">
        <v>9.5180000000000007</v>
      </c>
      <c r="C415" s="4">
        <v>9.43</v>
      </c>
      <c r="D415" s="4">
        <v>9.5449999999999999</v>
      </c>
      <c r="E415" s="4">
        <v>9.3800000000000008</v>
      </c>
      <c r="F415" s="4" t="s">
        <v>1243</v>
      </c>
      <c r="G415" s="2" t="s">
        <v>748</v>
      </c>
      <c r="I415">
        <f t="shared" si="86"/>
        <v>9.5850999999999988</v>
      </c>
      <c r="J415">
        <f t="shared" si="87"/>
        <v>9.6397499999999958</v>
      </c>
      <c r="L415">
        <f t="shared" si="88"/>
        <v>1</v>
      </c>
      <c r="M415">
        <f t="shared" si="89"/>
        <v>0</v>
      </c>
      <c r="O415">
        <f t="shared" si="90"/>
        <v>8.8000000000000966E-2</v>
      </c>
      <c r="P415">
        <f t="shared" si="91"/>
        <v>0</v>
      </c>
      <c r="R415">
        <f t="shared" si="92"/>
        <v>6.2500000000000291E-2</v>
      </c>
      <c r="S415">
        <f t="shared" si="93"/>
        <v>7.2750000000000092E-2</v>
      </c>
      <c r="U415">
        <f t="shared" si="94"/>
        <v>46.210720887245927</v>
      </c>
      <c r="AH415">
        <f t="shared" si="95"/>
        <v>1.0089678384774563</v>
      </c>
      <c r="AI415">
        <f t="shared" si="96"/>
        <v>7.0072660729495544</v>
      </c>
      <c r="AJ415">
        <f t="shared" si="97"/>
        <v>12.162933927050442</v>
      </c>
      <c r="AL415" s="6">
        <f t="shared" si="98"/>
        <v>11.603035676954912</v>
      </c>
      <c r="AM415">
        <f t="shared" si="99"/>
        <v>7.5671643230450858</v>
      </c>
    </row>
    <row r="416" spans="1:39" ht="16.5" x14ac:dyDescent="0.25">
      <c r="A416" s="1">
        <v>45105</v>
      </c>
      <c r="B416" s="5">
        <v>9.3800000000000008</v>
      </c>
      <c r="C416" s="4">
        <v>9.35</v>
      </c>
      <c r="D416" s="4">
        <v>9.4030000000000005</v>
      </c>
      <c r="E416" s="4">
        <v>9.2460000000000004</v>
      </c>
      <c r="F416" s="4" t="s">
        <v>1244</v>
      </c>
      <c r="G416" s="2" t="s">
        <v>233</v>
      </c>
      <c r="I416">
        <f t="shared" si="86"/>
        <v>9.5881000000000007</v>
      </c>
      <c r="J416">
        <f t="shared" si="87"/>
        <v>9.6329749999999983</v>
      </c>
      <c r="L416">
        <f t="shared" si="88"/>
        <v>1</v>
      </c>
      <c r="M416">
        <f t="shared" si="89"/>
        <v>0</v>
      </c>
      <c r="O416">
        <f t="shared" si="90"/>
        <v>3.0000000000001137E-2</v>
      </c>
      <c r="P416">
        <f t="shared" si="91"/>
        <v>0</v>
      </c>
      <c r="R416">
        <f t="shared" si="92"/>
        <v>5.7400000000000159E-2</v>
      </c>
      <c r="S416">
        <f t="shared" si="93"/>
        <v>6.7777777777777909E-2</v>
      </c>
      <c r="U416">
        <f t="shared" si="94"/>
        <v>45.854784306763733</v>
      </c>
      <c r="AH416">
        <f t="shared" si="95"/>
        <v>1.009462400617742</v>
      </c>
      <c r="AI416">
        <f t="shared" si="96"/>
        <v>7.0102660729495563</v>
      </c>
      <c r="AJ416">
        <f t="shared" si="97"/>
        <v>12.165933927050446</v>
      </c>
      <c r="AL416" s="6">
        <f t="shared" si="98"/>
        <v>11.607024801235484</v>
      </c>
      <c r="AM416">
        <f t="shared" si="99"/>
        <v>7.5691751987645173</v>
      </c>
    </row>
    <row r="417" spans="1:39" ht="16.5" x14ac:dyDescent="0.25">
      <c r="A417" s="1">
        <v>45104</v>
      </c>
      <c r="B417" s="5">
        <v>9.343</v>
      </c>
      <c r="C417" s="4">
        <v>9.25</v>
      </c>
      <c r="D417" s="4">
        <v>9.3480000000000008</v>
      </c>
      <c r="E417" s="4">
        <v>9.1419999999999995</v>
      </c>
      <c r="F417" s="4" t="s">
        <v>1245</v>
      </c>
      <c r="G417" s="2" t="s">
        <v>247</v>
      </c>
      <c r="I417">
        <f t="shared" si="86"/>
        <v>9.5929000000000002</v>
      </c>
      <c r="J417">
        <f t="shared" si="87"/>
        <v>9.6375999999999991</v>
      </c>
      <c r="L417">
        <f t="shared" si="88"/>
        <v>1</v>
      </c>
      <c r="M417">
        <f t="shared" si="89"/>
        <v>0</v>
      </c>
      <c r="O417">
        <f t="shared" si="90"/>
        <v>9.2999999999999972E-2</v>
      </c>
      <c r="P417">
        <f t="shared" si="91"/>
        <v>0</v>
      </c>
      <c r="R417">
        <f t="shared" si="92"/>
        <v>6.4249999999999918E-2</v>
      </c>
      <c r="S417">
        <f t="shared" si="93"/>
        <v>6.2600000000000128E-2</v>
      </c>
      <c r="U417">
        <f t="shared" si="94"/>
        <v>50.650374458021211</v>
      </c>
      <c r="AH417">
        <f t="shared" si="95"/>
        <v>1.0099222206972187</v>
      </c>
      <c r="AI417">
        <f t="shared" si="96"/>
        <v>7.0150660729495558</v>
      </c>
      <c r="AJ417">
        <f t="shared" si="97"/>
        <v>12.170733927050446</v>
      </c>
      <c r="AL417" s="6">
        <f t="shared" si="98"/>
        <v>11.612744441394437</v>
      </c>
      <c r="AM417">
        <f t="shared" si="99"/>
        <v>7.5730555586055628</v>
      </c>
    </row>
    <row r="418" spans="1:39" ht="16.5" x14ac:dyDescent="0.25">
      <c r="A418" s="1">
        <v>45103</v>
      </c>
      <c r="B418" s="5">
        <v>9.1780000000000008</v>
      </c>
      <c r="C418" s="4">
        <v>9.1660000000000004</v>
      </c>
      <c r="D418" s="4">
        <v>9.2219999999999995</v>
      </c>
      <c r="E418" s="4">
        <v>8.9030000000000005</v>
      </c>
      <c r="F418" s="4" t="s">
        <v>1246</v>
      </c>
      <c r="G418" s="2" t="s">
        <v>438</v>
      </c>
      <c r="I418">
        <f t="shared" si="86"/>
        <v>9.6080500000000004</v>
      </c>
      <c r="J418">
        <f t="shared" si="87"/>
        <v>9.6448499999999964</v>
      </c>
      <c r="L418">
        <f t="shared" si="88"/>
        <v>1</v>
      </c>
      <c r="M418">
        <f t="shared" si="89"/>
        <v>0</v>
      </c>
      <c r="O418">
        <f t="shared" si="90"/>
        <v>1.2000000000000455E-2</v>
      </c>
      <c r="P418">
        <f t="shared" si="91"/>
        <v>0</v>
      </c>
      <c r="R418">
        <f t="shared" si="92"/>
        <v>5.4666666666666565E-2</v>
      </c>
      <c r="S418">
        <f t="shared" si="93"/>
        <v>5.8272727272727434E-2</v>
      </c>
      <c r="U418">
        <f t="shared" si="94"/>
        <v>48.403541722564945</v>
      </c>
      <c r="AH418">
        <f t="shared" si="95"/>
        <v>1.010360407012965</v>
      </c>
      <c r="AI418">
        <f t="shared" si="96"/>
        <v>7.030216072949556</v>
      </c>
      <c r="AJ418">
        <f t="shared" si="97"/>
        <v>12.185883927050444</v>
      </c>
      <c r="AL418" s="6">
        <f t="shared" si="98"/>
        <v>11.62877081402593</v>
      </c>
      <c r="AM418">
        <f t="shared" si="99"/>
        <v>7.5873291859740704</v>
      </c>
    </row>
    <row r="419" spans="1:39" ht="16.5" x14ac:dyDescent="0.25">
      <c r="A419" s="1">
        <v>45100</v>
      </c>
      <c r="B419" s="5">
        <v>9.1649999999999991</v>
      </c>
      <c r="C419" s="4">
        <v>9.25</v>
      </c>
      <c r="D419" s="4">
        <v>9.282</v>
      </c>
      <c r="E419" s="4">
        <v>9.1189999999999998</v>
      </c>
      <c r="F419" s="4" t="s">
        <v>1247</v>
      </c>
      <c r="G419" s="2" t="s">
        <v>1248</v>
      </c>
      <c r="I419">
        <f t="shared" si="86"/>
        <v>9.6336499999999994</v>
      </c>
      <c r="J419">
        <f t="shared" si="87"/>
        <v>9.6639749999999989</v>
      </c>
      <c r="L419">
        <f t="shared" si="88"/>
        <v>0</v>
      </c>
      <c r="M419">
        <f t="shared" si="89"/>
        <v>1</v>
      </c>
      <c r="O419">
        <f t="shared" si="90"/>
        <v>0</v>
      </c>
      <c r="P419">
        <f t="shared" si="91"/>
        <v>8.5000000000000853E-2</v>
      </c>
      <c r="R419">
        <f t="shared" si="92"/>
        <v>9.9333333333333343E-2</v>
      </c>
      <c r="S419">
        <f t="shared" si="93"/>
        <v>5.8272727272727434E-2</v>
      </c>
      <c r="U419">
        <f t="shared" si="94"/>
        <v>63.026341088252195</v>
      </c>
      <c r="AH419">
        <f t="shared" si="95"/>
        <v>1.0108633436853987</v>
      </c>
      <c r="AI419">
        <f t="shared" si="96"/>
        <v>7.0558160729495549</v>
      </c>
      <c r="AJ419">
        <f t="shared" si="97"/>
        <v>12.211483927050445</v>
      </c>
      <c r="AL419" s="6">
        <f t="shared" si="98"/>
        <v>11.655376687370797</v>
      </c>
      <c r="AM419">
        <f t="shared" si="99"/>
        <v>7.6119233126292016</v>
      </c>
    </row>
    <row r="420" spans="1:39" ht="16.5" x14ac:dyDescent="0.25">
      <c r="A420" s="1">
        <v>45099</v>
      </c>
      <c r="B420" s="5">
        <v>9.3000000000000007</v>
      </c>
      <c r="C420" s="4">
        <v>9.35</v>
      </c>
      <c r="D420" s="4">
        <v>9.3510000000000009</v>
      </c>
      <c r="E420" s="4">
        <v>9.1709999999999994</v>
      </c>
      <c r="F420" s="4" t="s">
        <v>1249</v>
      </c>
      <c r="G420" s="2" t="s">
        <v>446</v>
      </c>
      <c r="I420">
        <f t="shared" si="86"/>
        <v>9.6624999999999979</v>
      </c>
      <c r="J420">
        <f t="shared" si="87"/>
        <v>9.6796999999999969</v>
      </c>
      <c r="L420">
        <f t="shared" si="88"/>
        <v>0</v>
      </c>
      <c r="M420">
        <f t="shared" si="89"/>
        <v>1</v>
      </c>
      <c r="O420">
        <f t="shared" si="90"/>
        <v>0</v>
      </c>
      <c r="P420">
        <f t="shared" si="91"/>
        <v>4.9999999999998934E-2</v>
      </c>
      <c r="R420">
        <f t="shared" si="92"/>
        <v>9.9333333333333343E-2</v>
      </c>
      <c r="S420">
        <f t="shared" si="93"/>
        <v>6.909090909090923E-2</v>
      </c>
      <c r="U420">
        <f t="shared" si="94"/>
        <v>58.978049658150368</v>
      </c>
      <c r="AH420">
        <f t="shared" si="95"/>
        <v>1.0115200733982108</v>
      </c>
      <c r="AI420">
        <f t="shared" si="96"/>
        <v>7.0846660729495534</v>
      </c>
      <c r="AJ420">
        <f t="shared" si="97"/>
        <v>12.240333927050443</v>
      </c>
      <c r="AL420" s="6">
        <f t="shared" si="98"/>
        <v>11.68554014679642</v>
      </c>
      <c r="AM420">
        <f t="shared" si="99"/>
        <v>7.6394598532035758</v>
      </c>
    </row>
    <row r="421" spans="1:39" ht="16.5" x14ac:dyDescent="0.25">
      <c r="A421" s="1">
        <v>45098</v>
      </c>
      <c r="B421" s="5">
        <v>9.4359999999999999</v>
      </c>
      <c r="C421" s="4">
        <v>9.3140000000000001</v>
      </c>
      <c r="D421" s="4">
        <v>9.5139999999999993</v>
      </c>
      <c r="E421" s="4">
        <v>9.2509999999999994</v>
      </c>
      <c r="F421" s="4" t="s">
        <v>1250</v>
      </c>
      <c r="G421" s="2" t="s">
        <v>130</v>
      </c>
      <c r="I421">
        <f t="shared" si="86"/>
        <v>9.6825500000000009</v>
      </c>
      <c r="J421">
        <f t="shared" si="87"/>
        <v>9.6861499999999978</v>
      </c>
      <c r="L421">
        <f t="shared" si="88"/>
        <v>1</v>
      </c>
      <c r="M421">
        <f t="shared" si="89"/>
        <v>0</v>
      </c>
      <c r="O421">
        <f t="shared" si="90"/>
        <v>0.12199999999999989</v>
      </c>
      <c r="P421">
        <f t="shared" si="91"/>
        <v>0</v>
      </c>
      <c r="R421">
        <f t="shared" si="92"/>
        <v>0.13525000000000009</v>
      </c>
      <c r="S421">
        <f t="shared" si="93"/>
        <v>7.1000000000000257E-2</v>
      </c>
      <c r="U421">
        <f t="shared" si="94"/>
        <v>65.575757575757507</v>
      </c>
      <c r="AH421">
        <f t="shared" si="95"/>
        <v>1.0123593382556197</v>
      </c>
      <c r="AI421">
        <f t="shared" si="96"/>
        <v>7.1047160729495564</v>
      </c>
      <c r="AJ421">
        <f t="shared" si="97"/>
        <v>12.260383927050444</v>
      </c>
      <c r="AL421" s="6">
        <f t="shared" si="98"/>
        <v>11.707268676511241</v>
      </c>
      <c r="AM421">
        <f t="shared" si="99"/>
        <v>7.6578313234887609</v>
      </c>
    </row>
    <row r="422" spans="1:39" ht="16.5" x14ac:dyDescent="0.25">
      <c r="A422" s="1">
        <v>45097</v>
      </c>
      <c r="B422" s="5">
        <v>9.3260000000000005</v>
      </c>
      <c r="C422" s="4">
        <v>9.3450000000000006</v>
      </c>
      <c r="D422" s="4">
        <v>9.4350000000000005</v>
      </c>
      <c r="E422" s="4">
        <v>9.3049999999999997</v>
      </c>
      <c r="F422" s="4" t="s">
        <v>1251</v>
      </c>
      <c r="G422" s="2" t="s">
        <v>1221</v>
      </c>
      <c r="I422">
        <f t="shared" si="86"/>
        <v>9.6975499999999979</v>
      </c>
      <c r="J422">
        <f t="shared" si="87"/>
        <v>9.6881999999999984</v>
      </c>
      <c r="L422">
        <f t="shared" si="88"/>
        <v>0</v>
      </c>
      <c r="M422">
        <f t="shared" si="89"/>
        <v>1</v>
      </c>
      <c r="O422">
        <f t="shared" si="90"/>
        <v>0</v>
      </c>
      <c r="P422">
        <f t="shared" si="91"/>
        <v>1.9000000000000128E-2</v>
      </c>
      <c r="R422">
        <f t="shared" si="92"/>
        <v>0.11275000000000013</v>
      </c>
      <c r="S422">
        <f t="shared" si="93"/>
        <v>7.1000000000000257E-2</v>
      </c>
      <c r="U422">
        <f t="shared" si="94"/>
        <v>61.360544217687014</v>
      </c>
      <c r="AH422">
        <f t="shared" si="95"/>
        <v>1.0133108923332181</v>
      </c>
      <c r="AI422">
        <f t="shared" si="96"/>
        <v>7.1197160729495534</v>
      </c>
      <c r="AJ422">
        <f t="shared" si="97"/>
        <v>12.275383927050441</v>
      </c>
      <c r="AL422" s="6">
        <f t="shared" si="98"/>
        <v>11.724171784666435</v>
      </c>
      <c r="AM422">
        <f t="shared" si="99"/>
        <v>7.6709282153335616</v>
      </c>
    </row>
    <row r="423" spans="1:39" ht="16.5" x14ac:dyDescent="0.25">
      <c r="A423" s="1">
        <v>45096</v>
      </c>
      <c r="B423" s="5">
        <v>9.4049999999999994</v>
      </c>
      <c r="C423" s="4">
        <v>9.4649999999999999</v>
      </c>
      <c r="D423" s="4">
        <v>9.5660000000000007</v>
      </c>
      <c r="E423" s="4">
        <v>9.3550000000000004</v>
      </c>
      <c r="F423" s="4" t="s">
        <v>1252</v>
      </c>
      <c r="G423" s="2" t="s">
        <v>36</v>
      </c>
      <c r="I423">
        <f t="shared" si="86"/>
        <v>9.7294499999999999</v>
      </c>
      <c r="J423">
        <f t="shared" si="87"/>
        <v>9.7024749999999997</v>
      </c>
      <c r="L423">
        <f t="shared" si="88"/>
        <v>0</v>
      </c>
      <c r="M423">
        <f t="shared" si="89"/>
        <v>1</v>
      </c>
      <c r="O423">
        <f t="shared" si="90"/>
        <v>0</v>
      </c>
      <c r="P423">
        <f t="shared" si="91"/>
        <v>6.0000000000000497E-2</v>
      </c>
      <c r="R423">
        <f t="shared" si="92"/>
        <v>0.11275000000000013</v>
      </c>
      <c r="S423">
        <f t="shared" si="93"/>
        <v>8.2000000000000212E-2</v>
      </c>
      <c r="U423">
        <f t="shared" si="94"/>
        <v>57.894736842105232</v>
      </c>
      <c r="AH423">
        <f t="shared" si="95"/>
        <v>1.014335176242446</v>
      </c>
      <c r="AI423">
        <f t="shared" si="96"/>
        <v>7.1516160729495555</v>
      </c>
      <c r="AJ423">
        <f t="shared" si="97"/>
        <v>12.307283927050445</v>
      </c>
      <c r="AL423" s="6">
        <f t="shared" si="98"/>
        <v>11.758120352484891</v>
      </c>
      <c r="AM423">
        <f t="shared" si="99"/>
        <v>7.700779647515108</v>
      </c>
    </row>
    <row r="424" spans="1:39" ht="16.5" x14ac:dyDescent="0.25">
      <c r="A424" s="1">
        <v>45093</v>
      </c>
      <c r="B424" s="5">
        <v>9.5090000000000003</v>
      </c>
      <c r="C424" s="4">
        <v>9.6270000000000007</v>
      </c>
      <c r="D424" s="4">
        <v>9.6340000000000003</v>
      </c>
      <c r="E424" s="4">
        <v>9.3040000000000003</v>
      </c>
      <c r="F424" s="4" t="s">
        <v>1253</v>
      </c>
      <c r="G424" s="2" t="s">
        <v>585</v>
      </c>
      <c r="I424">
        <f t="shared" si="86"/>
        <v>9.7524499999999996</v>
      </c>
      <c r="J424">
        <f t="shared" si="87"/>
        <v>9.7147249999999978</v>
      </c>
      <c r="L424">
        <f t="shared" si="88"/>
        <v>0</v>
      </c>
      <c r="M424">
        <f t="shared" si="89"/>
        <v>1</v>
      </c>
      <c r="O424">
        <f t="shared" si="90"/>
        <v>0</v>
      </c>
      <c r="P424">
        <f t="shared" si="91"/>
        <v>0.11800000000000033</v>
      </c>
      <c r="R424">
        <f t="shared" si="92"/>
        <v>9.1400000000000148E-2</v>
      </c>
      <c r="S424">
        <f t="shared" si="93"/>
        <v>8.4444444444444614E-2</v>
      </c>
      <c r="U424">
        <f t="shared" si="94"/>
        <v>51.977758119550096</v>
      </c>
      <c r="AH424">
        <f t="shared" si="95"/>
        <v>1.0155710834581335</v>
      </c>
      <c r="AI424">
        <f t="shared" si="96"/>
        <v>7.1746160729495552</v>
      </c>
      <c r="AJ424">
        <f t="shared" si="97"/>
        <v>12.330283927050445</v>
      </c>
      <c r="AL424" s="6">
        <f t="shared" si="98"/>
        <v>11.783592166916266</v>
      </c>
      <c r="AM424">
        <f t="shared" si="99"/>
        <v>7.721307833083733</v>
      </c>
    </row>
    <row r="425" spans="1:39" ht="16.5" x14ac:dyDescent="0.25">
      <c r="A425" s="1">
        <v>45092</v>
      </c>
      <c r="B425" s="5">
        <v>9.6359999999999992</v>
      </c>
      <c r="C425" s="4">
        <v>9.8719999999999999</v>
      </c>
      <c r="D425" s="4">
        <v>9.9049999999999994</v>
      </c>
      <c r="E425" s="4">
        <v>9.6210000000000004</v>
      </c>
      <c r="F425" s="4" t="s">
        <v>1254</v>
      </c>
      <c r="G425" s="2" t="s">
        <v>371</v>
      </c>
      <c r="I425">
        <f t="shared" si="86"/>
        <v>9.766</v>
      </c>
      <c r="J425">
        <f t="shared" si="87"/>
        <v>9.7248249999999974</v>
      </c>
      <c r="L425">
        <f t="shared" si="88"/>
        <v>0</v>
      </c>
      <c r="M425">
        <f t="shared" si="89"/>
        <v>1</v>
      </c>
      <c r="O425">
        <f t="shared" si="90"/>
        <v>0</v>
      </c>
      <c r="P425">
        <f t="shared" si="91"/>
        <v>0.23600000000000065</v>
      </c>
      <c r="R425">
        <f t="shared" si="92"/>
        <v>9.1400000000000148E-2</v>
      </c>
      <c r="S425">
        <f t="shared" si="93"/>
        <v>8.9888888888889004E-2</v>
      </c>
      <c r="U425">
        <f t="shared" si="94"/>
        <v>50.41676881588625</v>
      </c>
      <c r="AH425">
        <f t="shared" si="95"/>
        <v>1.0169490334213276</v>
      </c>
      <c r="AI425">
        <f t="shared" si="96"/>
        <v>7.1881660729495556</v>
      </c>
      <c r="AJ425">
        <f t="shared" si="97"/>
        <v>12.343833927050444</v>
      </c>
      <c r="AL425" s="6">
        <f t="shared" si="98"/>
        <v>11.799898066842655</v>
      </c>
      <c r="AM425">
        <f t="shared" si="99"/>
        <v>7.7321019331573453</v>
      </c>
    </row>
    <row r="426" spans="1:39" ht="16.5" x14ac:dyDescent="0.25">
      <c r="A426" s="1">
        <v>45091</v>
      </c>
      <c r="B426" s="5">
        <v>9.93</v>
      </c>
      <c r="C426" s="4">
        <v>9.9</v>
      </c>
      <c r="D426" s="4">
        <v>10.064</v>
      </c>
      <c r="E426" s="4">
        <v>9.8580000000000005</v>
      </c>
      <c r="F426" s="4" t="s">
        <v>1161</v>
      </c>
      <c r="G426" s="2" t="s">
        <v>424</v>
      </c>
      <c r="I426">
        <f t="shared" si="86"/>
        <v>9.7721999999999998</v>
      </c>
      <c r="J426">
        <f t="shared" si="87"/>
        <v>9.7340749999999989</v>
      </c>
      <c r="L426">
        <f t="shared" si="88"/>
        <v>1</v>
      </c>
      <c r="M426">
        <f t="shared" si="89"/>
        <v>0</v>
      </c>
      <c r="O426">
        <f t="shared" si="90"/>
        <v>2.9999999999999361E-2</v>
      </c>
      <c r="P426">
        <f t="shared" si="91"/>
        <v>0</v>
      </c>
      <c r="R426">
        <f t="shared" si="92"/>
        <v>7.6500000000000234E-2</v>
      </c>
      <c r="S426">
        <f t="shared" si="93"/>
        <v>7.162500000000005E-2</v>
      </c>
      <c r="U426">
        <f t="shared" si="94"/>
        <v>51.64556962025322</v>
      </c>
      <c r="AH426">
        <f t="shared" si="95"/>
        <v>1.0183957808739619</v>
      </c>
      <c r="AI426">
        <f t="shared" si="96"/>
        <v>7.1943660729495553</v>
      </c>
      <c r="AJ426">
        <f t="shared" si="97"/>
        <v>12.350033927050443</v>
      </c>
      <c r="AL426" s="6">
        <f t="shared" si="98"/>
        <v>11.808991561747924</v>
      </c>
      <c r="AM426">
        <f t="shared" si="99"/>
        <v>7.735408438252076</v>
      </c>
    </row>
    <row r="427" spans="1:39" ht="16.5" x14ac:dyDescent="0.25">
      <c r="A427" s="1">
        <v>45090</v>
      </c>
      <c r="B427" s="5">
        <v>9.86</v>
      </c>
      <c r="C427" s="4">
        <v>9.8699999999999992</v>
      </c>
      <c r="D427" s="4">
        <v>9.9019999999999992</v>
      </c>
      <c r="E427" s="4">
        <v>9.7550000000000008</v>
      </c>
      <c r="F427" s="4" t="s">
        <v>1255</v>
      </c>
      <c r="G427" s="2" t="s">
        <v>440</v>
      </c>
      <c r="I427">
        <f t="shared" si="86"/>
        <v>9.7602499999999992</v>
      </c>
      <c r="J427">
        <f t="shared" si="87"/>
        <v>9.7336749999999999</v>
      </c>
      <c r="L427">
        <f t="shared" si="88"/>
        <v>0</v>
      </c>
      <c r="M427">
        <f t="shared" si="89"/>
        <v>1</v>
      </c>
      <c r="O427">
        <f t="shared" si="90"/>
        <v>0</v>
      </c>
      <c r="P427">
        <f t="shared" si="91"/>
        <v>9.9999999999997868E-3</v>
      </c>
      <c r="R427">
        <f t="shared" si="92"/>
        <v>8.5800000000000404E-2</v>
      </c>
      <c r="S427">
        <f t="shared" si="93"/>
        <v>6.7777777777777715E-2</v>
      </c>
      <c r="U427">
        <f t="shared" si="94"/>
        <v>55.86745767616857</v>
      </c>
      <c r="AH427">
        <f t="shared" si="95"/>
        <v>1.0198534392301835</v>
      </c>
      <c r="AI427">
        <f t="shared" si="96"/>
        <v>7.1824160729495548</v>
      </c>
      <c r="AJ427">
        <f t="shared" si="97"/>
        <v>12.338083927050445</v>
      </c>
      <c r="AL427" s="6">
        <f t="shared" si="98"/>
        <v>11.799956878460366</v>
      </c>
      <c r="AM427">
        <f t="shared" si="99"/>
        <v>7.7205431215396327</v>
      </c>
    </row>
    <row r="428" spans="1:39" ht="16.5" x14ac:dyDescent="0.25">
      <c r="A428" s="1">
        <v>45089</v>
      </c>
      <c r="B428" s="5">
        <v>9.8559999999999999</v>
      </c>
      <c r="C428" s="4">
        <v>9.86</v>
      </c>
      <c r="D428" s="4">
        <v>9.98</v>
      </c>
      <c r="E428" s="4">
        <v>9.8079999999999998</v>
      </c>
      <c r="F428" s="4" t="s">
        <v>877</v>
      </c>
      <c r="G428" s="2" t="s">
        <v>323</v>
      </c>
      <c r="I428">
        <f t="shared" si="86"/>
        <v>9.7476000000000003</v>
      </c>
      <c r="J428">
        <f t="shared" si="87"/>
        <v>9.7304999999999993</v>
      </c>
      <c r="L428">
        <f t="shared" si="88"/>
        <v>0</v>
      </c>
      <c r="M428">
        <f t="shared" si="89"/>
        <v>1</v>
      </c>
      <c r="O428">
        <f t="shared" si="90"/>
        <v>0</v>
      </c>
      <c r="P428">
        <f t="shared" si="91"/>
        <v>3.9999999999995595E-3</v>
      </c>
      <c r="R428">
        <f t="shared" si="92"/>
        <v>8.5800000000000404E-2</v>
      </c>
      <c r="S428">
        <f t="shared" si="93"/>
        <v>8.0666666666666567E-2</v>
      </c>
      <c r="U428">
        <f t="shared" si="94"/>
        <v>51.541850220264458</v>
      </c>
      <c r="AH428">
        <f t="shared" si="95"/>
        <v>1.0211716783068261</v>
      </c>
      <c r="AI428">
        <f t="shared" si="96"/>
        <v>7.1697660729495558</v>
      </c>
      <c r="AJ428">
        <f t="shared" si="97"/>
        <v>12.325433927050444</v>
      </c>
      <c r="AL428" s="6">
        <f t="shared" si="98"/>
        <v>11.789943356613652</v>
      </c>
      <c r="AM428">
        <f t="shared" si="99"/>
        <v>7.7052566433863481</v>
      </c>
    </row>
    <row r="429" spans="1:39" ht="16.5" x14ac:dyDescent="0.25">
      <c r="A429" s="1">
        <v>45086</v>
      </c>
      <c r="B429" s="5">
        <v>9.843</v>
      </c>
      <c r="C429" s="4">
        <v>9.8710000000000004</v>
      </c>
      <c r="D429" s="4">
        <v>9.9350000000000005</v>
      </c>
      <c r="E429" s="4">
        <v>9.7859999999999996</v>
      </c>
      <c r="F429" s="4" t="s">
        <v>1092</v>
      </c>
      <c r="G429" s="2" t="s">
        <v>321</v>
      </c>
      <c r="I429">
        <f t="shared" si="86"/>
        <v>9.7409000000000017</v>
      </c>
      <c r="J429">
        <f t="shared" si="87"/>
        <v>9.7329499999999989</v>
      </c>
      <c r="L429">
        <f t="shared" si="88"/>
        <v>0</v>
      </c>
      <c r="M429">
        <f t="shared" si="89"/>
        <v>1</v>
      </c>
      <c r="O429">
        <f t="shared" si="90"/>
        <v>0</v>
      </c>
      <c r="P429">
        <f t="shared" si="91"/>
        <v>2.8000000000000469E-2</v>
      </c>
      <c r="R429">
        <f t="shared" si="92"/>
        <v>9.1000000000000483E-2</v>
      </c>
      <c r="S429">
        <f t="shared" si="93"/>
        <v>9.0249999999999941E-2</v>
      </c>
      <c r="U429">
        <f t="shared" si="94"/>
        <v>50.206896551724284</v>
      </c>
      <c r="AH429">
        <f t="shared" si="95"/>
        <v>1.0223347159697993</v>
      </c>
      <c r="AI429">
        <f t="shared" si="96"/>
        <v>7.1630660729495572</v>
      </c>
      <c r="AJ429">
        <f t="shared" si="97"/>
        <v>12.318733927050445</v>
      </c>
      <c r="AL429" s="6">
        <f t="shared" si="98"/>
        <v>11.785569431939599</v>
      </c>
      <c r="AM429">
        <f t="shared" si="99"/>
        <v>7.6962305680604031</v>
      </c>
    </row>
    <row r="430" spans="1:39" ht="16.5" x14ac:dyDescent="0.25">
      <c r="A430" s="1">
        <v>45085</v>
      </c>
      <c r="B430" s="5">
        <v>9.8629999999999995</v>
      </c>
      <c r="C430" s="4">
        <v>9.8789999999999996</v>
      </c>
      <c r="D430" s="4">
        <v>9.9930000000000003</v>
      </c>
      <c r="E430" s="4">
        <v>9.8239999999999998</v>
      </c>
      <c r="F430" s="4" t="s">
        <v>1256</v>
      </c>
      <c r="G430" s="2" t="s">
        <v>638</v>
      </c>
      <c r="I430">
        <f t="shared" si="86"/>
        <v>9.7295499999999997</v>
      </c>
      <c r="J430">
        <f t="shared" si="87"/>
        <v>9.7248499999999982</v>
      </c>
      <c r="L430">
        <f t="shared" si="88"/>
        <v>0</v>
      </c>
      <c r="M430">
        <f t="shared" si="89"/>
        <v>1</v>
      </c>
      <c r="O430">
        <f t="shared" si="90"/>
        <v>0</v>
      </c>
      <c r="P430">
        <f t="shared" si="91"/>
        <v>1.6000000000000014E-2</v>
      </c>
      <c r="R430">
        <f t="shared" si="92"/>
        <v>9.6857142857143225E-2</v>
      </c>
      <c r="S430">
        <f t="shared" si="93"/>
        <v>9.9142857142857005E-2</v>
      </c>
      <c r="U430">
        <f t="shared" si="94"/>
        <v>49.416909620991383</v>
      </c>
      <c r="AH430">
        <f t="shared" si="95"/>
        <v>1.0233844539762751</v>
      </c>
      <c r="AI430">
        <f t="shared" si="96"/>
        <v>7.1517160729495552</v>
      </c>
      <c r="AJ430">
        <f t="shared" si="97"/>
        <v>12.307383927050445</v>
      </c>
      <c r="AL430" s="6">
        <f t="shared" si="98"/>
        <v>11.77631890795255</v>
      </c>
      <c r="AM430">
        <f t="shared" si="99"/>
        <v>7.6827810920474491</v>
      </c>
    </row>
    <row r="431" spans="1:39" ht="16.5" x14ac:dyDescent="0.25">
      <c r="A431" s="1">
        <v>45084</v>
      </c>
      <c r="B431" s="5">
        <v>9.8119999999999994</v>
      </c>
      <c r="C431" s="4">
        <v>9.827</v>
      </c>
      <c r="D431" s="4">
        <v>9.8520000000000003</v>
      </c>
      <c r="E431" s="4">
        <v>9.6850000000000005</v>
      </c>
      <c r="F431" s="4" t="s">
        <v>910</v>
      </c>
      <c r="G431" s="2" t="s">
        <v>1076</v>
      </c>
      <c r="I431">
        <f t="shared" si="86"/>
        <v>9.7157999999999998</v>
      </c>
      <c r="J431">
        <f t="shared" si="87"/>
        <v>9.7181749999999987</v>
      </c>
      <c r="L431">
        <f t="shared" si="88"/>
        <v>0</v>
      </c>
      <c r="M431">
        <f t="shared" si="89"/>
        <v>1</v>
      </c>
      <c r="O431">
        <f t="shared" si="90"/>
        <v>0</v>
      </c>
      <c r="P431">
        <f t="shared" si="91"/>
        <v>1.5000000000000568E-2</v>
      </c>
      <c r="R431">
        <f t="shared" si="92"/>
        <v>8.5625000000000284E-2</v>
      </c>
      <c r="S431">
        <f t="shared" si="93"/>
        <v>0.11299999999999984</v>
      </c>
      <c r="U431">
        <f t="shared" si="94"/>
        <v>43.108873505349393</v>
      </c>
      <c r="AH431">
        <f t="shared" si="95"/>
        <v>1.0242710511336999</v>
      </c>
      <c r="AI431">
        <f t="shared" si="96"/>
        <v>7.1379660729495553</v>
      </c>
      <c r="AJ431">
        <f t="shared" si="97"/>
        <v>12.293633927050443</v>
      </c>
      <c r="AL431" s="6">
        <f t="shared" si="98"/>
        <v>11.764342102267399</v>
      </c>
      <c r="AM431">
        <f t="shared" si="99"/>
        <v>7.6672578977326005</v>
      </c>
    </row>
    <row r="432" spans="1:39" ht="16.5" x14ac:dyDescent="0.25">
      <c r="A432" s="1">
        <v>45083</v>
      </c>
      <c r="B432" s="5">
        <v>9.7840000000000007</v>
      </c>
      <c r="C432" s="4">
        <v>9.6379999999999999</v>
      </c>
      <c r="D432" s="4">
        <v>9.8089999999999993</v>
      </c>
      <c r="E432" s="4">
        <v>9.61</v>
      </c>
      <c r="F432" s="4" t="s">
        <v>1257</v>
      </c>
      <c r="G432" s="2" t="s">
        <v>249</v>
      </c>
      <c r="I432">
        <f t="shared" si="86"/>
        <v>9.7110000000000003</v>
      </c>
      <c r="J432">
        <f t="shared" si="87"/>
        <v>9.7119999999999997</v>
      </c>
      <c r="L432">
        <f t="shared" si="88"/>
        <v>1</v>
      </c>
      <c r="M432">
        <f t="shared" si="89"/>
        <v>0</v>
      </c>
      <c r="O432">
        <f t="shared" si="90"/>
        <v>0.1460000000000008</v>
      </c>
      <c r="P432">
        <f t="shared" si="91"/>
        <v>0</v>
      </c>
      <c r="R432">
        <f t="shared" si="92"/>
        <v>9.211111111111138E-2</v>
      </c>
      <c r="S432">
        <f t="shared" si="93"/>
        <v>0.13259999999999969</v>
      </c>
      <c r="U432">
        <f t="shared" si="94"/>
        <v>40.9909018987343</v>
      </c>
      <c r="AH432">
        <f t="shared" si="95"/>
        <v>1.0249605544337668</v>
      </c>
      <c r="AI432">
        <f t="shared" si="96"/>
        <v>7.1331660729495558</v>
      </c>
      <c r="AJ432">
        <f t="shared" si="97"/>
        <v>12.288833927050444</v>
      </c>
      <c r="AL432" s="6">
        <f t="shared" si="98"/>
        <v>11.760921108867533</v>
      </c>
      <c r="AM432">
        <f t="shared" si="99"/>
        <v>7.6610788911324672</v>
      </c>
    </row>
    <row r="433" spans="1:39" ht="16.5" x14ac:dyDescent="0.25">
      <c r="A433" s="1">
        <v>45082</v>
      </c>
      <c r="B433" s="5">
        <v>9.6959999999999997</v>
      </c>
      <c r="C433" s="4">
        <v>9.9</v>
      </c>
      <c r="D433" s="4">
        <v>9.93</v>
      </c>
      <c r="E433" s="4">
        <v>9.6120000000000001</v>
      </c>
      <c r="F433" s="4" t="s">
        <v>877</v>
      </c>
      <c r="G433" s="2" t="s">
        <v>598</v>
      </c>
      <c r="I433">
        <f t="shared" si="86"/>
        <v>9.7053499999999993</v>
      </c>
      <c r="J433">
        <f t="shared" si="87"/>
        <v>9.7037999999999993</v>
      </c>
      <c r="L433">
        <f t="shared" si="88"/>
        <v>0</v>
      </c>
      <c r="M433">
        <f t="shared" si="89"/>
        <v>1</v>
      </c>
      <c r="O433">
        <f t="shared" si="90"/>
        <v>0</v>
      </c>
      <c r="P433">
        <f t="shared" si="91"/>
        <v>0.20400000000000063</v>
      </c>
      <c r="R433">
        <f t="shared" si="92"/>
        <v>9.4888888888889189E-2</v>
      </c>
      <c r="S433">
        <f t="shared" si="93"/>
        <v>0.13259999999999969</v>
      </c>
      <c r="U433">
        <f t="shared" si="94"/>
        <v>41.711438898114814</v>
      </c>
      <c r="AH433">
        <f t="shared" si="95"/>
        <v>1.0255259286691802</v>
      </c>
      <c r="AI433">
        <f t="shared" si="96"/>
        <v>7.1275160729495548</v>
      </c>
      <c r="AJ433">
        <f t="shared" si="97"/>
        <v>12.283183927050445</v>
      </c>
      <c r="AL433" s="6">
        <f t="shared" si="98"/>
        <v>11.756401857338361</v>
      </c>
      <c r="AM433">
        <f t="shared" si="99"/>
        <v>7.6542981426616388</v>
      </c>
    </row>
    <row r="434" spans="1:39" ht="16.5" x14ac:dyDescent="0.25">
      <c r="A434" s="1">
        <v>45079</v>
      </c>
      <c r="B434" s="5">
        <v>9.8620000000000001</v>
      </c>
      <c r="C434" s="4">
        <v>9.6189999999999998</v>
      </c>
      <c r="D434" s="4">
        <v>9.8849999999999998</v>
      </c>
      <c r="E434" s="4">
        <v>9.6189999999999998</v>
      </c>
      <c r="F434" s="4" t="s">
        <v>1258</v>
      </c>
      <c r="G434" s="2" t="s">
        <v>1259</v>
      </c>
      <c r="I434">
        <f t="shared" si="86"/>
        <v>9.7042500000000018</v>
      </c>
      <c r="J434">
        <f t="shared" si="87"/>
        <v>9.6939000000000028</v>
      </c>
      <c r="L434">
        <f t="shared" si="88"/>
        <v>1</v>
      </c>
      <c r="M434">
        <f t="shared" si="89"/>
        <v>0</v>
      </c>
      <c r="O434">
        <f t="shared" si="90"/>
        <v>0.24300000000000033</v>
      </c>
      <c r="P434">
        <f t="shared" si="91"/>
        <v>0</v>
      </c>
      <c r="R434">
        <f t="shared" si="92"/>
        <v>9.4888888888889189E-2</v>
      </c>
      <c r="S434">
        <f t="shared" si="93"/>
        <v>0.10439999999999969</v>
      </c>
      <c r="U434">
        <f t="shared" si="94"/>
        <v>47.613737734166079</v>
      </c>
      <c r="AH434">
        <f t="shared" si="95"/>
        <v>1.0259506237424183</v>
      </c>
      <c r="AI434">
        <f t="shared" si="96"/>
        <v>7.1264160729495574</v>
      </c>
      <c r="AJ434">
        <f t="shared" si="97"/>
        <v>12.282083927050447</v>
      </c>
      <c r="AL434" s="6">
        <f t="shared" si="98"/>
        <v>11.756151247484839</v>
      </c>
      <c r="AM434">
        <f t="shared" si="99"/>
        <v>7.6523487525151648</v>
      </c>
    </row>
    <row r="435" spans="1:39" ht="16.5" x14ac:dyDescent="0.25">
      <c r="A435" s="1">
        <v>45078</v>
      </c>
      <c r="B435" s="5">
        <v>9.5779999999999994</v>
      </c>
      <c r="C435" s="4">
        <v>9.5459999999999994</v>
      </c>
      <c r="D435" s="4">
        <v>9.6159999999999997</v>
      </c>
      <c r="E435" s="4">
        <v>9.5</v>
      </c>
      <c r="F435" s="4" t="s">
        <v>1260</v>
      </c>
      <c r="G435" s="2" t="s">
        <v>257</v>
      </c>
      <c r="I435">
        <f t="shared" si="86"/>
        <v>9.6943999999999999</v>
      </c>
      <c r="J435">
        <f t="shared" si="87"/>
        <v>9.6805500000000002</v>
      </c>
      <c r="L435">
        <f t="shared" si="88"/>
        <v>1</v>
      </c>
      <c r="M435">
        <f t="shared" si="89"/>
        <v>0</v>
      </c>
      <c r="O435">
        <f t="shared" si="90"/>
        <v>3.2000000000000028E-2</v>
      </c>
      <c r="P435">
        <f t="shared" si="91"/>
        <v>0</v>
      </c>
      <c r="R435">
        <f t="shared" si="92"/>
        <v>6.9777777777777994E-2</v>
      </c>
      <c r="S435">
        <f t="shared" si="93"/>
        <v>0.10439999999999969</v>
      </c>
      <c r="U435">
        <f t="shared" si="94"/>
        <v>40.061240112273687</v>
      </c>
      <c r="AH435">
        <f t="shared" si="95"/>
        <v>1.0262716290640197</v>
      </c>
      <c r="AI435">
        <f t="shared" si="96"/>
        <v>7.1165660729495555</v>
      </c>
      <c r="AJ435">
        <f t="shared" si="97"/>
        <v>12.272233927050443</v>
      </c>
      <c r="AL435" s="6">
        <f t="shared" si="98"/>
        <v>11.74694325812804</v>
      </c>
      <c r="AM435">
        <f t="shared" si="99"/>
        <v>7.6418567418719601</v>
      </c>
    </row>
    <row r="436" spans="1:39" ht="16.5" x14ac:dyDescent="0.25">
      <c r="A436" s="1">
        <v>45077</v>
      </c>
      <c r="B436" s="5">
        <v>9.4760000000000009</v>
      </c>
      <c r="C436" s="4">
        <v>9.6050000000000004</v>
      </c>
      <c r="D436" s="4">
        <v>9.6959999999999997</v>
      </c>
      <c r="E436" s="4">
        <v>9.4420000000000002</v>
      </c>
      <c r="F436" s="4" t="s">
        <v>1261</v>
      </c>
      <c r="G436" s="2" t="s">
        <v>1262</v>
      </c>
      <c r="I436">
        <f t="shared" si="86"/>
        <v>9.6778499999999976</v>
      </c>
      <c r="J436">
        <f t="shared" si="87"/>
        <v>9.6777249999999988</v>
      </c>
      <c r="L436">
        <f t="shared" si="88"/>
        <v>0</v>
      </c>
      <c r="M436">
        <f t="shared" si="89"/>
        <v>1</v>
      </c>
      <c r="O436">
        <f t="shared" si="90"/>
        <v>0</v>
      </c>
      <c r="P436">
        <f t="shared" si="91"/>
        <v>0.12899999999999956</v>
      </c>
      <c r="R436">
        <f t="shared" si="92"/>
        <v>7.4500000000000233E-2</v>
      </c>
      <c r="S436">
        <f t="shared" si="93"/>
        <v>9.4333333333333158E-2</v>
      </c>
      <c r="U436">
        <f t="shared" si="94"/>
        <v>44.126357354393015</v>
      </c>
      <c r="AH436">
        <f t="shared" si="95"/>
        <v>1.0263910705005848</v>
      </c>
      <c r="AI436">
        <f t="shared" si="96"/>
        <v>7.1000160729495532</v>
      </c>
      <c r="AJ436">
        <f t="shared" si="97"/>
        <v>12.255683927050441</v>
      </c>
      <c r="AL436" s="6">
        <f t="shared" si="98"/>
        <v>11.730632141001166</v>
      </c>
      <c r="AM436">
        <f t="shared" si="99"/>
        <v>7.6250678589988281</v>
      </c>
    </row>
    <row r="437" spans="1:39" ht="16.5" x14ac:dyDescent="0.25">
      <c r="A437" s="1">
        <v>45076</v>
      </c>
      <c r="B437" s="5">
        <v>9.6460000000000008</v>
      </c>
      <c r="C437" s="4">
        <v>9.64</v>
      </c>
      <c r="D437" s="4">
        <v>9.7910000000000004</v>
      </c>
      <c r="E437" s="4">
        <v>9.59</v>
      </c>
      <c r="F437" s="4" t="s">
        <v>1263</v>
      </c>
      <c r="G437" s="2" t="s">
        <v>652</v>
      </c>
      <c r="I437">
        <f t="shared" si="86"/>
        <v>9.6823000000000015</v>
      </c>
      <c r="J437">
        <f t="shared" si="87"/>
        <v>9.6747249999999987</v>
      </c>
      <c r="L437">
        <f t="shared" si="88"/>
        <v>1</v>
      </c>
      <c r="M437">
        <f t="shared" si="89"/>
        <v>0</v>
      </c>
      <c r="O437">
        <f t="shared" si="90"/>
        <v>6.0000000000002274E-3</v>
      </c>
      <c r="P437">
        <f t="shared" si="91"/>
        <v>0</v>
      </c>
      <c r="R437">
        <f t="shared" si="92"/>
        <v>7.4500000000000233E-2</v>
      </c>
      <c r="S437">
        <f t="shared" si="93"/>
        <v>9.4333333333333449E-2</v>
      </c>
      <c r="U437">
        <f t="shared" si="94"/>
        <v>44.126357354392944</v>
      </c>
      <c r="AH437">
        <f t="shared" si="95"/>
        <v>1.0262223960965162</v>
      </c>
      <c r="AI437">
        <f t="shared" si="96"/>
        <v>7.104466072949557</v>
      </c>
      <c r="AJ437">
        <f t="shared" si="97"/>
        <v>12.260133927050447</v>
      </c>
      <c r="AL437" s="6">
        <f t="shared" si="98"/>
        <v>11.734744792193034</v>
      </c>
      <c r="AM437">
        <f t="shared" si="99"/>
        <v>7.629855207806969</v>
      </c>
    </row>
    <row r="438" spans="1:39" ht="16.5" x14ac:dyDescent="0.25">
      <c r="A438" s="1">
        <v>45075</v>
      </c>
      <c r="B438" s="5">
        <v>9.69</v>
      </c>
      <c r="C438" s="4">
        <v>9.8569999999999993</v>
      </c>
      <c r="D438" s="4">
        <v>9.8620000000000001</v>
      </c>
      <c r="E438" s="4">
        <v>9.6329999999999991</v>
      </c>
      <c r="F438" s="4" t="s">
        <v>1264</v>
      </c>
      <c r="G438" s="2" t="s">
        <v>413</v>
      </c>
      <c r="I438">
        <f t="shared" si="86"/>
        <v>9.6816500000000012</v>
      </c>
      <c r="J438">
        <f t="shared" si="87"/>
        <v>9.6658000000000008</v>
      </c>
      <c r="L438">
        <f t="shared" si="88"/>
        <v>0</v>
      </c>
      <c r="M438">
        <f t="shared" si="89"/>
        <v>1</v>
      </c>
      <c r="O438">
        <f t="shared" si="90"/>
        <v>0</v>
      </c>
      <c r="P438">
        <f t="shared" si="91"/>
        <v>0.16699999999999982</v>
      </c>
      <c r="R438">
        <f t="shared" si="92"/>
        <v>7.5750000000000206E-2</v>
      </c>
      <c r="S438">
        <f t="shared" si="93"/>
        <v>9.4333333333333449E-2</v>
      </c>
      <c r="U438">
        <f t="shared" si="94"/>
        <v>44.536991670749671</v>
      </c>
      <c r="AH438">
        <f t="shared" si="95"/>
        <v>1.0259782556925074</v>
      </c>
      <c r="AI438">
        <f t="shared" si="96"/>
        <v>7.1038160729495567</v>
      </c>
      <c r="AJ438">
        <f t="shared" si="97"/>
        <v>12.259483927050447</v>
      </c>
      <c r="AL438" s="6">
        <f t="shared" si="98"/>
        <v>11.733606511385016</v>
      </c>
      <c r="AM438">
        <f t="shared" si="99"/>
        <v>7.6296934886149863</v>
      </c>
    </row>
    <row r="439" spans="1:39" ht="16.5" x14ac:dyDescent="0.25">
      <c r="A439" s="1">
        <v>45072</v>
      </c>
      <c r="B439" s="5">
        <v>9.7420000000000009</v>
      </c>
      <c r="C439" s="4">
        <v>9.74</v>
      </c>
      <c r="D439" s="4">
        <v>9.7959999999999994</v>
      </c>
      <c r="E439" s="4">
        <v>9.5180000000000007</v>
      </c>
      <c r="F439" s="4" t="s">
        <v>1265</v>
      </c>
      <c r="G439" s="2" t="s">
        <v>676</v>
      </c>
      <c r="I439">
        <f t="shared" si="86"/>
        <v>9.6943000000000019</v>
      </c>
      <c r="J439">
        <f t="shared" si="87"/>
        <v>9.6521250000000016</v>
      </c>
      <c r="L439">
        <f t="shared" si="88"/>
        <v>1</v>
      </c>
      <c r="M439">
        <f t="shared" si="89"/>
        <v>0</v>
      </c>
      <c r="O439">
        <f t="shared" si="90"/>
        <v>2.0000000000006679E-3</v>
      </c>
      <c r="P439">
        <f t="shared" si="91"/>
        <v>0</v>
      </c>
      <c r="R439">
        <f t="shared" si="92"/>
        <v>7.5750000000000206E-2</v>
      </c>
      <c r="S439">
        <f t="shared" si="93"/>
        <v>6.8666666666666806E-2</v>
      </c>
      <c r="U439">
        <f t="shared" si="94"/>
        <v>52.452394691286806</v>
      </c>
      <c r="AH439">
        <f t="shared" si="95"/>
        <v>1.0255960884398918</v>
      </c>
      <c r="AI439">
        <f t="shared" si="96"/>
        <v>7.1164660729495575</v>
      </c>
      <c r="AJ439">
        <f t="shared" si="97"/>
        <v>12.272133927050447</v>
      </c>
      <c r="AL439" s="6">
        <f t="shared" si="98"/>
        <v>11.745492176879786</v>
      </c>
      <c r="AM439">
        <f t="shared" si="99"/>
        <v>7.6431078231202179</v>
      </c>
    </row>
    <row r="440" spans="1:39" ht="16.5" x14ac:dyDescent="0.25">
      <c r="A440" s="1">
        <v>45071</v>
      </c>
      <c r="B440" s="5">
        <v>9.7010000000000005</v>
      </c>
      <c r="C440" s="4">
        <v>9.7379999999999995</v>
      </c>
      <c r="D440" s="4">
        <v>9.7810000000000006</v>
      </c>
      <c r="E440" s="4">
        <v>9.484</v>
      </c>
      <c r="F440" s="4" t="s">
        <v>1266</v>
      </c>
      <c r="G440" s="2" t="s">
        <v>497</v>
      </c>
      <c r="I440">
        <f t="shared" si="86"/>
        <v>9.6969000000000012</v>
      </c>
      <c r="J440">
        <f t="shared" si="87"/>
        <v>9.6316249999999997</v>
      </c>
      <c r="L440">
        <f t="shared" si="88"/>
        <v>0</v>
      </c>
      <c r="M440">
        <f t="shared" si="89"/>
        <v>1</v>
      </c>
      <c r="O440">
        <f t="shared" si="90"/>
        <v>0</v>
      </c>
      <c r="P440">
        <f t="shared" si="91"/>
        <v>3.6999999999999034E-2</v>
      </c>
      <c r="R440">
        <f t="shared" si="92"/>
        <v>8.0125000000000002E-2</v>
      </c>
      <c r="S440">
        <f t="shared" si="93"/>
        <v>6.8666666666666806E-2</v>
      </c>
      <c r="U440">
        <f t="shared" si="94"/>
        <v>53.850462055446606</v>
      </c>
      <c r="AH440">
        <f t="shared" si="95"/>
        <v>1.0252196083008658</v>
      </c>
      <c r="AI440">
        <f t="shared" si="96"/>
        <v>7.1190660729495567</v>
      </c>
      <c r="AJ440">
        <f t="shared" si="97"/>
        <v>12.274733927050445</v>
      </c>
      <c r="AL440" s="6">
        <f t="shared" si="98"/>
        <v>11.747339216601732</v>
      </c>
      <c r="AM440">
        <f t="shared" si="99"/>
        <v>7.6464607833982701</v>
      </c>
    </row>
    <row r="441" spans="1:39" ht="16.5" x14ac:dyDescent="0.25">
      <c r="A441" s="1">
        <v>45070</v>
      </c>
      <c r="B441" s="5">
        <v>9.7360000000000007</v>
      </c>
      <c r="C441" s="4">
        <v>9.8620000000000001</v>
      </c>
      <c r="D441" s="4">
        <v>9.8810000000000002</v>
      </c>
      <c r="E441" s="4">
        <v>9.6760000000000002</v>
      </c>
      <c r="F441" s="4" t="s">
        <v>886</v>
      </c>
      <c r="G441" s="2" t="s">
        <v>517</v>
      </c>
      <c r="I441">
        <f t="shared" si="86"/>
        <v>9.6897500000000001</v>
      </c>
      <c r="J441">
        <f t="shared" si="87"/>
        <v>9.6157249999999994</v>
      </c>
      <c r="L441">
        <f t="shared" si="88"/>
        <v>0</v>
      </c>
      <c r="M441">
        <f t="shared" si="89"/>
        <v>1</v>
      </c>
      <c r="O441">
        <f t="shared" si="90"/>
        <v>0</v>
      </c>
      <c r="P441">
        <f t="shared" si="91"/>
        <v>0.12599999999999945</v>
      </c>
      <c r="R441">
        <f t="shared" si="92"/>
        <v>0.10511111111111109</v>
      </c>
      <c r="S441">
        <f t="shared" si="93"/>
        <v>7.5000000000000358E-2</v>
      </c>
      <c r="U441">
        <f t="shared" si="94"/>
        <v>58.359037631091802</v>
      </c>
      <c r="AH441">
        <f t="shared" si="95"/>
        <v>1.0247312394398151</v>
      </c>
      <c r="AI441">
        <f t="shared" si="96"/>
        <v>7.1119160729495556</v>
      </c>
      <c r="AJ441">
        <f t="shared" si="97"/>
        <v>12.267583927050445</v>
      </c>
      <c r="AL441" s="6">
        <f t="shared" si="98"/>
        <v>11.739212478879629</v>
      </c>
      <c r="AM441">
        <f t="shared" si="99"/>
        <v>7.6402875211203698</v>
      </c>
    </row>
    <row r="442" spans="1:39" ht="16.5" x14ac:dyDescent="0.25">
      <c r="A442" s="1">
        <v>45069</v>
      </c>
      <c r="B442" s="5">
        <v>9.9640000000000004</v>
      </c>
      <c r="C442" s="4">
        <v>9.8469999999999995</v>
      </c>
      <c r="D442" s="4">
        <v>9.968</v>
      </c>
      <c r="E442" s="4">
        <v>9.77</v>
      </c>
      <c r="F442" s="4" t="s">
        <v>1266</v>
      </c>
      <c r="G442" s="2" t="s">
        <v>554</v>
      </c>
      <c r="I442">
        <f t="shared" si="86"/>
        <v>9.6788500000000006</v>
      </c>
      <c r="J442">
        <f t="shared" si="87"/>
        <v>9.5858249999999998</v>
      </c>
      <c r="L442">
        <f t="shared" si="88"/>
        <v>1</v>
      </c>
      <c r="M442">
        <f t="shared" si="89"/>
        <v>0</v>
      </c>
      <c r="O442">
        <f t="shared" si="90"/>
        <v>0.11700000000000088</v>
      </c>
      <c r="P442">
        <f t="shared" si="91"/>
        <v>0</v>
      </c>
      <c r="R442">
        <f t="shared" si="92"/>
        <v>0.10511111111111109</v>
      </c>
      <c r="S442">
        <f t="shared" si="93"/>
        <v>0.12040000000000042</v>
      </c>
      <c r="U442">
        <f t="shared" si="94"/>
        <v>46.610169491525326</v>
      </c>
      <c r="AH442">
        <f t="shared" si="95"/>
        <v>1.024007062951841</v>
      </c>
      <c r="AI442">
        <f t="shared" si="96"/>
        <v>7.1010160729495562</v>
      </c>
      <c r="AJ442">
        <f t="shared" si="97"/>
        <v>12.256683927050446</v>
      </c>
      <c r="AL442" s="6">
        <f t="shared" si="98"/>
        <v>11.726864125903683</v>
      </c>
      <c r="AM442">
        <f t="shared" si="99"/>
        <v>7.6308358740963182</v>
      </c>
    </row>
    <row r="443" spans="1:39" ht="16.5" x14ac:dyDescent="0.25">
      <c r="A443" s="1">
        <v>45068</v>
      </c>
      <c r="B443" s="5">
        <v>9.8650000000000002</v>
      </c>
      <c r="C443" s="4">
        <v>9.7330000000000005</v>
      </c>
      <c r="D443" s="4">
        <v>9.9190000000000005</v>
      </c>
      <c r="E443" s="4">
        <v>9.7230000000000008</v>
      </c>
      <c r="F443" s="4" t="s">
        <v>1267</v>
      </c>
      <c r="G443" s="2" t="s">
        <v>702</v>
      </c>
      <c r="I443">
        <f t="shared" si="86"/>
        <v>9.6755000000000013</v>
      </c>
      <c r="J443">
        <f t="shared" si="87"/>
        <v>9.5701250000000009</v>
      </c>
      <c r="L443">
        <f t="shared" si="88"/>
        <v>1</v>
      </c>
      <c r="M443">
        <f t="shared" si="89"/>
        <v>0</v>
      </c>
      <c r="O443">
        <f t="shared" si="90"/>
        <v>0.13199999999999967</v>
      </c>
      <c r="P443">
        <f t="shared" si="91"/>
        <v>0</v>
      </c>
      <c r="R443">
        <f t="shared" si="92"/>
        <v>0.10362499999999986</v>
      </c>
      <c r="S443">
        <f t="shared" si="93"/>
        <v>0.12833333333333385</v>
      </c>
      <c r="U443">
        <f t="shared" si="94"/>
        <v>44.673971618465828</v>
      </c>
      <c r="AH443">
        <f t="shared" si="95"/>
        <v>1.0229838639387843</v>
      </c>
      <c r="AI443">
        <f t="shared" si="96"/>
        <v>7.0976660729495569</v>
      </c>
      <c r="AJ443">
        <f t="shared" si="97"/>
        <v>12.253333927050445</v>
      </c>
      <c r="AL443" s="6">
        <f t="shared" si="98"/>
        <v>11.72146772787757</v>
      </c>
      <c r="AM443">
        <f t="shared" si="99"/>
        <v>7.6295322721224323</v>
      </c>
    </row>
    <row r="444" spans="1:39" ht="16.5" x14ac:dyDescent="0.25">
      <c r="A444" s="1">
        <v>45065</v>
      </c>
      <c r="B444" s="5">
        <v>9.7799999999999994</v>
      </c>
      <c r="C444" s="4">
        <v>9.7729999999999997</v>
      </c>
      <c r="D444" s="4">
        <v>9.8879999999999999</v>
      </c>
      <c r="E444" s="4">
        <v>9.7439999999999998</v>
      </c>
      <c r="F444" s="4" t="s">
        <v>1268</v>
      </c>
      <c r="G444" s="2" t="s">
        <v>1024</v>
      </c>
      <c r="I444">
        <f t="shared" si="86"/>
        <v>9.6769999999999996</v>
      </c>
      <c r="J444">
        <f t="shared" si="87"/>
        <v>9.5645750000000014</v>
      </c>
      <c r="L444">
        <f t="shared" si="88"/>
        <v>1</v>
      </c>
      <c r="M444">
        <f t="shared" si="89"/>
        <v>0</v>
      </c>
      <c r="O444">
        <f t="shared" si="90"/>
        <v>6.9999999999996732E-3</v>
      </c>
      <c r="P444">
        <f t="shared" si="91"/>
        <v>0</v>
      </c>
      <c r="R444">
        <f t="shared" si="92"/>
        <v>9.957142857142845E-2</v>
      </c>
      <c r="S444">
        <f t="shared" si="93"/>
        <v>0.15771428571428636</v>
      </c>
      <c r="U444">
        <f t="shared" si="94"/>
        <v>38.700721821210308</v>
      </c>
      <c r="AH444">
        <f t="shared" si="95"/>
        <v>1.0217358685600837</v>
      </c>
      <c r="AI444">
        <f t="shared" si="96"/>
        <v>7.0991660729495552</v>
      </c>
      <c r="AJ444">
        <f t="shared" si="97"/>
        <v>12.254833927050445</v>
      </c>
      <c r="AL444" s="6">
        <f t="shared" si="98"/>
        <v>11.720471737120167</v>
      </c>
      <c r="AM444">
        <f t="shared" si="99"/>
        <v>7.6335282628798318</v>
      </c>
    </row>
    <row r="445" spans="1:39" ht="16.5" x14ac:dyDescent="0.25">
      <c r="A445" s="1">
        <v>45064</v>
      </c>
      <c r="B445" s="5">
        <v>9.76</v>
      </c>
      <c r="C445" s="4">
        <v>9.6159999999999997</v>
      </c>
      <c r="D445" s="4">
        <v>9.8450000000000006</v>
      </c>
      <c r="E445" s="4">
        <v>9.5519999999999996</v>
      </c>
      <c r="F445" s="4" t="s">
        <v>1269</v>
      </c>
      <c r="G445" s="2" t="s">
        <v>424</v>
      </c>
      <c r="I445">
        <f t="shared" si="86"/>
        <v>9.6836500000000019</v>
      </c>
      <c r="J445">
        <f t="shared" si="87"/>
        <v>9.5663000000000018</v>
      </c>
      <c r="L445">
        <f t="shared" si="88"/>
        <v>1</v>
      </c>
      <c r="M445">
        <f t="shared" si="89"/>
        <v>0</v>
      </c>
      <c r="O445">
        <f t="shared" si="90"/>
        <v>0.14400000000000013</v>
      </c>
      <c r="P445">
        <f t="shared" si="91"/>
        <v>0</v>
      </c>
      <c r="R445">
        <f t="shared" si="92"/>
        <v>9.9142857142857005E-2</v>
      </c>
      <c r="S445">
        <f t="shared" si="93"/>
        <v>0.15771428571428636</v>
      </c>
      <c r="U445">
        <f t="shared" si="94"/>
        <v>38.598442714126683</v>
      </c>
      <c r="AH445">
        <f t="shared" si="95"/>
        <v>1.0203106870061531</v>
      </c>
      <c r="AI445">
        <f t="shared" si="96"/>
        <v>7.1058160729495574</v>
      </c>
      <c r="AJ445">
        <f t="shared" si="97"/>
        <v>12.261483927050445</v>
      </c>
      <c r="AL445" s="6">
        <f t="shared" si="98"/>
        <v>11.724271374012307</v>
      </c>
      <c r="AM445">
        <f t="shared" si="99"/>
        <v>7.6430286259876956</v>
      </c>
    </row>
    <row r="446" spans="1:39" ht="16.5" x14ac:dyDescent="0.25">
      <c r="A446" s="1">
        <v>45063</v>
      </c>
      <c r="B446" s="5">
        <v>9.6910000000000007</v>
      </c>
      <c r="C446" s="4">
        <v>9.52</v>
      </c>
      <c r="D446" s="4">
        <v>9.6940000000000008</v>
      </c>
      <c r="E446" s="4">
        <v>9.3979999999999997</v>
      </c>
      <c r="F446" s="4" t="s">
        <v>1270</v>
      </c>
      <c r="G446" s="2" t="s">
        <v>702</v>
      </c>
      <c r="I446">
        <f t="shared" si="86"/>
        <v>9.6959499999999998</v>
      </c>
      <c r="J446">
        <f t="shared" si="87"/>
        <v>9.5544750000000001</v>
      </c>
      <c r="L446">
        <f t="shared" si="88"/>
        <v>1</v>
      </c>
      <c r="M446">
        <f t="shared" si="89"/>
        <v>0</v>
      </c>
      <c r="O446">
        <f t="shared" si="90"/>
        <v>0.17100000000000115</v>
      </c>
      <c r="P446">
        <f t="shared" si="91"/>
        <v>0</v>
      </c>
      <c r="R446">
        <f t="shared" si="92"/>
        <v>9.2285714285714152E-2</v>
      </c>
      <c r="S446">
        <f t="shared" si="93"/>
        <v>0.15771428571428636</v>
      </c>
      <c r="U446">
        <f t="shared" si="94"/>
        <v>36.914285714285583</v>
      </c>
      <c r="AH446">
        <f t="shared" si="95"/>
        <v>1.0187647512542091</v>
      </c>
      <c r="AI446">
        <f t="shared" si="96"/>
        <v>7.1181160729495554</v>
      </c>
      <c r="AJ446">
        <f t="shared" si="97"/>
        <v>12.273783927050445</v>
      </c>
      <c r="AL446" s="6">
        <f t="shared" si="98"/>
        <v>11.733479502508418</v>
      </c>
      <c r="AM446">
        <f t="shared" si="99"/>
        <v>7.6584204974915817</v>
      </c>
    </row>
    <row r="447" spans="1:39" ht="16.5" x14ac:dyDescent="0.25">
      <c r="A447" s="1">
        <v>45062</v>
      </c>
      <c r="B447" s="5">
        <v>9.6069999999999993</v>
      </c>
      <c r="C447" s="4">
        <v>9.67</v>
      </c>
      <c r="D447" s="4">
        <v>9.7959999999999994</v>
      </c>
      <c r="E447" s="4">
        <v>9.5790000000000006</v>
      </c>
      <c r="F447" s="4" t="s">
        <v>1271</v>
      </c>
      <c r="G447" s="2" t="s">
        <v>76</v>
      </c>
      <c r="I447">
        <f t="shared" si="86"/>
        <v>9.7070999999999987</v>
      </c>
      <c r="J447">
        <f t="shared" si="87"/>
        <v>9.5455499999999986</v>
      </c>
      <c r="L447">
        <f t="shared" si="88"/>
        <v>0</v>
      </c>
      <c r="M447">
        <f t="shared" si="89"/>
        <v>1</v>
      </c>
      <c r="O447">
        <f t="shared" si="90"/>
        <v>0</v>
      </c>
      <c r="P447">
        <f t="shared" si="91"/>
        <v>6.3000000000000611E-2</v>
      </c>
      <c r="R447">
        <f t="shared" si="92"/>
        <v>7.7571428571428208E-2</v>
      </c>
      <c r="S447">
        <f t="shared" si="93"/>
        <v>0.15771428571428636</v>
      </c>
      <c r="U447">
        <f t="shared" si="94"/>
        <v>32.969034608378678</v>
      </c>
      <c r="AH447">
        <f t="shared" si="95"/>
        <v>1.0171660476294906</v>
      </c>
      <c r="AI447">
        <f t="shared" si="96"/>
        <v>7.1292660729495543</v>
      </c>
      <c r="AJ447">
        <f t="shared" si="97"/>
        <v>12.284933927050442</v>
      </c>
      <c r="AL447" s="6">
        <f t="shared" si="98"/>
        <v>11.741432095258979</v>
      </c>
      <c r="AM447">
        <f t="shared" si="99"/>
        <v>7.6727679047410176</v>
      </c>
    </row>
    <row r="448" spans="1:39" ht="16.5" x14ac:dyDescent="0.25">
      <c r="A448" s="1">
        <v>45061</v>
      </c>
      <c r="B448" s="5">
        <v>9.7219999999999995</v>
      </c>
      <c r="C448" s="4">
        <v>9.7050000000000001</v>
      </c>
      <c r="D448" s="4">
        <v>9.75</v>
      </c>
      <c r="E448" s="4">
        <v>9.625</v>
      </c>
      <c r="F448" s="4" t="s">
        <v>833</v>
      </c>
      <c r="G448" s="2" t="s">
        <v>311</v>
      </c>
      <c r="I448">
        <f t="shared" si="86"/>
        <v>9.7134</v>
      </c>
      <c r="J448">
        <f t="shared" si="87"/>
        <v>9.542349999999999</v>
      </c>
      <c r="L448">
        <f t="shared" si="88"/>
        <v>1</v>
      </c>
      <c r="M448">
        <f t="shared" si="89"/>
        <v>0</v>
      </c>
      <c r="O448">
        <f t="shared" si="90"/>
        <v>1.699999999999946E-2</v>
      </c>
      <c r="P448">
        <f t="shared" si="91"/>
        <v>0</v>
      </c>
      <c r="R448">
        <f t="shared" si="92"/>
        <v>7.7571428571428208E-2</v>
      </c>
      <c r="S448">
        <f t="shared" si="93"/>
        <v>0.18814285714285767</v>
      </c>
      <c r="U448">
        <f t="shared" si="94"/>
        <v>29.193548387096612</v>
      </c>
      <c r="AH448">
        <f t="shared" si="95"/>
        <v>1.0154944441954479</v>
      </c>
      <c r="AI448">
        <f t="shared" si="96"/>
        <v>7.1355660729495556</v>
      </c>
      <c r="AJ448">
        <f t="shared" si="97"/>
        <v>12.291233927050445</v>
      </c>
      <c r="AL448" s="6">
        <f t="shared" si="98"/>
        <v>11.744388888390896</v>
      </c>
      <c r="AM448">
        <f t="shared" si="99"/>
        <v>7.6824111116091043</v>
      </c>
    </row>
    <row r="449" spans="1:39" ht="16.5" x14ac:dyDescent="0.25">
      <c r="A449" s="1">
        <v>45058</v>
      </c>
      <c r="B449" s="5">
        <v>9.6159999999999997</v>
      </c>
      <c r="C449" s="4">
        <v>9.66</v>
      </c>
      <c r="D449" s="4">
        <v>9.6989999999999998</v>
      </c>
      <c r="E449" s="4">
        <v>9.57</v>
      </c>
      <c r="F449" s="4" t="s">
        <v>1132</v>
      </c>
      <c r="G449" s="2" t="s">
        <v>1076</v>
      </c>
      <c r="I449">
        <f t="shared" si="86"/>
        <v>9.7249999999999996</v>
      </c>
      <c r="J449">
        <f t="shared" si="87"/>
        <v>9.5393749999999997</v>
      </c>
      <c r="L449">
        <f t="shared" si="88"/>
        <v>0</v>
      </c>
      <c r="M449">
        <f t="shared" si="89"/>
        <v>1</v>
      </c>
      <c r="O449">
        <f t="shared" si="90"/>
        <v>0</v>
      </c>
      <c r="P449">
        <f t="shared" si="91"/>
        <v>4.4000000000000483E-2</v>
      </c>
      <c r="R449">
        <f t="shared" si="92"/>
        <v>8.2142857142856782E-2</v>
      </c>
      <c r="S449">
        <f t="shared" si="93"/>
        <v>0.18814285714285767</v>
      </c>
      <c r="U449">
        <f t="shared" si="94"/>
        <v>30.391120507399421</v>
      </c>
      <c r="AH449">
        <f t="shared" si="95"/>
        <v>1.0136766707705507</v>
      </c>
      <c r="AI449">
        <f t="shared" si="96"/>
        <v>7.1471660729495552</v>
      </c>
      <c r="AJ449">
        <f t="shared" si="97"/>
        <v>12.302833927050443</v>
      </c>
      <c r="AL449" s="6">
        <f t="shared" si="98"/>
        <v>11.752353341541101</v>
      </c>
      <c r="AM449">
        <f t="shared" si="99"/>
        <v>7.6976466584588987</v>
      </c>
    </row>
    <row r="450" spans="1:39" ht="16.5" x14ac:dyDescent="0.25">
      <c r="A450" s="1">
        <v>45057</v>
      </c>
      <c r="B450" s="5">
        <v>9.5879999999999992</v>
      </c>
      <c r="C450" s="4">
        <v>9.7170000000000005</v>
      </c>
      <c r="D450" s="4">
        <v>9.7859999999999996</v>
      </c>
      <c r="E450" s="4">
        <v>9.5299999999999994</v>
      </c>
      <c r="F450" s="4" t="s">
        <v>1263</v>
      </c>
      <c r="G450" s="2" t="s">
        <v>585</v>
      </c>
      <c r="I450">
        <f t="shared" ref="I450:I513" si="100">AVERAGE(B450:B469)</f>
        <v>9.7201500000000003</v>
      </c>
      <c r="J450">
        <f t="shared" ref="J450:J513" si="101">AVERAGE(B450:B489)</f>
        <v>9.5635250000000021</v>
      </c>
      <c r="L450">
        <f t="shared" ref="L450:L513" si="102">IF($C450&lt;$B450,1,0)</f>
        <v>0</v>
      </c>
      <c r="M450">
        <f t="shared" ref="M450:M513" si="103">IF($C450&lt;$B450,0,1)</f>
        <v>1</v>
      </c>
      <c r="O450">
        <f t="shared" ref="O450:O513" si="104">IF($C450&lt;$B450,B450-C450,0)</f>
        <v>0</v>
      </c>
      <c r="P450">
        <f t="shared" ref="P450:P513" si="105">IF($B450&lt;$C450,C450-B450,0)</f>
        <v>0.12900000000000134</v>
      </c>
      <c r="R450">
        <f t="shared" ref="R450:R513" si="106">SUM(O450:O463)/SUM(L450:L463)</f>
        <v>7.6999999999999735E-2</v>
      </c>
      <c r="S450">
        <f t="shared" ref="S450:S513" si="107">SUM(P450:P463)/SUM(M450:M463)</f>
        <v>0.2121666666666672</v>
      </c>
      <c r="U450">
        <f t="shared" ref="U450:U513" si="108">100-(100/(1+(R450/S450)))</f>
        <v>26.62824207492784</v>
      </c>
      <c r="AH450">
        <f t="shared" si="95"/>
        <v>1.0117777853295231</v>
      </c>
      <c r="AI450">
        <f t="shared" si="96"/>
        <v>7.1423160729495558</v>
      </c>
      <c r="AJ450">
        <f t="shared" si="97"/>
        <v>12.297983927050446</v>
      </c>
      <c r="AL450" s="6">
        <f t="shared" si="98"/>
        <v>11.743705570659046</v>
      </c>
      <c r="AM450">
        <f t="shared" si="99"/>
        <v>7.6965944293409541</v>
      </c>
    </row>
    <row r="451" spans="1:39" ht="16.5" x14ac:dyDescent="0.25">
      <c r="A451" s="1">
        <v>45056</v>
      </c>
      <c r="B451" s="5">
        <v>9.7159999999999993</v>
      </c>
      <c r="C451" s="4">
        <v>9.6999999999999993</v>
      </c>
      <c r="D451" s="4">
        <v>9.8719999999999999</v>
      </c>
      <c r="E451" s="4">
        <v>9.6820000000000004</v>
      </c>
      <c r="F451" s="4" t="s">
        <v>1272</v>
      </c>
      <c r="G451" s="2" t="s">
        <v>1273</v>
      </c>
      <c r="I451">
        <f t="shared" si="100"/>
        <v>9.7205499999999994</v>
      </c>
      <c r="J451">
        <f t="shared" si="101"/>
        <v>9.5775250000000014</v>
      </c>
      <c r="L451">
        <f t="shared" si="102"/>
        <v>1</v>
      </c>
      <c r="M451">
        <f t="shared" si="103"/>
        <v>0</v>
      </c>
      <c r="O451">
        <f t="shared" si="104"/>
        <v>1.6000000000000014E-2</v>
      </c>
      <c r="P451">
        <f t="shared" si="105"/>
        <v>0</v>
      </c>
      <c r="R451">
        <f t="shared" si="106"/>
        <v>7.6999999999999735E-2</v>
      </c>
      <c r="S451">
        <f t="shared" si="107"/>
        <v>0.21416666666666698</v>
      </c>
      <c r="U451">
        <f t="shared" si="108"/>
        <v>26.445334859759498</v>
      </c>
      <c r="AH451">
        <f t="shared" ref="AH451:AH514" si="109">_xlfn.STDEV.S(I451:I981)</f>
        <v>1.0095521440720197</v>
      </c>
      <c r="AI451">
        <f t="shared" ref="AI451:AI514" si="110">I451-$AH$2</f>
        <v>7.1427160729495549</v>
      </c>
      <c r="AJ451">
        <f t="shared" ref="AJ451:AJ514" si="111">I451+$AH$2</f>
        <v>12.298383927050445</v>
      </c>
      <c r="AL451" s="6">
        <f t="shared" ref="AL451:AL514" si="112">I451+(AH451*2)</f>
        <v>11.739654288144038</v>
      </c>
      <c r="AM451">
        <f t="shared" ref="AM451:AM514" si="113">I451-(AH451*2)</f>
        <v>7.7014457118559605</v>
      </c>
    </row>
    <row r="452" spans="1:39" ht="16.5" x14ac:dyDescent="0.25">
      <c r="A452" s="1">
        <v>45055</v>
      </c>
      <c r="B452" s="5">
        <v>9.6709999999999994</v>
      </c>
      <c r="C452" s="4">
        <v>9.6839999999999993</v>
      </c>
      <c r="D452" s="4">
        <v>9.7159999999999993</v>
      </c>
      <c r="E452" s="4">
        <v>9.5619999999999994</v>
      </c>
      <c r="F452" s="4" t="s">
        <v>1274</v>
      </c>
      <c r="G452" s="2" t="s">
        <v>505</v>
      </c>
      <c r="I452">
        <f t="shared" si="100"/>
        <v>9.7129999999999992</v>
      </c>
      <c r="J452">
        <f t="shared" si="101"/>
        <v>9.601325000000001</v>
      </c>
      <c r="L452">
        <f t="shared" si="102"/>
        <v>0</v>
      </c>
      <c r="M452">
        <f t="shared" si="103"/>
        <v>1</v>
      </c>
      <c r="O452">
        <f t="shared" si="104"/>
        <v>0</v>
      </c>
      <c r="P452">
        <f t="shared" si="105"/>
        <v>1.2999999999999901E-2</v>
      </c>
      <c r="R452">
        <f t="shared" si="106"/>
        <v>9.212499999999979E-2</v>
      </c>
      <c r="S452">
        <f t="shared" si="107"/>
        <v>0.21416666666666698</v>
      </c>
      <c r="U452">
        <f t="shared" si="108"/>
        <v>30.077540470684184</v>
      </c>
      <c r="AH452">
        <f t="shared" si="109"/>
        <v>1.0070537075721915</v>
      </c>
      <c r="AI452">
        <f t="shared" si="110"/>
        <v>7.1351660729495547</v>
      </c>
      <c r="AJ452">
        <f t="shared" si="111"/>
        <v>12.290833927050443</v>
      </c>
      <c r="AL452" s="6">
        <f t="shared" si="112"/>
        <v>11.727107415144381</v>
      </c>
      <c r="AM452">
        <f t="shared" si="113"/>
        <v>7.6988925848556162</v>
      </c>
    </row>
    <row r="453" spans="1:39" ht="16.5" x14ac:dyDescent="0.25">
      <c r="A453" s="1">
        <v>45054</v>
      </c>
      <c r="B453" s="5">
        <v>9.6739999999999995</v>
      </c>
      <c r="C453" s="4">
        <v>9.6370000000000005</v>
      </c>
      <c r="D453" s="4">
        <v>9.7110000000000003</v>
      </c>
      <c r="E453" s="4">
        <v>9.6059999999999999</v>
      </c>
      <c r="F453" s="4" t="s">
        <v>1275</v>
      </c>
      <c r="G453" s="2" t="s">
        <v>326</v>
      </c>
      <c r="I453">
        <f t="shared" si="100"/>
        <v>9.7022499999999994</v>
      </c>
      <c r="J453">
        <f t="shared" si="101"/>
        <v>9.6474000000000011</v>
      </c>
      <c r="L453">
        <f t="shared" si="102"/>
        <v>1</v>
      </c>
      <c r="M453">
        <f t="shared" si="103"/>
        <v>0</v>
      </c>
      <c r="O453">
        <f t="shared" si="104"/>
        <v>3.6999999999999034E-2</v>
      </c>
      <c r="P453">
        <f t="shared" si="105"/>
        <v>0</v>
      </c>
      <c r="R453">
        <f t="shared" si="106"/>
        <v>8.5666666666666363E-2</v>
      </c>
      <c r="S453">
        <f t="shared" si="107"/>
        <v>0.2544000000000004</v>
      </c>
      <c r="U453">
        <f t="shared" si="108"/>
        <v>25.19113899235434</v>
      </c>
      <c r="AH453">
        <f t="shared" si="109"/>
        <v>1.0041384644199343</v>
      </c>
      <c r="AI453">
        <f t="shared" si="110"/>
        <v>7.1244160729495549</v>
      </c>
      <c r="AJ453">
        <f t="shared" si="111"/>
        <v>12.280083927050445</v>
      </c>
      <c r="AL453" s="6">
        <f t="shared" si="112"/>
        <v>11.710526928839869</v>
      </c>
      <c r="AM453">
        <f t="shared" si="113"/>
        <v>7.6939730711601308</v>
      </c>
    </row>
    <row r="454" spans="1:39" ht="16.5" x14ac:dyDescent="0.25">
      <c r="A454" s="1">
        <v>45051</v>
      </c>
      <c r="B454" s="5">
        <v>9.6649999999999991</v>
      </c>
      <c r="C454" s="4">
        <v>9.36</v>
      </c>
      <c r="D454" s="4">
        <v>9.6850000000000005</v>
      </c>
      <c r="E454" s="4">
        <v>9.36</v>
      </c>
      <c r="F454" s="4" t="s">
        <v>1276</v>
      </c>
      <c r="G454" s="2" t="s">
        <v>1277</v>
      </c>
      <c r="I454">
        <f t="shared" si="100"/>
        <v>9.6835500000000003</v>
      </c>
      <c r="J454">
        <f t="shared" si="101"/>
        <v>9.6964500000000022</v>
      </c>
      <c r="L454">
        <f t="shared" si="102"/>
        <v>1</v>
      </c>
      <c r="M454">
        <f t="shared" si="103"/>
        <v>0</v>
      </c>
      <c r="O454">
        <f t="shared" si="104"/>
        <v>0.30499999999999972</v>
      </c>
      <c r="P454">
        <f t="shared" si="105"/>
        <v>0</v>
      </c>
      <c r="R454">
        <f t="shared" si="106"/>
        <v>9.1749999999999776E-2</v>
      </c>
      <c r="S454">
        <f t="shared" si="107"/>
        <v>0.25650000000000023</v>
      </c>
      <c r="U454">
        <f t="shared" si="108"/>
        <v>26.346015793251908</v>
      </c>
      <c r="AH454">
        <f t="shared" si="109"/>
        <v>1.000720697828082</v>
      </c>
      <c r="AI454">
        <f t="shared" si="110"/>
        <v>7.1057160729495559</v>
      </c>
      <c r="AJ454">
        <f t="shared" si="111"/>
        <v>12.261383927050446</v>
      </c>
      <c r="AL454" s="6">
        <f t="shared" si="112"/>
        <v>11.684991395656164</v>
      </c>
      <c r="AM454">
        <f t="shared" si="113"/>
        <v>7.6821086043438367</v>
      </c>
    </row>
    <row r="455" spans="1:39" ht="16.5" x14ac:dyDescent="0.25">
      <c r="A455" s="1">
        <v>45050</v>
      </c>
      <c r="B455" s="5">
        <v>9.2469999999999999</v>
      </c>
      <c r="C455" s="4">
        <v>9.6</v>
      </c>
      <c r="D455" s="4">
        <v>9.6440000000000001</v>
      </c>
      <c r="E455" s="4">
        <v>9.1340000000000003</v>
      </c>
      <c r="F455" s="4" t="s">
        <v>1225</v>
      </c>
      <c r="G455" s="2" t="s">
        <v>1278</v>
      </c>
      <c r="I455">
        <f t="shared" si="100"/>
        <v>9.6667000000000023</v>
      </c>
      <c r="J455">
        <f t="shared" si="101"/>
        <v>9.7444750000000031</v>
      </c>
      <c r="L455">
        <f t="shared" si="102"/>
        <v>0</v>
      </c>
      <c r="M455">
        <f t="shared" si="103"/>
        <v>1</v>
      </c>
      <c r="O455">
        <f t="shared" si="104"/>
        <v>0</v>
      </c>
      <c r="P455">
        <f t="shared" si="105"/>
        <v>0.35299999999999976</v>
      </c>
      <c r="R455">
        <f t="shared" si="106"/>
        <v>0.10049999999999981</v>
      </c>
      <c r="S455">
        <f t="shared" si="107"/>
        <v>0.25650000000000023</v>
      </c>
      <c r="U455">
        <f t="shared" si="108"/>
        <v>28.15126050420163</v>
      </c>
      <c r="AH455">
        <f t="shared" si="109"/>
        <v>0.99662336588795453</v>
      </c>
      <c r="AI455">
        <f t="shared" si="110"/>
        <v>7.0888660729495578</v>
      </c>
      <c r="AJ455">
        <f t="shared" si="111"/>
        <v>12.244533927050448</v>
      </c>
      <c r="AL455" s="6">
        <f t="shared" si="112"/>
        <v>11.659946731775911</v>
      </c>
      <c r="AM455">
        <f t="shared" si="113"/>
        <v>7.673453268224093</v>
      </c>
    </row>
    <row r="456" spans="1:39" ht="16.5" x14ac:dyDescent="0.25">
      <c r="A456" s="1">
        <v>45049</v>
      </c>
      <c r="B456" s="5">
        <v>9.5649999999999995</v>
      </c>
      <c r="C456" s="4">
        <v>9.7330000000000005</v>
      </c>
      <c r="D456" s="4">
        <v>9.734</v>
      </c>
      <c r="E456" s="4">
        <v>9.5180000000000007</v>
      </c>
      <c r="F456" s="4" t="s">
        <v>1168</v>
      </c>
      <c r="G456" s="2" t="s">
        <v>396</v>
      </c>
      <c r="I456">
        <f t="shared" si="100"/>
        <v>9.6776000000000018</v>
      </c>
      <c r="J456">
        <f t="shared" si="101"/>
        <v>9.807500000000001</v>
      </c>
      <c r="L456">
        <f t="shared" si="102"/>
        <v>0</v>
      </c>
      <c r="M456">
        <f t="shared" si="103"/>
        <v>1</v>
      </c>
      <c r="O456">
        <f t="shared" si="104"/>
        <v>0</v>
      </c>
      <c r="P456">
        <f t="shared" si="105"/>
        <v>0.16800000000000104</v>
      </c>
      <c r="R456">
        <f t="shared" si="106"/>
        <v>0.10049999999999981</v>
      </c>
      <c r="S456">
        <f t="shared" si="107"/>
        <v>0.20283333333333373</v>
      </c>
      <c r="U456">
        <f t="shared" si="108"/>
        <v>33.131868131868046</v>
      </c>
      <c r="AH456">
        <f t="shared" si="109"/>
        <v>0.99181594464818845</v>
      </c>
      <c r="AI456">
        <f t="shared" si="110"/>
        <v>7.0997660729495573</v>
      </c>
      <c r="AJ456">
        <f t="shared" si="111"/>
        <v>12.255433927050447</v>
      </c>
      <c r="AL456" s="6">
        <f t="shared" si="112"/>
        <v>11.661231889296378</v>
      </c>
      <c r="AM456">
        <f t="shared" si="113"/>
        <v>7.6939681107036249</v>
      </c>
    </row>
    <row r="457" spans="1:39" ht="16.5" x14ac:dyDescent="0.25">
      <c r="A457" s="1">
        <v>45048</v>
      </c>
      <c r="B457" s="5">
        <v>9.6329999999999991</v>
      </c>
      <c r="C457" s="4">
        <v>9.9670000000000005</v>
      </c>
      <c r="D457" s="4">
        <v>10.064</v>
      </c>
      <c r="E457" s="4">
        <v>9.6120000000000001</v>
      </c>
      <c r="F457" s="4" t="s">
        <v>1279</v>
      </c>
      <c r="G457" s="2" t="s">
        <v>1280</v>
      </c>
      <c r="I457">
        <f t="shared" si="100"/>
        <v>9.6671500000000012</v>
      </c>
      <c r="J457">
        <f t="shared" si="101"/>
        <v>9.8600750000000001</v>
      </c>
      <c r="L457">
        <f t="shared" si="102"/>
        <v>0</v>
      </c>
      <c r="M457">
        <f t="shared" si="103"/>
        <v>1</v>
      </c>
      <c r="O457">
        <f t="shared" si="104"/>
        <v>0</v>
      </c>
      <c r="P457">
        <f t="shared" si="105"/>
        <v>0.33400000000000141</v>
      </c>
      <c r="R457">
        <f t="shared" si="106"/>
        <v>0.10049999999999981</v>
      </c>
      <c r="S457">
        <f t="shared" si="107"/>
        <v>0.1788333333333334</v>
      </c>
      <c r="U457">
        <f t="shared" si="108"/>
        <v>35.978520286396133</v>
      </c>
      <c r="AH457">
        <f t="shared" si="109"/>
        <v>0.98674022915406856</v>
      </c>
      <c r="AI457">
        <f t="shared" si="110"/>
        <v>7.0893160729495568</v>
      </c>
      <c r="AJ457">
        <f t="shared" si="111"/>
        <v>12.244983927050445</v>
      </c>
      <c r="AL457" s="6">
        <f t="shared" si="112"/>
        <v>11.640630458308138</v>
      </c>
      <c r="AM457">
        <f t="shared" si="113"/>
        <v>7.6936695416918646</v>
      </c>
    </row>
    <row r="458" spans="1:39" ht="16.5" x14ac:dyDescent="0.25">
      <c r="A458" s="1">
        <v>45044</v>
      </c>
      <c r="B458" s="5">
        <v>9.9429999999999996</v>
      </c>
      <c r="C458" s="4">
        <v>9.9390000000000001</v>
      </c>
      <c r="D458" s="4">
        <v>9.9949999999999992</v>
      </c>
      <c r="E458" s="4">
        <v>9.6760000000000002</v>
      </c>
      <c r="F458" s="4" t="s">
        <v>1281</v>
      </c>
      <c r="G458" s="2" t="s">
        <v>1282</v>
      </c>
      <c r="I458">
        <f t="shared" si="100"/>
        <v>9.6499500000000005</v>
      </c>
      <c r="J458">
        <f t="shared" si="101"/>
        <v>9.9054000000000038</v>
      </c>
      <c r="L458">
        <f t="shared" si="102"/>
        <v>1</v>
      </c>
      <c r="M458">
        <f t="shared" si="103"/>
        <v>0</v>
      </c>
      <c r="O458">
        <f t="shared" si="104"/>
        <v>3.9999999999995595E-3</v>
      </c>
      <c r="P458">
        <f t="shared" si="105"/>
        <v>0</v>
      </c>
      <c r="R458">
        <f t="shared" si="106"/>
        <v>9.355555555555542E-2</v>
      </c>
      <c r="S458">
        <f t="shared" si="107"/>
        <v>0.14779999999999979</v>
      </c>
      <c r="U458">
        <f t="shared" si="108"/>
        <v>38.762544885369671</v>
      </c>
      <c r="AH458">
        <f t="shared" si="109"/>
        <v>0.98097596968395373</v>
      </c>
      <c r="AI458">
        <f t="shared" si="110"/>
        <v>7.072116072949556</v>
      </c>
      <c r="AJ458">
        <f t="shared" si="111"/>
        <v>12.227783927050446</v>
      </c>
      <c r="AL458" s="6">
        <f t="shared" si="112"/>
        <v>11.611901939367907</v>
      </c>
      <c r="AM458">
        <f t="shared" si="113"/>
        <v>7.6879980606320935</v>
      </c>
    </row>
    <row r="459" spans="1:39" ht="16.5" x14ac:dyDescent="0.25">
      <c r="A459" s="1">
        <v>45043</v>
      </c>
      <c r="B459" s="5">
        <v>9.7940000000000005</v>
      </c>
      <c r="C459" s="4">
        <v>9.6980000000000004</v>
      </c>
      <c r="D459" s="4">
        <v>9.9030000000000005</v>
      </c>
      <c r="E459" s="4">
        <v>9.2330000000000005</v>
      </c>
      <c r="F459" s="4" t="s">
        <v>1283</v>
      </c>
      <c r="G459" s="2" t="s">
        <v>919</v>
      </c>
      <c r="I459">
        <f t="shared" si="100"/>
        <v>9.6099500000000013</v>
      </c>
      <c r="J459">
        <f t="shared" si="101"/>
        <v>9.9466250000000027</v>
      </c>
      <c r="L459">
        <f t="shared" si="102"/>
        <v>1</v>
      </c>
      <c r="M459">
        <f t="shared" si="103"/>
        <v>0</v>
      </c>
      <c r="O459">
        <f t="shared" si="104"/>
        <v>9.6000000000000085E-2</v>
      </c>
      <c r="P459">
        <f t="shared" si="105"/>
        <v>0</v>
      </c>
      <c r="R459">
        <f t="shared" si="106"/>
        <v>0.10777777777777765</v>
      </c>
      <c r="S459">
        <f t="shared" si="107"/>
        <v>0.14779999999999979</v>
      </c>
      <c r="U459">
        <f t="shared" si="108"/>
        <v>42.170246065559517</v>
      </c>
      <c r="AH459">
        <f t="shared" si="109"/>
        <v>0.97432652122077423</v>
      </c>
      <c r="AI459">
        <f t="shared" si="110"/>
        <v>7.0321160729495569</v>
      </c>
      <c r="AJ459">
        <f t="shared" si="111"/>
        <v>12.187783927050447</v>
      </c>
      <c r="AL459" s="6">
        <f t="shared" si="112"/>
        <v>11.55860304244155</v>
      </c>
      <c r="AM459">
        <f t="shared" si="113"/>
        <v>7.6612969575584531</v>
      </c>
    </row>
    <row r="460" spans="1:39" ht="16.5" x14ac:dyDescent="0.25">
      <c r="A460" s="1">
        <v>45042</v>
      </c>
      <c r="B460" s="5">
        <v>9.5579999999999998</v>
      </c>
      <c r="C460" s="4">
        <v>9.49</v>
      </c>
      <c r="D460" s="4">
        <v>9.6010000000000009</v>
      </c>
      <c r="E460" s="4">
        <v>9.2170000000000005</v>
      </c>
      <c r="F460" s="4" t="s">
        <v>1284</v>
      </c>
      <c r="G460" s="2" t="s">
        <v>676</v>
      </c>
      <c r="I460">
        <f t="shared" si="100"/>
        <v>9.5663499999999999</v>
      </c>
      <c r="J460">
        <f t="shared" si="101"/>
        <v>9.9967750000000013</v>
      </c>
      <c r="L460">
        <f t="shared" si="102"/>
        <v>1</v>
      </c>
      <c r="M460">
        <f t="shared" si="103"/>
        <v>0</v>
      </c>
      <c r="O460">
        <f t="shared" si="104"/>
        <v>6.7999999999999616E-2</v>
      </c>
      <c r="P460">
        <f t="shared" si="105"/>
        <v>0</v>
      </c>
      <c r="R460">
        <f t="shared" si="106"/>
        <v>0.10924999999999985</v>
      </c>
      <c r="S460">
        <f t="shared" si="107"/>
        <v>0.13099999999999964</v>
      </c>
      <c r="U460">
        <f t="shared" si="108"/>
        <v>45.473465140478702</v>
      </c>
      <c r="AH460">
        <f t="shared" si="109"/>
        <v>0.9662266079375077</v>
      </c>
      <c r="AI460">
        <f t="shared" si="110"/>
        <v>6.9885160729495555</v>
      </c>
      <c r="AJ460">
        <f t="shared" si="111"/>
        <v>12.144183927050445</v>
      </c>
      <c r="AL460" s="6">
        <f t="shared" si="112"/>
        <v>11.498803215875014</v>
      </c>
      <c r="AM460">
        <f t="shared" si="113"/>
        <v>7.6338967841249845</v>
      </c>
    </row>
    <row r="461" spans="1:39" ht="16.5" x14ac:dyDescent="0.25">
      <c r="A461" s="1">
        <v>45041</v>
      </c>
      <c r="B461" s="5">
        <v>9.5180000000000007</v>
      </c>
      <c r="C461" s="4">
        <v>9.7940000000000005</v>
      </c>
      <c r="D461" s="4">
        <v>9.827</v>
      </c>
      <c r="E461" s="4">
        <v>9.5009999999999994</v>
      </c>
      <c r="F461" s="4" t="s">
        <v>1285</v>
      </c>
      <c r="G461" s="2" t="s">
        <v>1286</v>
      </c>
      <c r="I461">
        <f t="shared" si="100"/>
        <v>9.5417000000000005</v>
      </c>
      <c r="J461">
        <f t="shared" si="101"/>
        <v>10.046575000000004</v>
      </c>
      <c r="L461">
        <f t="shared" si="102"/>
        <v>0</v>
      </c>
      <c r="M461">
        <f t="shared" si="103"/>
        <v>1</v>
      </c>
      <c r="O461">
        <f t="shared" si="104"/>
        <v>0</v>
      </c>
      <c r="P461">
        <f t="shared" si="105"/>
        <v>0.2759999999999998</v>
      </c>
      <c r="R461">
        <f t="shared" si="106"/>
        <v>0.11514285714285702</v>
      </c>
      <c r="S461">
        <f t="shared" si="107"/>
        <v>0.13828571428571404</v>
      </c>
      <c r="U461">
        <f t="shared" si="108"/>
        <v>45.434047350620084</v>
      </c>
      <c r="AH461">
        <f t="shared" si="109"/>
        <v>0.9564202955771598</v>
      </c>
      <c r="AI461">
        <f t="shared" si="110"/>
        <v>6.9638660729495561</v>
      </c>
      <c r="AJ461">
        <f t="shared" si="111"/>
        <v>12.119533927050444</v>
      </c>
      <c r="AL461" s="6">
        <f t="shared" si="112"/>
        <v>11.45454059115432</v>
      </c>
      <c r="AM461">
        <f t="shared" si="113"/>
        <v>7.6288594088456811</v>
      </c>
    </row>
    <row r="462" spans="1:39" ht="16.5" x14ac:dyDescent="0.25">
      <c r="A462" s="1">
        <v>45040</v>
      </c>
      <c r="B462" s="5">
        <v>9.8970000000000002</v>
      </c>
      <c r="C462" s="4">
        <v>9.8480000000000008</v>
      </c>
      <c r="D462" s="4">
        <v>9.9979999999999993</v>
      </c>
      <c r="E462" s="4">
        <v>9.8219999999999992</v>
      </c>
      <c r="F462" s="4" t="s">
        <v>1216</v>
      </c>
      <c r="G462" s="2" t="s">
        <v>949</v>
      </c>
      <c r="I462">
        <f t="shared" si="100"/>
        <v>9.492799999999999</v>
      </c>
      <c r="J462">
        <f t="shared" si="101"/>
        <v>10.090975000000004</v>
      </c>
      <c r="L462">
        <f t="shared" si="102"/>
        <v>1</v>
      </c>
      <c r="M462">
        <f t="shared" si="103"/>
        <v>0</v>
      </c>
      <c r="O462">
        <f t="shared" si="104"/>
        <v>4.8999999999999488E-2</v>
      </c>
      <c r="P462">
        <f t="shared" si="105"/>
        <v>0</v>
      </c>
      <c r="R462">
        <f t="shared" si="106"/>
        <v>0.10924999999999985</v>
      </c>
      <c r="S462">
        <f t="shared" si="107"/>
        <v>0.11533333333333307</v>
      </c>
      <c r="U462">
        <f t="shared" si="108"/>
        <v>48.645640074211528</v>
      </c>
      <c r="AH462">
        <f t="shared" si="109"/>
        <v>0.94514639216695995</v>
      </c>
      <c r="AI462">
        <f t="shared" si="110"/>
        <v>6.9149660729495546</v>
      </c>
      <c r="AJ462">
        <f t="shared" si="111"/>
        <v>12.070633927050444</v>
      </c>
      <c r="AL462" s="6">
        <f t="shared" si="112"/>
        <v>11.383092784333918</v>
      </c>
      <c r="AM462">
        <f t="shared" si="113"/>
        <v>7.6025072156660789</v>
      </c>
    </row>
    <row r="463" spans="1:39" ht="16.5" x14ac:dyDescent="0.25">
      <c r="A463" s="1">
        <v>45037</v>
      </c>
      <c r="B463" s="5">
        <v>9.8949999999999996</v>
      </c>
      <c r="C463" s="4">
        <v>9.8539999999999992</v>
      </c>
      <c r="D463" s="4">
        <v>9.9440000000000008</v>
      </c>
      <c r="E463" s="4">
        <v>9.8019999999999996</v>
      </c>
      <c r="F463" s="4" t="s">
        <v>1287</v>
      </c>
      <c r="G463" s="2" t="s">
        <v>310</v>
      </c>
      <c r="I463">
        <f t="shared" si="100"/>
        <v>9.4647499999999987</v>
      </c>
      <c r="J463">
        <f t="shared" si="101"/>
        <v>10.130250000000002</v>
      </c>
      <c r="L463">
        <f t="shared" si="102"/>
        <v>1</v>
      </c>
      <c r="M463">
        <f t="shared" si="103"/>
        <v>0</v>
      </c>
      <c r="O463">
        <f t="shared" si="104"/>
        <v>4.1000000000000369E-2</v>
      </c>
      <c r="P463">
        <f t="shared" si="105"/>
        <v>0</v>
      </c>
      <c r="R463">
        <f t="shared" si="106"/>
        <v>0.11262499999999998</v>
      </c>
      <c r="S463">
        <f t="shared" si="107"/>
        <v>0.11533333333333307</v>
      </c>
      <c r="U463">
        <f t="shared" si="108"/>
        <v>49.405958691281356</v>
      </c>
      <c r="AH463">
        <f t="shared" si="109"/>
        <v>0.93161330467090131</v>
      </c>
      <c r="AI463">
        <f t="shared" si="110"/>
        <v>6.8869160729495542</v>
      </c>
      <c r="AJ463">
        <f t="shared" si="111"/>
        <v>12.042583927050444</v>
      </c>
      <c r="AL463" s="6">
        <f t="shared" si="112"/>
        <v>11.327976609341802</v>
      </c>
      <c r="AM463">
        <f t="shared" si="113"/>
        <v>7.6015233906581958</v>
      </c>
    </row>
    <row r="464" spans="1:39" ht="16.5" x14ac:dyDescent="0.25">
      <c r="A464" s="1">
        <v>45036</v>
      </c>
      <c r="B464" s="5">
        <v>9.9130000000000003</v>
      </c>
      <c r="C464" s="4">
        <v>10.054</v>
      </c>
      <c r="D464" s="4">
        <v>10.218</v>
      </c>
      <c r="E464" s="4">
        <v>9.8670000000000009</v>
      </c>
      <c r="F464" s="4" t="s">
        <v>853</v>
      </c>
      <c r="G464" s="2" t="s">
        <v>634</v>
      </c>
      <c r="I464">
        <f t="shared" si="100"/>
        <v>9.4521499999999996</v>
      </c>
      <c r="J464">
        <f t="shared" si="101"/>
        <v>10.168375000000003</v>
      </c>
      <c r="L464">
        <f t="shared" si="102"/>
        <v>0</v>
      </c>
      <c r="M464">
        <f t="shared" si="103"/>
        <v>1</v>
      </c>
      <c r="O464">
        <f t="shared" si="104"/>
        <v>0</v>
      </c>
      <c r="P464">
        <f t="shared" si="105"/>
        <v>0.14100000000000001</v>
      </c>
      <c r="R464">
        <f t="shared" si="106"/>
        <v>0.11612499999999981</v>
      </c>
      <c r="S464">
        <f t="shared" si="107"/>
        <v>0.11533333333333307</v>
      </c>
      <c r="U464">
        <f t="shared" si="108"/>
        <v>50.171017101710184</v>
      </c>
      <c r="AH464">
        <f t="shared" si="109"/>
        <v>0.91607824106714308</v>
      </c>
      <c r="AI464">
        <f t="shared" si="110"/>
        <v>6.8743160729495552</v>
      </c>
      <c r="AJ464">
        <f t="shared" si="111"/>
        <v>12.029983927050445</v>
      </c>
      <c r="AL464" s="6">
        <f t="shared" si="112"/>
        <v>11.284306482134285</v>
      </c>
      <c r="AM464">
        <f t="shared" si="113"/>
        <v>7.6199935178657139</v>
      </c>
    </row>
    <row r="465" spans="1:39" ht="16.5" x14ac:dyDescent="0.25">
      <c r="A465" s="1">
        <v>45035</v>
      </c>
      <c r="B465" s="5">
        <v>10.006</v>
      </c>
      <c r="C465" s="4">
        <v>9.8689999999999998</v>
      </c>
      <c r="D465" s="4">
        <v>10.02</v>
      </c>
      <c r="E465" s="4">
        <v>9.81</v>
      </c>
      <c r="F465" s="4" t="s">
        <v>1157</v>
      </c>
      <c r="G465" s="2" t="s">
        <v>338</v>
      </c>
      <c r="I465">
        <f t="shared" si="100"/>
        <v>9.44895</v>
      </c>
      <c r="J465">
        <f t="shared" si="101"/>
        <v>10.210450000000003</v>
      </c>
      <c r="L465">
        <f t="shared" si="102"/>
        <v>1</v>
      </c>
      <c r="M465">
        <f t="shared" si="103"/>
        <v>0</v>
      </c>
      <c r="O465">
        <f t="shared" si="104"/>
        <v>0.13700000000000045</v>
      </c>
      <c r="P465">
        <f t="shared" si="105"/>
        <v>0</v>
      </c>
      <c r="R465">
        <f t="shared" si="106"/>
        <v>0.11733333333333323</v>
      </c>
      <c r="S465">
        <f t="shared" si="107"/>
        <v>0.11019999999999967</v>
      </c>
      <c r="U465">
        <f t="shared" si="108"/>
        <v>51.567535892177027</v>
      </c>
      <c r="AH465">
        <f t="shared" si="109"/>
        <v>0.89872608339541793</v>
      </c>
      <c r="AI465">
        <f t="shared" si="110"/>
        <v>6.8711160729495555</v>
      </c>
      <c r="AJ465">
        <f t="shared" si="111"/>
        <v>12.026783927050445</v>
      </c>
      <c r="AL465" s="6">
        <f t="shared" si="112"/>
        <v>11.246402166790835</v>
      </c>
      <c r="AM465">
        <f t="shared" si="113"/>
        <v>7.6514978332091639</v>
      </c>
    </row>
    <row r="466" spans="1:39" ht="16.5" x14ac:dyDescent="0.25">
      <c r="A466" s="1">
        <v>45034</v>
      </c>
      <c r="B466" s="5">
        <v>9.9139999999999997</v>
      </c>
      <c r="C466" s="4">
        <v>9.8800000000000008</v>
      </c>
      <c r="D466" s="4">
        <v>10.028</v>
      </c>
      <c r="E466" s="4">
        <v>9.8480000000000008</v>
      </c>
      <c r="F466" s="4" t="s">
        <v>1025</v>
      </c>
      <c r="G466" s="2" t="s">
        <v>1288</v>
      </c>
      <c r="I466">
        <f t="shared" si="100"/>
        <v>9.4130000000000003</v>
      </c>
      <c r="J466">
        <f t="shared" si="101"/>
        <v>10.251100000000001</v>
      </c>
      <c r="L466">
        <f t="shared" si="102"/>
        <v>1</v>
      </c>
      <c r="M466">
        <f t="shared" si="103"/>
        <v>0</v>
      </c>
      <c r="O466">
        <f t="shared" si="104"/>
        <v>3.399999999999892E-2</v>
      </c>
      <c r="P466">
        <f t="shared" si="105"/>
        <v>0</v>
      </c>
      <c r="R466">
        <f t="shared" si="106"/>
        <v>0.11487499999999984</v>
      </c>
      <c r="S466">
        <f t="shared" si="107"/>
        <v>0.12883333333333299</v>
      </c>
      <c r="U466">
        <f t="shared" si="108"/>
        <v>47.136262608993022</v>
      </c>
      <c r="AH466">
        <f t="shared" si="109"/>
        <v>0.87961157010003455</v>
      </c>
      <c r="AI466">
        <f t="shared" si="110"/>
        <v>6.8351660729495558</v>
      </c>
      <c r="AJ466">
        <f t="shared" si="111"/>
        <v>11.990833927050446</v>
      </c>
      <c r="AL466" s="6">
        <f t="shared" si="112"/>
        <v>11.172223140200069</v>
      </c>
      <c r="AM466">
        <f t="shared" si="113"/>
        <v>7.6537768597999314</v>
      </c>
    </row>
    <row r="467" spans="1:39" ht="16.5" x14ac:dyDescent="0.25">
      <c r="A467" s="1">
        <v>45033</v>
      </c>
      <c r="B467" s="5">
        <v>9.7330000000000005</v>
      </c>
      <c r="C467" s="4">
        <v>10</v>
      </c>
      <c r="D467" s="4">
        <v>10.007999999999999</v>
      </c>
      <c r="E467" s="4">
        <v>9.6809999999999992</v>
      </c>
      <c r="F467" s="4" t="s">
        <v>1289</v>
      </c>
      <c r="G467" s="2" t="s">
        <v>318</v>
      </c>
      <c r="I467">
        <f t="shared" si="100"/>
        <v>9.3840000000000003</v>
      </c>
      <c r="J467">
        <f t="shared" si="101"/>
        <v>10.300250000000002</v>
      </c>
      <c r="L467">
        <f t="shared" si="102"/>
        <v>0</v>
      </c>
      <c r="M467">
        <f t="shared" si="103"/>
        <v>1</v>
      </c>
      <c r="O467">
        <f t="shared" si="104"/>
        <v>0</v>
      </c>
      <c r="P467">
        <f t="shared" si="105"/>
        <v>0.26699999999999946</v>
      </c>
      <c r="R467">
        <f t="shared" si="106"/>
        <v>0.129</v>
      </c>
      <c r="S467">
        <f t="shared" si="107"/>
        <v>0.12883333333333299</v>
      </c>
      <c r="U467">
        <f t="shared" si="108"/>
        <v>50.032320620555979</v>
      </c>
      <c r="AH467">
        <f t="shared" si="109"/>
        <v>0.85743497197573348</v>
      </c>
      <c r="AI467">
        <f t="shared" si="110"/>
        <v>6.8061660729495559</v>
      </c>
      <c r="AJ467">
        <f t="shared" si="111"/>
        <v>11.961833927050446</v>
      </c>
      <c r="AL467" s="6">
        <f t="shared" si="112"/>
        <v>11.098869943951467</v>
      </c>
      <c r="AM467">
        <f t="shared" si="113"/>
        <v>7.6691300560485338</v>
      </c>
    </row>
    <row r="468" spans="1:39" ht="16.5" x14ac:dyDescent="0.25">
      <c r="A468" s="1">
        <v>45030</v>
      </c>
      <c r="B468" s="5">
        <v>9.9540000000000006</v>
      </c>
      <c r="C468" s="4">
        <v>9.5790000000000006</v>
      </c>
      <c r="D468" s="4">
        <v>9.9819999999999993</v>
      </c>
      <c r="E468" s="4">
        <v>9.5079999999999991</v>
      </c>
      <c r="F468" s="4" t="s">
        <v>1290</v>
      </c>
      <c r="G468" s="2" t="s">
        <v>1291</v>
      </c>
      <c r="I468">
        <f t="shared" si="100"/>
        <v>9.3712999999999997</v>
      </c>
      <c r="J468">
        <f t="shared" si="101"/>
        <v>10.353425000000003</v>
      </c>
      <c r="L468">
        <f t="shared" si="102"/>
        <v>1</v>
      </c>
      <c r="M468">
        <f t="shared" si="103"/>
        <v>0</v>
      </c>
      <c r="O468">
        <f t="shared" si="104"/>
        <v>0.375</v>
      </c>
      <c r="P468">
        <f t="shared" si="105"/>
        <v>0</v>
      </c>
      <c r="R468">
        <f t="shared" si="106"/>
        <v>0.129</v>
      </c>
      <c r="S468">
        <f t="shared" si="107"/>
        <v>0.17183333333333314</v>
      </c>
      <c r="U468">
        <f t="shared" si="108"/>
        <v>42.880886426592824</v>
      </c>
      <c r="AH468">
        <f t="shared" si="109"/>
        <v>0.83194595671401417</v>
      </c>
      <c r="AI468">
        <f t="shared" si="110"/>
        <v>6.7934660729495553</v>
      </c>
      <c r="AJ468">
        <f t="shared" si="111"/>
        <v>11.949133927050443</v>
      </c>
      <c r="AL468" s="6">
        <f t="shared" si="112"/>
        <v>11.035191913428028</v>
      </c>
      <c r="AM468">
        <f t="shared" si="113"/>
        <v>7.7074080865719719</v>
      </c>
    </row>
    <row r="469" spans="1:39" ht="16.5" x14ac:dyDescent="0.25">
      <c r="A469" s="1">
        <v>45029</v>
      </c>
      <c r="B469" s="5">
        <v>9.5190000000000001</v>
      </c>
      <c r="C469" s="4">
        <v>9.5500000000000007</v>
      </c>
      <c r="D469" s="4">
        <v>9.6059999999999999</v>
      </c>
      <c r="E469" s="4">
        <v>9.4760000000000009</v>
      </c>
      <c r="F469" s="4" t="s">
        <v>906</v>
      </c>
      <c r="G469" s="2" t="s">
        <v>792</v>
      </c>
      <c r="I469">
        <f t="shared" si="100"/>
        <v>9.3537499999999998</v>
      </c>
      <c r="J469">
        <f t="shared" si="101"/>
        <v>10.389825000000002</v>
      </c>
      <c r="L469">
        <f t="shared" si="102"/>
        <v>0</v>
      </c>
      <c r="M469">
        <f t="shared" si="103"/>
        <v>1</v>
      </c>
      <c r="O469">
        <f t="shared" si="104"/>
        <v>0</v>
      </c>
      <c r="P469">
        <f t="shared" si="105"/>
        <v>3.1000000000000583E-2</v>
      </c>
      <c r="R469">
        <f t="shared" si="106"/>
        <v>9.3857142857142861E-2</v>
      </c>
      <c r="S469">
        <f t="shared" si="107"/>
        <v>0.18214285714285694</v>
      </c>
      <c r="U469">
        <f t="shared" si="108"/>
        <v>34.006211180124254</v>
      </c>
      <c r="AH469">
        <f t="shared" si="109"/>
        <v>0.80320446522343836</v>
      </c>
      <c r="AI469">
        <f t="shared" si="110"/>
        <v>6.7759160729495553</v>
      </c>
      <c r="AJ469">
        <f t="shared" si="111"/>
        <v>11.931583927050443</v>
      </c>
      <c r="AL469" s="6">
        <f t="shared" si="112"/>
        <v>10.960158930446877</v>
      </c>
      <c r="AM469">
        <f t="shared" si="113"/>
        <v>7.7473410695531228</v>
      </c>
    </row>
    <row r="470" spans="1:39" ht="16.5" x14ac:dyDescent="0.25">
      <c r="A470" s="1">
        <v>45028</v>
      </c>
      <c r="B470" s="5">
        <v>9.5960000000000001</v>
      </c>
      <c r="C470" s="4">
        <v>9.6199999999999992</v>
      </c>
      <c r="D470" s="4">
        <v>9.7319999999999993</v>
      </c>
      <c r="E470" s="4">
        <v>9.57</v>
      </c>
      <c r="F470" s="4" t="s">
        <v>1292</v>
      </c>
      <c r="G470" s="2" t="s">
        <v>245</v>
      </c>
      <c r="I470">
        <f t="shared" si="100"/>
        <v>9.406900000000002</v>
      </c>
      <c r="J470">
        <f t="shared" si="101"/>
        <v>10.440650000000003</v>
      </c>
      <c r="L470">
        <f t="shared" si="102"/>
        <v>0</v>
      </c>
      <c r="M470">
        <f t="shared" si="103"/>
        <v>1</v>
      </c>
      <c r="O470">
        <f t="shared" si="104"/>
        <v>0</v>
      </c>
      <c r="P470">
        <f t="shared" si="105"/>
        <v>2.3999999999999133E-2</v>
      </c>
      <c r="R470">
        <f t="shared" si="106"/>
        <v>9.3857142857142861E-2</v>
      </c>
      <c r="S470">
        <f t="shared" si="107"/>
        <v>0.19999999999999954</v>
      </c>
      <c r="U470">
        <f t="shared" si="108"/>
        <v>31.939718035974778</v>
      </c>
      <c r="AH470">
        <f t="shared" si="109"/>
        <v>0.77043415989277131</v>
      </c>
      <c r="AI470">
        <f t="shared" si="110"/>
        <v>6.8290660729495576</v>
      </c>
      <c r="AJ470">
        <f t="shared" si="111"/>
        <v>11.984733927050446</v>
      </c>
      <c r="AL470" s="6">
        <f t="shared" si="112"/>
        <v>10.947768319785546</v>
      </c>
      <c r="AM470">
        <f t="shared" si="113"/>
        <v>7.8660316802144594</v>
      </c>
    </row>
    <row r="471" spans="1:39" ht="16.5" x14ac:dyDescent="0.25">
      <c r="A471" s="1">
        <v>45027</v>
      </c>
      <c r="B471" s="5">
        <v>9.5649999999999995</v>
      </c>
      <c r="C471" s="4">
        <v>9.5269999999999992</v>
      </c>
      <c r="D471" s="4">
        <v>9.6349999999999998</v>
      </c>
      <c r="E471" s="4">
        <v>9.4749999999999996</v>
      </c>
      <c r="F471" s="4" t="s">
        <v>1293</v>
      </c>
      <c r="G471" s="2" t="s">
        <v>455</v>
      </c>
      <c r="I471">
        <f t="shared" si="100"/>
        <v>9.4345000000000017</v>
      </c>
      <c r="J471">
        <f t="shared" si="101"/>
        <v>10.485000000000003</v>
      </c>
      <c r="L471">
        <f t="shared" si="102"/>
        <v>1</v>
      </c>
      <c r="M471">
        <f t="shared" si="103"/>
        <v>0</v>
      </c>
      <c r="O471">
        <f t="shared" si="104"/>
        <v>3.8000000000000256E-2</v>
      </c>
      <c r="P471">
        <f t="shared" si="105"/>
        <v>0</v>
      </c>
      <c r="R471">
        <f t="shared" si="106"/>
        <v>0.11949999999999994</v>
      </c>
      <c r="S471">
        <f t="shared" si="107"/>
        <v>0.22933333333333294</v>
      </c>
      <c r="U471">
        <f t="shared" si="108"/>
        <v>34.257047300525585</v>
      </c>
      <c r="AH471">
        <f t="shared" si="109"/>
        <v>0.73600002126169617</v>
      </c>
      <c r="AI471">
        <f t="shared" si="110"/>
        <v>6.8566660729495572</v>
      </c>
      <c r="AJ471">
        <f t="shared" si="111"/>
        <v>12.012333927050445</v>
      </c>
      <c r="AL471" s="6">
        <f t="shared" si="112"/>
        <v>10.906500042523394</v>
      </c>
      <c r="AM471">
        <f t="shared" si="113"/>
        <v>7.9624999574766093</v>
      </c>
    </row>
    <row r="472" spans="1:39" ht="16.5" x14ac:dyDescent="0.25">
      <c r="A472" s="1">
        <v>45022</v>
      </c>
      <c r="B472" s="5">
        <v>9.4559999999999995</v>
      </c>
      <c r="C472" s="4">
        <v>9.3239999999999998</v>
      </c>
      <c r="D472" s="4">
        <v>9.4740000000000002</v>
      </c>
      <c r="E472" s="4">
        <v>9.3179999999999996</v>
      </c>
      <c r="F472" s="4" t="s">
        <v>933</v>
      </c>
      <c r="G472" s="2" t="s">
        <v>287</v>
      </c>
      <c r="I472">
        <f t="shared" si="100"/>
        <v>9.489650000000001</v>
      </c>
      <c r="J472">
        <f t="shared" si="101"/>
        <v>10.529325000000004</v>
      </c>
      <c r="L472">
        <f t="shared" si="102"/>
        <v>1</v>
      </c>
      <c r="M472">
        <f t="shared" si="103"/>
        <v>0</v>
      </c>
      <c r="O472">
        <f t="shared" si="104"/>
        <v>0.13199999999999967</v>
      </c>
      <c r="P472">
        <f t="shared" si="105"/>
        <v>0</v>
      </c>
      <c r="R472">
        <f t="shared" si="106"/>
        <v>0.17562499999999992</v>
      </c>
      <c r="S472">
        <f t="shared" si="107"/>
        <v>0.22933333333333294</v>
      </c>
      <c r="U472">
        <f t="shared" si="108"/>
        <v>43.368659327091294</v>
      </c>
      <c r="AH472">
        <f t="shared" si="109"/>
        <v>0.69842970501296087</v>
      </c>
      <c r="AI472">
        <f t="shared" si="110"/>
        <v>6.9118160729495566</v>
      </c>
      <c r="AJ472">
        <f t="shared" si="111"/>
        <v>12.067483927050446</v>
      </c>
      <c r="AL472" s="6">
        <f t="shared" si="112"/>
        <v>10.886509410025923</v>
      </c>
      <c r="AM472">
        <f t="shared" si="113"/>
        <v>8.0927905899740793</v>
      </c>
    </row>
    <row r="473" spans="1:39" ht="16.5" x14ac:dyDescent="0.25">
      <c r="A473" s="1">
        <v>45021</v>
      </c>
      <c r="B473" s="5">
        <v>9.3000000000000007</v>
      </c>
      <c r="C473" s="4">
        <v>9.3469999999999995</v>
      </c>
      <c r="D473" s="4">
        <v>9.5</v>
      </c>
      <c r="E473" s="4">
        <v>9.2170000000000005</v>
      </c>
      <c r="F473" s="4" t="s">
        <v>1294</v>
      </c>
      <c r="G473" s="2" t="s">
        <v>219</v>
      </c>
      <c r="I473">
        <f t="shared" si="100"/>
        <v>9.592550000000001</v>
      </c>
      <c r="J473">
        <f t="shared" si="101"/>
        <v>10.585425000000004</v>
      </c>
      <c r="L473">
        <f t="shared" si="102"/>
        <v>0</v>
      </c>
      <c r="M473">
        <f t="shared" si="103"/>
        <v>1</v>
      </c>
      <c r="O473">
        <f t="shared" si="104"/>
        <v>0</v>
      </c>
      <c r="P473">
        <f t="shared" si="105"/>
        <v>4.699999999999882E-2</v>
      </c>
      <c r="R473">
        <f t="shared" si="106"/>
        <v>0.1818571428571428</v>
      </c>
      <c r="S473">
        <f t="shared" si="107"/>
        <v>0.22685714285714248</v>
      </c>
      <c r="U473">
        <f t="shared" si="108"/>
        <v>44.494931842013315</v>
      </c>
      <c r="AH473">
        <f t="shared" si="109"/>
        <v>0.65847336018678515</v>
      </c>
      <c r="AI473">
        <f t="shared" si="110"/>
        <v>7.0147160729495566</v>
      </c>
      <c r="AJ473">
        <f t="shared" si="111"/>
        <v>12.170383927050445</v>
      </c>
      <c r="AL473" s="6">
        <f t="shared" si="112"/>
        <v>10.909496720373571</v>
      </c>
      <c r="AM473">
        <f t="shared" si="113"/>
        <v>8.2756032796264307</v>
      </c>
    </row>
    <row r="474" spans="1:39" ht="16.5" x14ac:dyDescent="0.25">
      <c r="A474" s="1">
        <v>45020</v>
      </c>
      <c r="B474" s="5">
        <v>9.3279999999999994</v>
      </c>
      <c r="C474" s="4">
        <v>9.51</v>
      </c>
      <c r="D474" s="4">
        <v>9.6020000000000003</v>
      </c>
      <c r="E474" s="4">
        <v>9.3149999999999995</v>
      </c>
      <c r="F474" s="4" t="s">
        <v>1295</v>
      </c>
      <c r="G474" s="2" t="s">
        <v>1248</v>
      </c>
      <c r="I474">
        <f t="shared" si="100"/>
        <v>9.7093500000000006</v>
      </c>
      <c r="J474">
        <f t="shared" si="101"/>
        <v>10.644625000000003</v>
      </c>
      <c r="L474">
        <f t="shared" si="102"/>
        <v>0</v>
      </c>
      <c r="M474">
        <f t="shared" si="103"/>
        <v>1</v>
      </c>
      <c r="O474">
        <f t="shared" si="104"/>
        <v>0</v>
      </c>
      <c r="P474">
        <f t="shared" si="105"/>
        <v>0.18200000000000038</v>
      </c>
      <c r="R474">
        <f t="shared" si="106"/>
        <v>0.1818571428571428</v>
      </c>
      <c r="S474">
        <f t="shared" si="107"/>
        <v>0.30799999999999983</v>
      </c>
      <c r="U474">
        <f t="shared" si="108"/>
        <v>37.124526100904056</v>
      </c>
      <c r="AH474">
        <f t="shared" si="109"/>
        <v>0.61817511040163475</v>
      </c>
      <c r="AI474">
        <f t="shared" si="110"/>
        <v>7.1315160729495561</v>
      </c>
      <c r="AJ474">
        <f t="shared" si="111"/>
        <v>12.287183927050446</v>
      </c>
      <c r="AL474" s="6">
        <f t="shared" si="112"/>
        <v>10.945700220803269</v>
      </c>
      <c r="AM474">
        <f t="shared" si="113"/>
        <v>8.4729997791967318</v>
      </c>
    </row>
    <row r="475" spans="1:39" ht="16.5" x14ac:dyDescent="0.25">
      <c r="A475" s="1">
        <v>45019</v>
      </c>
      <c r="B475" s="5">
        <v>9.4649999999999999</v>
      </c>
      <c r="C475" s="4">
        <v>9.3970000000000002</v>
      </c>
      <c r="D475" s="4">
        <v>9.6999999999999993</v>
      </c>
      <c r="E475" s="4">
        <v>9.3490000000000002</v>
      </c>
      <c r="F475" s="4" t="s">
        <v>1285</v>
      </c>
      <c r="G475" s="2" t="s">
        <v>1296</v>
      </c>
      <c r="I475">
        <f t="shared" si="100"/>
        <v>9.8222500000000004</v>
      </c>
      <c r="J475">
        <f t="shared" si="101"/>
        <v>10.699675000000003</v>
      </c>
      <c r="L475">
        <f t="shared" si="102"/>
        <v>1</v>
      </c>
      <c r="M475">
        <f t="shared" si="103"/>
        <v>0</v>
      </c>
      <c r="O475">
        <f t="shared" si="104"/>
        <v>6.7999999999999616E-2</v>
      </c>
      <c r="P475">
        <f t="shared" si="105"/>
        <v>0</v>
      </c>
      <c r="R475">
        <f t="shared" si="106"/>
        <v>0.1818571428571428</v>
      </c>
      <c r="S475">
        <f t="shared" si="107"/>
        <v>0.40928571428571409</v>
      </c>
      <c r="U475">
        <f t="shared" si="108"/>
        <v>30.763653939101019</v>
      </c>
      <c r="AH475">
        <f t="shared" si="109"/>
        <v>0.57823334056197817</v>
      </c>
      <c r="AI475">
        <f t="shared" si="110"/>
        <v>7.2444160729495559</v>
      </c>
      <c r="AJ475">
        <f t="shared" si="111"/>
        <v>12.400083927050446</v>
      </c>
      <c r="AL475" s="6">
        <f t="shared" si="112"/>
        <v>10.978716681123956</v>
      </c>
      <c r="AM475">
        <f t="shared" si="113"/>
        <v>8.6657833188760449</v>
      </c>
    </row>
    <row r="476" spans="1:39" ht="16.5" x14ac:dyDescent="0.25">
      <c r="A476" s="1">
        <v>45016</v>
      </c>
      <c r="B476" s="5">
        <v>9.3559999999999999</v>
      </c>
      <c r="C476" s="4">
        <v>9.2799999999999994</v>
      </c>
      <c r="D476" s="4">
        <v>9.4030000000000005</v>
      </c>
      <c r="E476" s="4">
        <v>9.1389999999999993</v>
      </c>
      <c r="F476" s="4" t="s">
        <v>1297</v>
      </c>
      <c r="G476" s="2" t="s">
        <v>1071</v>
      </c>
      <c r="I476">
        <f t="shared" si="100"/>
        <v>9.9374000000000002</v>
      </c>
      <c r="J476">
        <f t="shared" si="101"/>
        <v>10.746950000000002</v>
      </c>
      <c r="L476">
        <f t="shared" si="102"/>
        <v>1</v>
      </c>
      <c r="M476">
        <f t="shared" si="103"/>
        <v>0</v>
      </c>
      <c r="O476">
        <f t="shared" si="104"/>
        <v>7.6000000000000512E-2</v>
      </c>
      <c r="P476">
        <f t="shared" si="105"/>
        <v>0</v>
      </c>
      <c r="R476">
        <f t="shared" si="106"/>
        <v>0.24328571428571447</v>
      </c>
      <c r="S476">
        <f t="shared" si="107"/>
        <v>0.40928571428571409</v>
      </c>
      <c r="U476">
        <f t="shared" si="108"/>
        <v>37.281085814360807</v>
      </c>
      <c r="AH476">
        <f t="shared" si="109"/>
        <v>0.53849718510336286</v>
      </c>
      <c r="AI476">
        <f t="shared" si="110"/>
        <v>7.3595660729495558</v>
      </c>
      <c r="AJ476">
        <f t="shared" si="111"/>
        <v>12.515233927050446</v>
      </c>
      <c r="AL476" s="6">
        <f t="shared" si="112"/>
        <v>11.014394370206727</v>
      </c>
      <c r="AM476">
        <f t="shared" si="113"/>
        <v>8.8604056297932736</v>
      </c>
    </row>
    <row r="477" spans="1:39" ht="16.5" x14ac:dyDescent="0.25">
      <c r="A477" s="1">
        <v>45015</v>
      </c>
      <c r="B477" s="5">
        <v>9.2889999999999997</v>
      </c>
      <c r="C477" s="4">
        <v>9.2200000000000006</v>
      </c>
      <c r="D477" s="4">
        <v>9.4120000000000008</v>
      </c>
      <c r="E477" s="4">
        <v>9.1630000000000003</v>
      </c>
      <c r="F477" s="4" t="s">
        <v>1298</v>
      </c>
      <c r="G477" s="2" t="s">
        <v>117</v>
      </c>
      <c r="I477">
        <f t="shared" si="100"/>
        <v>10.053000000000001</v>
      </c>
      <c r="J477">
        <f t="shared" si="101"/>
        <v>10.801300000000003</v>
      </c>
      <c r="L477">
        <f t="shared" si="102"/>
        <v>1</v>
      </c>
      <c r="M477">
        <f t="shared" si="103"/>
        <v>0</v>
      </c>
      <c r="O477">
        <f t="shared" si="104"/>
        <v>6.8999999999999062E-2</v>
      </c>
      <c r="P477">
        <f t="shared" si="105"/>
        <v>0</v>
      </c>
      <c r="R477">
        <f t="shared" si="106"/>
        <v>0.27116666666666678</v>
      </c>
      <c r="S477">
        <f t="shared" si="107"/>
        <v>0.42712499999999975</v>
      </c>
      <c r="U477">
        <f t="shared" si="108"/>
        <v>38.832865922787775</v>
      </c>
      <c r="AH477">
        <f t="shared" si="109"/>
        <v>0.49913961314830069</v>
      </c>
      <c r="AI477">
        <f t="shared" si="110"/>
        <v>7.4751660729495564</v>
      </c>
      <c r="AJ477">
        <f t="shared" si="111"/>
        <v>12.630833927050446</v>
      </c>
      <c r="AL477" s="6">
        <f t="shared" si="112"/>
        <v>11.051279226296602</v>
      </c>
      <c r="AM477">
        <f t="shared" si="113"/>
        <v>9.0547207737033997</v>
      </c>
    </row>
    <row r="478" spans="1:39" ht="16.5" x14ac:dyDescent="0.25">
      <c r="A478" s="1">
        <v>45014</v>
      </c>
      <c r="B478" s="5">
        <v>9.1430000000000007</v>
      </c>
      <c r="C478" s="4">
        <v>9.016</v>
      </c>
      <c r="D478" s="4">
        <v>9.202</v>
      </c>
      <c r="E478" s="4">
        <v>8.9559999999999995</v>
      </c>
      <c r="F478" s="4" t="s">
        <v>1299</v>
      </c>
      <c r="G478" s="2" t="s">
        <v>1300</v>
      </c>
      <c r="I478">
        <f t="shared" si="100"/>
        <v>10.160850000000002</v>
      </c>
      <c r="J478">
        <f t="shared" si="101"/>
        <v>10.855475000000004</v>
      </c>
      <c r="L478">
        <f t="shared" si="102"/>
        <v>1</v>
      </c>
      <c r="M478">
        <f t="shared" si="103"/>
        <v>0</v>
      </c>
      <c r="O478">
        <f t="shared" si="104"/>
        <v>0.12700000000000067</v>
      </c>
      <c r="P478">
        <f t="shared" si="105"/>
        <v>0</v>
      </c>
      <c r="R478">
        <f t="shared" si="106"/>
        <v>0.31160000000000032</v>
      </c>
      <c r="S478">
        <f t="shared" si="107"/>
        <v>0.40855555555555551</v>
      </c>
      <c r="U478">
        <f t="shared" si="108"/>
        <v>43.268429660258619</v>
      </c>
      <c r="AH478">
        <f t="shared" si="109"/>
        <v>0.46026276581157893</v>
      </c>
      <c r="AI478">
        <f t="shared" si="110"/>
        <v>7.5830160729495573</v>
      </c>
      <c r="AJ478">
        <f t="shared" si="111"/>
        <v>12.738683927050445</v>
      </c>
      <c r="AL478" s="6">
        <f t="shared" si="112"/>
        <v>11.081375531623159</v>
      </c>
      <c r="AM478">
        <f t="shared" si="113"/>
        <v>9.2403244683768442</v>
      </c>
    </row>
    <row r="479" spans="1:39" ht="16.5" x14ac:dyDescent="0.25">
      <c r="A479" s="1">
        <v>45013</v>
      </c>
      <c r="B479" s="5">
        <v>8.9220000000000006</v>
      </c>
      <c r="C479" s="4">
        <v>9.1440000000000001</v>
      </c>
      <c r="D479" s="4">
        <v>9.2650000000000006</v>
      </c>
      <c r="E479" s="4">
        <v>8.7690000000000001</v>
      </c>
      <c r="F479" s="4" t="s">
        <v>1301</v>
      </c>
      <c r="G479" s="2" t="s">
        <v>1302</v>
      </c>
      <c r="I479">
        <f t="shared" si="100"/>
        <v>10.283300000000002</v>
      </c>
      <c r="J479">
        <f t="shared" si="101"/>
        <v>10.933150000000003</v>
      </c>
      <c r="L479">
        <f t="shared" si="102"/>
        <v>0</v>
      </c>
      <c r="M479">
        <f t="shared" si="103"/>
        <v>1</v>
      </c>
      <c r="O479">
        <f t="shared" si="104"/>
        <v>0</v>
      </c>
      <c r="P479">
        <f t="shared" si="105"/>
        <v>0.22199999999999953</v>
      </c>
      <c r="R479">
        <f t="shared" si="106"/>
        <v>0.35775000000000023</v>
      </c>
      <c r="S479">
        <f t="shared" si="107"/>
        <v>0.37930000000000008</v>
      </c>
      <c r="U479">
        <f t="shared" si="108"/>
        <v>48.538091038599831</v>
      </c>
      <c r="AH479">
        <f t="shared" si="109"/>
        <v>0.42146070780293932</v>
      </c>
      <c r="AI479">
        <f t="shared" si="110"/>
        <v>7.7054660729495579</v>
      </c>
      <c r="AJ479">
        <f t="shared" si="111"/>
        <v>12.861133927050446</v>
      </c>
      <c r="AL479" s="6">
        <f t="shared" si="112"/>
        <v>11.126221415605881</v>
      </c>
      <c r="AM479">
        <f t="shared" si="113"/>
        <v>9.4403785843941233</v>
      </c>
    </row>
    <row r="480" spans="1:39" ht="16.5" x14ac:dyDescent="0.25">
      <c r="A480" s="1">
        <v>45012</v>
      </c>
      <c r="B480" s="5">
        <v>9.0649999999999995</v>
      </c>
      <c r="C480" s="4">
        <v>8.9179999999999993</v>
      </c>
      <c r="D480" s="4">
        <v>9.1470000000000002</v>
      </c>
      <c r="E480" s="4">
        <v>8.6229999999999993</v>
      </c>
      <c r="F480" s="4" t="s">
        <v>1303</v>
      </c>
      <c r="G480" s="2" t="s">
        <v>1304</v>
      </c>
      <c r="I480">
        <f t="shared" si="100"/>
        <v>10.427200000000003</v>
      </c>
      <c r="J480">
        <f t="shared" si="101"/>
        <v>11.015300000000002</v>
      </c>
      <c r="L480">
        <f t="shared" si="102"/>
        <v>1</v>
      </c>
      <c r="M480">
        <f t="shared" si="103"/>
        <v>0</v>
      </c>
      <c r="O480">
        <f t="shared" si="104"/>
        <v>0.14700000000000024</v>
      </c>
      <c r="P480">
        <f t="shared" si="105"/>
        <v>0</v>
      </c>
      <c r="R480">
        <f t="shared" si="106"/>
        <v>0.31140000000000007</v>
      </c>
      <c r="S480">
        <f t="shared" si="107"/>
        <v>0.39677777777777795</v>
      </c>
      <c r="U480">
        <f t="shared" si="108"/>
        <v>43.972009539349813</v>
      </c>
      <c r="AH480">
        <f t="shared" si="109"/>
        <v>0.38372432563389941</v>
      </c>
      <c r="AI480">
        <f t="shared" si="110"/>
        <v>7.8493660729495582</v>
      </c>
      <c r="AJ480">
        <f t="shared" si="111"/>
        <v>13.005033927050448</v>
      </c>
      <c r="AL480" s="6">
        <f t="shared" si="112"/>
        <v>11.194648651267801</v>
      </c>
      <c r="AM480">
        <f t="shared" si="113"/>
        <v>9.659751348732204</v>
      </c>
    </row>
    <row r="481" spans="1:39" ht="16.5" x14ac:dyDescent="0.25">
      <c r="A481" s="1">
        <v>45009</v>
      </c>
      <c r="B481" s="5">
        <v>8.5399999999999991</v>
      </c>
      <c r="C481" s="4">
        <v>9.0649999999999995</v>
      </c>
      <c r="D481" s="4">
        <v>9.0660000000000007</v>
      </c>
      <c r="E481" s="4">
        <v>7.9450000000000003</v>
      </c>
      <c r="F481" s="4" t="s">
        <v>1305</v>
      </c>
      <c r="G481" s="2" t="s">
        <v>1306</v>
      </c>
      <c r="I481">
        <f t="shared" si="100"/>
        <v>10.551450000000003</v>
      </c>
      <c r="J481">
        <f t="shared" si="101"/>
        <v>11.095625000000002</v>
      </c>
      <c r="L481">
        <f t="shared" si="102"/>
        <v>0</v>
      </c>
      <c r="M481">
        <f t="shared" si="103"/>
        <v>1</v>
      </c>
      <c r="O481">
        <f t="shared" si="104"/>
        <v>0</v>
      </c>
      <c r="P481">
        <f t="shared" si="105"/>
        <v>0.52500000000000036</v>
      </c>
      <c r="R481">
        <f t="shared" si="106"/>
        <v>0.35250000000000004</v>
      </c>
      <c r="S481">
        <f t="shared" si="107"/>
        <v>0.37730000000000014</v>
      </c>
      <c r="U481">
        <f t="shared" si="108"/>
        <v>48.300904357358171</v>
      </c>
      <c r="AH481">
        <f t="shared" si="109"/>
        <v>0.34878960396496728</v>
      </c>
      <c r="AI481">
        <f t="shared" si="110"/>
        <v>7.9736160729495582</v>
      </c>
      <c r="AJ481">
        <f t="shared" si="111"/>
        <v>13.129283927050448</v>
      </c>
      <c r="AL481" s="6">
        <f t="shared" si="112"/>
        <v>11.249029207929937</v>
      </c>
      <c r="AM481">
        <f t="shared" si="113"/>
        <v>9.8538707920700688</v>
      </c>
    </row>
    <row r="482" spans="1:39" ht="16.5" x14ac:dyDescent="0.25">
      <c r="A482" s="1">
        <v>45008</v>
      </c>
      <c r="B482" s="5">
        <v>9.3360000000000003</v>
      </c>
      <c r="C482" s="4">
        <v>9.58</v>
      </c>
      <c r="D482" s="4">
        <v>9.6579999999999995</v>
      </c>
      <c r="E482" s="4">
        <v>9.2949999999999999</v>
      </c>
      <c r="F482" s="4" t="s">
        <v>1307</v>
      </c>
      <c r="G482" s="2" t="s">
        <v>1308</v>
      </c>
      <c r="I482">
        <f t="shared" si="100"/>
        <v>10.689150000000001</v>
      </c>
      <c r="J482">
        <f t="shared" si="101"/>
        <v>11.190625000000001</v>
      </c>
      <c r="L482">
        <f t="shared" si="102"/>
        <v>0</v>
      </c>
      <c r="M482">
        <f t="shared" si="103"/>
        <v>1</v>
      </c>
      <c r="O482">
        <f t="shared" si="104"/>
        <v>0</v>
      </c>
      <c r="P482">
        <f t="shared" si="105"/>
        <v>0.24399999999999977</v>
      </c>
      <c r="R482">
        <f t="shared" si="106"/>
        <v>0.29240000000000033</v>
      </c>
      <c r="S482">
        <f t="shared" si="107"/>
        <v>0.36088888888888904</v>
      </c>
      <c r="U482">
        <f t="shared" si="108"/>
        <v>44.758146812708361</v>
      </c>
      <c r="AH482">
        <f t="shared" si="109"/>
        <v>0.31586793708672112</v>
      </c>
      <c r="AI482">
        <f t="shared" si="110"/>
        <v>8.1113160729495561</v>
      </c>
      <c r="AJ482">
        <f t="shared" si="111"/>
        <v>13.266983927050447</v>
      </c>
      <c r="AL482" s="6">
        <f t="shared" si="112"/>
        <v>11.320885874173443</v>
      </c>
      <c r="AM482">
        <f t="shared" si="113"/>
        <v>10.057414125826559</v>
      </c>
    </row>
    <row r="483" spans="1:39" ht="16.5" x14ac:dyDescent="0.25">
      <c r="A483" s="1">
        <v>45007</v>
      </c>
      <c r="B483" s="5">
        <v>9.6430000000000007</v>
      </c>
      <c r="C483" s="4">
        <v>9.7989999999999995</v>
      </c>
      <c r="D483" s="4">
        <v>9.99</v>
      </c>
      <c r="E483" s="4">
        <v>9.6430000000000007</v>
      </c>
      <c r="F483" s="4" t="s">
        <v>1309</v>
      </c>
      <c r="G483" s="2" t="s">
        <v>832</v>
      </c>
      <c r="I483">
        <f t="shared" si="100"/>
        <v>10.795750000000002</v>
      </c>
      <c r="J483">
        <f t="shared" si="101"/>
        <v>11.260525000000003</v>
      </c>
      <c r="L483">
        <f t="shared" si="102"/>
        <v>0</v>
      </c>
      <c r="M483">
        <f t="shared" si="103"/>
        <v>1</v>
      </c>
      <c r="O483">
        <f t="shared" si="104"/>
        <v>0</v>
      </c>
      <c r="P483">
        <f t="shared" si="105"/>
        <v>0.15599999999999881</v>
      </c>
      <c r="R483">
        <f t="shared" si="106"/>
        <v>0.27433333333333348</v>
      </c>
      <c r="S483">
        <f t="shared" si="107"/>
        <v>0.37550000000000017</v>
      </c>
      <c r="U483">
        <f t="shared" si="108"/>
        <v>42.215952808412418</v>
      </c>
      <c r="AH483">
        <f t="shared" si="109"/>
        <v>0.28639397108761416</v>
      </c>
      <c r="AI483">
        <f t="shared" si="110"/>
        <v>8.2179160729495564</v>
      </c>
      <c r="AJ483">
        <f t="shared" si="111"/>
        <v>13.373583927050447</v>
      </c>
      <c r="AL483" s="6">
        <f t="shared" si="112"/>
        <v>11.36853794217523</v>
      </c>
      <c r="AM483">
        <f t="shared" si="113"/>
        <v>10.222962057824773</v>
      </c>
    </row>
    <row r="484" spans="1:39" ht="16.5" x14ac:dyDescent="0.25">
      <c r="A484" s="1">
        <v>45006</v>
      </c>
      <c r="B484" s="5">
        <v>9.8490000000000002</v>
      </c>
      <c r="C484" s="4">
        <v>9.5500000000000007</v>
      </c>
      <c r="D484" s="4">
        <v>9.8780000000000001</v>
      </c>
      <c r="E484" s="4">
        <v>9.4990000000000006</v>
      </c>
      <c r="F484" s="4" t="s">
        <v>1310</v>
      </c>
      <c r="G484" s="2" t="s">
        <v>1311</v>
      </c>
      <c r="I484">
        <f t="shared" si="100"/>
        <v>10.884600000000001</v>
      </c>
      <c r="J484">
        <f t="shared" si="101"/>
        <v>11.317300000000001</v>
      </c>
      <c r="L484">
        <f t="shared" si="102"/>
        <v>1</v>
      </c>
      <c r="M484">
        <f t="shared" si="103"/>
        <v>0</v>
      </c>
      <c r="O484">
        <f t="shared" si="104"/>
        <v>0.29899999999999949</v>
      </c>
      <c r="P484">
        <f t="shared" si="105"/>
        <v>0</v>
      </c>
      <c r="R484">
        <f t="shared" si="106"/>
        <v>0.27433333333333348</v>
      </c>
      <c r="S484">
        <f t="shared" si="107"/>
        <v>0.36850000000000027</v>
      </c>
      <c r="U484">
        <f t="shared" si="108"/>
        <v>42.675654653876066</v>
      </c>
      <c r="AH484">
        <f t="shared" si="109"/>
        <v>0.25882056262327396</v>
      </c>
      <c r="AI484">
        <f t="shared" si="110"/>
        <v>8.3067660729495572</v>
      </c>
      <c r="AJ484">
        <f t="shared" si="111"/>
        <v>13.462433927050444</v>
      </c>
      <c r="AL484" s="6">
        <f t="shared" si="112"/>
        <v>11.402241125246549</v>
      </c>
      <c r="AM484">
        <f t="shared" si="113"/>
        <v>10.366958874753452</v>
      </c>
    </row>
    <row r="485" spans="1:39" ht="16.5" x14ac:dyDescent="0.25">
      <c r="A485" s="1">
        <v>45005</v>
      </c>
      <c r="B485" s="5">
        <v>9.2870000000000008</v>
      </c>
      <c r="C485" s="4">
        <v>8.8000000000000007</v>
      </c>
      <c r="D485" s="4">
        <v>9.4529999999999994</v>
      </c>
      <c r="E485" s="4">
        <v>8.3130000000000006</v>
      </c>
      <c r="F485" s="4" t="s">
        <v>1312</v>
      </c>
      <c r="G485" s="2" t="s">
        <v>508</v>
      </c>
      <c r="I485">
        <f t="shared" si="100"/>
        <v>10.971950000000001</v>
      </c>
      <c r="J485">
        <f t="shared" si="101"/>
        <v>11.370475000000003</v>
      </c>
      <c r="L485">
        <f t="shared" si="102"/>
        <v>1</v>
      </c>
      <c r="M485">
        <f t="shared" si="103"/>
        <v>0</v>
      </c>
      <c r="O485">
        <f t="shared" si="104"/>
        <v>0.4870000000000001</v>
      </c>
      <c r="P485">
        <f t="shared" si="105"/>
        <v>0</v>
      </c>
      <c r="R485">
        <f t="shared" si="106"/>
        <v>0.26940000000000025</v>
      </c>
      <c r="S485">
        <f t="shared" si="107"/>
        <v>0.35511111111111127</v>
      </c>
      <c r="U485">
        <f t="shared" si="108"/>
        <v>43.137743301426909</v>
      </c>
      <c r="AH485">
        <f t="shared" si="109"/>
        <v>0.2322413553321688</v>
      </c>
      <c r="AI485">
        <f t="shared" si="110"/>
        <v>8.3941160729495579</v>
      </c>
      <c r="AJ485">
        <f t="shared" si="111"/>
        <v>13.549783927050445</v>
      </c>
      <c r="AL485" s="6">
        <f t="shared" si="112"/>
        <v>11.43643271066434</v>
      </c>
      <c r="AM485">
        <f t="shared" si="113"/>
        <v>10.507467289335663</v>
      </c>
    </row>
    <row r="486" spans="1:39" ht="16.5" x14ac:dyDescent="0.25">
      <c r="A486" s="1">
        <v>45002</v>
      </c>
      <c r="B486" s="5">
        <v>9.3339999999999996</v>
      </c>
      <c r="C486" s="4">
        <v>9.5459999999999994</v>
      </c>
      <c r="D486" s="4">
        <v>9.827</v>
      </c>
      <c r="E486" s="4">
        <v>9.1349999999999998</v>
      </c>
      <c r="F486" s="4" t="s">
        <v>1313</v>
      </c>
      <c r="G486" s="2" t="s">
        <v>151</v>
      </c>
      <c r="I486">
        <f t="shared" si="100"/>
        <v>11.089200000000002</v>
      </c>
      <c r="J486">
        <f t="shared" si="101"/>
        <v>11.436200000000001</v>
      </c>
      <c r="L486">
        <f t="shared" si="102"/>
        <v>0</v>
      </c>
      <c r="M486">
        <f t="shared" si="103"/>
        <v>1</v>
      </c>
      <c r="O486">
        <f t="shared" si="104"/>
        <v>0</v>
      </c>
      <c r="P486">
        <f t="shared" si="105"/>
        <v>0.21199999999999974</v>
      </c>
      <c r="R486">
        <f t="shared" si="106"/>
        <v>0.23000000000000043</v>
      </c>
      <c r="S486">
        <f t="shared" si="107"/>
        <v>0.35511111111111127</v>
      </c>
      <c r="U486">
        <f t="shared" si="108"/>
        <v>39.308773262438315</v>
      </c>
      <c r="AH486">
        <f t="shared" si="109"/>
        <v>0.20678641934273773</v>
      </c>
      <c r="AI486">
        <f t="shared" si="110"/>
        <v>8.5113660729495564</v>
      </c>
      <c r="AJ486">
        <f t="shared" si="111"/>
        <v>13.667033927050447</v>
      </c>
      <c r="AL486" s="6">
        <f t="shared" si="112"/>
        <v>11.502772838685477</v>
      </c>
      <c r="AM486">
        <f t="shared" si="113"/>
        <v>10.675627161314527</v>
      </c>
    </row>
    <row r="487" spans="1:39" ht="16.5" x14ac:dyDescent="0.25">
      <c r="A487" s="1">
        <v>45001</v>
      </c>
      <c r="B487" s="5">
        <v>9.4789999999999992</v>
      </c>
      <c r="C487" s="4">
        <v>10.093999999999999</v>
      </c>
      <c r="D487" s="4">
        <v>10.176</v>
      </c>
      <c r="E487" s="4">
        <v>9.2560000000000002</v>
      </c>
      <c r="F487" s="4" t="s">
        <v>1314</v>
      </c>
      <c r="G487" s="2" t="s">
        <v>1315</v>
      </c>
      <c r="I487">
        <f t="shared" si="100"/>
        <v>11.2165</v>
      </c>
      <c r="J487">
        <f t="shared" si="101"/>
        <v>11.5024</v>
      </c>
      <c r="L487">
        <f t="shared" si="102"/>
        <v>0</v>
      </c>
      <c r="M487">
        <f t="shared" si="103"/>
        <v>1</v>
      </c>
      <c r="O487">
        <f t="shared" si="104"/>
        <v>0</v>
      </c>
      <c r="P487">
        <f t="shared" si="105"/>
        <v>0.61500000000000021</v>
      </c>
      <c r="R487">
        <f t="shared" si="106"/>
        <v>0.21833333333333371</v>
      </c>
      <c r="S487">
        <f t="shared" si="107"/>
        <v>0.37300000000000022</v>
      </c>
      <c r="U487">
        <f t="shared" si="108"/>
        <v>36.922209695603186</v>
      </c>
      <c r="AH487">
        <f t="shared" si="109"/>
        <v>0.18521520913434023</v>
      </c>
      <c r="AI487">
        <f t="shared" si="110"/>
        <v>8.6386660729495546</v>
      </c>
      <c r="AJ487">
        <f t="shared" si="111"/>
        <v>13.794333927050445</v>
      </c>
      <c r="AL487" s="6">
        <f t="shared" si="112"/>
        <v>11.586930418268681</v>
      </c>
      <c r="AM487">
        <f t="shared" si="113"/>
        <v>10.846069581731319</v>
      </c>
    </row>
    <row r="488" spans="1:39" ht="16.5" x14ac:dyDescent="0.25">
      <c r="A488" s="1">
        <v>45000</v>
      </c>
      <c r="B488" s="5">
        <v>9.6029999999999998</v>
      </c>
      <c r="C488" s="4">
        <v>10.494</v>
      </c>
      <c r="D488" s="4">
        <v>10.634</v>
      </c>
      <c r="E488" s="4">
        <v>9.5820000000000007</v>
      </c>
      <c r="F488" s="4" t="s">
        <v>1316</v>
      </c>
      <c r="G488" s="2" t="s">
        <v>1317</v>
      </c>
      <c r="I488">
        <f t="shared" si="100"/>
        <v>11.335550000000001</v>
      </c>
      <c r="J488">
        <f t="shared" si="101"/>
        <v>11.559275</v>
      </c>
      <c r="L488">
        <f t="shared" si="102"/>
        <v>0</v>
      </c>
      <c r="M488">
        <f t="shared" si="103"/>
        <v>1</v>
      </c>
      <c r="O488">
        <f t="shared" si="104"/>
        <v>0</v>
      </c>
      <c r="P488">
        <f t="shared" si="105"/>
        <v>0.89100000000000001</v>
      </c>
      <c r="R488">
        <f t="shared" si="106"/>
        <v>0.21833333333333371</v>
      </c>
      <c r="S488">
        <f t="shared" si="107"/>
        <v>0.32012500000000021</v>
      </c>
      <c r="U488">
        <f t="shared" si="108"/>
        <v>40.547860403931004</v>
      </c>
      <c r="AH488">
        <f t="shared" si="109"/>
        <v>0.16904062627830538</v>
      </c>
      <c r="AI488">
        <f t="shared" si="110"/>
        <v>8.757716072949556</v>
      </c>
      <c r="AJ488">
        <f t="shared" si="111"/>
        <v>13.913383927050447</v>
      </c>
      <c r="AL488" s="6">
        <f t="shared" si="112"/>
        <v>11.673631252556612</v>
      </c>
      <c r="AM488">
        <f t="shared" si="113"/>
        <v>10.99746874744339</v>
      </c>
    </row>
    <row r="489" spans="1:39" ht="16.5" x14ac:dyDescent="0.25">
      <c r="A489" s="1">
        <v>44999</v>
      </c>
      <c r="B489" s="5">
        <v>10.582000000000001</v>
      </c>
      <c r="C489" s="4">
        <v>10.084</v>
      </c>
      <c r="D489" s="4">
        <v>10.66</v>
      </c>
      <c r="E489" s="4">
        <v>10.023999999999999</v>
      </c>
      <c r="F489" s="4" t="s">
        <v>1318</v>
      </c>
      <c r="G489" s="2" t="s">
        <v>1319</v>
      </c>
      <c r="I489">
        <f t="shared" si="100"/>
        <v>11.4259</v>
      </c>
      <c r="J489">
        <f t="shared" si="101"/>
        <v>11.6191</v>
      </c>
      <c r="L489">
        <f t="shared" si="102"/>
        <v>1</v>
      </c>
      <c r="M489">
        <f t="shared" si="103"/>
        <v>0</v>
      </c>
      <c r="O489">
        <f t="shared" si="104"/>
        <v>0.49800000000000111</v>
      </c>
      <c r="P489">
        <f t="shared" si="105"/>
        <v>0</v>
      </c>
      <c r="R489">
        <f t="shared" si="106"/>
        <v>0.21833333333333371</v>
      </c>
      <c r="S489">
        <f t="shared" si="107"/>
        <v>0.21225000000000027</v>
      </c>
      <c r="U489">
        <f t="shared" si="108"/>
        <v>50.706406038320125</v>
      </c>
      <c r="AH489">
        <f t="shared" si="109"/>
        <v>0.15818930626685176</v>
      </c>
      <c r="AI489">
        <f t="shared" si="110"/>
        <v>8.8480660729495568</v>
      </c>
      <c r="AJ489">
        <f t="shared" si="111"/>
        <v>14.003733927050444</v>
      </c>
      <c r="AL489" s="6">
        <f t="shared" si="112"/>
        <v>11.742278612533704</v>
      </c>
      <c r="AM489">
        <f t="shared" si="113"/>
        <v>11.109521387466296</v>
      </c>
    </row>
    <row r="490" spans="1:39" ht="16.5" x14ac:dyDescent="0.25">
      <c r="A490" s="1">
        <v>44998</v>
      </c>
      <c r="B490" s="5">
        <v>10.148</v>
      </c>
      <c r="C490" s="4">
        <v>10.7</v>
      </c>
      <c r="D490" s="4">
        <v>10.778</v>
      </c>
      <c r="E490" s="4">
        <v>9.8320000000000007</v>
      </c>
      <c r="F490" s="4" t="s">
        <v>1320</v>
      </c>
      <c r="G490" s="2" t="s">
        <v>1321</v>
      </c>
      <c r="I490">
        <f t="shared" si="100"/>
        <v>11.474399999999997</v>
      </c>
      <c r="J490">
        <f t="shared" si="101"/>
        <v>11.652999999999997</v>
      </c>
      <c r="L490">
        <f t="shared" si="102"/>
        <v>0</v>
      </c>
      <c r="M490">
        <f t="shared" si="103"/>
        <v>1</v>
      </c>
      <c r="O490">
        <f t="shared" si="104"/>
        <v>0</v>
      </c>
      <c r="P490">
        <f t="shared" si="105"/>
        <v>0.5519999999999996</v>
      </c>
      <c r="R490">
        <f t="shared" si="106"/>
        <v>0.16240000000000024</v>
      </c>
      <c r="S490">
        <f t="shared" si="107"/>
        <v>0.20400000000000024</v>
      </c>
      <c r="U490">
        <f t="shared" si="108"/>
        <v>44.323144104803504</v>
      </c>
      <c r="AH490">
        <f t="shared" si="109"/>
        <v>0.15104202684667403</v>
      </c>
      <c r="AI490">
        <f t="shared" si="110"/>
        <v>8.8965660729495539</v>
      </c>
      <c r="AJ490">
        <f t="shared" si="111"/>
        <v>14.052233927050441</v>
      </c>
      <c r="AL490" s="6">
        <f t="shared" si="112"/>
        <v>11.776484053693345</v>
      </c>
      <c r="AM490">
        <f t="shared" si="113"/>
        <v>11.17231594630665</v>
      </c>
    </row>
    <row r="491" spans="1:39" ht="16.5" x14ac:dyDescent="0.25">
      <c r="A491" s="1">
        <v>44995</v>
      </c>
      <c r="B491" s="5">
        <v>10.667999999999999</v>
      </c>
      <c r="C491" s="4">
        <v>10.928000000000001</v>
      </c>
      <c r="D491" s="4">
        <v>10.94</v>
      </c>
      <c r="E491" s="4">
        <v>10.382</v>
      </c>
      <c r="F491" s="4" t="s">
        <v>1322</v>
      </c>
      <c r="G491" s="2" t="s">
        <v>1323</v>
      </c>
      <c r="I491">
        <f t="shared" si="100"/>
        <v>11.535499999999999</v>
      </c>
      <c r="J491">
        <f t="shared" si="101"/>
        <v>11.694349999999996</v>
      </c>
      <c r="L491">
        <f t="shared" si="102"/>
        <v>0</v>
      </c>
      <c r="M491">
        <f t="shared" si="103"/>
        <v>1</v>
      </c>
      <c r="O491">
        <f t="shared" si="104"/>
        <v>0</v>
      </c>
      <c r="P491">
        <f t="shared" si="105"/>
        <v>0.26000000000000156</v>
      </c>
      <c r="R491">
        <f t="shared" si="106"/>
        <v>0.16240000000000024</v>
      </c>
      <c r="S491">
        <f t="shared" si="107"/>
        <v>0.14866666666666697</v>
      </c>
      <c r="U491">
        <f t="shared" si="108"/>
        <v>52.207458208315458</v>
      </c>
      <c r="AH491">
        <f t="shared" si="109"/>
        <v>0.14541840562071193</v>
      </c>
      <c r="AI491">
        <f t="shared" si="110"/>
        <v>8.9576660729495536</v>
      </c>
      <c r="AJ491">
        <f t="shared" si="111"/>
        <v>14.113333927050444</v>
      </c>
      <c r="AL491" s="6">
        <f t="shared" si="112"/>
        <v>11.826336811241422</v>
      </c>
      <c r="AM491">
        <f t="shared" si="113"/>
        <v>11.244663188758576</v>
      </c>
    </row>
    <row r="492" spans="1:39" ht="16.5" x14ac:dyDescent="0.25">
      <c r="A492" s="1">
        <v>44994</v>
      </c>
      <c r="B492" s="5">
        <v>11.513999999999999</v>
      </c>
      <c r="C492" s="4">
        <v>11.63</v>
      </c>
      <c r="D492" s="4">
        <v>11.664</v>
      </c>
      <c r="E492" s="4">
        <v>11.47</v>
      </c>
      <c r="F492" s="4" t="s">
        <v>1324</v>
      </c>
      <c r="G492" s="2" t="s">
        <v>283</v>
      </c>
      <c r="I492">
        <f t="shared" si="100"/>
        <v>11.568999999999999</v>
      </c>
      <c r="J492">
        <f t="shared" si="101"/>
        <v>11.719899999999999</v>
      </c>
      <c r="L492">
        <f t="shared" si="102"/>
        <v>0</v>
      </c>
      <c r="M492">
        <f t="shared" si="103"/>
        <v>1</v>
      </c>
      <c r="O492">
        <f t="shared" si="104"/>
        <v>0</v>
      </c>
      <c r="P492">
        <f t="shared" si="105"/>
        <v>0.11600000000000144</v>
      </c>
      <c r="R492">
        <f t="shared" si="106"/>
        <v>0.16240000000000024</v>
      </c>
      <c r="S492">
        <f t="shared" si="107"/>
        <v>0.15177777777777793</v>
      </c>
      <c r="U492">
        <f t="shared" si="108"/>
        <v>51.690479558636312</v>
      </c>
      <c r="AH492">
        <f t="shared" si="109"/>
        <v>0.1419628315863212</v>
      </c>
      <c r="AI492">
        <f t="shared" si="110"/>
        <v>8.9911660729495537</v>
      </c>
      <c r="AJ492">
        <f t="shared" si="111"/>
        <v>14.146833927050444</v>
      </c>
      <c r="AL492" s="6">
        <f t="shared" si="112"/>
        <v>11.852925663172641</v>
      </c>
      <c r="AM492">
        <f t="shared" si="113"/>
        <v>11.285074336827357</v>
      </c>
    </row>
    <row r="493" spans="1:39" ht="16.5" x14ac:dyDescent="0.25">
      <c r="A493" s="1">
        <v>44993</v>
      </c>
      <c r="B493" s="5">
        <v>11.635999999999999</v>
      </c>
      <c r="C493" s="4">
        <v>11.51</v>
      </c>
      <c r="D493" s="4">
        <v>11.71</v>
      </c>
      <c r="E493" s="4">
        <v>11.456</v>
      </c>
      <c r="F493" s="4" t="s">
        <v>858</v>
      </c>
      <c r="G493" s="2" t="s">
        <v>251</v>
      </c>
      <c r="I493">
        <f t="shared" si="100"/>
        <v>11.578299999999997</v>
      </c>
      <c r="J493">
        <f t="shared" si="101"/>
        <v>11.725179487179487</v>
      </c>
      <c r="L493">
        <f t="shared" si="102"/>
        <v>1</v>
      </c>
      <c r="M493">
        <f t="shared" si="103"/>
        <v>0</v>
      </c>
      <c r="O493">
        <f t="shared" si="104"/>
        <v>0.12599999999999945</v>
      </c>
      <c r="P493">
        <f t="shared" si="105"/>
        <v>0</v>
      </c>
      <c r="R493">
        <f t="shared" si="106"/>
        <v>0.15166666666666698</v>
      </c>
      <c r="S493">
        <f t="shared" si="107"/>
        <v>0.15625</v>
      </c>
      <c r="U493">
        <f t="shared" si="108"/>
        <v>49.255751014885028</v>
      </c>
      <c r="AH493">
        <f t="shared" si="109"/>
        <v>0.13944538130401005</v>
      </c>
      <c r="AI493">
        <f t="shared" si="110"/>
        <v>9.0004660729495534</v>
      </c>
      <c r="AJ493">
        <f t="shared" si="111"/>
        <v>14.15613392705044</v>
      </c>
      <c r="AL493" s="6">
        <f t="shared" si="112"/>
        <v>11.857190762608017</v>
      </c>
      <c r="AM493">
        <f t="shared" si="113"/>
        <v>11.299409237391977</v>
      </c>
    </row>
    <row r="494" spans="1:39" ht="16.5" x14ac:dyDescent="0.25">
      <c r="A494" s="1">
        <v>44992</v>
      </c>
      <c r="B494" s="5">
        <v>11.586</v>
      </c>
      <c r="C494" s="4">
        <v>11.788</v>
      </c>
      <c r="D494" s="4">
        <v>11.79</v>
      </c>
      <c r="E494" s="4">
        <v>11.564</v>
      </c>
      <c r="F494" s="4" t="s">
        <v>1325</v>
      </c>
      <c r="G494" s="2" t="s">
        <v>184</v>
      </c>
      <c r="I494">
        <f t="shared" si="100"/>
        <v>11.579899999999999</v>
      </c>
      <c r="J494">
        <f t="shared" si="101"/>
        <v>11.727526315789474</v>
      </c>
      <c r="L494">
        <f t="shared" si="102"/>
        <v>0</v>
      </c>
      <c r="M494">
        <f t="shared" si="103"/>
        <v>1</v>
      </c>
      <c r="O494">
        <f t="shared" si="104"/>
        <v>0</v>
      </c>
      <c r="P494">
        <f t="shared" si="105"/>
        <v>0.20199999999999996</v>
      </c>
      <c r="R494">
        <f t="shared" si="106"/>
        <v>0.18233333333333354</v>
      </c>
      <c r="S494">
        <f t="shared" si="107"/>
        <v>0.15625</v>
      </c>
      <c r="U494">
        <f t="shared" si="108"/>
        <v>53.851833620477507</v>
      </c>
      <c r="AH494">
        <f t="shared" si="109"/>
        <v>0.13690249943882987</v>
      </c>
      <c r="AI494">
        <f t="shared" si="110"/>
        <v>9.0020660729495532</v>
      </c>
      <c r="AJ494">
        <f t="shared" si="111"/>
        <v>14.157733927050444</v>
      </c>
      <c r="AL494" s="6">
        <f t="shared" si="112"/>
        <v>11.853704998877658</v>
      </c>
      <c r="AM494">
        <f t="shared" si="113"/>
        <v>11.306095001122339</v>
      </c>
    </row>
    <row r="495" spans="1:39" ht="16.5" x14ac:dyDescent="0.25">
      <c r="A495" s="1">
        <v>44991</v>
      </c>
      <c r="B495" s="5">
        <v>11.768000000000001</v>
      </c>
      <c r="C495" s="4">
        <v>11.715999999999999</v>
      </c>
      <c r="D495" s="4">
        <v>11.786</v>
      </c>
      <c r="E495" s="4">
        <v>11.625999999999999</v>
      </c>
      <c r="F495" s="4" t="s">
        <v>1326</v>
      </c>
      <c r="G495" s="2" t="s">
        <v>30</v>
      </c>
      <c r="I495">
        <f t="shared" si="100"/>
        <v>11.577099999999998</v>
      </c>
      <c r="J495">
        <f t="shared" si="101"/>
        <v>11.731351351351352</v>
      </c>
      <c r="L495">
        <f t="shared" si="102"/>
        <v>1</v>
      </c>
      <c r="M495">
        <f t="shared" si="103"/>
        <v>0</v>
      </c>
      <c r="O495">
        <f t="shared" si="104"/>
        <v>5.2000000000001378E-2</v>
      </c>
      <c r="P495">
        <f t="shared" si="105"/>
        <v>0</v>
      </c>
      <c r="R495">
        <f t="shared" si="106"/>
        <v>0.18233333333333354</v>
      </c>
      <c r="S495">
        <f t="shared" si="107"/>
        <v>0.13650000000000007</v>
      </c>
      <c r="U495">
        <f t="shared" si="108"/>
        <v>57.187663355985372</v>
      </c>
      <c r="AH495">
        <f t="shared" si="109"/>
        <v>0.13398485160447726</v>
      </c>
      <c r="AI495">
        <f t="shared" si="110"/>
        <v>8.9992660729495526</v>
      </c>
      <c r="AJ495">
        <f t="shared" si="111"/>
        <v>14.154933927050443</v>
      </c>
      <c r="AL495" s="6">
        <f t="shared" si="112"/>
        <v>11.845069703208953</v>
      </c>
      <c r="AM495">
        <f t="shared" si="113"/>
        <v>11.309130296791043</v>
      </c>
    </row>
    <row r="496" spans="1:39" ht="16.5" x14ac:dyDescent="0.25">
      <c r="A496" s="1">
        <v>44988</v>
      </c>
      <c r="B496" s="5">
        <v>11.667999999999999</v>
      </c>
      <c r="C496" s="4">
        <v>11.484</v>
      </c>
      <c r="D496" s="4">
        <v>11.69</v>
      </c>
      <c r="E496" s="4">
        <v>11.448</v>
      </c>
      <c r="F496" s="4" t="s">
        <v>1327</v>
      </c>
      <c r="G496" s="2" t="s">
        <v>752</v>
      </c>
      <c r="I496">
        <f t="shared" si="100"/>
        <v>11.5565</v>
      </c>
      <c r="J496">
        <f t="shared" si="101"/>
        <v>11.730333333333332</v>
      </c>
      <c r="L496">
        <f t="shared" si="102"/>
        <v>1</v>
      </c>
      <c r="M496">
        <f t="shared" si="103"/>
        <v>0</v>
      </c>
      <c r="O496">
        <f t="shared" si="104"/>
        <v>0.18399999999999928</v>
      </c>
      <c r="P496">
        <f t="shared" si="105"/>
        <v>0</v>
      </c>
      <c r="R496">
        <f t="shared" si="106"/>
        <v>0.18766666666666657</v>
      </c>
      <c r="S496">
        <f t="shared" si="107"/>
        <v>0.13650000000000007</v>
      </c>
      <c r="U496">
        <f t="shared" si="108"/>
        <v>57.892030848329028</v>
      </c>
      <c r="AH496">
        <f t="shared" si="109"/>
        <v>0.13040351362707497</v>
      </c>
      <c r="AI496">
        <f t="shared" si="110"/>
        <v>8.9786660729495544</v>
      </c>
      <c r="AJ496">
        <f t="shared" si="111"/>
        <v>14.134333927050445</v>
      </c>
      <c r="AL496" s="6">
        <f t="shared" si="112"/>
        <v>11.81730702725415</v>
      </c>
      <c r="AM496">
        <f t="shared" si="113"/>
        <v>11.295692972745849</v>
      </c>
    </row>
    <row r="497" spans="1:39" ht="16.5" x14ac:dyDescent="0.25">
      <c r="A497" s="1">
        <v>44987</v>
      </c>
      <c r="B497" s="5">
        <v>11.446</v>
      </c>
      <c r="C497" s="4">
        <v>11.545999999999999</v>
      </c>
      <c r="D497" s="4">
        <v>11.577999999999999</v>
      </c>
      <c r="E497" s="4">
        <v>11.366</v>
      </c>
      <c r="F497" s="4" t="s">
        <v>925</v>
      </c>
      <c r="G497" s="2" t="s">
        <v>170</v>
      </c>
      <c r="I497">
        <f t="shared" si="100"/>
        <v>11.5496</v>
      </c>
      <c r="J497">
        <f t="shared" si="101"/>
        <v>11.732114285714285</v>
      </c>
      <c r="L497">
        <f t="shared" si="102"/>
        <v>0</v>
      </c>
      <c r="M497">
        <f t="shared" si="103"/>
        <v>1</v>
      </c>
      <c r="O497">
        <f t="shared" si="104"/>
        <v>0</v>
      </c>
      <c r="P497">
        <f t="shared" si="105"/>
        <v>9.9999999999999645E-2</v>
      </c>
      <c r="R497">
        <f t="shared" si="106"/>
        <v>0.16866666666666644</v>
      </c>
      <c r="S497">
        <f t="shared" si="107"/>
        <v>0.13650000000000007</v>
      </c>
      <c r="U497">
        <f t="shared" si="108"/>
        <v>55.270344074276309</v>
      </c>
      <c r="AH497">
        <f t="shared" si="109"/>
        <v>0.12497277029941868</v>
      </c>
      <c r="AI497">
        <f t="shared" si="110"/>
        <v>8.9717660729495563</v>
      </c>
      <c r="AJ497">
        <f t="shared" si="111"/>
        <v>14.127433927050443</v>
      </c>
      <c r="AL497" s="6">
        <f t="shared" si="112"/>
        <v>11.799545540598837</v>
      </c>
      <c r="AM497">
        <f t="shared" si="113"/>
        <v>11.299654459401163</v>
      </c>
    </row>
    <row r="498" spans="1:39" ht="16.5" x14ac:dyDescent="0.25">
      <c r="A498" s="1">
        <v>44986</v>
      </c>
      <c r="B498" s="5">
        <v>11.592000000000001</v>
      </c>
      <c r="C498" s="4">
        <v>11.84</v>
      </c>
      <c r="D498" s="4">
        <v>11.86</v>
      </c>
      <c r="E498" s="4">
        <v>11.536</v>
      </c>
      <c r="F498" s="4" t="s">
        <v>1328</v>
      </c>
      <c r="G498" s="2" t="s">
        <v>1262</v>
      </c>
      <c r="I498">
        <f t="shared" si="100"/>
        <v>11.550099999999999</v>
      </c>
      <c r="J498">
        <f t="shared" si="101"/>
        <v>11.740529411764705</v>
      </c>
      <c r="L498">
        <f t="shared" si="102"/>
        <v>0</v>
      </c>
      <c r="M498">
        <f t="shared" si="103"/>
        <v>1</v>
      </c>
      <c r="O498">
        <f t="shared" si="104"/>
        <v>0</v>
      </c>
      <c r="P498">
        <f t="shared" si="105"/>
        <v>0.24799999999999933</v>
      </c>
      <c r="R498">
        <f t="shared" si="106"/>
        <v>0.16866666666666644</v>
      </c>
      <c r="S498">
        <f t="shared" si="107"/>
        <v>0.15175000000000027</v>
      </c>
      <c r="U498">
        <f t="shared" si="108"/>
        <v>52.639791937581201</v>
      </c>
      <c r="AH498">
        <f t="shared" si="109"/>
        <v>0.11798652409122656</v>
      </c>
      <c r="AI498">
        <f t="shared" si="110"/>
        <v>8.9722660729495551</v>
      </c>
      <c r="AJ498">
        <f t="shared" si="111"/>
        <v>14.127933927050442</v>
      </c>
      <c r="AL498" s="6">
        <f t="shared" si="112"/>
        <v>11.786073048182452</v>
      </c>
      <c r="AM498">
        <f t="shared" si="113"/>
        <v>11.314126951817546</v>
      </c>
    </row>
    <row r="499" spans="1:39" ht="16.5" x14ac:dyDescent="0.25">
      <c r="A499" s="1">
        <v>44985</v>
      </c>
      <c r="B499" s="5">
        <v>11.8</v>
      </c>
      <c r="C499" s="4">
        <v>11.51</v>
      </c>
      <c r="D499" s="4">
        <v>11.878</v>
      </c>
      <c r="E499" s="4">
        <v>11.458</v>
      </c>
      <c r="F499" s="4" t="s">
        <v>1329</v>
      </c>
      <c r="G499" s="2" t="s">
        <v>1330</v>
      </c>
      <c r="I499">
        <f t="shared" si="100"/>
        <v>11.583</v>
      </c>
      <c r="J499">
        <f t="shared" si="101"/>
        <v>11.745030303030301</v>
      </c>
      <c r="L499">
        <f t="shared" si="102"/>
        <v>1</v>
      </c>
      <c r="M499">
        <f t="shared" si="103"/>
        <v>0</v>
      </c>
      <c r="O499">
        <f t="shared" si="104"/>
        <v>0.29000000000000092</v>
      </c>
      <c r="P499">
        <f t="shared" si="105"/>
        <v>0</v>
      </c>
      <c r="R499">
        <f t="shared" si="106"/>
        <v>0.16866666666666644</v>
      </c>
      <c r="S499">
        <f t="shared" si="107"/>
        <v>0.12325000000000053</v>
      </c>
      <c r="U499">
        <f t="shared" si="108"/>
        <v>57.779046531544253</v>
      </c>
      <c r="AH499">
        <f t="shared" si="109"/>
        <v>0.10950082099830856</v>
      </c>
      <c r="AI499">
        <f t="shared" si="110"/>
        <v>9.0051660729495566</v>
      </c>
      <c r="AJ499">
        <f t="shared" si="111"/>
        <v>14.160833927050444</v>
      </c>
      <c r="AL499" s="6">
        <f t="shared" si="112"/>
        <v>11.802001641996616</v>
      </c>
      <c r="AM499">
        <f t="shared" si="113"/>
        <v>11.363998358003384</v>
      </c>
    </row>
    <row r="500" spans="1:39" ht="16.5" x14ac:dyDescent="0.25">
      <c r="A500" s="1">
        <v>44984</v>
      </c>
      <c r="B500" s="5">
        <v>11.55</v>
      </c>
      <c r="C500" s="4">
        <v>11.39</v>
      </c>
      <c r="D500" s="4">
        <v>11.66</v>
      </c>
      <c r="E500" s="4">
        <v>11.388</v>
      </c>
      <c r="F500" s="4" t="s">
        <v>1260</v>
      </c>
      <c r="G500" s="2" t="s">
        <v>1331</v>
      </c>
      <c r="I500">
        <f t="shared" si="100"/>
        <v>11.603399999999999</v>
      </c>
      <c r="J500">
        <f t="shared" si="101"/>
        <v>11.7433125</v>
      </c>
      <c r="L500">
        <f t="shared" si="102"/>
        <v>1</v>
      </c>
      <c r="M500">
        <f t="shared" si="103"/>
        <v>0</v>
      </c>
      <c r="O500">
        <f t="shared" si="104"/>
        <v>0.16000000000000014</v>
      </c>
      <c r="P500">
        <f t="shared" si="105"/>
        <v>0</v>
      </c>
      <c r="R500">
        <f t="shared" si="106"/>
        <v>0.14439999999999956</v>
      </c>
      <c r="S500">
        <f t="shared" si="107"/>
        <v>0.11088888888888941</v>
      </c>
      <c r="U500">
        <f t="shared" si="108"/>
        <v>56.563370473537418</v>
      </c>
      <c r="AH500">
        <f t="shared" si="109"/>
        <v>0.101775057065075</v>
      </c>
      <c r="AI500">
        <f t="shared" si="110"/>
        <v>9.0255660729495553</v>
      </c>
      <c r="AJ500">
        <f t="shared" si="111"/>
        <v>14.181233927050442</v>
      </c>
      <c r="AL500" s="6">
        <f t="shared" si="112"/>
        <v>11.806950114130149</v>
      </c>
      <c r="AM500">
        <f t="shared" si="113"/>
        <v>11.399849885869848</v>
      </c>
    </row>
    <row r="501" spans="1:39" ht="16.5" x14ac:dyDescent="0.25">
      <c r="A501" s="1">
        <v>44981</v>
      </c>
      <c r="B501" s="5">
        <v>11.294</v>
      </c>
      <c r="C501" s="4">
        <v>11.486000000000001</v>
      </c>
      <c r="D501" s="4">
        <v>11.52</v>
      </c>
      <c r="E501" s="4">
        <v>11.294</v>
      </c>
      <c r="F501" s="4" t="s">
        <v>1332</v>
      </c>
      <c r="G501" s="2" t="s">
        <v>411</v>
      </c>
      <c r="I501">
        <f t="shared" si="100"/>
        <v>11.639799999999997</v>
      </c>
      <c r="J501">
        <f t="shared" si="101"/>
        <v>11.749548387096771</v>
      </c>
      <c r="L501">
        <f t="shared" si="102"/>
        <v>0</v>
      </c>
      <c r="M501">
        <f t="shared" si="103"/>
        <v>1</v>
      </c>
      <c r="O501">
        <f t="shared" si="104"/>
        <v>0</v>
      </c>
      <c r="P501">
        <f t="shared" si="105"/>
        <v>0.19200000000000017</v>
      </c>
      <c r="R501">
        <f t="shared" si="106"/>
        <v>0.13719999999999927</v>
      </c>
      <c r="S501">
        <f t="shared" si="107"/>
        <v>0.11088888888888941</v>
      </c>
      <c r="U501">
        <f t="shared" si="108"/>
        <v>55.302758867789073</v>
      </c>
      <c r="AH501">
        <f t="shared" si="109"/>
        <v>9.394052195630237E-2</v>
      </c>
      <c r="AI501">
        <f t="shared" si="110"/>
        <v>9.0619660729495521</v>
      </c>
      <c r="AJ501">
        <f t="shared" si="111"/>
        <v>14.217633927050443</v>
      </c>
      <c r="AL501" s="6">
        <f t="shared" si="112"/>
        <v>11.827681043912602</v>
      </c>
      <c r="AM501">
        <f t="shared" si="113"/>
        <v>11.451918956087393</v>
      </c>
    </row>
    <row r="502" spans="1:39" ht="16.5" x14ac:dyDescent="0.25">
      <c r="A502" s="1">
        <v>44980</v>
      </c>
      <c r="B502" s="5">
        <v>11.468</v>
      </c>
      <c r="C502" s="4">
        <v>11.496</v>
      </c>
      <c r="D502" s="4">
        <v>11.53</v>
      </c>
      <c r="E502" s="4">
        <v>11.385999999999999</v>
      </c>
      <c r="F502" s="4" t="s">
        <v>1333</v>
      </c>
      <c r="G502" s="2" t="s">
        <v>676</v>
      </c>
      <c r="I502">
        <f t="shared" si="100"/>
        <v>11.692099999999998</v>
      </c>
      <c r="J502">
        <f t="shared" si="101"/>
        <v>11.764733333333332</v>
      </c>
      <c r="L502">
        <f t="shared" si="102"/>
        <v>0</v>
      </c>
      <c r="M502">
        <f t="shared" si="103"/>
        <v>1</v>
      </c>
      <c r="O502">
        <f t="shared" si="104"/>
        <v>0</v>
      </c>
      <c r="P502">
        <f t="shared" si="105"/>
        <v>2.8000000000000469E-2</v>
      </c>
      <c r="R502">
        <f t="shared" si="106"/>
        <v>0.13719999999999927</v>
      </c>
      <c r="S502">
        <f t="shared" si="107"/>
        <v>9.6666666666667178E-2</v>
      </c>
      <c r="U502">
        <f t="shared" si="108"/>
        <v>58.665906499429617</v>
      </c>
      <c r="AH502">
        <f t="shared" si="109"/>
        <v>8.7376401052222094E-2</v>
      </c>
      <c r="AI502">
        <f t="shared" si="110"/>
        <v>9.1142660729495546</v>
      </c>
      <c r="AJ502">
        <f t="shared" si="111"/>
        <v>14.269933927050442</v>
      </c>
      <c r="AL502" s="6">
        <f t="shared" si="112"/>
        <v>11.866852802104443</v>
      </c>
      <c r="AM502">
        <f t="shared" si="113"/>
        <v>11.517347197895553</v>
      </c>
    </row>
    <row r="503" spans="1:39" ht="16.5" x14ac:dyDescent="0.25">
      <c r="A503" s="1">
        <v>44979</v>
      </c>
      <c r="B503" s="5">
        <v>11.42</v>
      </c>
      <c r="C503" s="4">
        <v>11.558</v>
      </c>
      <c r="D503" s="4">
        <v>11.568</v>
      </c>
      <c r="E503" s="4">
        <v>11.266</v>
      </c>
      <c r="F503" s="4" t="s">
        <v>1334</v>
      </c>
      <c r="G503" s="2" t="s">
        <v>411</v>
      </c>
      <c r="I503">
        <f t="shared" si="100"/>
        <v>11.725299999999999</v>
      </c>
      <c r="J503">
        <f t="shared" si="101"/>
        <v>11.774965517241379</v>
      </c>
      <c r="L503">
        <f t="shared" si="102"/>
        <v>0</v>
      </c>
      <c r="M503">
        <f t="shared" si="103"/>
        <v>1</v>
      </c>
      <c r="O503">
        <f t="shared" si="104"/>
        <v>0</v>
      </c>
      <c r="P503">
        <f t="shared" si="105"/>
        <v>0.1379999999999999</v>
      </c>
      <c r="R503">
        <f t="shared" si="106"/>
        <v>0.11566666666666592</v>
      </c>
      <c r="S503">
        <f t="shared" si="107"/>
        <v>0.10525000000000051</v>
      </c>
      <c r="U503">
        <f t="shared" si="108"/>
        <v>52.357600905318463</v>
      </c>
      <c r="AH503">
        <f t="shared" si="109"/>
        <v>8.3483282645332502E-2</v>
      </c>
      <c r="AI503">
        <f t="shared" si="110"/>
        <v>9.1474660729495554</v>
      </c>
      <c r="AJ503">
        <f t="shared" si="111"/>
        <v>14.303133927050443</v>
      </c>
      <c r="AL503" s="6">
        <f t="shared" si="112"/>
        <v>11.892266565290663</v>
      </c>
      <c r="AM503">
        <f t="shared" si="113"/>
        <v>11.558333434709334</v>
      </c>
    </row>
    <row r="504" spans="1:39" ht="16.5" x14ac:dyDescent="0.25">
      <c r="A504" s="1">
        <v>44978</v>
      </c>
      <c r="B504" s="5">
        <v>11.596</v>
      </c>
      <c r="C504" s="4">
        <v>11.65</v>
      </c>
      <c r="D504" s="4">
        <v>11.68</v>
      </c>
      <c r="E504" s="4">
        <v>11.45</v>
      </c>
      <c r="F504" s="4" t="s">
        <v>1335</v>
      </c>
      <c r="G504" s="2" t="s">
        <v>67</v>
      </c>
      <c r="I504">
        <f t="shared" si="100"/>
        <v>11.749999999999998</v>
      </c>
      <c r="J504">
        <f t="shared" si="101"/>
        <v>11.787642857142858</v>
      </c>
      <c r="L504">
        <f t="shared" si="102"/>
        <v>0</v>
      </c>
      <c r="M504">
        <f t="shared" si="103"/>
        <v>1</v>
      </c>
      <c r="O504">
        <f t="shared" si="104"/>
        <v>0</v>
      </c>
      <c r="P504">
        <f t="shared" si="105"/>
        <v>5.400000000000027E-2</v>
      </c>
      <c r="R504">
        <f t="shared" si="106"/>
        <v>0.11566666666666592</v>
      </c>
      <c r="S504">
        <f t="shared" si="107"/>
        <v>0.19225000000000048</v>
      </c>
      <c r="U504">
        <f t="shared" si="108"/>
        <v>37.564276048714262</v>
      </c>
      <c r="AH504">
        <f t="shared" si="109"/>
        <v>8.101274484660391E-2</v>
      </c>
      <c r="AI504">
        <f t="shared" si="110"/>
        <v>9.1721660729495547</v>
      </c>
      <c r="AJ504">
        <f t="shared" si="111"/>
        <v>14.327833927050442</v>
      </c>
      <c r="AL504" s="6">
        <f t="shared" si="112"/>
        <v>11.912025489693207</v>
      </c>
      <c r="AM504">
        <f t="shared" si="113"/>
        <v>11.58797451030679</v>
      </c>
    </row>
    <row r="505" spans="1:39" ht="16.5" x14ac:dyDescent="0.25">
      <c r="A505" s="1">
        <v>44977</v>
      </c>
      <c r="B505" s="5">
        <v>11.632</v>
      </c>
      <c r="C505" s="4">
        <v>11.92</v>
      </c>
      <c r="D505" s="4">
        <v>11.922000000000001</v>
      </c>
      <c r="E505" s="4">
        <v>11.584</v>
      </c>
      <c r="F505" s="4" t="s">
        <v>1336</v>
      </c>
      <c r="G505" s="2" t="s">
        <v>832</v>
      </c>
      <c r="I505">
        <f t="shared" si="100"/>
        <v>11.768999999999998</v>
      </c>
      <c r="J505">
        <f t="shared" si="101"/>
        <v>11.794740740740739</v>
      </c>
      <c r="L505">
        <f t="shared" si="102"/>
        <v>0</v>
      </c>
      <c r="M505">
        <f t="shared" si="103"/>
        <v>1</v>
      </c>
      <c r="O505">
        <f t="shared" si="104"/>
        <v>0</v>
      </c>
      <c r="P505">
        <f t="shared" si="105"/>
        <v>0.28800000000000026</v>
      </c>
      <c r="R505">
        <f t="shared" si="106"/>
        <v>0.10142857142857079</v>
      </c>
      <c r="S505">
        <f t="shared" si="107"/>
        <v>0.21200000000000049</v>
      </c>
      <c r="U505">
        <f t="shared" si="108"/>
        <v>32.360984503190323</v>
      </c>
      <c r="AH505">
        <f t="shared" si="109"/>
        <v>7.9489357498386426E-2</v>
      </c>
      <c r="AI505">
        <f t="shared" si="110"/>
        <v>9.191166072949553</v>
      </c>
      <c r="AJ505">
        <f t="shared" si="111"/>
        <v>14.346833927050444</v>
      </c>
      <c r="AL505" s="6">
        <f t="shared" si="112"/>
        <v>11.927978714996771</v>
      </c>
      <c r="AM505">
        <f t="shared" si="113"/>
        <v>11.610021285003226</v>
      </c>
    </row>
    <row r="506" spans="1:39" ht="16.5" x14ac:dyDescent="0.25">
      <c r="A506" s="1">
        <v>44974</v>
      </c>
      <c r="B506" s="5">
        <v>11.88</v>
      </c>
      <c r="C506" s="4">
        <v>11.782</v>
      </c>
      <c r="D506" s="4">
        <v>12.064</v>
      </c>
      <c r="E506" s="4">
        <v>11.768000000000001</v>
      </c>
      <c r="F506" s="4" t="s">
        <v>1337</v>
      </c>
      <c r="G506" s="2" t="s">
        <v>408</v>
      </c>
      <c r="I506">
        <f t="shared" si="100"/>
        <v>11.783199999999997</v>
      </c>
      <c r="J506">
        <f t="shared" si="101"/>
        <v>11.800999999999998</v>
      </c>
      <c r="L506">
        <f t="shared" si="102"/>
        <v>1</v>
      </c>
      <c r="M506">
        <f t="shared" si="103"/>
        <v>0</v>
      </c>
      <c r="O506">
        <f t="shared" si="104"/>
        <v>9.8000000000000753E-2</v>
      </c>
      <c r="P506">
        <f t="shared" si="105"/>
        <v>0</v>
      </c>
      <c r="R506">
        <f t="shared" si="106"/>
        <v>0.10142857142857079</v>
      </c>
      <c r="S506">
        <f t="shared" si="107"/>
        <v>0.18914285714285764</v>
      </c>
      <c r="U506">
        <f t="shared" si="108"/>
        <v>34.906588003932939</v>
      </c>
      <c r="AH506">
        <f t="shared" si="109"/>
        <v>7.8628571828436772E-2</v>
      </c>
      <c r="AI506">
        <f t="shared" si="110"/>
        <v>9.2053660729495519</v>
      </c>
      <c r="AJ506">
        <f t="shared" si="111"/>
        <v>14.361033927050443</v>
      </c>
      <c r="AL506" s="6">
        <f t="shared" si="112"/>
        <v>11.940457143656872</v>
      </c>
      <c r="AM506">
        <f t="shared" si="113"/>
        <v>11.625942856343123</v>
      </c>
    </row>
    <row r="507" spans="1:39" ht="16.5" x14ac:dyDescent="0.25">
      <c r="A507" s="1">
        <v>44973</v>
      </c>
      <c r="B507" s="5">
        <v>11.86</v>
      </c>
      <c r="C507" s="4">
        <v>11.55</v>
      </c>
      <c r="D507" s="4">
        <v>11.86</v>
      </c>
      <c r="E507" s="4">
        <v>11.55</v>
      </c>
      <c r="F507" s="4" t="s">
        <v>1338</v>
      </c>
      <c r="G507" s="2" t="s">
        <v>1339</v>
      </c>
      <c r="I507">
        <f t="shared" si="100"/>
        <v>11.788299999999998</v>
      </c>
      <c r="J507">
        <f t="shared" si="101"/>
        <v>11.797839999999999</v>
      </c>
      <c r="L507">
        <f t="shared" si="102"/>
        <v>1</v>
      </c>
      <c r="M507">
        <f t="shared" si="103"/>
        <v>0</v>
      </c>
      <c r="O507">
        <f t="shared" si="104"/>
        <v>0.30999999999999872</v>
      </c>
      <c r="P507">
        <f t="shared" si="105"/>
        <v>0</v>
      </c>
      <c r="R507">
        <f t="shared" si="106"/>
        <v>0.10199999999999913</v>
      </c>
      <c r="S507">
        <f t="shared" si="107"/>
        <v>0.17000000000000037</v>
      </c>
      <c r="U507">
        <f t="shared" si="108"/>
        <v>37.499999999999744</v>
      </c>
      <c r="AH507">
        <f t="shared" si="109"/>
        <v>7.8214533200010788E-2</v>
      </c>
      <c r="AI507">
        <f t="shared" si="110"/>
        <v>9.2104660729495542</v>
      </c>
      <c r="AJ507">
        <f t="shared" si="111"/>
        <v>14.366133927050441</v>
      </c>
      <c r="AL507" s="6">
        <f t="shared" si="112"/>
        <v>11.944729066400019</v>
      </c>
      <c r="AM507">
        <f t="shared" si="113"/>
        <v>11.631870933599977</v>
      </c>
    </row>
    <row r="508" spans="1:39" ht="16.5" x14ac:dyDescent="0.25">
      <c r="A508" s="1">
        <v>44972</v>
      </c>
      <c r="B508" s="5">
        <v>11.41</v>
      </c>
      <c r="C508" s="4">
        <v>11.454000000000001</v>
      </c>
      <c r="D508" s="4">
        <v>11.568</v>
      </c>
      <c r="E508" s="4">
        <v>11.394</v>
      </c>
      <c r="F508" s="4" t="s">
        <v>1340</v>
      </c>
      <c r="G508" s="2" t="s">
        <v>431</v>
      </c>
      <c r="I508">
        <f t="shared" si="100"/>
        <v>11.782999999999999</v>
      </c>
      <c r="J508">
        <f t="shared" si="101"/>
        <v>11.795250000000001</v>
      </c>
      <c r="L508">
        <f t="shared" si="102"/>
        <v>0</v>
      </c>
      <c r="M508">
        <f t="shared" si="103"/>
        <v>1</v>
      </c>
      <c r="O508">
        <f t="shared" si="104"/>
        <v>0</v>
      </c>
      <c r="P508">
        <f t="shared" si="105"/>
        <v>4.4000000000000483E-2</v>
      </c>
      <c r="R508">
        <f t="shared" si="106"/>
        <v>7.7333333333332518E-2</v>
      </c>
      <c r="S508">
        <f t="shared" si="107"/>
        <v>0.17000000000000037</v>
      </c>
      <c r="U508">
        <f t="shared" si="108"/>
        <v>31.266846361185713</v>
      </c>
      <c r="AH508">
        <f t="shared" si="109"/>
        <v>7.7840550831463462E-2</v>
      </c>
      <c r="AI508">
        <f t="shared" si="110"/>
        <v>9.2051660729495559</v>
      </c>
      <c r="AJ508">
        <f t="shared" si="111"/>
        <v>14.360833927050443</v>
      </c>
      <c r="AL508" s="6">
        <f t="shared" si="112"/>
        <v>11.938681101662926</v>
      </c>
      <c r="AM508">
        <f t="shared" si="113"/>
        <v>11.627318898337073</v>
      </c>
    </row>
    <row r="509" spans="1:39" ht="16.5" x14ac:dyDescent="0.25">
      <c r="A509" s="1">
        <v>44971</v>
      </c>
      <c r="B509" s="5">
        <v>11.552</v>
      </c>
      <c r="C509" s="4">
        <v>11.468</v>
      </c>
      <c r="D509" s="4">
        <v>11.614000000000001</v>
      </c>
      <c r="E509" s="4">
        <v>11.3</v>
      </c>
      <c r="F509" s="4" t="s">
        <v>1341</v>
      </c>
      <c r="G509" s="2" t="s">
        <v>117</v>
      </c>
      <c r="I509">
        <f t="shared" si="100"/>
        <v>11.812299999999999</v>
      </c>
      <c r="J509">
        <f t="shared" si="101"/>
        <v>11.811999999999999</v>
      </c>
      <c r="L509">
        <f t="shared" si="102"/>
        <v>1</v>
      </c>
      <c r="M509">
        <f t="shared" si="103"/>
        <v>0</v>
      </c>
      <c r="O509">
        <f t="shared" si="104"/>
        <v>8.3999999999999631E-2</v>
      </c>
      <c r="P509">
        <f t="shared" si="105"/>
        <v>0</v>
      </c>
      <c r="R509">
        <f t="shared" si="106"/>
        <v>8.799999999999919E-2</v>
      </c>
      <c r="S509">
        <f t="shared" si="107"/>
        <v>0.18800000000000036</v>
      </c>
      <c r="U509">
        <f t="shared" si="108"/>
        <v>31.884057971014244</v>
      </c>
      <c r="AH509">
        <f t="shared" si="109"/>
        <v>7.6943787632816632E-2</v>
      </c>
      <c r="AI509">
        <f t="shared" si="110"/>
        <v>9.2344660729495551</v>
      </c>
      <c r="AJ509">
        <f t="shared" si="111"/>
        <v>14.390133927050442</v>
      </c>
      <c r="AL509" s="6">
        <f t="shared" si="112"/>
        <v>11.966187575265632</v>
      </c>
      <c r="AM509">
        <f t="shared" si="113"/>
        <v>11.658412424734365</v>
      </c>
    </row>
    <row r="510" spans="1:39" ht="16.5" x14ac:dyDescent="0.25">
      <c r="A510" s="1">
        <v>44970</v>
      </c>
      <c r="B510" s="5">
        <v>11.37</v>
      </c>
      <c r="C510" s="4">
        <v>11.3</v>
      </c>
      <c r="D510" s="4">
        <v>11.423999999999999</v>
      </c>
      <c r="E510" s="4">
        <v>11.294</v>
      </c>
      <c r="F510" s="4" t="s">
        <v>1104</v>
      </c>
      <c r="G510" s="2" t="s">
        <v>399</v>
      </c>
      <c r="I510">
        <f t="shared" si="100"/>
        <v>11.831599999999998</v>
      </c>
      <c r="J510">
        <f t="shared" si="101"/>
        <v>11.823818181818181</v>
      </c>
      <c r="L510">
        <f t="shared" si="102"/>
        <v>1</v>
      </c>
      <c r="M510">
        <f t="shared" si="103"/>
        <v>0</v>
      </c>
      <c r="O510">
        <f t="shared" si="104"/>
        <v>6.9999999999998508E-2</v>
      </c>
      <c r="P510">
        <f t="shared" si="105"/>
        <v>0</v>
      </c>
      <c r="R510">
        <f t="shared" si="106"/>
        <v>8.7428571428570676E-2</v>
      </c>
      <c r="S510">
        <f t="shared" si="107"/>
        <v>0.18800000000000036</v>
      </c>
      <c r="U510">
        <f t="shared" si="108"/>
        <v>31.742738589211385</v>
      </c>
      <c r="AH510">
        <f t="shared" si="109"/>
        <v>7.7269749965049359E-2</v>
      </c>
      <c r="AI510">
        <f t="shared" si="110"/>
        <v>9.2537660729495528</v>
      </c>
      <c r="AJ510">
        <f t="shared" si="111"/>
        <v>14.409433927050443</v>
      </c>
      <c r="AL510" s="6">
        <f t="shared" si="112"/>
        <v>11.986139499930097</v>
      </c>
      <c r="AM510">
        <f t="shared" si="113"/>
        <v>11.677060500069899</v>
      </c>
    </row>
    <row r="511" spans="1:39" ht="16.5" x14ac:dyDescent="0.25">
      <c r="A511" s="1">
        <v>44967</v>
      </c>
      <c r="B511" s="5">
        <v>11.337999999999999</v>
      </c>
      <c r="C511" s="4">
        <v>11.56</v>
      </c>
      <c r="D511" s="4">
        <v>11.59</v>
      </c>
      <c r="E511" s="4">
        <v>11.266</v>
      </c>
      <c r="F511" s="4" t="s">
        <v>1342</v>
      </c>
      <c r="G511" s="2" t="s">
        <v>1343</v>
      </c>
      <c r="I511">
        <f t="shared" si="100"/>
        <v>11.853199999999998</v>
      </c>
      <c r="J511">
        <f t="shared" si="101"/>
        <v>11.84542857142857</v>
      </c>
      <c r="L511">
        <f t="shared" si="102"/>
        <v>0</v>
      </c>
      <c r="M511">
        <f t="shared" si="103"/>
        <v>1</v>
      </c>
      <c r="O511">
        <f t="shared" si="104"/>
        <v>0</v>
      </c>
      <c r="P511">
        <f t="shared" si="105"/>
        <v>0.22200000000000131</v>
      </c>
      <c r="R511">
        <f t="shared" si="106"/>
        <v>8.1714285714285337E-2</v>
      </c>
      <c r="S511">
        <f t="shared" si="107"/>
        <v>0.18800000000000036</v>
      </c>
      <c r="U511">
        <f t="shared" si="108"/>
        <v>30.296610169491387</v>
      </c>
      <c r="AH511">
        <f t="shared" si="109"/>
        <v>7.8277867231819315E-2</v>
      </c>
      <c r="AI511">
        <f t="shared" si="110"/>
        <v>9.2753660729495522</v>
      </c>
      <c r="AJ511">
        <f t="shared" si="111"/>
        <v>14.431033927050443</v>
      </c>
      <c r="AL511" s="6">
        <f t="shared" si="112"/>
        <v>12.009755734463637</v>
      </c>
      <c r="AM511">
        <f t="shared" si="113"/>
        <v>11.696644265536358</v>
      </c>
    </row>
    <row r="512" spans="1:39" ht="16.5" x14ac:dyDescent="0.25">
      <c r="A512" s="1">
        <v>44966</v>
      </c>
      <c r="B512" s="5">
        <v>11.7</v>
      </c>
      <c r="C512" s="4">
        <v>11.72</v>
      </c>
      <c r="D512" s="4">
        <v>11.816000000000001</v>
      </c>
      <c r="E512" s="4">
        <v>11.673999999999999</v>
      </c>
      <c r="F512" s="4" t="s">
        <v>1344</v>
      </c>
      <c r="G512" s="2" t="s">
        <v>459</v>
      </c>
      <c r="I512">
        <f t="shared" si="100"/>
        <v>11.870799999999999</v>
      </c>
      <c r="J512">
        <f t="shared" si="101"/>
        <v>11.870799999999999</v>
      </c>
      <c r="L512">
        <f t="shared" si="102"/>
        <v>0</v>
      </c>
      <c r="M512">
        <f t="shared" si="103"/>
        <v>1</v>
      </c>
      <c r="O512">
        <f t="shared" si="104"/>
        <v>0</v>
      </c>
      <c r="P512">
        <f t="shared" si="105"/>
        <v>2.000000000000135E-2</v>
      </c>
      <c r="R512">
        <f t="shared" si="106"/>
        <v>8.1714285714285337E-2</v>
      </c>
      <c r="S512">
        <f t="shared" si="107"/>
        <v>0.17142857142857157</v>
      </c>
      <c r="U512">
        <f t="shared" si="108"/>
        <v>32.279909706546164</v>
      </c>
      <c r="AH512">
        <f t="shared" si="109"/>
        <v>7.9938301875266321E-2</v>
      </c>
      <c r="AI512">
        <f t="shared" si="110"/>
        <v>9.2929660729495538</v>
      </c>
      <c r="AJ512">
        <f t="shared" si="111"/>
        <v>14.448633927050444</v>
      </c>
      <c r="AL512" s="6">
        <f t="shared" si="112"/>
        <v>12.030676603750532</v>
      </c>
      <c r="AM512">
        <f t="shared" si="113"/>
        <v>11.710923396249466</v>
      </c>
    </row>
    <row r="513" spans="1:39" ht="16.5" x14ac:dyDescent="0.25">
      <c r="A513" s="1">
        <v>44965</v>
      </c>
      <c r="B513" s="5">
        <v>11.667999999999999</v>
      </c>
      <c r="C513" s="4">
        <v>11.68</v>
      </c>
      <c r="D513" s="4">
        <v>11.718</v>
      </c>
      <c r="E513" s="4">
        <v>11.6</v>
      </c>
      <c r="F513" s="4" t="s">
        <v>1345</v>
      </c>
      <c r="G513" s="2" t="s">
        <v>243</v>
      </c>
      <c r="I513">
        <f t="shared" si="100"/>
        <v>11.879789473684209</v>
      </c>
      <c r="J513">
        <f t="shared" si="101"/>
        <v>11.879789473684209</v>
      </c>
      <c r="L513">
        <f t="shared" si="102"/>
        <v>0</v>
      </c>
      <c r="M513">
        <f t="shared" si="103"/>
        <v>1</v>
      </c>
      <c r="O513">
        <f t="shared" si="104"/>
        <v>0</v>
      </c>
      <c r="P513">
        <f t="shared" si="105"/>
        <v>1.2000000000000455E-2</v>
      </c>
      <c r="R513">
        <f t="shared" si="106"/>
        <v>8.9249999999999607E-2</v>
      </c>
      <c r="S513">
        <f t="shared" si="107"/>
        <v>0.19666666666666663</v>
      </c>
      <c r="U513">
        <f t="shared" si="108"/>
        <v>31.215389099387849</v>
      </c>
      <c r="AH513">
        <f t="shared" si="109"/>
        <v>8.2026609228764605E-2</v>
      </c>
      <c r="AI513">
        <f t="shared" si="110"/>
        <v>9.3019555466337636</v>
      </c>
      <c r="AJ513">
        <f t="shared" si="111"/>
        <v>14.457623400734654</v>
      </c>
      <c r="AL513" s="6">
        <f t="shared" si="112"/>
        <v>12.043842692141737</v>
      </c>
      <c r="AM513">
        <f t="shared" si="113"/>
        <v>11.71573625522668</v>
      </c>
    </row>
    <row r="514" spans="1:39" ht="16.5" x14ac:dyDescent="0.25">
      <c r="A514" s="1">
        <v>44964</v>
      </c>
      <c r="B514" s="5">
        <v>11.53</v>
      </c>
      <c r="C514" s="4">
        <v>11.406000000000001</v>
      </c>
      <c r="D514" s="4">
        <v>11.53</v>
      </c>
      <c r="E514" s="4">
        <v>11.304</v>
      </c>
      <c r="F514" s="4" t="s">
        <v>1346</v>
      </c>
      <c r="G514" s="2" t="s">
        <v>785</v>
      </c>
      <c r="I514">
        <f t="shared" ref="I514:I531" si="114">AVERAGE(B514:B533)</f>
        <v>11.891555555555556</v>
      </c>
      <c r="J514">
        <f t="shared" ref="J514:J531" si="115">AVERAGE(B514:B553)</f>
        <v>11.891555555555556</v>
      </c>
      <c r="L514">
        <f t="shared" ref="L514:L531" si="116">IF($C514&lt;$B514,1,0)</f>
        <v>1</v>
      </c>
      <c r="M514">
        <f t="shared" ref="M514:M531" si="117">IF($C514&lt;$B514,0,1)</f>
        <v>0</v>
      </c>
      <c r="O514">
        <f t="shared" ref="O514:O531" si="118">IF($C514&lt;$B514,B514-C514,0)</f>
        <v>0.12399999999999878</v>
      </c>
      <c r="P514">
        <f t="shared" ref="P514:P531" si="119">IF($B514&lt;$C514,C514-B514,0)</f>
        <v>0</v>
      </c>
      <c r="R514">
        <f t="shared" ref="R514:R531" si="120">SUM(O514:O527)/SUM(L514:L527)</f>
        <v>8.9249999999999607E-2</v>
      </c>
      <c r="S514">
        <f t="shared" ref="S514:S531" si="121">SUM(P514:P527)/SUM(M514:M527)</f>
        <v>0.20766666666666675</v>
      </c>
      <c r="U514">
        <f t="shared" ref="U514:U531" si="122">100-(100/(1+(R514/S514)))</f>
        <v>30.058939096267096</v>
      </c>
      <c r="AH514">
        <f t="shared" si="109"/>
        <v>8.4375945499229832E-2</v>
      </c>
      <c r="AI514">
        <f t="shared" si="110"/>
        <v>9.3137216285051103</v>
      </c>
      <c r="AJ514">
        <f t="shared" si="111"/>
        <v>14.469389482606001</v>
      </c>
      <c r="AL514" s="6">
        <f t="shared" si="112"/>
        <v>12.060307446554015</v>
      </c>
      <c r="AM514">
        <f t="shared" si="113"/>
        <v>11.722803664557096</v>
      </c>
    </row>
    <row r="515" spans="1:39" ht="16.5" x14ac:dyDescent="0.25">
      <c r="A515" s="1">
        <v>44963</v>
      </c>
      <c r="B515" s="5">
        <v>11.356</v>
      </c>
      <c r="C515" s="4">
        <v>11.42</v>
      </c>
      <c r="D515" s="4">
        <v>11.454000000000001</v>
      </c>
      <c r="E515" s="4">
        <v>11.182</v>
      </c>
      <c r="F515" s="4" t="s">
        <v>1347</v>
      </c>
      <c r="G515" s="2" t="s">
        <v>102</v>
      </c>
      <c r="I515">
        <f t="shared" si="114"/>
        <v>11.912823529411765</v>
      </c>
      <c r="J515">
        <f t="shared" si="115"/>
        <v>11.912823529411765</v>
      </c>
      <c r="L515">
        <f t="shared" si="116"/>
        <v>0</v>
      </c>
      <c r="M515">
        <f t="shared" si="117"/>
        <v>1</v>
      </c>
      <c r="O515">
        <f t="shared" si="118"/>
        <v>0</v>
      </c>
      <c r="P515">
        <f t="shared" si="119"/>
        <v>6.4000000000000057E-2</v>
      </c>
      <c r="R515">
        <f t="shared" si="120"/>
        <v>8.5749999999999771E-2</v>
      </c>
      <c r="S515">
        <f t="shared" si="121"/>
        <v>0.20766666666666675</v>
      </c>
      <c r="U515">
        <f t="shared" si="122"/>
        <v>29.224652087475079</v>
      </c>
      <c r="AH515">
        <f t="shared" ref="AH515:AH531" si="123">_xlfn.STDEV.S(I515:I1045)</f>
        <v>8.6970475359342436E-2</v>
      </c>
      <c r="AI515">
        <f t="shared" ref="AI515:AI531" si="124">I515-$AH$2</f>
        <v>9.3349896023613219</v>
      </c>
      <c r="AJ515">
        <f t="shared" ref="AJ515:AJ531" si="125">I515+$AH$2</f>
        <v>14.490657456462209</v>
      </c>
      <c r="AL515" s="6">
        <f t="shared" ref="AL515:AL531" si="126">I515+(AH515*2)</f>
        <v>12.08676448013045</v>
      </c>
      <c r="AM515">
        <f t="shared" ref="AM515:AM531" si="127">I515-(AH515*2)</f>
        <v>11.738882578693081</v>
      </c>
    </row>
    <row r="516" spans="1:39" ht="16.5" x14ac:dyDescent="0.25">
      <c r="A516" s="1">
        <v>44960</v>
      </c>
      <c r="B516" s="5">
        <v>11.53</v>
      </c>
      <c r="C516" s="4">
        <v>11.522</v>
      </c>
      <c r="D516" s="4">
        <v>11.59</v>
      </c>
      <c r="E516" s="4">
        <v>11.314</v>
      </c>
      <c r="F516" s="4" t="s">
        <v>1348</v>
      </c>
      <c r="G516" s="2" t="s">
        <v>825</v>
      </c>
      <c r="I516">
        <f t="shared" si="114"/>
        <v>11.947624999999999</v>
      </c>
      <c r="J516">
        <f t="shared" si="115"/>
        <v>11.947624999999999</v>
      </c>
      <c r="L516">
        <f t="shared" si="116"/>
        <v>1</v>
      </c>
      <c r="M516">
        <f t="shared" si="117"/>
        <v>0</v>
      </c>
      <c r="O516">
        <f t="shared" si="118"/>
        <v>7.9999999999991189E-3</v>
      </c>
      <c r="P516">
        <f t="shared" si="119"/>
        <v>0</v>
      </c>
      <c r="R516">
        <f t="shared" si="120"/>
        <v>9.1333333333333239E-2</v>
      </c>
      <c r="S516">
        <f t="shared" si="121"/>
        <v>0.23640000000000008</v>
      </c>
      <c r="U516">
        <f t="shared" si="122"/>
        <v>27.868185516680199</v>
      </c>
      <c r="AH516">
        <f t="shared" si="123"/>
        <v>8.9598197731911799E-2</v>
      </c>
      <c r="AI516">
        <f t="shared" si="124"/>
        <v>9.3697910729495533</v>
      </c>
      <c r="AJ516">
        <f t="shared" si="125"/>
        <v>14.525458927050444</v>
      </c>
      <c r="AL516" s="6">
        <f t="shared" si="126"/>
        <v>12.126821395463821</v>
      </c>
      <c r="AM516">
        <f t="shared" si="127"/>
        <v>11.768428604536176</v>
      </c>
    </row>
    <row r="517" spans="1:39" ht="16.5" x14ac:dyDescent="0.25">
      <c r="A517" s="1">
        <v>44959</v>
      </c>
      <c r="B517" s="5">
        <v>11.456</v>
      </c>
      <c r="C517" s="4">
        <v>12.29</v>
      </c>
      <c r="D517" s="4">
        <v>12.311999999999999</v>
      </c>
      <c r="E517" s="4">
        <v>11.388</v>
      </c>
      <c r="F517" s="4" t="s">
        <v>1349</v>
      </c>
      <c r="G517" s="2" t="s">
        <v>1350</v>
      </c>
      <c r="I517">
        <f t="shared" si="114"/>
        <v>11.975466666666666</v>
      </c>
      <c r="J517">
        <f t="shared" si="115"/>
        <v>11.975466666666666</v>
      </c>
      <c r="L517">
        <f t="shared" si="116"/>
        <v>0</v>
      </c>
      <c r="M517">
        <f t="shared" si="117"/>
        <v>1</v>
      </c>
      <c r="O517">
        <f t="shared" si="118"/>
        <v>0</v>
      </c>
      <c r="P517">
        <f t="shared" si="119"/>
        <v>0.83399999999999963</v>
      </c>
      <c r="R517">
        <f t="shared" si="120"/>
        <v>9.44444444444444E-2</v>
      </c>
      <c r="S517">
        <f t="shared" si="121"/>
        <v>0.23640000000000008</v>
      </c>
      <c r="U517">
        <f t="shared" si="122"/>
        <v>28.546480386888746</v>
      </c>
      <c r="AH517">
        <f t="shared" si="123"/>
        <v>9.1245214098444341E-2</v>
      </c>
      <c r="AI517">
        <f t="shared" si="124"/>
        <v>9.3976327396162205</v>
      </c>
      <c r="AJ517">
        <f t="shared" si="125"/>
        <v>14.553300593717111</v>
      </c>
      <c r="AL517" s="6">
        <f t="shared" si="126"/>
        <v>12.157957094863555</v>
      </c>
      <c r="AM517">
        <f t="shared" si="127"/>
        <v>11.792976238469777</v>
      </c>
    </row>
    <row r="518" spans="1:39" ht="16.5" x14ac:dyDescent="0.25">
      <c r="A518" s="1">
        <v>44958</v>
      </c>
      <c r="B518" s="5">
        <v>12.25</v>
      </c>
      <c r="C518" s="4">
        <v>12.234</v>
      </c>
      <c r="D518" s="4">
        <v>12.346</v>
      </c>
      <c r="E518" s="4">
        <v>12.118</v>
      </c>
      <c r="F518" s="4" t="s">
        <v>1351</v>
      </c>
      <c r="G518" s="2" t="s">
        <v>479</v>
      </c>
      <c r="I518">
        <f t="shared" si="114"/>
        <v>12.012571428571425</v>
      </c>
      <c r="J518">
        <f t="shared" si="115"/>
        <v>12.012571428571425</v>
      </c>
      <c r="L518">
        <f t="shared" si="116"/>
        <v>1</v>
      </c>
      <c r="M518">
        <f t="shared" si="117"/>
        <v>0</v>
      </c>
      <c r="O518">
        <f t="shared" si="118"/>
        <v>1.6000000000000014E-2</v>
      </c>
      <c r="P518">
        <f t="shared" si="119"/>
        <v>0</v>
      </c>
      <c r="R518">
        <f t="shared" si="120"/>
        <v>9.44444444444444E-2</v>
      </c>
      <c r="S518">
        <f t="shared" si="121"/>
        <v>9.1600000000000389E-2</v>
      </c>
      <c r="U518">
        <f t="shared" si="122"/>
        <v>50.764452938365856</v>
      </c>
      <c r="AH518">
        <f t="shared" si="123"/>
        <v>9.0932309438817624E-2</v>
      </c>
      <c r="AI518">
        <f t="shared" si="124"/>
        <v>9.4347375015209813</v>
      </c>
      <c r="AJ518">
        <f t="shared" si="125"/>
        <v>14.590405355621868</v>
      </c>
      <c r="AL518" s="6">
        <f t="shared" si="126"/>
        <v>12.194436047449059</v>
      </c>
      <c r="AM518">
        <f t="shared" si="127"/>
        <v>11.83070680969379</v>
      </c>
    </row>
    <row r="519" spans="1:39" ht="16.5" x14ac:dyDescent="0.25">
      <c r="A519" s="1">
        <v>44957</v>
      </c>
      <c r="B519" s="5">
        <v>12.208</v>
      </c>
      <c r="C519" s="4">
        <v>12.336</v>
      </c>
      <c r="D519" s="4">
        <v>12.342000000000001</v>
      </c>
      <c r="E519" s="4">
        <v>12.093999999999999</v>
      </c>
      <c r="F519" s="4" t="s">
        <v>1352</v>
      </c>
      <c r="G519" s="2" t="s">
        <v>313</v>
      </c>
      <c r="I519">
        <f t="shared" si="114"/>
        <v>11.994307692307691</v>
      </c>
      <c r="J519">
        <f t="shared" si="115"/>
        <v>11.994307692307691</v>
      </c>
      <c r="L519">
        <f t="shared" si="116"/>
        <v>0</v>
      </c>
      <c r="M519">
        <f t="shared" si="117"/>
        <v>1</v>
      </c>
      <c r="O519">
        <f t="shared" si="118"/>
        <v>0</v>
      </c>
      <c r="P519">
        <f t="shared" si="119"/>
        <v>0.12800000000000011</v>
      </c>
      <c r="R519">
        <f t="shared" si="120"/>
        <v>0.10424999999999995</v>
      </c>
      <c r="S519">
        <f t="shared" si="121"/>
        <v>9.1600000000000389E-2</v>
      </c>
      <c r="U519">
        <f t="shared" si="122"/>
        <v>53.22951238192482</v>
      </c>
      <c r="AH519">
        <f t="shared" si="123"/>
        <v>8.5475033259181821E-2</v>
      </c>
      <c r="AI519">
        <f t="shared" si="124"/>
        <v>9.4164737652572477</v>
      </c>
      <c r="AJ519">
        <f t="shared" si="125"/>
        <v>14.572141619358135</v>
      </c>
      <c r="AL519" s="6">
        <f t="shared" si="126"/>
        <v>12.165257758826055</v>
      </c>
      <c r="AM519">
        <f t="shared" si="127"/>
        <v>11.823357625789328</v>
      </c>
    </row>
    <row r="520" spans="1:39" ht="16.5" x14ac:dyDescent="0.25">
      <c r="A520" s="1">
        <v>44956</v>
      </c>
      <c r="B520" s="5">
        <v>12.278</v>
      </c>
      <c r="C520" s="4">
        <v>12.314</v>
      </c>
      <c r="D520" s="4">
        <v>12.362</v>
      </c>
      <c r="E520" s="4">
        <v>12.178000000000001</v>
      </c>
      <c r="F520" s="4" t="s">
        <v>842</v>
      </c>
      <c r="G520" s="2" t="s">
        <v>508</v>
      </c>
      <c r="I520">
        <f t="shared" si="114"/>
        <v>11.9765</v>
      </c>
      <c r="J520">
        <f t="shared" si="115"/>
        <v>11.9765</v>
      </c>
      <c r="L520">
        <f t="shared" si="116"/>
        <v>0</v>
      </c>
      <c r="M520">
        <f t="shared" si="117"/>
        <v>1</v>
      </c>
      <c r="O520">
        <f t="shared" si="118"/>
        <v>0</v>
      </c>
      <c r="P520">
        <f t="shared" si="119"/>
        <v>3.5999999999999588E-2</v>
      </c>
      <c r="R520">
        <f t="shared" si="120"/>
        <v>0.10424999999999995</v>
      </c>
      <c r="S520">
        <f t="shared" si="121"/>
        <v>8.2500000000000462E-2</v>
      </c>
      <c r="U520">
        <f t="shared" si="122"/>
        <v>55.823293172690605</v>
      </c>
      <c r="AH520">
        <f t="shared" si="123"/>
        <v>7.9753731776867579E-2</v>
      </c>
      <c r="AI520">
        <f t="shared" si="124"/>
        <v>9.3986660729495561</v>
      </c>
      <c r="AJ520">
        <f t="shared" si="125"/>
        <v>14.554333927050443</v>
      </c>
      <c r="AL520" s="6">
        <f t="shared" si="126"/>
        <v>12.136007463553735</v>
      </c>
      <c r="AM520">
        <f t="shared" si="127"/>
        <v>11.816992536446264</v>
      </c>
    </row>
    <row r="521" spans="1:39" ht="16.5" x14ac:dyDescent="0.25">
      <c r="A521" s="1">
        <v>44953</v>
      </c>
      <c r="B521" s="5">
        <v>12.34</v>
      </c>
      <c r="C521" s="4">
        <v>12.178000000000001</v>
      </c>
      <c r="D521" s="4">
        <v>12.362</v>
      </c>
      <c r="E521" s="4">
        <v>12.154</v>
      </c>
      <c r="F521" s="4" t="s">
        <v>1353</v>
      </c>
      <c r="G521" s="2" t="s">
        <v>1354</v>
      </c>
      <c r="I521">
        <f t="shared" si="114"/>
        <v>11.949090909090909</v>
      </c>
      <c r="J521">
        <f t="shared" si="115"/>
        <v>11.949090909090909</v>
      </c>
      <c r="L521">
        <f t="shared" si="116"/>
        <v>1</v>
      </c>
      <c r="M521">
        <f t="shared" si="117"/>
        <v>0</v>
      </c>
      <c r="O521">
        <f t="shared" si="118"/>
        <v>0.16199999999999903</v>
      </c>
      <c r="P521">
        <f t="shared" si="119"/>
        <v>0</v>
      </c>
      <c r="R521">
        <f t="shared" si="120"/>
        <v>0.10424999999999995</v>
      </c>
      <c r="S521">
        <f t="shared" si="121"/>
        <v>9.8000000000000753E-2</v>
      </c>
      <c r="U521">
        <f t="shared" si="122"/>
        <v>51.545117428924392</v>
      </c>
      <c r="AH521">
        <f t="shared" si="123"/>
        <v>7.3538138695988714E-2</v>
      </c>
      <c r="AI521">
        <f t="shared" si="124"/>
        <v>9.3712569820404639</v>
      </c>
      <c r="AJ521">
        <f t="shared" si="125"/>
        <v>14.526924836141355</v>
      </c>
      <c r="AL521" s="6">
        <f t="shared" si="126"/>
        <v>12.096167186482887</v>
      </c>
      <c r="AM521">
        <f t="shared" si="127"/>
        <v>11.802014631698931</v>
      </c>
    </row>
    <row r="522" spans="1:39" ht="16.5" x14ac:dyDescent="0.25">
      <c r="A522" s="1">
        <v>44952</v>
      </c>
      <c r="B522" s="5">
        <v>12.132</v>
      </c>
      <c r="C522" s="4">
        <v>11.98</v>
      </c>
      <c r="D522" s="4">
        <v>12.14</v>
      </c>
      <c r="E522" s="4">
        <v>11.916</v>
      </c>
      <c r="F522" s="4" t="s">
        <v>1355</v>
      </c>
      <c r="G522" s="2" t="s">
        <v>1144</v>
      </c>
      <c r="I522">
        <f t="shared" si="114"/>
        <v>11.91</v>
      </c>
      <c r="J522">
        <f t="shared" si="115"/>
        <v>11.91</v>
      </c>
      <c r="L522">
        <f t="shared" si="116"/>
        <v>1</v>
      </c>
      <c r="M522">
        <f t="shared" si="117"/>
        <v>0</v>
      </c>
      <c r="O522">
        <f t="shared" si="118"/>
        <v>0.15199999999999925</v>
      </c>
      <c r="P522">
        <f t="shared" si="119"/>
        <v>0</v>
      </c>
      <c r="R522">
        <f t="shared" si="120"/>
        <v>9.6000000000000085E-2</v>
      </c>
      <c r="S522">
        <f t="shared" si="121"/>
        <v>9.8000000000000753E-2</v>
      </c>
      <c r="U522">
        <f t="shared" si="122"/>
        <v>49.484536082474058</v>
      </c>
      <c r="AH522">
        <f t="shared" si="123"/>
        <v>6.8414270976383848E-2</v>
      </c>
      <c r="AI522">
        <f t="shared" si="124"/>
        <v>9.3321660729495548</v>
      </c>
      <c r="AJ522">
        <f t="shared" si="125"/>
        <v>14.487833927050445</v>
      </c>
      <c r="AL522" s="6">
        <f t="shared" si="126"/>
        <v>12.046828541952769</v>
      </c>
      <c r="AM522">
        <f t="shared" si="127"/>
        <v>11.773171458047232</v>
      </c>
    </row>
    <row r="523" spans="1:39" ht="16.5" x14ac:dyDescent="0.25">
      <c r="A523" s="1">
        <v>44951</v>
      </c>
      <c r="B523" s="5">
        <v>11.914</v>
      </c>
      <c r="C523" s="4">
        <v>11.834</v>
      </c>
      <c r="D523" s="4">
        <v>11.914</v>
      </c>
      <c r="E523" s="4">
        <v>11.512</v>
      </c>
      <c r="F523" s="4" t="s">
        <v>1231</v>
      </c>
      <c r="G523" s="2" t="s">
        <v>294</v>
      </c>
      <c r="I523">
        <f t="shared" si="114"/>
        <v>11.885333333333332</v>
      </c>
      <c r="J523">
        <f t="shared" si="115"/>
        <v>11.885333333333332</v>
      </c>
      <c r="L523">
        <f t="shared" si="116"/>
        <v>1</v>
      </c>
      <c r="M523">
        <f t="shared" si="117"/>
        <v>0</v>
      </c>
      <c r="O523">
        <f t="shared" si="118"/>
        <v>8.0000000000000071E-2</v>
      </c>
      <c r="P523">
        <f t="shared" si="119"/>
        <v>0</v>
      </c>
      <c r="R523">
        <f t="shared" si="120"/>
        <v>8.6666666666666892E-2</v>
      </c>
      <c r="S523">
        <f t="shared" si="121"/>
        <v>9.8000000000000753E-2</v>
      </c>
      <c r="U523">
        <f t="shared" si="122"/>
        <v>46.931407942238145</v>
      </c>
      <c r="AH523">
        <f t="shared" si="123"/>
        <v>6.6874520375832663E-2</v>
      </c>
      <c r="AI523">
        <f t="shared" si="124"/>
        <v>9.3074994062828864</v>
      </c>
      <c r="AJ523">
        <f t="shared" si="125"/>
        <v>14.463167260383777</v>
      </c>
      <c r="AL523" s="6">
        <f t="shared" si="126"/>
        <v>12.019082374084997</v>
      </c>
      <c r="AM523">
        <f t="shared" si="127"/>
        <v>11.751584292581667</v>
      </c>
    </row>
    <row r="524" spans="1:39" ht="16.5" x14ac:dyDescent="0.25">
      <c r="A524" s="1">
        <v>44950</v>
      </c>
      <c r="B524" s="5">
        <v>11.976000000000001</v>
      </c>
      <c r="C524" s="4">
        <v>11.946</v>
      </c>
      <c r="D524" s="4">
        <v>12.022</v>
      </c>
      <c r="E524" s="4">
        <v>11.843999999999999</v>
      </c>
      <c r="F524" s="4" t="s">
        <v>987</v>
      </c>
      <c r="G524" s="2" t="s">
        <v>1356</v>
      </c>
      <c r="I524">
        <f t="shared" si="114"/>
        <v>11.88175</v>
      </c>
      <c r="J524">
        <f t="shared" si="115"/>
        <v>11.88175</v>
      </c>
      <c r="L524">
        <f t="shared" si="116"/>
        <v>1</v>
      </c>
      <c r="M524">
        <f t="shared" si="117"/>
        <v>0</v>
      </c>
      <c r="O524">
        <f t="shared" si="118"/>
        <v>3.0000000000001137E-2</v>
      </c>
      <c r="P524">
        <f t="shared" si="119"/>
        <v>0</v>
      </c>
      <c r="R524">
        <f t="shared" si="120"/>
        <v>8.8000000000000259E-2</v>
      </c>
      <c r="S524">
        <f t="shared" si="121"/>
        <v>9.8000000000000753E-2</v>
      </c>
      <c r="U524">
        <f t="shared" si="122"/>
        <v>47.311827956989127</v>
      </c>
      <c r="AH524">
        <f t="shared" si="123"/>
        <v>6.7422032451509337E-2</v>
      </c>
      <c r="AI524">
        <f t="shared" si="124"/>
        <v>9.3039160729495549</v>
      </c>
      <c r="AJ524">
        <f t="shared" si="125"/>
        <v>14.459583927050446</v>
      </c>
      <c r="AL524" s="6">
        <f t="shared" si="126"/>
        <v>12.016594064903019</v>
      </c>
      <c r="AM524">
        <f t="shared" si="127"/>
        <v>11.746905935096981</v>
      </c>
    </row>
    <row r="525" spans="1:39" ht="16.5" x14ac:dyDescent="0.25">
      <c r="A525" s="1">
        <v>44949</v>
      </c>
      <c r="B525" s="5">
        <v>11.916</v>
      </c>
      <c r="C525" s="4">
        <v>12.022</v>
      </c>
      <c r="D525" s="4">
        <v>12.061999999999999</v>
      </c>
      <c r="E525" s="4">
        <v>11.904</v>
      </c>
      <c r="F525" s="4" t="s">
        <v>938</v>
      </c>
      <c r="G525" s="2" t="s">
        <v>1074</v>
      </c>
      <c r="I525">
        <f t="shared" si="114"/>
        <v>11.868285714285715</v>
      </c>
      <c r="J525">
        <f t="shared" si="115"/>
        <v>11.868285714285715</v>
      </c>
      <c r="L525">
        <f t="shared" si="116"/>
        <v>0</v>
      </c>
      <c r="M525">
        <f t="shared" si="117"/>
        <v>1</v>
      </c>
      <c r="O525">
        <f t="shared" si="118"/>
        <v>0</v>
      </c>
      <c r="P525">
        <f t="shared" si="119"/>
        <v>0.10599999999999987</v>
      </c>
      <c r="R525">
        <f t="shared" si="120"/>
        <v>0.10250000000000004</v>
      </c>
      <c r="S525">
        <f t="shared" si="121"/>
        <v>9.8000000000000753E-2</v>
      </c>
      <c r="U525">
        <f t="shared" si="122"/>
        <v>51.122194513715527</v>
      </c>
      <c r="AH525">
        <f t="shared" si="123"/>
        <v>6.7408868402894173E-2</v>
      </c>
      <c r="AI525">
        <f t="shared" si="124"/>
        <v>9.2904517872352699</v>
      </c>
      <c r="AJ525">
        <f t="shared" si="125"/>
        <v>14.446119641336161</v>
      </c>
      <c r="AL525" s="6">
        <f t="shared" si="126"/>
        <v>12.003103451091503</v>
      </c>
      <c r="AM525">
        <f t="shared" si="127"/>
        <v>11.733467977479927</v>
      </c>
    </row>
    <row r="526" spans="1:39" ht="16.5" x14ac:dyDescent="0.25">
      <c r="A526" s="1">
        <v>44946</v>
      </c>
      <c r="B526" s="5">
        <v>11.981999999999999</v>
      </c>
      <c r="C526" s="4">
        <v>11.84</v>
      </c>
      <c r="D526" s="4">
        <v>12.086</v>
      </c>
      <c r="E526" s="4">
        <v>11.832000000000001</v>
      </c>
      <c r="F526" s="4" t="s">
        <v>1357</v>
      </c>
      <c r="G526" s="2" t="s">
        <v>752</v>
      </c>
      <c r="I526">
        <f t="shared" si="114"/>
        <v>11.860333333333335</v>
      </c>
      <c r="J526">
        <f t="shared" si="115"/>
        <v>11.860333333333335</v>
      </c>
      <c r="L526">
        <f t="shared" si="116"/>
        <v>1</v>
      </c>
      <c r="M526">
        <f t="shared" si="117"/>
        <v>0</v>
      </c>
      <c r="O526">
        <f t="shared" si="118"/>
        <v>0.14199999999999946</v>
      </c>
      <c r="P526">
        <f t="shared" si="119"/>
        <v>0</v>
      </c>
      <c r="R526">
        <f t="shared" si="120"/>
        <v>0.10250000000000004</v>
      </c>
      <c r="S526">
        <f t="shared" si="121"/>
        <v>9.4000000000001194E-2</v>
      </c>
      <c r="U526">
        <f t="shared" si="122"/>
        <v>52.162849872773222</v>
      </c>
      <c r="AH526">
        <f t="shared" si="123"/>
        <v>6.8182306002745011E-2</v>
      </c>
      <c r="AI526">
        <f t="shared" si="124"/>
        <v>9.2824994062828914</v>
      </c>
      <c r="AJ526">
        <f t="shared" si="125"/>
        <v>14.438167260383779</v>
      </c>
      <c r="AL526" s="6">
        <f t="shared" si="126"/>
        <v>11.996697945338825</v>
      </c>
      <c r="AM526">
        <f t="shared" si="127"/>
        <v>11.723968721327845</v>
      </c>
    </row>
    <row r="527" spans="1:39" ht="16.5" x14ac:dyDescent="0.25">
      <c r="A527" s="1">
        <v>44945</v>
      </c>
      <c r="B527" s="5">
        <v>11.754</v>
      </c>
      <c r="C527" s="4">
        <v>11.832000000000001</v>
      </c>
      <c r="D527" s="4">
        <v>11.994</v>
      </c>
      <c r="E527" s="4">
        <v>11.63</v>
      </c>
      <c r="F527" s="4" t="s">
        <v>1358</v>
      </c>
      <c r="G527" s="2" t="s">
        <v>1359</v>
      </c>
      <c r="I527">
        <f t="shared" si="114"/>
        <v>11.836</v>
      </c>
      <c r="J527">
        <f t="shared" si="115"/>
        <v>11.836</v>
      </c>
      <c r="L527">
        <f t="shared" si="116"/>
        <v>0</v>
      </c>
      <c r="M527">
        <f t="shared" si="117"/>
        <v>1</v>
      </c>
      <c r="O527">
        <f t="shared" si="118"/>
        <v>0</v>
      </c>
      <c r="P527">
        <f t="shared" si="119"/>
        <v>7.800000000000118E-2</v>
      </c>
      <c r="R527">
        <f t="shared" si="120"/>
        <v>8.9333333333333556E-2</v>
      </c>
      <c r="S527">
        <f t="shared" si="121"/>
        <v>9.4000000000001194E-2</v>
      </c>
      <c r="U527">
        <f t="shared" si="122"/>
        <v>48.727272727272471</v>
      </c>
      <c r="AH527">
        <f t="shared" si="123"/>
        <v>6.8643645008114776E-2</v>
      </c>
      <c r="AI527">
        <f t="shared" si="124"/>
        <v>9.2581660729495567</v>
      </c>
      <c r="AJ527">
        <f t="shared" si="125"/>
        <v>14.413833927050444</v>
      </c>
      <c r="AL527" s="6">
        <f t="shared" si="126"/>
        <v>11.973287290016231</v>
      </c>
      <c r="AM527">
        <f t="shared" si="127"/>
        <v>11.69871270998377</v>
      </c>
    </row>
    <row r="528" spans="1:39" ht="16.5" x14ac:dyDescent="0.25">
      <c r="A528" s="1">
        <v>44944</v>
      </c>
      <c r="B528" s="5">
        <v>11.996</v>
      </c>
      <c r="C528" s="4">
        <v>11.9</v>
      </c>
      <c r="D528" s="4">
        <v>12.023999999999999</v>
      </c>
      <c r="E528" s="4">
        <v>11.884</v>
      </c>
      <c r="F528" s="4" t="s">
        <v>1360</v>
      </c>
      <c r="G528" s="2" t="s">
        <v>55</v>
      </c>
      <c r="I528">
        <f t="shared" si="114"/>
        <v>11.8565</v>
      </c>
      <c r="J528">
        <f t="shared" si="115"/>
        <v>11.8565</v>
      </c>
      <c r="L528">
        <f t="shared" si="116"/>
        <v>1</v>
      </c>
      <c r="M528">
        <f t="shared" si="117"/>
        <v>0</v>
      </c>
      <c r="O528">
        <f t="shared" si="118"/>
        <v>9.6000000000000085E-2</v>
      </c>
      <c r="P528">
        <f t="shared" si="119"/>
        <v>0</v>
      </c>
      <c r="R528">
        <f t="shared" si="120"/>
        <v>8.9333333333333556E-2</v>
      </c>
      <c r="S528">
        <f t="shared" si="121"/>
        <v>0.11000000000000121</v>
      </c>
      <c r="U528">
        <f t="shared" si="122"/>
        <v>44.816053511705476</v>
      </c>
      <c r="AH528">
        <f t="shared" si="123"/>
        <v>7.287360633315805E-2</v>
      </c>
      <c r="AI528">
        <f t="shared" si="124"/>
        <v>9.2786660729495551</v>
      </c>
      <c r="AJ528">
        <f t="shared" si="125"/>
        <v>14.434333927050446</v>
      </c>
      <c r="AL528" s="6">
        <f t="shared" si="126"/>
        <v>12.002247212666317</v>
      </c>
      <c r="AM528">
        <f t="shared" si="127"/>
        <v>11.710752787333684</v>
      </c>
    </row>
    <row r="529" spans="1:39" ht="16.5" x14ac:dyDescent="0.25">
      <c r="A529" s="1">
        <v>44943</v>
      </c>
      <c r="B529" s="5">
        <v>11.938000000000001</v>
      </c>
      <c r="C529" s="4">
        <v>11.802</v>
      </c>
      <c r="D529" s="4">
        <v>12.055999999999999</v>
      </c>
      <c r="E529" s="4">
        <v>11.784000000000001</v>
      </c>
      <c r="F529" s="4" t="s">
        <v>1361</v>
      </c>
      <c r="G529" s="2" t="s">
        <v>455</v>
      </c>
      <c r="I529">
        <f t="shared" si="114"/>
        <v>11.81</v>
      </c>
      <c r="J529">
        <f t="shared" si="115"/>
        <v>11.81</v>
      </c>
      <c r="L529">
        <f t="shared" si="116"/>
        <v>1</v>
      </c>
      <c r="M529">
        <f t="shared" si="117"/>
        <v>0</v>
      </c>
      <c r="O529">
        <f t="shared" si="118"/>
        <v>0.13600000000000101</v>
      </c>
      <c r="P529">
        <f t="shared" si="119"/>
        <v>0</v>
      </c>
      <c r="R529">
        <f t="shared" si="120"/>
        <v>8.6000000000000298E-2</v>
      </c>
      <c r="S529">
        <f t="shared" si="121"/>
        <v>0.11000000000000121</v>
      </c>
      <c r="U529">
        <f t="shared" si="122"/>
        <v>43.877551020407978</v>
      </c>
      <c r="AH529">
        <f t="shared" si="123"/>
        <v>6.0044427995721607E-2</v>
      </c>
      <c r="AI529">
        <f t="shared" si="124"/>
        <v>9.2321660729495569</v>
      </c>
      <c r="AJ529">
        <f t="shared" si="125"/>
        <v>14.387833927050444</v>
      </c>
      <c r="AL529" s="6">
        <f t="shared" si="126"/>
        <v>11.930088855991444</v>
      </c>
      <c r="AM529">
        <f t="shared" si="127"/>
        <v>11.689911144008557</v>
      </c>
    </row>
    <row r="530" spans="1:39" ht="16.5" x14ac:dyDescent="0.25">
      <c r="A530" s="1">
        <v>44942</v>
      </c>
      <c r="B530" s="5">
        <v>11.802</v>
      </c>
      <c r="C530" s="4">
        <v>11.766</v>
      </c>
      <c r="D530" s="4">
        <v>11.906000000000001</v>
      </c>
      <c r="E530" s="4">
        <v>11.75</v>
      </c>
      <c r="F530" s="4" t="s">
        <v>1362</v>
      </c>
      <c r="G530" s="2" t="s">
        <v>863</v>
      </c>
      <c r="I530">
        <f t="shared" si="114"/>
        <v>11.745999999999999</v>
      </c>
      <c r="J530">
        <f t="shared" si="115"/>
        <v>11.745999999999999</v>
      </c>
      <c r="L530">
        <f t="shared" si="116"/>
        <v>1</v>
      </c>
      <c r="M530">
        <f t="shared" si="117"/>
        <v>0</v>
      </c>
      <c r="O530">
        <f t="shared" si="118"/>
        <v>3.5999999999999588E-2</v>
      </c>
      <c r="P530">
        <f t="shared" si="119"/>
        <v>0</v>
      </c>
      <c r="R530">
        <f t="shared" si="120"/>
        <v>3.5999999999999588E-2</v>
      </c>
      <c r="S530">
        <f t="shared" si="121"/>
        <v>0.11000000000000121</v>
      </c>
      <c r="U530">
        <f t="shared" si="122"/>
        <v>24.657534246574926</v>
      </c>
      <c r="AH530">
        <f t="shared" si="123"/>
        <v>3.959797974644607E-2</v>
      </c>
      <c r="AI530">
        <f t="shared" si="124"/>
        <v>9.1681660729495533</v>
      </c>
      <c r="AJ530">
        <f t="shared" si="125"/>
        <v>14.323833927050444</v>
      </c>
      <c r="AL530" s="6">
        <f t="shared" si="126"/>
        <v>11.825195959492891</v>
      </c>
      <c r="AM530">
        <f t="shared" si="127"/>
        <v>11.666804040507106</v>
      </c>
    </row>
    <row r="531" spans="1:39" ht="16.5" x14ac:dyDescent="0.25">
      <c r="A531" s="1">
        <v>44939</v>
      </c>
      <c r="B531" s="5">
        <v>11.69</v>
      </c>
      <c r="C531" s="4">
        <v>11.8</v>
      </c>
      <c r="D531" s="4">
        <v>11.827999999999999</v>
      </c>
      <c r="E531" s="4">
        <v>11.513999999999999</v>
      </c>
      <c r="F531" s="4" t="s">
        <v>1363</v>
      </c>
      <c r="G531" s="2" t="s">
        <v>1210</v>
      </c>
      <c r="I531">
        <f t="shared" si="114"/>
        <v>11.69</v>
      </c>
      <c r="J531">
        <f t="shared" si="115"/>
        <v>11.69</v>
      </c>
      <c r="L531">
        <f t="shared" si="116"/>
        <v>0</v>
      </c>
      <c r="M531">
        <f t="shared" si="117"/>
        <v>1</v>
      </c>
      <c r="O531">
        <f t="shared" si="118"/>
        <v>0</v>
      </c>
      <c r="P531">
        <f t="shared" si="119"/>
        <v>0.11000000000000121</v>
      </c>
      <c r="R531" t="e">
        <f t="shared" si="120"/>
        <v>#DIV/0!</v>
      </c>
      <c r="S531">
        <f t="shared" si="121"/>
        <v>0.11000000000000121</v>
      </c>
      <c r="U531" t="e">
        <f t="shared" si="122"/>
        <v>#DIV/0!</v>
      </c>
      <c r="AH531" t="e">
        <f t="shared" si="123"/>
        <v>#DIV/0!</v>
      </c>
      <c r="AI531">
        <f t="shared" si="124"/>
        <v>9.1121660729495559</v>
      </c>
      <c r="AJ531">
        <f t="shared" si="125"/>
        <v>14.267833927050443</v>
      </c>
      <c r="AL531" s="6" t="e">
        <f t="shared" si="126"/>
        <v>#DIV/0!</v>
      </c>
      <c r="AM531" t="e">
        <f t="shared" si="127"/>
        <v>#DIV/0!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ED4D-3FC1-4B7E-8C41-00B325A1FF95}">
  <dimension ref="A1:AM531"/>
  <sheetViews>
    <sheetView topLeftCell="P1" zoomScale="81" workbookViewId="0">
      <selection activeCell="S1" sqref="S1"/>
    </sheetView>
  </sheetViews>
  <sheetFormatPr baseColWidth="10" defaultColWidth="11.42578125" defaultRowHeight="15" x14ac:dyDescent="0.25"/>
  <sheetData>
    <row r="1" spans="1:39" ht="49.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4" t="s">
        <v>1364</v>
      </c>
      <c r="J1" s="4" t="s">
        <v>1365</v>
      </c>
      <c r="L1" s="4" t="s">
        <v>772</v>
      </c>
      <c r="M1" s="4" t="s">
        <v>1366</v>
      </c>
      <c r="O1" s="4" t="s">
        <v>1367</v>
      </c>
      <c r="P1" s="4" t="s">
        <v>1368</v>
      </c>
      <c r="R1" s="4" t="s">
        <v>1369</v>
      </c>
      <c r="S1" s="4" t="s">
        <v>1370</v>
      </c>
      <c r="U1" s="4" t="s">
        <v>15</v>
      </c>
      <c r="V1" s="4" t="s">
        <v>1371</v>
      </c>
      <c r="W1" s="4" t="s">
        <v>777</v>
      </c>
      <c r="AB1" s="6" t="s">
        <v>778</v>
      </c>
      <c r="AC1" s="6" t="s">
        <v>19</v>
      </c>
      <c r="AH1" t="s">
        <v>1372</v>
      </c>
      <c r="AI1" t="s">
        <v>1373</v>
      </c>
      <c r="AJ1" t="s">
        <v>1374</v>
      </c>
      <c r="AL1" s="6" t="s">
        <v>781</v>
      </c>
      <c r="AM1" s="6" t="s">
        <v>1375</v>
      </c>
    </row>
    <row r="2" spans="1:39" ht="16.5" x14ac:dyDescent="0.25">
      <c r="A2" s="1">
        <v>45700</v>
      </c>
      <c r="B2" s="5">
        <v>57.835000000000001</v>
      </c>
      <c r="C2" s="4">
        <v>57.524999999999999</v>
      </c>
      <c r="D2" s="4">
        <v>57.835000000000001</v>
      </c>
      <c r="E2" s="4">
        <v>57.3</v>
      </c>
      <c r="F2" s="4" t="s">
        <v>1376</v>
      </c>
      <c r="G2" s="2" t="s">
        <v>455</v>
      </c>
      <c r="I2">
        <f t="shared" ref="I2:I65" si="0">AVERAGE(B2:B21)</f>
        <v>57.137249999999995</v>
      </c>
      <c r="J2">
        <f t="shared" ref="J2:J65" si="1">AVERAGE(B2:B41)</f>
        <v>55.689125000000004</v>
      </c>
      <c r="L2">
        <f t="shared" ref="L2:L65" si="2">IF($C2&lt;$B2,1,0)</f>
        <v>1</v>
      </c>
      <c r="M2">
        <f t="shared" ref="M2:M65" si="3">IF($C2&lt;$B2,0,1)</f>
        <v>0</v>
      </c>
      <c r="O2">
        <f t="shared" ref="O2:O65" si="4">IF($C2&lt;$B2,B2-C2,0)</f>
        <v>0.31000000000000227</v>
      </c>
      <c r="P2">
        <f t="shared" ref="P2:P65" si="5">IF($B2&lt;$C2,C2-B2,0)</f>
        <v>0</v>
      </c>
      <c r="R2">
        <f t="shared" ref="R2:R65" si="6">SUM(O2:O15)/SUM(L2:L15)</f>
        <v>0.56777777777777849</v>
      </c>
      <c r="S2">
        <f t="shared" ref="S2:S65" si="7">SUM(P2:P15)/SUM(M2:M15)</f>
        <v>0.39399999999999979</v>
      </c>
      <c r="U2">
        <f t="shared" ref="U2:U65" si="8">100-(100/(1+(R2/S2)))</f>
        <v>59.034195933456601</v>
      </c>
      <c r="V2">
        <v>47</v>
      </c>
      <c r="W2">
        <v>60</v>
      </c>
      <c r="AB2">
        <f>((B2-E2)/(D2-E2))*100</f>
        <v>100</v>
      </c>
      <c r="AC2">
        <f>AVERAGE(AB2:AB16)</f>
        <v>66.290800466911648</v>
      </c>
      <c r="AH2">
        <f>_xlfn.STDEV.S(I2:I532)</f>
        <v>6.3815009830229297</v>
      </c>
      <c r="AI2">
        <f>I2-$AH$2</f>
        <v>50.755749016977063</v>
      </c>
      <c r="AJ2">
        <f>I2+$AH$2</f>
        <v>63.518750983022926</v>
      </c>
      <c r="AL2">
        <f>I2+(AH2*2)</f>
        <v>69.900251966045857</v>
      </c>
      <c r="AM2">
        <f>I2-(AH2*2)</f>
        <v>44.374248033954132</v>
      </c>
    </row>
    <row r="3" spans="1:39" ht="16.5" x14ac:dyDescent="0.25">
      <c r="A3" s="1">
        <v>45699</v>
      </c>
      <c r="B3" s="5">
        <v>57.18</v>
      </c>
      <c r="C3" s="4">
        <v>57.48</v>
      </c>
      <c r="D3" s="4">
        <v>57.74</v>
      </c>
      <c r="E3" s="4">
        <v>56.83</v>
      </c>
      <c r="F3" s="4" t="s">
        <v>1377</v>
      </c>
      <c r="G3" s="2" t="s">
        <v>932</v>
      </c>
      <c r="I3">
        <f t="shared" si="0"/>
        <v>57.060500000000005</v>
      </c>
      <c r="J3">
        <f t="shared" si="1"/>
        <v>55.635500000000015</v>
      </c>
      <c r="L3">
        <f t="shared" si="2"/>
        <v>0</v>
      </c>
      <c r="M3">
        <f t="shared" si="3"/>
        <v>1</v>
      </c>
      <c r="O3">
        <f t="shared" si="4"/>
        <v>0</v>
      </c>
      <c r="P3">
        <f t="shared" si="5"/>
        <v>0.29999999999999716</v>
      </c>
      <c r="R3">
        <f t="shared" si="6"/>
        <v>0.60000000000000053</v>
      </c>
      <c r="S3">
        <f t="shared" si="7"/>
        <v>0.46833333333333255</v>
      </c>
      <c r="U3">
        <f t="shared" si="8"/>
        <v>56.162246489859655</v>
      </c>
      <c r="V3">
        <v>47</v>
      </c>
      <c r="W3">
        <v>60</v>
      </c>
      <c r="AB3">
        <f t="shared" ref="AB3:AB15" si="9">((B3-E3)/(D3-E3))*100</f>
        <v>38.461538461538467</v>
      </c>
      <c r="AC3">
        <f t="shared" ref="AC3:AC15" si="10">AVERAGE(AB3:AB17)</f>
        <v>63.697785118212543</v>
      </c>
      <c r="AH3">
        <f t="shared" ref="AH3:AH66" si="11">_xlfn.STDEV.S(I3:I533)</f>
        <v>6.3782298407313514</v>
      </c>
      <c r="AI3">
        <f t="shared" ref="AI3:AI66" si="12">I3-$AH$2</f>
        <v>50.678999016977073</v>
      </c>
      <c r="AJ3">
        <f t="shared" ref="AJ3:AJ66" si="13">I3+$AH$2</f>
        <v>63.442000983022936</v>
      </c>
      <c r="AL3">
        <f t="shared" ref="AL3:AL66" si="14">I3+(AH3*2)</f>
        <v>69.816959681462706</v>
      </c>
      <c r="AM3">
        <f t="shared" ref="AM3:AM66" si="15">I3-(AH3*2)</f>
        <v>44.304040318537304</v>
      </c>
    </row>
    <row r="4" spans="1:39" ht="16.5" x14ac:dyDescent="0.25">
      <c r="A4" s="1">
        <v>45698</v>
      </c>
      <c r="B4" s="5">
        <v>57.55</v>
      </c>
      <c r="C4" s="4">
        <v>56.82</v>
      </c>
      <c r="D4" s="4">
        <v>57.82</v>
      </c>
      <c r="E4" s="4">
        <v>56.81</v>
      </c>
      <c r="F4" s="4" t="s">
        <v>343</v>
      </c>
      <c r="G4" s="2" t="s">
        <v>130</v>
      </c>
      <c r="I4">
        <f t="shared" si="0"/>
        <v>56.978999999999999</v>
      </c>
      <c r="J4">
        <f t="shared" si="1"/>
        <v>55.60775000000001</v>
      </c>
      <c r="L4">
        <f t="shared" si="2"/>
        <v>1</v>
      </c>
      <c r="M4">
        <f t="shared" si="3"/>
        <v>0</v>
      </c>
      <c r="O4">
        <f t="shared" si="4"/>
        <v>0.72999999999999687</v>
      </c>
      <c r="P4">
        <f t="shared" si="5"/>
        <v>0</v>
      </c>
      <c r="R4">
        <f t="shared" si="6"/>
        <v>0.59444444444444455</v>
      </c>
      <c r="S4">
        <f t="shared" si="7"/>
        <v>0.50199999999999956</v>
      </c>
      <c r="U4">
        <f t="shared" si="8"/>
        <v>54.215646534252159</v>
      </c>
      <c r="V4">
        <v>47</v>
      </c>
      <c r="W4">
        <v>60</v>
      </c>
      <c r="AB4">
        <f t="shared" si="9"/>
        <v>73.267326732672913</v>
      </c>
      <c r="AC4">
        <f t="shared" si="10"/>
        <v>65.800805672935368</v>
      </c>
      <c r="AH4">
        <f t="shared" si="11"/>
        <v>6.3747268353698461</v>
      </c>
      <c r="AI4">
        <f t="shared" si="12"/>
        <v>50.597499016977068</v>
      </c>
      <c r="AJ4">
        <f t="shared" si="13"/>
        <v>63.360500983022931</v>
      </c>
      <c r="AL4">
        <f t="shared" si="14"/>
        <v>69.728453670739697</v>
      </c>
      <c r="AM4">
        <f t="shared" si="15"/>
        <v>44.229546329260309</v>
      </c>
    </row>
    <row r="5" spans="1:39" ht="16.5" x14ac:dyDescent="0.25">
      <c r="A5" s="1">
        <v>45695</v>
      </c>
      <c r="B5" s="5">
        <v>56.88</v>
      </c>
      <c r="C5" s="4">
        <v>57.7</v>
      </c>
      <c r="D5" s="4">
        <v>58.15</v>
      </c>
      <c r="E5" s="4">
        <v>56.54</v>
      </c>
      <c r="F5" s="4" t="s">
        <v>89</v>
      </c>
      <c r="G5" s="2" t="s">
        <v>82</v>
      </c>
      <c r="I5">
        <f t="shared" si="0"/>
        <v>56.874000000000002</v>
      </c>
      <c r="J5">
        <f t="shared" si="1"/>
        <v>55.557000000000002</v>
      </c>
      <c r="L5">
        <f t="shared" si="2"/>
        <v>0</v>
      </c>
      <c r="M5">
        <f t="shared" si="3"/>
        <v>1</v>
      </c>
      <c r="O5">
        <f t="shared" si="4"/>
        <v>0</v>
      </c>
      <c r="P5">
        <f t="shared" si="5"/>
        <v>0.82000000000000028</v>
      </c>
      <c r="R5">
        <f t="shared" si="6"/>
        <v>0.53555555555555556</v>
      </c>
      <c r="S5">
        <f t="shared" si="7"/>
        <v>0.50199999999999956</v>
      </c>
      <c r="U5">
        <f t="shared" si="8"/>
        <v>51.617048618547898</v>
      </c>
      <c r="V5">
        <v>47</v>
      </c>
      <c r="W5">
        <v>60</v>
      </c>
      <c r="AB5">
        <f t="shared" si="9"/>
        <v>21.118012422360469</v>
      </c>
      <c r="AC5">
        <f t="shared" si="10"/>
        <v>65.122031031141077</v>
      </c>
      <c r="AH5">
        <f t="shared" si="11"/>
        <v>6.3709757612985731</v>
      </c>
      <c r="AI5">
        <f t="shared" si="12"/>
        <v>50.492499016977071</v>
      </c>
      <c r="AJ5">
        <f t="shared" si="13"/>
        <v>63.255500983022934</v>
      </c>
      <c r="AL5">
        <f t="shared" si="14"/>
        <v>69.615951522597143</v>
      </c>
      <c r="AM5">
        <f t="shared" si="15"/>
        <v>44.132048477402854</v>
      </c>
    </row>
    <row r="6" spans="1:39" ht="16.5" x14ac:dyDescent="0.25">
      <c r="A6" s="1">
        <v>45694</v>
      </c>
      <c r="B6" s="5">
        <v>57.52</v>
      </c>
      <c r="C6" s="4">
        <v>56.42</v>
      </c>
      <c r="D6" s="4">
        <v>57.77</v>
      </c>
      <c r="E6" s="4">
        <v>56.08</v>
      </c>
      <c r="F6" s="4" t="s">
        <v>1378</v>
      </c>
      <c r="G6" s="2" t="s">
        <v>946</v>
      </c>
      <c r="I6">
        <f t="shared" si="0"/>
        <v>56.781999999999996</v>
      </c>
      <c r="J6">
        <f t="shared" si="1"/>
        <v>55.479499999999994</v>
      </c>
      <c r="L6">
        <f t="shared" si="2"/>
        <v>1</v>
      </c>
      <c r="M6">
        <f t="shared" si="3"/>
        <v>0</v>
      </c>
      <c r="O6">
        <f t="shared" si="4"/>
        <v>1.1000000000000014</v>
      </c>
      <c r="P6">
        <f t="shared" si="5"/>
        <v>0</v>
      </c>
      <c r="R6">
        <f t="shared" si="6"/>
        <v>0.59699999999999986</v>
      </c>
      <c r="S6">
        <f t="shared" si="7"/>
        <v>0.42249999999999943</v>
      </c>
      <c r="U6">
        <f t="shared" si="8"/>
        <v>58.558116723884275</v>
      </c>
      <c r="V6">
        <v>47</v>
      </c>
      <c r="W6">
        <v>60</v>
      </c>
      <c r="AB6">
        <f t="shared" si="9"/>
        <v>85.207100591716028</v>
      </c>
      <c r="AC6">
        <f t="shared" si="10"/>
        <v>69.52243289201914</v>
      </c>
      <c r="AH6">
        <f t="shared" si="11"/>
        <v>6.3669136072979207</v>
      </c>
      <c r="AI6">
        <f t="shared" si="12"/>
        <v>50.400499016977065</v>
      </c>
      <c r="AJ6">
        <f t="shared" si="13"/>
        <v>63.163500983022928</v>
      </c>
      <c r="AL6">
        <f t="shared" si="14"/>
        <v>69.515827214595845</v>
      </c>
      <c r="AM6">
        <f t="shared" si="15"/>
        <v>44.048172785404155</v>
      </c>
    </row>
    <row r="7" spans="1:39" ht="16.5" x14ac:dyDescent="0.25">
      <c r="A7" s="1">
        <v>45693</v>
      </c>
      <c r="B7" s="5">
        <v>56.65</v>
      </c>
      <c r="C7" s="4">
        <v>57.03</v>
      </c>
      <c r="D7" s="4">
        <v>57.27</v>
      </c>
      <c r="E7" s="4">
        <v>56.06</v>
      </c>
      <c r="F7" s="4" t="s">
        <v>1379</v>
      </c>
      <c r="G7" s="2" t="s">
        <v>1380</v>
      </c>
      <c r="I7">
        <f t="shared" si="0"/>
        <v>56.55899999999999</v>
      </c>
      <c r="J7">
        <f t="shared" si="1"/>
        <v>55.375999999999998</v>
      </c>
      <c r="L7">
        <f t="shared" si="2"/>
        <v>0</v>
      </c>
      <c r="M7">
        <f t="shared" si="3"/>
        <v>1</v>
      </c>
      <c r="O7">
        <f t="shared" si="4"/>
        <v>0</v>
      </c>
      <c r="P7">
        <f t="shared" si="5"/>
        <v>0.38000000000000256</v>
      </c>
      <c r="R7">
        <f t="shared" si="6"/>
        <v>0.54111111111111088</v>
      </c>
      <c r="S7">
        <f t="shared" si="7"/>
        <v>0.36399999999999866</v>
      </c>
      <c r="U7">
        <f t="shared" si="8"/>
        <v>59.78394303952868</v>
      </c>
      <c r="V7">
        <v>47</v>
      </c>
      <c r="W7">
        <v>60</v>
      </c>
      <c r="AB7">
        <f t="shared" si="9"/>
        <v>48.760330578512054</v>
      </c>
      <c r="AC7">
        <f t="shared" si="10"/>
        <v>67.779692036497238</v>
      </c>
      <c r="AH7">
        <f t="shared" si="11"/>
        <v>6.362565576408115</v>
      </c>
      <c r="AI7">
        <f t="shared" si="12"/>
        <v>50.177499016977059</v>
      </c>
      <c r="AJ7">
        <f t="shared" si="13"/>
        <v>62.940500983022922</v>
      </c>
      <c r="AL7">
        <f t="shared" si="14"/>
        <v>69.284131152816215</v>
      </c>
      <c r="AM7">
        <f t="shared" si="15"/>
        <v>43.833868847183759</v>
      </c>
    </row>
    <row r="8" spans="1:39" ht="16.5" x14ac:dyDescent="0.25">
      <c r="A8" s="1">
        <v>45692</v>
      </c>
      <c r="B8" s="5">
        <v>57.34</v>
      </c>
      <c r="C8" s="4">
        <v>56.75</v>
      </c>
      <c r="D8" s="4">
        <v>57.34</v>
      </c>
      <c r="E8" s="4">
        <v>56.06</v>
      </c>
      <c r="F8" s="4" t="s">
        <v>1381</v>
      </c>
      <c r="G8" s="2" t="s">
        <v>98</v>
      </c>
      <c r="I8">
        <f t="shared" si="0"/>
        <v>56.391999999999996</v>
      </c>
      <c r="J8">
        <f t="shared" si="1"/>
        <v>55.285750000000007</v>
      </c>
      <c r="L8">
        <f t="shared" si="2"/>
        <v>1</v>
      </c>
      <c r="M8">
        <f t="shared" si="3"/>
        <v>0</v>
      </c>
      <c r="O8">
        <f t="shared" si="4"/>
        <v>0.59000000000000341</v>
      </c>
      <c r="P8">
        <f t="shared" si="5"/>
        <v>0</v>
      </c>
      <c r="R8">
        <f t="shared" si="6"/>
        <v>0.54111111111111088</v>
      </c>
      <c r="S8">
        <f t="shared" si="7"/>
        <v>0.59599999999999942</v>
      </c>
      <c r="U8">
        <f t="shared" si="8"/>
        <v>47.586476451045549</v>
      </c>
      <c r="V8">
        <v>47</v>
      </c>
      <c r="W8">
        <v>60</v>
      </c>
      <c r="AB8">
        <f t="shared" si="9"/>
        <v>100</v>
      </c>
      <c r="AC8">
        <f t="shared" si="10"/>
        <v>70.157112218745397</v>
      </c>
      <c r="AH8">
        <f t="shared" si="11"/>
        <v>6.3575896728474453</v>
      </c>
      <c r="AI8">
        <f t="shared" si="12"/>
        <v>50.010499016977064</v>
      </c>
      <c r="AJ8">
        <f t="shared" si="13"/>
        <v>62.773500983022927</v>
      </c>
      <c r="AL8">
        <f t="shared" si="14"/>
        <v>69.107179345694888</v>
      </c>
      <c r="AM8">
        <f t="shared" si="15"/>
        <v>43.676820654305104</v>
      </c>
    </row>
    <row r="9" spans="1:39" ht="16.5" x14ac:dyDescent="0.25">
      <c r="A9" s="1">
        <v>45691</v>
      </c>
      <c r="B9" s="5">
        <v>57.21</v>
      </c>
      <c r="C9" s="4">
        <v>56.56</v>
      </c>
      <c r="D9" s="4">
        <v>57.33</v>
      </c>
      <c r="E9" s="4">
        <v>55.79</v>
      </c>
      <c r="F9" s="4" t="s">
        <v>1382</v>
      </c>
      <c r="G9" s="2" t="s">
        <v>871</v>
      </c>
      <c r="I9">
        <f t="shared" si="0"/>
        <v>56.240999999999985</v>
      </c>
      <c r="J9">
        <f t="shared" si="1"/>
        <v>55.152249999999995</v>
      </c>
      <c r="L9">
        <f t="shared" si="2"/>
        <v>1</v>
      </c>
      <c r="M9">
        <f t="shared" si="3"/>
        <v>0</v>
      </c>
      <c r="O9">
        <f t="shared" si="4"/>
        <v>0.64999999999999858</v>
      </c>
      <c r="P9">
        <f t="shared" si="5"/>
        <v>0</v>
      </c>
      <c r="R9">
        <f t="shared" si="6"/>
        <v>0.53777777777777658</v>
      </c>
      <c r="S9">
        <f t="shared" si="7"/>
        <v>0.59599999999999942</v>
      </c>
      <c r="U9">
        <f t="shared" si="8"/>
        <v>47.432379459035637</v>
      </c>
      <c r="V9">
        <v>47</v>
      </c>
      <c r="W9">
        <v>60</v>
      </c>
      <c r="AB9">
        <f t="shared" si="9"/>
        <v>92.207792207792366</v>
      </c>
      <c r="AC9">
        <f t="shared" si="10"/>
        <v>65.893842535709013</v>
      </c>
      <c r="AH9">
        <f t="shared" si="11"/>
        <v>6.3521108785984666</v>
      </c>
      <c r="AI9">
        <f t="shared" si="12"/>
        <v>49.859499016977054</v>
      </c>
      <c r="AJ9">
        <f t="shared" si="13"/>
        <v>62.622500983022917</v>
      </c>
      <c r="AL9">
        <f t="shared" si="14"/>
        <v>68.945221757196919</v>
      </c>
      <c r="AM9">
        <f t="shared" si="15"/>
        <v>43.536778242803052</v>
      </c>
    </row>
    <row r="10" spans="1:39" ht="16.5" x14ac:dyDescent="0.25">
      <c r="A10" s="1">
        <v>45688</v>
      </c>
      <c r="B10" s="5">
        <v>58.92</v>
      </c>
      <c r="C10" s="4">
        <v>59.33</v>
      </c>
      <c r="D10" s="4">
        <v>59.41</v>
      </c>
      <c r="E10" s="4">
        <v>58.62</v>
      </c>
      <c r="F10" s="4" t="s">
        <v>197</v>
      </c>
      <c r="G10" s="2" t="s">
        <v>410</v>
      </c>
      <c r="I10">
        <f t="shared" si="0"/>
        <v>56.097499999999989</v>
      </c>
      <c r="J10">
        <f t="shared" si="1"/>
        <v>55.055750000000003</v>
      </c>
      <c r="L10">
        <f t="shared" si="2"/>
        <v>0</v>
      </c>
      <c r="M10">
        <f t="shared" si="3"/>
        <v>1</v>
      </c>
      <c r="O10">
        <f t="shared" si="4"/>
        <v>0</v>
      </c>
      <c r="P10">
        <f t="shared" si="5"/>
        <v>0.40999999999999659</v>
      </c>
      <c r="R10">
        <f t="shared" si="6"/>
        <v>0.52374999999999883</v>
      </c>
      <c r="S10">
        <f t="shared" si="7"/>
        <v>0.5183333333333332</v>
      </c>
      <c r="U10">
        <f t="shared" si="8"/>
        <v>50.259896041583318</v>
      </c>
      <c r="V10">
        <v>47</v>
      </c>
      <c r="W10">
        <v>60</v>
      </c>
      <c r="AB10">
        <f t="shared" si="9"/>
        <v>37.974683544304376</v>
      </c>
      <c r="AC10">
        <f t="shared" si="10"/>
        <v>61.508184257028461</v>
      </c>
      <c r="AH10">
        <f t="shared" si="11"/>
        <v>6.3461570821112119</v>
      </c>
      <c r="AI10">
        <f t="shared" si="12"/>
        <v>49.715999016977058</v>
      </c>
      <c r="AJ10">
        <f t="shared" si="13"/>
        <v>62.479000983022921</v>
      </c>
      <c r="AL10">
        <f t="shared" si="14"/>
        <v>68.789814164222406</v>
      </c>
      <c r="AM10">
        <f t="shared" si="15"/>
        <v>43.405185835777566</v>
      </c>
    </row>
    <row r="11" spans="1:39" ht="16.5" x14ac:dyDescent="0.25">
      <c r="A11" s="1">
        <v>45687</v>
      </c>
      <c r="B11" s="5">
        <v>59.33</v>
      </c>
      <c r="C11" s="4">
        <v>58.87</v>
      </c>
      <c r="D11" s="4">
        <v>59.46</v>
      </c>
      <c r="E11" s="4">
        <v>58.51</v>
      </c>
      <c r="F11" s="4" t="s">
        <v>1383</v>
      </c>
      <c r="G11" s="2" t="s">
        <v>554</v>
      </c>
      <c r="I11">
        <f t="shared" si="0"/>
        <v>55.774000000000001</v>
      </c>
      <c r="J11">
        <f t="shared" si="1"/>
        <v>54.906750000000002</v>
      </c>
      <c r="L11">
        <f t="shared" si="2"/>
        <v>1</v>
      </c>
      <c r="M11">
        <f t="shared" si="3"/>
        <v>0</v>
      </c>
      <c r="O11">
        <f t="shared" si="4"/>
        <v>0.46000000000000085</v>
      </c>
      <c r="P11">
        <f t="shared" si="5"/>
        <v>0</v>
      </c>
      <c r="R11">
        <f t="shared" si="6"/>
        <v>0.48888888888888793</v>
      </c>
      <c r="S11">
        <f t="shared" si="7"/>
        <v>0.54000000000000059</v>
      </c>
      <c r="U11">
        <f t="shared" si="8"/>
        <v>47.516198704103594</v>
      </c>
      <c r="V11">
        <v>47</v>
      </c>
      <c r="W11">
        <v>60</v>
      </c>
      <c r="AB11">
        <f t="shared" si="9"/>
        <v>86.315789473683978</v>
      </c>
      <c r="AC11">
        <f t="shared" si="10"/>
        <v>66.214884399573279</v>
      </c>
      <c r="AH11">
        <f t="shared" si="11"/>
        <v>6.3397354078345138</v>
      </c>
      <c r="AI11">
        <f t="shared" si="12"/>
        <v>49.392499016977069</v>
      </c>
      <c r="AJ11">
        <f t="shared" si="13"/>
        <v>62.155500983022932</v>
      </c>
      <c r="AL11">
        <f t="shared" si="14"/>
        <v>68.453470815669021</v>
      </c>
      <c r="AM11">
        <f t="shared" si="15"/>
        <v>43.094529184330973</v>
      </c>
    </row>
    <row r="12" spans="1:39" ht="16.5" x14ac:dyDescent="0.25">
      <c r="A12" s="1">
        <v>45686</v>
      </c>
      <c r="B12" s="5">
        <v>58.74</v>
      </c>
      <c r="C12" s="4">
        <v>58.51</v>
      </c>
      <c r="D12" s="4">
        <v>58.83</v>
      </c>
      <c r="E12" s="4">
        <v>57.86</v>
      </c>
      <c r="F12" s="4" t="s">
        <v>1384</v>
      </c>
      <c r="G12" s="2" t="s">
        <v>491</v>
      </c>
      <c r="I12">
        <f t="shared" si="0"/>
        <v>55.45150000000001</v>
      </c>
      <c r="J12">
        <f t="shared" si="1"/>
        <v>54.739999999999995</v>
      </c>
      <c r="L12">
        <f t="shared" si="2"/>
        <v>1</v>
      </c>
      <c r="M12">
        <f t="shared" si="3"/>
        <v>0</v>
      </c>
      <c r="O12">
        <f t="shared" si="4"/>
        <v>0.23000000000000398</v>
      </c>
      <c r="P12">
        <f t="shared" si="5"/>
        <v>0</v>
      </c>
      <c r="R12">
        <f t="shared" si="6"/>
        <v>0.67666666666666542</v>
      </c>
      <c r="S12">
        <f t="shared" si="7"/>
        <v>0.54000000000000059</v>
      </c>
      <c r="U12">
        <f t="shared" si="8"/>
        <v>55.616438356164309</v>
      </c>
      <c r="V12">
        <v>47</v>
      </c>
      <c r="W12">
        <v>60</v>
      </c>
      <c r="AB12">
        <f t="shared" si="9"/>
        <v>90.721649484536442</v>
      </c>
      <c r="AC12">
        <f t="shared" si="10"/>
        <v>61.189658131045604</v>
      </c>
      <c r="AH12">
        <f t="shared" si="11"/>
        <v>6.3323208223056158</v>
      </c>
      <c r="AI12">
        <f t="shared" si="12"/>
        <v>49.069999016977079</v>
      </c>
      <c r="AJ12">
        <f t="shared" si="13"/>
        <v>61.833000983022941</v>
      </c>
      <c r="AL12">
        <f t="shared" si="14"/>
        <v>68.116141644611247</v>
      </c>
      <c r="AM12">
        <f t="shared" si="15"/>
        <v>42.78685835538878</v>
      </c>
    </row>
    <row r="13" spans="1:39" ht="16.5" x14ac:dyDescent="0.25">
      <c r="A13" s="1">
        <v>45685</v>
      </c>
      <c r="B13" s="5">
        <v>58.44</v>
      </c>
      <c r="C13" s="4">
        <v>58.5</v>
      </c>
      <c r="D13" s="4">
        <v>59.27</v>
      </c>
      <c r="E13" s="4">
        <v>58.21</v>
      </c>
      <c r="F13" s="4" t="s">
        <v>942</v>
      </c>
      <c r="G13" s="2" t="s">
        <v>800</v>
      </c>
      <c r="I13">
        <f t="shared" si="0"/>
        <v>55.204499999999996</v>
      </c>
      <c r="J13">
        <f t="shared" si="1"/>
        <v>54.57974999999999</v>
      </c>
      <c r="L13">
        <f t="shared" si="2"/>
        <v>0</v>
      </c>
      <c r="M13">
        <f t="shared" si="3"/>
        <v>1</v>
      </c>
      <c r="O13">
        <f t="shared" si="4"/>
        <v>0</v>
      </c>
      <c r="P13">
        <f t="shared" si="5"/>
        <v>6.0000000000002274E-2</v>
      </c>
      <c r="R13">
        <f t="shared" si="6"/>
        <v>0.66222222222222071</v>
      </c>
      <c r="S13">
        <f t="shared" si="7"/>
        <v>0.54000000000000059</v>
      </c>
      <c r="U13">
        <f t="shared" si="8"/>
        <v>55.083179297596963</v>
      </c>
      <c r="V13">
        <v>47</v>
      </c>
      <c r="W13">
        <v>60</v>
      </c>
      <c r="AB13">
        <f t="shared" si="9"/>
        <v>21.698113207546829</v>
      </c>
      <c r="AC13">
        <f t="shared" si="10"/>
        <v>51.345661013215327</v>
      </c>
      <c r="AH13">
        <f t="shared" si="11"/>
        <v>6.3238694818696013</v>
      </c>
      <c r="AI13">
        <f t="shared" si="12"/>
        <v>48.822999016977064</v>
      </c>
      <c r="AJ13">
        <f t="shared" si="13"/>
        <v>61.586000983022927</v>
      </c>
      <c r="AL13">
        <f t="shared" si="14"/>
        <v>67.852238963739197</v>
      </c>
      <c r="AM13">
        <f t="shared" si="15"/>
        <v>42.556761036260795</v>
      </c>
    </row>
    <row r="14" spans="1:39" ht="16.5" x14ac:dyDescent="0.25">
      <c r="A14" s="1">
        <v>45684</v>
      </c>
      <c r="B14" s="5">
        <v>57.62</v>
      </c>
      <c r="C14" s="4">
        <v>57.05</v>
      </c>
      <c r="D14" s="4">
        <v>57.67</v>
      </c>
      <c r="E14" s="4">
        <v>56.51</v>
      </c>
      <c r="F14" s="4" t="s">
        <v>1385</v>
      </c>
      <c r="G14" s="2" t="s">
        <v>1386</v>
      </c>
      <c r="I14">
        <f t="shared" si="0"/>
        <v>54.96</v>
      </c>
      <c r="J14">
        <f t="shared" si="1"/>
        <v>54.425750000000008</v>
      </c>
      <c r="L14">
        <f t="shared" si="2"/>
        <v>1</v>
      </c>
      <c r="M14">
        <f t="shared" si="3"/>
        <v>0</v>
      </c>
      <c r="O14">
        <f t="shared" si="4"/>
        <v>0.57000000000000028</v>
      </c>
      <c r="P14">
        <f t="shared" si="5"/>
        <v>0</v>
      </c>
      <c r="R14">
        <f t="shared" si="6"/>
        <v>0.66222222222222071</v>
      </c>
      <c r="S14">
        <f t="shared" si="7"/>
        <v>0.66799999999999926</v>
      </c>
      <c r="U14">
        <f t="shared" si="8"/>
        <v>49.78282659538921</v>
      </c>
      <c r="V14">
        <v>47</v>
      </c>
      <c r="W14">
        <v>60</v>
      </c>
      <c r="AB14">
        <f t="shared" si="9"/>
        <v>95.689655172413438</v>
      </c>
      <c r="AC14">
        <f t="shared" si="10"/>
        <v>66.169434916049568</v>
      </c>
      <c r="AH14">
        <f t="shared" si="11"/>
        <v>6.3145667536561154</v>
      </c>
      <c r="AI14">
        <f t="shared" si="12"/>
        <v>48.578499016977069</v>
      </c>
      <c r="AJ14">
        <f t="shared" si="13"/>
        <v>61.341500983022932</v>
      </c>
      <c r="AL14">
        <f t="shared" si="14"/>
        <v>67.589133507312226</v>
      </c>
      <c r="AM14">
        <f t="shared" si="15"/>
        <v>42.330866492687768</v>
      </c>
    </row>
    <row r="15" spans="1:39" ht="16.5" x14ac:dyDescent="0.25">
      <c r="A15" s="1">
        <v>45681</v>
      </c>
      <c r="B15" s="5">
        <v>56.79</v>
      </c>
      <c r="C15" s="4">
        <v>56.32</v>
      </c>
      <c r="D15" s="4">
        <v>58</v>
      </c>
      <c r="E15" s="4">
        <v>56.09</v>
      </c>
      <c r="F15" s="4" t="s">
        <v>1387</v>
      </c>
      <c r="G15" s="2" t="s">
        <v>657</v>
      </c>
      <c r="I15">
        <f t="shared" si="0"/>
        <v>54.715000000000011</v>
      </c>
      <c r="J15">
        <f t="shared" si="1"/>
        <v>54.306000000000004</v>
      </c>
      <c r="L15">
        <f t="shared" si="2"/>
        <v>1</v>
      </c>
      <c r="M15">
        <f t="shared" si="3"/>
        <v>0</v>
      </c>
      <c r="O15">
        <f t="shared" si="4"/>
        <v>0.46999999999999886</v>
      </c>
      <c r="P15">
        <f t="shared" si="5"/>
        <v>0</v>
      </c>
      <c r="R15">
        <f t="shared" si="6"/>
        <v>0.63444444444444292</v>
      </c>
      <c r="S15">
        <f t="shared" si="7"/>
        <v>0.66799999999999926</v>
      </c>
      <c r="U15">
        <f t="shared" si="8"/>
        <v>48.711823920832593</v>
      </c>
      <c r="V15">
        <v>47</v>
      </c>
      <c r="W15">
        <v>60</v>
      </c>
      <c r="AB15">
        <f t="shared" si="9"/>
        <v>36.649214659685711</v>
      </c>
      <c r="AC15">
        <f t="shared" si="10"/>
        <v>36.649214659685711</v>
      </c>
      <c r="AH15">
        <f t="shared" si="11"/>
        <v>6.3043883925208348</v>
      </c>
      <c r="AI15">
        <f t="shared" si="12"/>
        <v>48.333499016977079</v>
      </c>
      <c r="AJ15">
        <f t="shared" si="13"/>
        <v>61.096500983022942</v>
      </c>
      <c r="AL15">
        <f t="shared" si="14"/>
        <v>67.323776785041673</v>
      </c>
      <c r="AM15">
        <f t="shared" si="15"/>
        <v>42.106223214958341</v>
      </c>
    </row>
    <row r="16" spans="1:39" ht="16.5" x14ac:dyDescent="0.25">
      <c r="A16" s="1">
        <v>45680</v>
      </c>
      <c r="B16" s="5">
        <v>55.82</v>
      </c>
      <c r="C16" s="4">
        <v>56.66</v>
      </c>
      <c r="D16" s="4">
        <v>56.72</v>
      </c>
      <c r="E16" s="4">
        <v>55.54</v>
      </c>
      <c r="F16" s="4" t="s">
        <v>97</v>
      </c>
      <c r="G16" s="2" t="s">
        <v>1388</v>
      </c>
      <c r="I16">
        <f t="shared" si="0"/>
        <v>54.548000000000002</v>
      </c>
      <c r="J16">
        <f t="shared" si="1"/>
        <v>54.192999999999998</v>
      </c>
      <c r="L16">
        <f t="shared" si="2"/>
        <v>0</v>
      </c>
      <c r="M16">
        <f t="shared" si="3"/>
        <v>1</v>
      </c>
      <c r="O16">
        <f t="shared" si="4"/>
        <v>0</v>
      </c>
      <c r="P16">
        <f t="shared" si="5"/>
        <v>0.83999999999999631</v>
      </c>
      <c r="R16">
        <f t="shared" si="6"/>
        <v>0.732222222222221</v>
      </c>
      <c r="S16">
        <f t="shared" si="7"/>
        <v>0.66799999999999926</v>
      </c>
      <c r="U16">
        <f t="shared" si="8"/>
        <v>52.293286779876198</v>
      </c>
      <c r="V16">
        <v>86</v>
      </c>
      <c r="W16">
        <v>5</v>
      </c>
      <c r="AH16">
        <f t="shared" si="11"/>
        <v>6.2933001706485348</v>
      </c>
      <c r="AI16">
        <f t="shared" si="12"/>
        <v>48.16649901697707</v>
      </c>
      <c r="AJ16">
        <f t="shared" si="13"/>
        <v>60.929500983022933</v>
      </c>
      <c r="AL16">
        <f t="shared" si="14"/>
        <v>67.134600341297073</v>
      </c>
      <c r="AM16">
        <f t="shared" si="15"/>
        <v>41.961399658702931</v>
      </c>
    </row>
    <row r="17" spans="1:39" ht="16.5" x14ac:dyDescent="0.25">
      <c r="A17" s="1">
        <v>45679</v>
      </c>
      <c r="B17" s="5">
        <v>56.25</v>
      </c>
      <c r="C17" s="4">
        <v>55.7</v>
      </c>
      <c r="D17" s="4">
        <v>56.39</v>
      </c>
      <c r="E17" s="4">
        <v>55.24</v>
      </c>
      <c r="F17" s="4" t="s">
        <v>107</v>
      </c>
      <c r="G17" s="2" t="s">
        <v>375</v>
      </c>
      <c r="I17">
        <f t="shared" si="0"/>
        <v>54.430499999999995</v>
      </c>
      <c r="J17">
        <f t="shared" si="1"/>
        <v>54.093749999999986</v>
      </c>
      <c r="L17">
        <f t="shared" si="2"/>
        <v>1</v>
      </c>
      <c r="M17">
        <f t="shared" si="3"/>
        <v>0</v>
      </c>
      <c r="O17">
        <f t="shared" si="4"/>
        <v>0.54999999999999716</v>
      </c>
      <c r="P17">
        <f t="shared" si="5"/>
        <v>0</v>
      </c>
      <c r="R17">
        <f t="shared" si="6"/>
        <v>0.732222222222221</v>
      </c>
      <c r="S17">
        <f t="shared" si="7"/>
        <v>0.55399999999999916</v>
      </c>
      <c r="U17">
        <f t="shared" si="8"/>
        <v>56.928127159640631</v>
      </c>
      <c r="V17">
        <v>86</v>
      </c>
      <c r="W17">
        <v>5</v>
      </c>
      <c r="AH17">
        <f t="shared" si="11"/>
        <v>6.2815294469232077</v>
      </c>
      <c r="AI17">
        <f t="shared" si="12"/>
        <v>48.048999016977064</v>
      </c>
      <c r="AJ17">
        <f t="shared" si="13"/>
        <v>60.812000983022926</v>
      </c>
      <c r="AL17">
        <f t="shared" si="14"/>
        <v>66.993558893846412</v>
      </c>
      <c r="AM17">
        <f t="shared" si="15"/>
        <v>41.867441106153578</v>
      </c>
    </row>
    <row r="18" spans="1:39" ht="16.5" x14ac:dyDescent="0.25">
      <c r="A18" s="1">
        <v>45678</v>
      </c>
      <c r="B18" s="5">
        <v>56.05</v>
      </c>
      <c r="C18" s="4">
        <v>55.85</v>
      </c>
      <c r="D18" s="4">
        <v>56.05</v>
      </c>
      <c r="E18" s="4">
        <v>55.47</v>
      </c>
      <c r="F18" s="4" t="s">
        <v>89</v>
      </c>
      <c r="G18" s="2" t="s">
        <v>313</v>
      </c>
      <c r="I18">
        <f t="shared" si="0"/>
        <v>54.315000000000012</v>
      </c>
      <c r="J18">
        <f t="shared" si="1"/>
        <v>53.984749999999998</v>
      </c>
      <c r="L18">
        <f t="shared" si="2"/>
        <v>1</v>
      </c>
      <c r="M18">
        <f t="shared" si="3"/>
        <v>0</v>
      </c>
      <c r="O18">
        <f t="shared" si="4"/>
        <v>0.19999999999999574</v>
      </c>
      <c r="P18">
        <f t="shared" si="5"/>
        <v>0</v>
      </c>
      <c r="R18">
        <f t="shared" si="6"/>
        <v>0.75499999999999901</v>
      </c>
      <c r="S18">
        <f t="shared" si="7"/>
        <v>0.58166666666666578</v>
      </c>
      <c r="U18">
        <f t="shared" si="8"/>
        <v>56.483790523690779</v>
      </c>
      <c r="V18">
        <v>86</v>
      </c>
      <c r="W18">
        <v>5</v>
      </c>
      <c r="AH18">
        <f t="shared" si="11"/>
        <v>6.2692243866919908</v>
      </c>
      <c r="AI18">
        <f t="shared" si="12"/>
        <v>47.93349901697708</v>
      </c>
      <c r="AJ18">
        <f t="shared" si="13"/>
        <v>60.696500983022943</v>
      </c>
      <c r="AL18">
        <f t="shared" si="14"/>
        <v>66.853448773383988</v>
      </c>
      <c r="AM18">
        <f t="shared" si="15"/>
        <v>41.776551226616029</v>
      </c>
    </row>
    <row r="19" spans="1:39" ht="16.5" x14ac:dyDescent="0.25">
      <c r="A19" s="1">
        <v>45677</v>
      </c>
      <c r="B19" s="5">
        <v>56.37</v>
      </c>
      <c r="C19" s="4">
        <v>55.22</v>
      </c>
      <c r="D19" s="4">
        <v>56.9</v>
      </c>
      <c r="E19" s="4">
        <v>54.6</v>
      </c>
      <c r="F19" s="4" t="s">
        <v>1389</v>
      </c>
      <c r="G19" s="2" t="s">
        <v>1390</v>
      </c>
      <c r="I19">
        <f t="shared" si="0"/>
        <v>54.215000000000011</v>
      </c>
      <c r="J19">
        <f t="shared" si="1"/>
        <v>53.905249999999988</v>
      </c>
      <c r="L19">
        <f t="shared" si="2"/>
        <v>1</v>
      </c>
      <c r="M19">
        <f t="shared" si="3"/>
        <v>0</v>
      </c>
      <c r="O19">
        <f t="shared" si="4"/>
        <v>1.1499999999999986</v>
      </c>
      <c r="P19">
        <f t="shared" si="5"/>
        <v>0</v>
      </c>
      <c r="R19">
        <f t="shared" si="6"/>
        <v>0.81249999999999911</v>
      </c>
      <c r="S19">
        <f t="shared" si="7"/>
        <v>0.58166666666666578</v>
      </c>
      <c r="U19">
        <f t="shared" si="8"/>
        <v>58.278541542139877</v>
      </c>
      <c r="V19">
        <v>86</v>
      </c>
      <c r="W19">
        <v>5</v>
      </c>
      <c r="AH19">
        <f t="shared" si="11"/>
        <v>6.2563786640695627</v>
      </c>
      <c r="AI19">
        <f t="shared" si="12"/>
        <v>47.833499016977079</v>
      </c>
      <c r="AJ19">
        <f t="shared" si="13"/>
        <v>60.596500983022942</v>
      </c>
      <c r="AL19">
        <f t="shared" si="14"/>
        <v>66.727757328139134</v>
      </c>
      <c r="AM19">
        <f t="shared" si="15"/>
        <v>41.702242671860887</v>
      </c>
    </row>
    <row r="20" spans="1:39" ht="16.5" x14ac:dyDescent="0.25">
      <c r="A20" s="1">
        <v>45674</v>
      </c>
      <c r="B20" s="5">
        <v>55.09</v>
      </c>
      <c r="C20" s="4">
        <v>55.22</v>
      </c>
      <c r="D20" s="4">
        <v>55.93</v>
      </c>
      <c r="E20" s="4">
        <v>54.93</v>
      </c>
      <c r="F20" s="4" t="s">
        <v>1391</v>
      </c>
      <c r="G20" s="2" t="s">
        <v>530</v>
      </c>
      <c r="I20">
        <f t="shared" si="0"/>
        <v>54.113999999999997</v>
      </c>
      <c r="J20">
        <f t="shared" si="1"/>
        <v>53.833749999999995</v>
      </c>
      <c r="L20">
        <f t="shared" si="2"/>
        <v>0</v>
      </c>
      <c r="M20">
        <f t="shared" si="3"/>
        <v>1</v>
      </c>
      <c r="O20">
        <f t="shared" si="4"/>
        <v>0</v>
      </c>
      <c r="P20">
        <f t="shared" si="5"/>
        <v>0.12999999999999545</v>
      </c>
      <c r="R20">
        <f t="shared" si="6"/>
        <v>0.77249999999999908</v>
      </c>
      <c r="S20">
        <f t="shared" si="7"/>
        <v>0.58166666666666578</v>
      </c>
      <c r="U20">
        <f t="shared" si="8"/>
        <v>57.04615384615385</v>
      </c>
      <c r="V20">
        <v>86</v>
      </c>
      <c r="W20">
        <v>5</v>
      </c>
      <c r="AH20">
        <f t="shared" si="11"/>
        <v>6.2430332316903838</v>
      </c>
      <c r="AI20">
        <f t="shared" si="12"/>
        <v>47.732499016977066</v>
      </c>
      <c r="AJ20">
        <f t="shared" si="13"/>
        <v>60.495500983022929</v>
      </c>
      <c r="AL20">
        <f t="shared" si="14"/>
        <v>66.60006646338077</v>
      </c>
      <c r="AM20">
        <f t="shared" si="15"/>
        <v>41.627933536619231</v>
      </c>
    </row>
    <row r="21" spans="1:39" ht="16.5" x14ac:dyDescent="0.25">
      <c r="A21" s="1">
        <v>45673</v>
      </c>
      <c r="B21" s="5">
        <v>55.16</v>
      </c>
      <c r="C21" s="4">
        <v>56.7</v>
      </c>
      <c r="D21" s="4">
        <v>56.7</v>
      </c>
      <c r="E21" s="4">
        <v>55.16</v>
      </c>
      <c r="F21" s="4" t="s">
        <v>1392</v>
      </c>
      <c r="G21" s="2" t="s">
        <v>1359</v>
      </c>
      <c r="I21">
        <f t="shared" si="0"/>
        <v>54.185999999999993</v>
      </c>
      <c r="J21">
        <f t="shared" si="1"/>
        <v>53.780249999999988</v>
      </c>
      <c r="L21">
        <f t="shared" si="2"/>
        <v>0</v>
      </c>
      <c r="M21">
        <f t="shared" si="3"/>
        <v>1</v>
      </c>
      <c r="O21">
        <f t="shared" si="4"/>
        <v>0</v>
      </c>
      <c r="P21">
        <f t="shared" si="5"/>
        <v>1.5400000000000063</v>
      </c>
      <c r="R21">
        <f t="shared" si="6"/>
        <v>0.77249999999999908</v>
      </c>
      <c r="S21">
        <f t="shared" si="7"/>
        <v>0.67666666666666708</v>
      </c>
      <c r="U21">
        <f t="shared" si="8"/>
        <v>53.306497987348997</v>
      </c>
      <c r="V21">
        <v>86</v>
      </c>
      <c r="W21">
        <v>5</v>
      </c>
      <c r="AH21">
        <f t="shared" si="11"/>
        <v>6.2291728850017334</v>
      </c>
      <c r="AI21">
        <f t="shared" si="12"/>
        <v>47.804499016977061</v>
      </c>
      <c r="AJ21">
        <f t="shared" si="13"/>
        <v>60.567500983022924</v>
      </c>
      <c r="AL21">
        <f t="shared" si="14"/>
        <v>66.644345770003454</v>
      </c>
      <c r="AM21">
        <f t="shared" si="15"/>
        <v>41.727654229996524</v>
      </c>
    </row>
    <row r="22" spans="1:39" ht="16.5" x14ac:dyDescent="0.25">
      <c r="A22" s="1">
        <v>45672</v>
      </c>
      <c r="B22" s="5">
        <v>56.3</v>
      </c>
      <c r="C22" s="4">
        <v>55.74</v>
      </c>
      <c r="D22" s="4">
        <v>56.53</v>
      </c>
      <c r="E22" s="4">
        <v>55.21</v>
      </c>
      <c r="F22" s="4" t="s">
        <v>1393</v>
      </c>
      <c r="G22" s="2" t="s">
        <v>1394</v>
      </c>
      <c r="I22">
        <f t="shared" si="0"/>
        <v>54.241000000000007</v>
      </c>
      <c r="J22">
        <f t="shared" si="1"/>
        <v>53.712999999999987</v>
      </c>
      <c r="L22">
        <f t="shared" si="2"/>
        <v>1</v>
      </c>
      <c r="M22">
        <f t="shared" si="3"/>
        <v>0</v>
      </c>
      <c r="O22">
        <f t="shared" si="4"/>
        <v>0.55999999999999517</v>
      </c>
      <c r="P22">
        <f t="shared" si="5"/>
        <v>0</v>
      </c>
      <c r="R22">
        <f t="shared" si="6"/>
        <v>0.72555555555555484</v>
      </c>
      <c r="S22">
        <f t="shared" si="7"/>
        <v>0.50399999999999923</v>
      </c>
      <c r="U22">
        <f t="shared" si="8"/>
        <v>59.009578890294613</v>
      </c>
      <c r="V22">
        <v>86</v>
      </c>
      <c r="W22">
        <v>5</v>
      </c>
      <c r="AH22">
        <f t="shared" si="11"/>
        <v>6.2154047390261757</v>
      </c>
      <c r="AI22">
        <f t="shared" si="12"/>
        <v>47.859499016977075</v>
      </c>
      <c r="AJ22">
        <f t="shared" si="13"/>
        <v>60.622500983022938</v>
      </c>
      <c r="AL22">
        <f t="shared" si="14"/>
        <v>66.671809478052353</v>
      </c>
      <c r="AM22">
        <f t="shared" si="15"/>
        <v>41.810190521947654</v>
      </c>
    </row>
    <row r="23" spans="1:39" ht="16.5" x14ac:dyDescent="0.25">
      <c r="A23" s="1">
        <v>45671</v>
      </c>
      <c r="B23" s="5">
        <v>55.55</v>
      </c>
      <c r="C23" s="4">
        <v>55.68</v>
      </c>
      <c r="D23" s="4">
        <v>56.6</v>
      </c>
      <c r="E23" s="4">
        <v>55.55</v>
      </c>
      <c r="F23" s="4" t="s">
        <v>139</v>
      </c>
      <c r="G23" s="2" t="s">
        <v>372</v>
      </c>
      <c r="I23">
        <f t="shared" si="0"/>
        <v>54.210500000000003</v>
      </c>
      <c r="J23">
        <f t="shared" si="1"/>
        <v>53.591499999999996</v>
      </c>
      <c r="L23">
        <f t="shared" si="2"/>
        <v>0</v>
      </c>
      <c r="M23">
        <f t="shared" si="3"/>
        <v>1</v>
      </c>
      <c r="O23">
        <f t="shared" si="4"/>
        <v>0</v>
      </c>
      <c r="P23">
        <f t="shared" si="5"/>
        <v>0.13000000000000256</v>
      </c>
      <c r="R23">
        <f t="shared" si="6"/>
        <v>0.68666666666666665</v>
      </c>
      <c r="S23">
        <f t="shared" si="7"/>
        <v>0.50399999999999923</v>
      </c>
      <c r="U23">
        <f t="shared" si="8"/>
        <v>57.670772676371818</v>
      </c>
      <c r="V23">
        <v>86</v>
      </c>
      <c r="W23">
        <v>5</v>
      </c>
      <c r="AH23">
        <f t="shared" si="11"/>
        <v>6.2016691293334283</v>
      </c>
      <c r="AI23">
        <f t="shared" si="12"/>
        <v>47.828999016977072</v>
      </c>
      <c r="AJ23">
        <f t="shared" si="13"/>
        <v>60.592000983022935</v>
      </c>
      <c r="AL23">
        <f t="shared" si="14"/>
        <v>66.61383825866686</v>
      </c>
      <c r="AM23">
        <f t="shared" si="15"/>
        <v>41.807161741333147</v>
      </c>
    </row>
    <row r="24" spans="1:39" ht="16.5" x14ac:dyDescent="0.25">
      <c r="A24" s="1">
        <v>45670</v>
      </c>
      <c r="B24" s="5">
        <v>55.45</v>
      </c>
      <c r="C24" s="4">
        <v>55.24</v>
      </c>
      <c r="D24" s="4">
        <v>56.25</v>
      </c>
      <c r="E24" s="4">
        <v>55.1</v>
      </c>
      <c r="F24" s="4" t="s">
        <v>1395</v>
      </c>
      <c r="G24" s="2" t="s">
        <v>516</v>
      </c>
      <c r="I24">
        <f t="shared" si="0"/>
        <v>54.236499999999992</v>
      </c>
      <c r="J24">
        <f t="shared" si="1"/>
        <v>53.504249999999992</v>
      </c>
      <c r="L24">
        <f t="shared" si="2"/>
        <v>1</v>
      </c>
      <c r="M24">
        <f t="shared" si="3"/>
        <v>0</v>
      </c>
      <c r="O24">
        <f t="shared" si="4"/>
        <v>0.21000000000000085</v>
      </c>
      <c r="P24">
        <f t="shared" si="5"/>
        <v>0</v>
      </c>
      <c r="R24">
        <f t="shared" si="6"/>
        <v>0.68666666666666665</v>
      </c>
      <c r="S24">
        <f t="shared" si="7"/>
        <v>0.58999999999999919</v>
      </c>
      <c r="U24">
        <f t="shared" si="8"/>
        <v>53.785900783289847</v>
      </c>
      <c r="V24">
        <v>86</v>
      </c>
      <c r="W24">
        <v>5</v>
      </c>
      <c r="AH24">
        <f t="shared" si="11"/>
        <v>6.1876607745408219</v>
      </c>
      <c r="AI24">
        <f t="shared" si="12"/>
        <v>47.854999016977061</v>
      </c>
      <c r="AJ24">
        <f t="shared" si="13"/>
        <v>60.618000983022924</v>
      </c>
      <c r="AL24">
        <f t="shared" si="14"/>
        <v>66.61182154908164</v>
      </c>
      <c r="AM24">
        <f t="shared" si="15"/>
        <v>41.861178450918345</v>
      </c>
    </row>
    <row r="25" spans="1:39" ht="16.5" x14ac:dyDescent="0.25">
      <c r="A25" s="1">
        <v>45667</v>
      </c>
      <c r="B25" s="5">
        <v>55.04</v>
      </c>
      <c r="C25" s="4">
        <v>52.89</v>
      </c>
      <c r="D25" s="4">
        <v>55.68</v>
      </c>
      <c r="E25" s="4">
        <v>52.47</v>
      </c>
      <c r="F25" s="4" t="s">
        <v>1396</v>
      </c>
      <c r="G25" s="2" t="s">
        <v>1397</v>
      </c>
      <c r="I25">
        <f t="shared" si="0"/>
        <v>54.239999999999995</v>
      </c>
      <c r="J25">
        <f t="shared" si="1"/>
        <v>53.439249999999994</v>
      </c>
      <c r="L25">
        <f t="shared" si="2"/>
        <v>1</v>
      </c>
      <c r="M25">
        <f t="shared" si="3"/>
        <v>0</v>
      </c>
      <c r="O25">
        <f t="shared" si="4"/>
        <v>2.1499999999999986</v>
      </c>
      <c r="P25">
        <f t="shared" si="5"/>
        <v>0</v>
      </c>
      <c r="R25">
        <f t="shared" si="6"/>
        <v>0.68111111111111056</v>
      </c>
      <c r="S25">
        <f t="shared" si="7"/>
        <v>0.58999999999999919</v>
      </c>
      <c r="U25">
        <f t="shared" si="8"/>
        <v>53.583916083916101</v>
      </c>
      <c r="V25">
        <v>86</v>
      </c>
      <c r="W25">
        <v>5</v>
      </c>
      <c r="AH25">
        <f t="shared" si="11"/>
        <v>6.173578996620237</v>
      </c>
      <c r="AI25">
        <f t="shared" si="12"/>
        <v>47.858499016977063</v>
      </c>
      <c r="AJ25">
        <f t="shared" si="13"/>
        <v>60.621500983022926</v>
      </c>
      <c r="AL25">
        <f t="shared" si="14"/>
        <v>66.587157993240467</v>
      </c>
      <c r="AM25">
        <f t="shared" si="15"/>
        <v>41.892842006759523</v>
      </c>
    </row>
    <row r="26" spans="1:39" ht="16.5" x14ac:dyDescent="0.25">
      <c r="A26" s="1">
        <v>45666</v>
      </c>
      <c r="B26" s="5">
        <v>53.06</v>
      </c>
      <c r="C26" s="4">
        <v>52.96</v>
      </c>
      <c r="D26" s="4">
        <v>53.18</v>
      </c>
      <c r="E26" s="4">
        <v>52.37</v>
      </c>
      <c r="F26" s="4" t="s">
        <v>1398</v>
      </c>
      <c r="G26" s="2" t="s">
        <v>370</v>
      </c>
      <c r="I26">
        <f t="shared" si="0"/>
        <v>54.177000000000007</v>
      </c>
      <c r="J26">
        <f t="shared" si="1"/>
        <v>53.372250000000008</v>
      </c>
      <c r="L26">
        <f t="shared" si="2"/>
        <v>1</v>
      </c>
      <c r="M26">
        <f t="shared" si="3"/>
        <v>0</v>
      </c>
      <c r="O26">
        <f t="shared" si="4"/>
        <v>0.10000000000000142</v>
      </c>
      <c r="P26">
        <f t="shared" si="5"/>
        <v>0</v>
      </c>
      <c r="R26">
        <f t="shared" si="6"/>
        <v>0.49749999999999961</v>
      </c>
      <c r="S26">
        <f t="shared" si="7"/>
        <v>0.80333333333333223</v>
      </c>
      <c r="U26">
        <f t="shared" si="8"/>
        <v>38.244714926329294</v>
      </c>
      <c r="V26">
        <v>86</v>
      </c>
      <c r="W26">
        <v>5</v>
      </c>
      <c r="AH26">
        <f t="shared" si="11"/>
        <v>6.1593414602755301</v>
      </c>
      <c r="AI26">
        <f t="shared" si="12"/>
        <v>47.795499016977075</v>
      </c>
      <c r="AJ26">
        <f t="shared" si="13"/>
        <v>60.558500983022938</v>
      </c>
      <c r="AL26">
        <f t="shared" si="14"/>
        <v>66.495682920551062</v>
      </c>
      <c r="AM26">
        <f t="shared" si="15"/>
        <v>41.858317079448945</v>
      </c>
    </row>
    <row r="27" spans="1:39" ht="16.5" x14ac:dyDescent="0.25">
      <c r="A27" s="1">
        <v>45665</v>
      </c>
      <c r="B27" s="5">
        <v>53.31</v>
      </c>
      <c r="C27" s="4">
        <v>54.01</v>
      </c>
      <c r="D27" s="4">
        <v>54.4</v>
      </c>
      <c r="E27" s="4">
        <v>52.94</v>
      </c>
      <c r="F27" s="4" t="s">
        <v>1379</v>
      </c>
      <c r="G27" s="2" t="s">
        <v>963</v>
      </c>
      <c r="I27">
        <f t="shared" si="0"/>
        <v>54.193000000000005</v>
      </c>
      <c r="J27">
        <f t="shared" si="1"/>
        <v>53.39</v>
      </c>
      <c r="L27">
        <f t="shared" si="2"/>
        <v>0</v>
      </c>
      <c r="M27">
        <f t="shared" si="3"/>
        <v>1</v>
      </c>
      <c r="O27">
        <f t="shared" si="4"/>
        <v>0</v>
      </c>
      <c r="P27">
        <f t="shared" si="5"/>
        <v>0.69999999999999574</v>
      </c>
      <c r="R27">
        <f t="shared" si="6"/>
        <v>0.5024999999999995</v>
      </c>
      <c r="S27">
        <f t="shared" si="7"/>
        <v>0.80333333333333223</v>
      </c>
      <c r="U27">
        <f t="shared" si="8"/>
        <v>38.481174218251446</v>
      </c>
      <c r="V27">
        <v>86</v>
      </c>
      <c r="W27">
        <v>5</v>
      </c>
      <c r="AH27">
        <f t="shared" si="11"/>
        <v>6.1447028016975365</v>
      </c>
      <c r="AI27">
        <f t="shared" si="12"/>
        <v>47.811499016977073</v>
      </c>
      <c r="AJ27">
        <f t="shared" si="13"/>
        <v>60.574500983022936</v>
      </c>
      <c r="AL27">
        <f t="shared" si="14"/>
        <v>66.48240560339508</v>
      </c>
      <c r="AM27">
        <f t="shared" si="15"/>
        <v>41.90359439660493</v>
      </c>
    </row>
    <row r="28" spans="1:39" ht="16.5" x14ac:dyDescent="0.25">
      <c r="A28" s="1">
        <v>45664</v>
      </c>
      <c r="B28" s="5">
        <v>54.32</v>
      </c>
      <c r="C28" s="4">
        <v>54</v>
      </c>
      <c r="D28" s="4">
        <v>54.44</v>
      </c>
      <c r="E28" s="4">
        <v>53.26</v>
      </c>
      <c r="F28" s="4" t="s">
        <v>1399</v>
      </c>
      <c r="G28" s="2" t="s">
        <v>729</v>
      </c>
      <c r="I28">
        <f t="shared" si="0"/>
        <v>54.179499999999997</v>
      </c>
      <c r="J28">
        <f t="shared" si="1"/>
        <v>53.364749999999994</v>
      </c>
      <c r="L28">
        <f t="shared" si="2"/>
        <v>1</v>
      </c>
      <c r="M28">
        <f t="shared" si="3"/>
        <v>0</v>
      </c>
      <c r="O28">
        <f t="shared" si="4"/>
        <v>0.32000000000000028</v>
      </c>
      <c r="P28">
        <f t="shared" si="5"/>
        <v>0</v>
      </c>
      <c r="R28">
        <f t="shared" si="6"/>
        <v>0.52444444444444349</v>
      </c>
      <c r="S28">
        <f t="shared" si="7"/>
        <v>0.82399999999999951</v>
      </c>
      <c r="U28">
        <f t="shared" si="8"/>
        <v>38.892551087673006</v>
      </c>
      <c r="V28">
        <v>86</v>
      </c>
      <c r="W28">
        <v>5</v>
      </c>
      <c r="AH28">
        <f t="shared" si="11"/>
        <v>6.1299469495198036</v>
      </c>
      <c r="AI28">
        <f t="shared" si="12"/>
        <v>47.797999016977066</v>
      </c>
      <c r="AJ28">
        <f t="shared" si="13"/>
        <v>60.561000983022929</v>
      </c>
      <c r="AL28">
        <f t="shared" si="14"/>
        <v>66.439393899039601</v>
      </c>
      <c r="AM28">
        <f t="shared" si="15"/>
        <v>41.919606100960394</v>
      </c>
    </row>
    <row r="29" spans="1:39" ht="16.5" x14ac:dyDescent="0.25">
      <c r="A29" s="1">
        <v>45663</v>
      </c>
      <c r="B29" s="5">
        <v>54.34</v>
      </c>
      <c r="C29" s="4">
        <v>52.99</v>
      </c>
      <c r="D29" s="4">
        <v>55.64</v>
      </c>
      <c r="E29" s="4">
        <v>52.87</v>
      </c>
      <c r="F29" s="4" t="s">
        <v>966</v>
      </c>
      <c r="G29" s="2" t="s">
        <v>686</v>
      </c>
      <c r="I29">
        <f t="shared" si="0"/>
        <v>54.063499999999998</v>
      </c>
      <c r="J29">
        <f t="shared" si="1"/>
        <v>53.40424999999999</v>
      </c>
      <c r="L29">
        <f t="shared" si="2"/>
        <v>1</v>
      </c>
      <c r="M29">
        <f t="shared" si="3"/>
        <v>0</v>
      </c>
      <c r="O29">
        <f t="shared" si="4"/>
        <v>1.3500000000000014</v>
      </c>
      <c r="P29">
        <f t="shared" si="5"/>
        <v>0</v>
      </c>
      <c r="R29">
        <f t="shared" si="6"/>
        <v>0.54999999999999893</v>
      </c>
      <c r="S29">
        <f t="shared" si="7"/>
        <v>0.78666666666666651</v>
      </c>
      <c r="U29">
        <f t="shared" si="8"/>
        <v>41.147132169576018</v>
      </c>
      <c r="V29">
        <v>86</v>
      </c>
      <c r="W29">
        <v>5</v>
      </c>
      <c r="AH29">
        <f t="shared" si="11"/>
        <v>6.1149629335387408</v>
      </c>
      <c r="AI29">
        <f t="shared" si="12"/>
        <v>47.681999016977066</v>
      </c>
      <c r="AJ29">
        <f t="shared" si="13"/>
        <v>60.445000983022929</v>
      </c>
      <c r="AL29">
        <f t="shared" si="14"/>
        <v>66.293425867077474</v>
      </c>
      <c r="AM29">
        <f t="shared" si="15"/>
        <v>41.833574132922514</v>
      </c>
    </row>
    <row r="30" spans="1:39" ht="16.5" x14ac:dyDescent="0.25">
      <c r="A30" s="1">
        <v>45660</v>
      </c>
      <c r="B30" s="5">
        <v>52.45</v>
      </c>
      <c r="C30" s="4">
        <v>52.72</v>
      </c>
      <c r="D30" s="4">
        <v>53.07</v>
      </c>
      <c r="E30" s="4">
        <v>52.21</v>
      </c>
      <c r="F30" s="4" t="s">
        <v>134</v>
      </c>
      <c r="G30" s="2" t="s">
        <v>127</v>
      </c>
      <c r="I30">
        <f t="shared" si="0"/>
        <v>54.013999999999989</v>
      </c>
      <c r="J30">
        <f t="shared" si="1"/>
        <v>53.450249999999983</v>
      </c>
      <c r="L30">
        <f t="shared" si="2"/>
        <v>0</v>
      </c>
      <c r="M30">
        <f t="shared" si="3"/>
        <v>1</v>
      </c>
      <c r="O30">
        <f t="shared" si="4"/>
        <v>0</v>
      </c>
      <c r="P30">
        <f t="shared" si="5"/>
        <v>0.26999999999999602</v>
      </c>
      <c r="R30">
        <f t="shared" si="6"/>
        <v>0.45999999999999908</v>
      </c>
      <c r="S30">
        <f t="shared" si="7"/>
        <v>0.78666666666666651</v>
      </c>
      <c r="U30">
        <f t="shared" si="8"/>
        <v>36.898395721925091</v>
      </c>
      <c r="V30">
        <v>86</v>
      </c>
      <c r="W30">
        <v>5</v>
      </c>
      <c r="AH30">
        <f t="shared" si="11"/>
        <v>6.0993617684513621</v>
      </c>
      <c r="AI30">
        <f t="shared" si="12"/>
        <v>47.632499016977057</v>
      </c>
      <c r="AJ30">
        <f t="shared" si="13"/>
        <v>60.39550098302292</v>
      </c>
      <c r="AL30">
        <f t="shared" si="14"/>
        <v>66.212723536902715</v>
      </c>
      <c r="AM30">
        <f t="shared" si="15"/>
        <v>41.815276463097263</v>
      </c>
    </row>
    <row r="31" spans="1:39" ht="16.5" x14ac:dyDescent="0.25">
      <c r="A31" s="1">
        <v>45659</v>
      </c>
      <c r="B31" s="5">
        <v>52.88</v>
      </c>
      <c r="C31" s="4">
        <v>53.6</v>
      </c>
      <c r="D31" s="4">
        <v>53.95</v>
      </c>
      <c r="E31" s="4">
        <v>52.01</v>
      </c>
      <c r="F31" s="4" t="s">
        <v>1400</v>
      </c>
      <c r="G31" s="2" t="s">
        <v>341</v>
      </c>
      <c r="I31">
        <f t="shared" si="0"/>
        <v>54.039499999999997</v>
      </c>
      <c r="J31">
        <f t="shared" si="1"/>
        <v>53.537749999999981</v>
      </c>
      <c r="L31">
        <f t="shared" si="2"/>
        <v>0</v>
      </c>
      <c r="M31">
        <f t="shared" si="3"/>
        <v>1</v>
      </c>
      <c r="O31">
        <f t="shared" si="4"/>
        <v>0</v>
      </c>
      <c r="P31">
        <f t="shared" si="5"/>
        <v>0.71999999999999886</v>
      </c>
      <c r="R31">
        <f t="shared" si="6"/>
        <v>0.52999999999999958</v>
      </c>
      <c r="S31">
        <f t="shared" si="7"/>
        <v>0.89000000000000057</v>
      </c>
      <c r="U31">
        <f t="shared" si="8"/>
        <v>37.323943661971789</v>
      </c>
      <c r="V31">
        <v>86</v>
      </c>
      <c r="W31">
        <v>5</v>
      </c>
      <c r="AH31">
        <f t="shared" si="11"/>
        <v>6.0833822231920509</v>
      </c>
      <c r="AI31">
        <f t="shared" si="12"/>
        <v>47.657999016977065</v>
      </c>
      <c r="AJ31">
        <f t="shared" si="13"/>
        <v>60.421000983022928</v>
      </c>
      <c r="AL31">
        <f t="shared" si="14"/>
        <v>66.206264446384097</v>
      </c>
      <c r="AM31">
        <f t="shared" si="15"/>
        <v>41.872735553615897</v>
      </c>
    </row>
    <row r="32" spans="1:39" ht="16.5" x14ac:dyDescent="0.25">
      <c r="A32" s="1">
        <v>45656</v>
      </c>
      <c r="B32" s="5">
        <v>53.8</v>
      </c>
      <c r="C32" s="4">
        <v>53.14</v>
      </c>
      <c r="D32" s="4">
        <v>53.85</v>
      </c>
      <c r="E32" s="4">
        <v>53.06</v>
      </c>
      <c r="F32" s="4" t="s">
        <v>1401</v>
      </c>
      <c r="G32" s="2" t="s">
        <v>1273</v>
      </c>
      <c r="I32">
        <f t="shared" si="0"/>
        <v>54.028499999999994</v>
      </c>
      <c r="J32">
        <f t="shared" si="1"/>
        <v>53.608249999999984</v>
      </c>
      <c r="L32">
        <f t="shared" si="2"/>
        <v>1</v>
      </c>
      <c r="M32">
        <f t="shared" si="3"/>
        <v>0</v>
      </c>
      <c r="O32">
        <f t="shared" si="4"/>
        <v>0.65999999999999659</v>
      </c>
      <c r="P32">
        <f t="shared" si="5"/>
        <v>0</v>
      </c>
      <c r="R32">
        <f t="shared" si="6"/>
        <v>0.52699999999999958</v>
      </c>
      <c r="S32">
        <f t="shared" si="7"/>
        <v>0.93250000000000099</v>
      </c>
      <c r="U32">
        <f t="shared" si="8"/>
        <v>36.108256252141103</v>
      </c>
      <c r="V32">
        <v>86</v>
      </c>
      <c r="W32">
        <v>5</v>
      </c>
      <c r="AH32">
        <f t="shared" si="11"/>
        <v>6.0673052966595495</v>
      </c>
      <c r="AI32">
        <f t="shared" si="12"/>
        <v>47.646999016977063</v>
      </c>
      <c r="AJ32">
        <f t="shared" si="13"/>
        <v>60.410000983022925</v>
      </c>
      <c r="AL32">
        <f t="shared" si="14"/>
        <v>66.16311059331909</v>
      </c>
      <c r="AM32">
        <f t="shared" si="15"/>
        <v>41.893889406680898</v>
      </c>
    </row>
    <row r="33" spans="1:39" ht="16.5" x14ac:dyDescent="0.25">
      <c r="A33" s="1">
        <v>45653</v>
      </c>
      <c r="B33" s="5">
        <v>53.55</v>
      </c>
      <c r="C33" s="4">
        <v>52.72</v>
      </c>
      <c r="D33" s="4">
        <v>53.66</v>
      </c>
      <c r="E33" s="4">
        <v>52.61</v>
      </c>
      <c r="F33" s="4" t="s">
        <v>89</v>
      </c>
      <c r="G33" s="2" t="s">
        <v>769</v>
      </c>
      <c r="I33">
        <f t="shared" si="0"/>
        <v>53.954999999999998</v>
      </c>
      <c r="J33">
        <f t="shared" si="1"/>
        <v>53.673249999999996</v>
      </c>
      <c r="L33">
        <f t="shared" si="2"/>
        <v>1</v>
      </c>
      <c r="M33">
        <f t="shared" si="3"/>
        <v>0</v>
      </c>
      <c r="O33">
        <f t="shared" si="4"/>
        <v>0.82999999999999829</v>
      </c>
      <c r="P33">
        <f t="shared" si="5"/>
        <v>0</v>
      </c>
      <c r="R33">
        <f t="shared" si="6"/>
        <v>0.49800000000000039</v>
      </c>
      <c r="S33">
        <f t="shared" si="7"/>
        <v>0.93250000000000099</v>
      </c>
      <c r="U33">
        <f t="shared" si="8"/>
        <v>34.813002446696956</v>
      </c>
      <c r="V33">
        <v>86</v>
      </c>
      <c r="W33">
        <v>5</v>
      </c>
      <c r="AH33">
        <f t="shared" si="11"/>
        <v>6.0509889171258804</v>
      </c>
      <c r="AI33">
        <f t="shared" si="12"/>
        <v>47.573499016977067</v>
      </c>
      <c r="AJ33">
        <f t="shared" si="13"/>
        <v>60.33650098302293</v>
      </c>
      <c r="AL33">
        <f t="shared" si="14"/>
        <v>66.056977834251754</v>
      </c>
      <c r="AM33">
        <f t="shared" si="15"/>
        <v>41.853022165748236</v>
      </c>
    </row>
    <row r="34" spans="1:39" ht="16.5" x14ac:dyDescent="0.25">
      <c r="A34" s="1">
        <v>45649</v>
      </c>
      <c r="B34" s="5">
        <v>52.72</v>
      </c>
      <c r="C34" s="4">
        <v>53.42</v>
      </c>
      <c r="D34" s="4">
        <v>53.44</v>
      </c>
      <c r="E34" s="4">
        <v>52.45</v>
      </c>
      <c r="F34" s="4" t="s">
        <v>537</v>
      </c>
      <c r="G34" s="2" t="s">
        <v>261</v>
      </c>
      <c r="I34">
        <f t="shared" si="0"/>
        <v>53.891499999999994</v>
      </c>
      <c r="J34">
        <f t="shared" si="1"/>
        <v>53.75824999999999</v>
      </c>
      <c r="L34">
        <f t="shared" si="2"/>
        <v>0</v>
      </c>
      <c r="M34">
        <f t="shared" si="3"/>
        <v>1</v>
      </c>
      <c r="O34">
        <f t="shared" si="4"/>
        <v>0</v>
      </c>
      <c r="P34">
        <f t="shared" si="5"/>
        <v>0.70000000000000284</v>
      </c>
      <c r="R34">
        <f t="shared" si="6"/>
        <v>0.50900000000000034</v>
      </c>
      <c r="S34">
        <f t="shared" si="7"/>
        <v>0.93250000000000099</v>
      </c>
      <c r="U34">
        <f t="shared" si="8"/>
        <v>35.310440513354138</v>
      </c>
      <c r="V34">
        <v>86</v>
      </c>
      <c r="W34">
        <v>5</v>
      </c>
      <c r="AH34">
        <f t="shared" si="11"/>
        <v>6.0341851111048257</v>
      </c>
      <c r="AI34">
        <f t="shared" si="12"/>
        <v>47.509999016977062</v>
      </c>
      <c r="AJ34">
        <f t="shared" si="13"/>
        <v>60.273000983022925</v>
      </c>
      <c r="AL34">
        <f t="shared" si="14"/>
        <v>65.959870222209645</v>
      </c>
      <c r="AM34">
        <f t="shared" si="15"/>
        <v>41.823129777790342</v>
      </c>
    </row>
    <row r="35" spans="1:39" ht="16.5" x14ac:dyDescent="0.25">
      <c r="A35" s="1">
        <v>45646</v>
      </c>
      <c r="B35" s="5">
        <v>53.45</v>
      </c>
      <c r="C35" s="4">
        <v>53.1</v>
      </c>
      <c r="D35" s="4">
        <v>53.49</v>
      </c>
      <c r="E35" s="4">
        <v>52.67</v>
      </c>
      <c r="F35" s="4" t="s">
        <v>962</v>
      </c>
      <c r="G35" s="2" t="s">
        <v>729</v>
      </c>
      <c r="I35">
        <f t="shared" si="0"/>
        <v>53.897000000000006</v>
      </c>
      <c r="J35">
        <f t="shared" si="1"/>
        <v>53.875999999999998</v>
      </c>
      <c r="L35">
        <f t="shared" si="2"/>
        <v>1</v>
      </c>
      <c r="M35">
        <f t="shared" si="3"/>
        <v>0</v>
      </c>
      <c r="O35">
        <f t="shared" si="4"/>
        <v>0.35000000000000142</v>
      </c>
      <c r="P35">
        <f t="shared" si="5"/>
        <v>0</v>
      </c>
      <c r="R35">
        <f t="shared" si="6"/>
        <v>0.50900000000000034</v>
      </c>
      <c r="S35">
        <f t="shared" si="7"/>
        <v>0.90750000000000064</v>
      </c>
      <c r="U35">
        <f t="shared" si="8"/>
        <v>35.933639251676667</v>
      </c>
      <c r="V35">
        <v>86</v>
      </c>
      <c r="W35">
        <v>5</v>
      </c>
      <c r="AH35">
        <f t="shared" si="11"/>
        <v>6.0169226469651189</v>
      </c>
      <c r="AI35">
        <f t="shared" si="12"/>
        <v>47.515499016977074</v>
      </c>
      <c r="AJ35">
        <f t="shared" si="13"/>
        <v>60.278500983022937</v>
      </c>
      <c r="AL35">
        <f t="shared" si="14"/>
        <v>65.930845293930247</v>
      </c>
      <c r="AM35">
        <f t="shared" si="15"/>
        <v>41.863154706069764</v>
      </c>
    </row>
    <row r="36" spans="1:39" ht="16.5" x14ac:dyDescent="0.25">
      <c r="A36" s="1">
        <v>45645</v>
      </c>
      <c r="B36" s="5">
        <v>53.47</v>
      </c>
      <c r="C36" s="4">
        <v>53.26</v>
      </c>
      <c r="D36" s="4">
        <v>54.32</v>
      </c>
      <c r="E36" s="4">
        <v>53.16</v>
      </c>
      <c r="F36" s="4" t="s">
        <v>1402</v>
      </c>
      <c r="G36" s="2" t="s">
        <v>484</v>
      </c>
      <c r="I36">
        <f t="shared" si="0"/>
        <v>53.838000000000001</v>
      </c>
      <c r="J36">
        <f t="shared" si="1"/>
        <v>53.984500000000004</v>
      </c>
      <c r="L36">
        <f t="shared" si="2"/>
        <v>1</v>
      </c>
      <c r="M36">
        <f t="shared" si="3"/>
        <v>0</v>
      </c>
      <c r="O36">
        <f t="shared" si="4"/>
        <v>0.21000000000000085</v>
      </c>
      <c r="P36">
        <f t="shared" si="5"/>
        <v>0</v>
      </c>
      <c r="R36">
        <f t="shared" si="6"/>
        <v>0.57700000000000029</v>
      </c>
      <c r="S36">
        <f t="shared" si="7"/>
        <v>0.90750000000000064</v>
      </c>
      <c r="U36">
        <f t="shared" si="8"/>
        <v>38.86830582687773</v>
      </c>
      <c r="V36">
        <v>86</v>
      </c>
      <c r="W36">
        <v>5</v>
      </c>
      <c r="AH36">
        <f t="shared" si="11"/>
        <v>5.9994676381878076</v>
      </c>
      <c r="AI36">
        <f t="shared" si="12"/>
        <v>47.45649901697707</v>
      </c>
      <c r="AJ36">
        <f t="shared" si="13"/>
        <v>60.219500983022932</v>
      </c>
      <c r="AL36">
        <f t="shared" si="14"/>
        <v>65.836935276375613</v>
      </c>
      <c r="AM36">
        <f t="shared" si="15"/>
        <v>41.839064723624389</v>
      </c>
    </row>
    <row r="37" spans="1:39" ht="16.5" x14ac:dyDescent="0.25">
      <c r="A37" s="1">
        <v>45644</v>
      </c>
      <c r="B37" s="5">
        <v>53.94</v>
      </c>
      <c r="C37" s="4">
        <v>54.5</v>
      </c>
      <c r="D37" s="4">
        <v>54.78</v>
      </c>
      <c r="E37" s="4">
        <v>53.92</v>
      </c>
      <c r="F37" s="4" t="s">
        <v>1403</v>
      </c>
      <c r="G37" s="2" t="s">
        <v>321</v>
      </c>
      <c r="I37">
        <f t="shared" si="0"/>
        <v>53.756999999999991</v>
      </c>
      <c r="J37">
        <f t="shared" si="1"/>
        <v>54.106749999999998</v>
      </c>
      <c r="L37">
        <f t="shared" si="2"/>
        <v>0</v>
      </c>
      <c r="M37">
        <f t="shared" si="3"/>
        <v>1</v>
      </c>
      <c r="O37">
        <f t="shared" si="4"/>
        <v>0</v>
      </c>
      <c r="P37">
        <f t="shared" si="5"/>
        <v>0.56000000000000227</v>
      </c>
      <c r="R37">
        <f t="shared" si="6"/>
        <v>0.6140000000000001</v>
      </c>
      <c r="S37">
        <f t="shared" si="7"/>
        <v>0.90750000000000064</v>
      </c>
      <c r="U37">
        <f t="shared" si="8"/>
        <v>40.354912914886611</v>
      </c>
      <c r="V37">
        <v>86</v>
      </c>
      <c r="W37">
        <v>5</v>
      </c>
      <c r="AH37">
        <f t="shared" si="11"/>
        <v>5.9815574124459143</v>
      </c>
      <c r="AI37">
        <f t="shared" si="12"/>
        <v>47.375499016977059</v>
      </c>
      <c r="AJ37">
        <f t="shared" si="13"/>
        <v>60.138500983022922</v>
      </c>
      <c r="AL37">
        <f t="shared" si="14"/>
        <v>65.720114824891823</v>
      </c>
      <c r="AM37">
        <f t="shared" si="15"/>
        <v>41.793885175108159</v>
      </c>
    </row>
    <row r="38" spans="1:39" ht="16.5" x14ac:dyDescent="0.25">
      <c r="A38" s="1">
        <v>45643</v>
      </c>
      <c r="B38" s="5">
        <v>54.05</v>
      </c>
      <c r="C38" s="4">
        <v>53.89</v>
      </c>
      <c r="D38" s="4">
        <v>54.79</v>
      </c>
      <c r="E38" s="4">
        <v>53.88</v>
      </c>
      <c r="F38" s="4" t="s">
        <v>1395</v>
      </c>
      <c r="G38" s="2" t="s">
        <v>1074</v>
      </c>
      <c r="I38">
        <f t="shared" si="0"/>
        <v>53.654500000000006</v>
      </c>
      <c r="J38">
        <f t="shared" si="1"/>
        <v>54.196500000000015</v>
      </c>
      <c r="L38">
        <f t="shared" si="2"/>
        <v>1</v>
      </c>
      <c r="M38">
        <f t="shared" si="3"/>
        <v>0</v>
      </c>
      <c r="O38">
        <f t="shared" si="4"/>
        <v>0.15999999999999659</v>
      </c>
      <c r="P38">
        <f t="shared" si="5"/>
        <v>0</v>
      </c>
      <c r="R38">
        <f t="shared" si="6"/>
        <v>0.58818181818181803</v>
      </c>
      <c r="S38">
        <f t="shared" si="7"/>
        <v>1.0233333333333334</v>
      </c>
      <c r="U38">
        <f t="shared" si="8"/>
        <v>36.498683715682574</v>
      </c>
      <c r="V38">
        <v>86</v>
      </c>
      <c r="W38">
        <v>5</v>
      </c>
      <c r="AH38">
        <f t="shared" si="11"/>
        <v>5.9630922077655519</v>
      </c>
      <c r="AI38">
        <f t="shared" si="12"/>
        <v>47.272999016977074</v>
      </c>
      <c r="AJ38">
        <f t="shared" si="13"/>
        <v>60.036000983022937</v>
      </c>
      <c r="AL38">
        <f t="shared" si="14"/>
        <v>65.58068441553111</v>
      </c>
      <c r="AM38">
        <f t="shared" si="15"/>
        <v>41.728315584468902</v>
      </c>
    </row>
    <row r="39" spans="1:39" ht="16.5" x14ac:dyDescent="0.25">
      <c r="A39" s="1">
        <v>45642</v>
      </c>
      <c r="B39" s="5">
        <v>54.35</v>
      </c>
      <c r="C39" s="4">
        <v>56.22</v>
      </c>
      <c r="D39" s="4">
        <v>56.46</v>
      </c>
      <c r="E39" s="4">
        <v>53.82</v>
      </c>
      <c r="F39" s="4" t="s">
        <v>1404</v>
      </c>
      <c r="G39" s="2" t="s">
        <v>1405</v>
      </c>
      <c r="I39">
        <f t="shared" si="0"/>
        <v>53.595499999999994</v>
      </c>
      <c r="J39">
        <f t="shared" si="1"/>
        <v>54.279750000000014</v>
      </c>
      <c r="L39">
        <f t="shared" si="2"/>
        <v>0</v>
      </c>
      <c r="M39">
        <f t="shared" si="3"/>
        <v>1</v>
      </c>
      <c r="O39">
        <f t="shared" si="4"/>
        <v>0</v>
      </c>
      <c r="P39">
        <f t="shared" si="5"/>
        <v>1.8699999999999974</v>
      </c>
      <c r="R39">
        <f t="shared" si="6"/>
        <v>0.59363636363636374</v>
      </c>
      <c r="S39">
        <f t="shared" si="7"/>
        <v>1.0233333333333334</v>
      </c>
      <c r="U39">
        <f t="shared" si="8"/>
        <v>36.712893553223388</v>
      </c>
      <c r="V39">
        <v>86</v>
      </c>
      <c r="W39">
        <v>5</v>
      </c>
      <c r="AH39">
        <f t="shared" si="11"/>
        <v>5.9439695923025919</v>
      </c>
      <c r="AI39">
        <f t="shared" si="12"/>
        <v>47.213999016977063</v>
      </c>
      <c r="AJ39">
        <f t="shared" si="13"/>
        <v>59.977000983022926</v>
      </c>
      <c r="AL39">
        <f t="shared" si="14"/>
        <v>65.483439184605174</v>
      </c>
      <c r="AM39">
        <f t="shared" si="15"/>
        <v>41.707560815394814</v>
      </c>
    </row>
    <row r="40" spans="1:39" ht="16.5" x14ac:dyDescent="0.25">
      <c r="A40" s="1">
        <v>45639</v>
      </c>
      <c r="B40" s="5">
        <v>56.53</v>
      </c>
      <c r="C40" s="4">
        <v>56.39</v>
      </c>
      <c r="D40" s="4">
        <v>57.23</v>
      </c>
      <c r="E40" s="4">
        <v>56.39</v>
      </c>
      <c r="F40" s="4" t="s">
        <v>1406</v>
      </c>
      <c r="G40" s="2" t="s">
        <v>298</v>
      </c>
      <c r="I40">
        <f t="shared" si="0"/>
        <v>53.553500000000007</v>
      </c>
      <c r="J40">
        <f t="shared" si="1"/>
        <v>54.346000000000018</v>
      </c>
      <c r="L40">
        <f t="shared" si="2"/>
        <v>1</v>
      </c>
      <c r="M40">
        <f t="shared" si="3"/>
        <v>0</v>
      </c>
      <c r="O40">
        <f t="shared" si="4"/>
        <v>0.14000000000000057</v>
      </c>
      <c r="P40">
        <f t="shared" si="5"/>
        <v>0</v>
      </c>
      <c r="R40">
        <f t="shared" si="6"/>
        <v>0.5658333333333333</v>
      </c>
      <c r="S40">
        <f t="shared" si="7"/>
        <v>0.60000000000000142</v>
      </c>
      <c r="U40">
        <f t="shared" si="8"/>
        <v>48.534667619728317</v>
      </c>
      <c r="V40">
        <v>86</v>
      </c>
      <c r="W40">
        <v>5</v>
      </c>
      <c r="AH40">
        <f t="shared" si="11"/>
        <v>5.9243561197330257</v>
      </c>
      <c r="AI40">
        <f t="shared" si="12"/>
        <v>47.171999016977075</v>
      </c>
      <c r="AJ40">
        <f t="shared" si="13"/>
        <v>59.935000983022938</v>
      </c>
      <c r="AL40">
        <f t="shared" si="14"/>
        <v>65.402212239466053</v>
      </c>
      <c r="AM40">
        <f t="shared" si="15"/>
        <v>41.704787760533954</v>
      </c>
    </row>
    <row r="41" spans="1:39" ht="16.5" x14ac:dyDescent="0.25">
      <c r="A41" s="1">
        <v>45638</v>
      </c>
      <c r="B41" s="5">
        <v>56.26</v>
      </c>
      <c r="C41" s="4">
        <v>55.56</v>
      </c>
      <c r="D41" s="4">
        <v>56.43</v>
      </c>
      <c r="E41" s="4">
        <v>55.56</v>
      </c>
      <c r="F41" s="4" t="s">
        <v>1407</v>
      </c>
      <c r="G41" s="2" t="s">
        <v>1156</v>
      </c>
      <c r="I41">
        <f t="shared" si="0"/>
        <v>53.374499999999998</v>
      </c>
      <c r="J41">
        <f t="shared" si="1"/>
        <v>54.365250000000003</v>
      </c>
      <c r="L41">
        <f t="shared" si="2"/>
        <v>1</v>
      </c>
      <c r="M41">
        <f t="shared" si="3"/>
        <v>0</v>
      </c>
      <c r="O41">
        <f t="shared" si="4"/>
        <v>0.69999999999999574</v>
      </c>
      <c r="P41">
        <f t="shared" si="5"/>
        <v>0</v>
      </c>
      <c r="R41">
        <f t="shared" si="6"/>
        <v>0.55749999999999977</v>
      </c>
      <c r="S41">
        <f t="shared" si="7"/>
        <v>0.60000000000000142</v>
      </c>
      <c r="U41">
        <f t="shared" si="8"/>
        <v>48.164146868250469</v>
      </c>
      <c r="V41">
        <v>86</v>
      </c>
      <c r="W41">
        <v>5</v>
      </c>
      <c r="AH41">
        <f t="shared" si="11"/>
        <v>5.9043132931001052</v>
      </c>
      <c r="AI41">
        <f t="shared" si="12"/>
        <v>46.992999016977066</v>
      </c>
      <c r="AJ41">
        <f t="shared" si="13"/>
        <v>59.756000983022929</v>
      </c>
      <c r="AL41">
        <f t="shared" si="14"/>
        <v>65.183126586200203</v>
      </c>
      <c r="AM41">
        <f t="shared" si="15"/>
        <v>41.565873413799785</v>
      </c>
    </row>
    <row r="42" spans="1:39" ht="16.5" x14ac:dyDescent="0.25">
      <c r="A42" s="1">
        <v>45637</v>
      </c>
      <c r="B42" s="5">
        <v>55.69</v>
      </c>
      <c r="C42" s="4">
        <v>56.29</v>
      </c>
      <c r="D42" s="4">
        <v>56.4</v>
      </c>
      <c r="E42" s="4">
        <v>55.43</v>
      </c>
      <c r="F42" s="4" t="s">
        <v>1408</v>
      </c>
      <c r="G42" s="2" t="s">
        <v>794</v>
      </c>
      <c r="I42">
        <f t="shared" si="0"/>
        <v>53.185000000000002</v>
      </c>
      <c r="J42">
        <f t="shared" si="1"/>
        <v>54.381250000000009</v>
      </c>
      <c r="L42">
        <f t="shared" si="2"/>
        <v>0</v>
      </c>
      <c r="M42">
        <f t="shared" si="3"/>
        <v>1</v>
      </c>
      <c r="O42">
        <f t="shared" si="4"/>
        <v>0</v>
      </c>
      <c r="P42">
        <f t="shared" si="5"/>
        <v>0.60000000000000142</v>
      </c>
      <c r="R42">
        <f t="shared" si="6"/>
        <v>0.53083333333333371</v>
      </c>
      <c r="S42">
        <f t="shared" si="7"/>
        <v>0.60000000000000142</v>
      </c>
      <c r="U42">
        <f t="shared" si="8"/>
        <v>46.941783345615285</v>
      </c>
      <c r="V42">
        <v>86</v>
      </c>
      <c r="W42">
        <v>5</v>
      </c>
      <c r="AH42">
        <f t="shared" si="11"/>
        <v>5.883239395396803</v>
      </c>
      <c r="AI42">
        <f t="shared" si="12"/>
        <v>46.803499016977071</v>
      </c>
      <c r="AJ42">
        <f t="shared" si="13"/>
        <v>59.566500983022934</v>
      </c>
      <c r="AL42">
        <f t="shared" si="14"/>
        <v>64.951478790793601</v>
      </c>
      <c r="AM42">
        <f t="shared" si="15"/>
        <v>41.418521209206396</v>
      </c>
    </row>
    <row r="43" spans="1:39" ht="16.5" x14ac:dyDescent="0.25">
      <c r="A43" s="1">
        <v>45636</v>
      </c>
      <c r="B43" s="5">
        <v>56.07</v>
      </c>
      <c r="C43" s="4">
        <v>55.44</v>
      </c>
      <c r="D43" s="4">
        <v>56.4</v>
      </c>
      <c r="E43" s="4">
        <v>55.26</v>
      </c>
      <c r="F43" s="4" t="s">
        <v>1409</v>
      </c>
      <c r="G43" s="2" t="s">
        <v>477</v>
      </c>
      <c r="I43">
        <f t="shared" si="0"/>
        <v>52.972500000000004</v>
      </c>
      <c r="J43">
        <f t="shared" si="1"/>
        <v>54.40825000000001</v>
      </c>
      <c r="L43">
        <f t="shared" si="2"/>
        <v>1</v>
      </c>
      <c r="M43">
        <f t="shared" si="3"/>
        <v>0</v>
      </c>
      <c r="O43">
        <f t="shared" si="4"/>
        <v>0.63000000000000256</v>
      </c>
      <c r="P43">
        <f t="shared" si="5"/>
        <v>0</v>
      </c>
      <c r="R43">
        <f t="shared" si="6"/>
        <v>0.53083333333333371</v>
      </c>
      <c r="S43">
        <f t="shared" si="7"/>
        <v>0.32000000000000028</v>
      </c>
      <c r="U43">
        <f t="shared" si="8"/>
        <v>62.389813907933387</v>
      </c>
      <c r="V43">
        <v>86</v>
      </c>
      <c r="W43">
        <v>5</v>
      </c>
      <c r="AH43">
        <f t="shared" si="11"/>
        <v>5.8610539742790193</v>
      </c>
      <c r="AI43">
        <f t="shared" si="12"/>
        <v>46.590999016977072</v>
      </c>
      <c r="AJ43">
        <f t="shared" si="13"/>
        <v>59.354000983022935</v>
      </c>
      <c r="AL43">
        <f t="shared" si="14"/>
        <v>64.694607948558044</v>
      </c>
      <c r="AM43">
        <f t="shared" si="15"/>
        <v>41.250392051441963</v>
      </c>
    </row>
    <row r="44" spans="1:39" ht="16.5" x14ac:dyDescent="0.25">
      <c r="A44" s="1">
        <v>45635</v>
      </c>
      <c r="B44" s="5">
        <v>55.52</v>
      </c>
      <c r="C44" s="4">
        <v>54.43</v>
      </c>
      <c r="D44" s="4">
        <v>55.79</v>
      </c>
      <c r="E44" s="4">
        <v>54.3</v>
      </c>
      <c r="F44" s="4" t="s">
        <v>1410</v>
      </c>
      <c r="G44" s="2" t="s">
        <v>1411</v>
      </c>
      <c r="I44">
        <f t="shared" si="0"/>
        <v>52.772000000000006</v>
      </c>
      <c r="J44">
        <f t="shared" si="1"/>
        <v>54.438250000000004</v>
      </c>
      <c r="L44">
        <f t="shared" si="2"/>
        <v>1</v>
      </c>
      <c r="M44">
        <f t="shared" si="3"/>
        <v>0</v>
      </c>
      <c r="O44">
        <f t="shared" si="4"/>
        <v>1.0900000000000034</v>
      </c>
      <c r="P44">
        <f t="shared" si="5"/>
        <v>0</v>
      </c>
      <c r="R44">
        <f t="shared" si="6"/>
        <v>0.52181818181818196</v>
      </c>
      <c r="S44">
        <f t="shared" si="7"/>
        <v>0.58333333333333337</v>
      </c>
      <c r="U44">
        <f t="shared" si="8"/>
        <v>47.216890595009602</v>
      </c>
      <c r="V44">
        <v>86</v>
      </c>
      <c r="W44">
        <v>5</v>
      </c>
      <c r="AH44">
        <f t="shared" si="11"/>
        <v>5.837614569786993</v>
      </c>
      <c r="AI44">
        <f t="shared" si="12"/>
        <v>46.390499016977074</v>
      </c>
      <c r="AJ44">
        <f t="shared" si="13"/>
        <v>59.153500983022937</v>
      </c>
      <c r="AL44">
        <f t="shared" si="14"/>
        <v>64.447229139573992</v>
      </c>
      <c r="AM44">
        <f t="shared" si="15"/>
        <v>41.09677086042602</v>
      </c>
    </row>
    <row r="45" spans="1:39" ht="16.5" x14ac:dyDescent="0.25">
      <c r="A45" s="1">
        <v>45632</v>
      </c>
      <c r="B45" s="5">
        <v>53.78</v>
      </c>
      <c r="C45" s="4">
        <v>53.28</v>
      </c>
      <c r="D45" s="4">
        <v>54.14</v>
      </c>
      <c r="E45" s="4">
        <v>53.24</v>
      </c>
      <c r="F45" s="4" t="s">
        <v>1412</v>
      </c>
      <c r="G45" s="2" t="s">
        <v>386</v>
      </c>
      <c r="I45">
        <f t="shared" si="0"/>
        <v>52.638500000000001</v>
      </c>
      <c r="J45">
        <f t="shared" si="1"/>
        <v>54.494250000000008</v>
      </c>
      <c r="L45">
        <f t="shared" si="2"/>
        <v>1</v>
      </c>
      <c r="M45">
        <f t="shared" si="3"/>
        <v>0</v>
      </c>
      <c r="O45">
        <f t="shared" si="4"/>
        <v>0.5</v>
      </c>
      <c r="P45">
        <f t="shared" si="5"/>
        <v>0</v>
      </c>
      <c r="R45">
        <f t="shared" si="6"/>
        <v>0.46499999999999986</v>
      </c>
      <c r="S45">
        <f t="shared" si="7"/>
        <v>0.56750000000000078</v>
      </c>
      <c r="U45">
        <f t="shared" si="8"/>
        <v>45.036319612590759</v>
      </c>
      <c r="V45">
        <v>86</v>
      </c>
      <c r="W45">
        <v>5</v>
      </c>
      <c r="AH45">
        <f t="shared" si="11"/>
        <v>5.8129321309233823</v>
      </c>
      <c r="AI45">
        <f t="shared" si="12"/>
        <v>46.256999016977069</v>
      </c>
      <c r="AJ45">
        <f t="shared" si="13"/>
        <v>59.020000983022932</v>
      </c>
      <c r="AL45">
        <f t="shared" si="14"/>
        <v>64.264364261846765</v>
      </c>
      <c r="AM45">
        <f t="shared" si="15"/>
        <v>41.012635738153236</v>
      </c>
    </row>
    <row r="46" spans="1:39" ht="16.5" x14ac:dyDescent="0.25">
      <c r="A46" s="1">
        <v>45631</v>
      </c>
      <c r="B46" s="5">
        <v>53.38</v>
      </c>
      <c r="C46" s="4">
        <v>53.01</v>
      </c>
      <c r="D46" s="4">
        <v>53.59</v>
      </c>
      <c r="E46" s="4">
        <v>52.91</v>
      </c>
      <c r="F46" s="4" t="s">
        <v>1413</v>
      </c>
      <c r="G46" s="2" t="s">
        <v>678</v>
      </c>
      <c r="I46">
        <f t="shared" si="0"/>
        <v>52.56750000000001</v>
      </c>
      <c r="J46">
        <f t="shared" si="1"/>
        <v>54.595250000000021</v>
      </c>
      <c r="L46">
        <f t="shared" si="2"/>
        <v>1</v>
      </c>
      <c r="M46">
        <f t="shared" si="3"/>
        <v>0</v>
      </c>
      <c r="O46">
        <f t="shared" si="4"/>
        <v>0.37000000000000455</v>
      </c>
      <c r="P46">
        <f t="shared" si="5"/>
        <v>0</v>
      </c>
      <c r="R46">
        <f t="shared" si="6"/>
        <v>0.45799999999999985</v>
      </c>
      <c r="S46">
        <f t="shared" si="7"/>
        <v>0.56750000000000078</v>
      </c>
      <c r="U46">
        <f t="shared" si="8"/>
        <v>44.66114090687465</v>
      </c>
      <c r="V46">
        <v>86</v>
      </c>
      <c r="W46">
        <v>5</v>
      </c>
      <c r="AH46">
        <f t="shared" si="11"/>
        <v>5.7872824098601354</v>
      </c>
      <c r="AI46">
        <f t="shared" si="12"/>
        <v>46.185999016977078</v>
      </c>
      <c r="AJ46">
        <f t="shared" si="13"/>
        <v>58.949000983022941</v>
      </c>
      <c r="AL46">
        <f t="shared" si="14"/>
        <v>64.142064819720275</v>
      </c>
      <c r="AM46">
        <f t="shared" si="15"/>
        <v>40.992935180279737</v>
      </c>
    </row>
    <row r="47" spans="1:39" ht="16.5" x14ac:dyDescent="0.25">
      <c r="A47" s="1">
        <v>45630</v>
      </c>
      <c r="B47" s="5">
        <v>53.04</v>
      </c>
      <c r="C47" s="4">
        <v>52.1</v>
      </c>
      <c r="D47" s="4">
        <v>53.61</v>
      </c>
      <c r="E47" s="4">
        <v>52.08</v>
      </c>
      <c r="F47" s="4" t="s">
        <v>1414</v>
      </c>
      <c r="G47" s="2" t="s">
        <v>381</v>
      </c>
      <c r="I47">
        <f t="shared" si="0"/>
        <v>52.587000000000003</v>
      </c>
      <c r="J47">
        <f t="shared" si="1"/>
        <v>54.690750000000016</v>
      </c>
      <c r="L47">
        <f t="shared" si="2"/>
        <v>1</v>
      </c>
      <c r="M47">
        <f t="shared" si="3"/>
        <v>0</v>
      </c>
      <c r="O47">
        <f t="shared" si="4"/>
        <v>0.93999999999999773</v>
      </c>
      <c r="P47">
        <f t="shared" si="5"/>
        <v>0</v>
      </c>
      <c r="R47">
        <f t="shared" si="6"/>
        <v>0.52299999999999969</v>
      </c>
      <c r="S47">
        <f t="shared" si="7"/>
        <v>0.56750000000000078</v>
      </c>
      <c r="U47">
        <f t="shared" si="8"/>
        <v>47.959651535992613</v>
      </c>
      <c r="V47">
        <v>86</v>
      </c>
      <c r="W47">
        <v>5</v>
      </c>
      <c r="AH47">
        <f t="shared" si="11"/>
        <v>5.7609383427879299</v>
      </c>
      <c r="AI47">
        <f t="shared" si="12"/>
        <v>46.205499016977072</v>
      </c>
      <c r="AJ47">
        <f t="shared" si="13"/>
        <v>58.968500983022935</v>
      </c>
      <c r="AL47">
        <f t="shared" si="14"/>
        <v>64.108876685575865</v>
      </c>
      <c r="AM47">
        <f t="shared" si="15"/>
        <v>41.065123314424142</v>
      </c>
    </row>
    <row r="48" spans="1:39" ht="16.5" x14ac:dyDescent="0.25">
      <c r="A48" s="1">
        <v>45629</v>
      </c>
      <c r="B48" s="5">
        <v>52</v>
      </c>
      <c r="C48" s="4">
        <v>52.6</v>
      </c>
      <c r="D48" s="4">
        <v>52.83</v>
      </c>
      <c r="E48" s="4">
        <v>52</v>
      </c>
      <c r="F48" s="4" t="s">
        <v>1415</v>
      </c>
      <c r="G48" s="2" t="s">
        <v>303</v>
      </c>
      <c r="I48">
        <f t="shared" si="0"/>
        <v>52.55</v>
      </c>
      <c r="J48">
        <f t="shared" si="1"/>
        <v>54.789750000000005</v>
      </c>
      <c r="L48">
        <f t="shared" si="2"/>
        <v>0</v>
      </c>
      <c r="M48">
        <f t="shared" si="3"/>
        <v>1</v>
      </c>
      <c r="O48">
        <f t="shared" si="4"/>
        <v>0</v>
      </c>
      <c r="P48">
        <f t="shared" si="5"/>
        <v>0.60000000000000142</v>
      </c>
      <c r="R48">
        <f t="shared" si="6"/>
        <v>0.51599999999999968</v>
      </c>
      <c r="S48">
        <f t="shared" si="7"/>
        <v>0.56750000000000078</v>
      </c>
      <c r="U48">
        <f t="shared" si="8"/>
        <v>47.623442547300364</v>
      </c>
      <c r="V48">
        <v>86</v>
      </c>
      <c r="W48">
        <v>5</v>
      </c>
      <c r="AH48">
        <f t="shared" si="11"/>
        <v>5.734323462674225</v>
      </c>
      <c r="AI48">
        <f t="shared" si="12"/>
        <v>46.168499016977066</v>
      </c>
      <c r="AJ48">
        <f t="shared" si="13"/>
        <v>58.931500983022929</v>
      </c>
      <c r="AL48">
        <f t="shared" si="14"/>
        <v>64.018646925348449</v>
      </c>
      <c r="AM48">
        <f t="shared" si="15"/>
        <v>41.081353074651545</v>
      </c>
    </row>
    <row r="49" spans="1:39" ht="16.5" x14ac:dyDescent="0.25">
      <c r="A49" s="1">
        <v>45628</v>
      </c>
      <c r="B49" s="5">
        <v>53.35</v>
      </c>
      <c r="C49" s="4">
        <v>52.32</v>
      </c>
      <c r="D49" s="4">
        <v>53.77</v>
      </c>
      <c r="E49" s="4">
        <v>52.14</v>
      </c>
      <c r="F49" s="4" t="s">
        <v>1416</v>
      </c>
      <c r="G49" s="2" t="s">
        <v>516</v>
      </c>
      <c r="I49">
        <f t="shared" si="0"/>
        <v>52.745000000000005</v>
      </c>
      <c r="J49">
        <f t="shared" si="1"/>
        <v>54.900750000000002</v>
      </c>
      <c r="L49">
        <f t="shared" si="2"/>
        <v>1</v>
      </c>
      <c r="M49">
        <f t="shared" si="3"/>
        <v>0</v>
      </c>
      <c r="O49">
        <f t="shared" si="4"/>
        <v>1.0300000000000011</v>
      </c>
      <c r="P49">
        <f t="shared" si="5"/>
        <v>0</v>
      </c>
      <c r="R49">
        <f t="shared" si="6"/>
        <v>0.51599999999999968</v>
      </c>
      <c r="S49">
        <f t="shared" si="7"/>
        <v>0.45000000000000107</v>
      </c>
      <c r="U49">
        <f t="shared" si="8"/>
        <v>53.416149068322902</v>
      </c>
      <c r="V49">
        <v>86</v>
      </c>
      <c r="W49">
        <v>5</v>
      </c>
      <c r="AH49">
        <f t="shared" si="11"/>
        <v>5.7071553296330171</v>
      </c>
      <c r="AI49">
        <f t="shared" si="12"/>
        <v>46.363499016977073</v>
      </c>
      <c r="AJ49">
        <f t="shared" si="13"/>
        <v>59.126500983022936</v>
      </c>
      <c r="AL49">
        <f t="shared" si="14"/>
        <v>64.15931065926604</v>
      </c>
      <c r="AM49">
        <f t="shared" si="15"/>
        <v>41.330689340733969</v>
      </c>
    </row>
    <row r="50" spans="1:39" ht="16.5" x14ac:dyDescent="0.25">
      <c r="A50" s="1">
        <v>45625</v>
      </c>
      <c r="B50" s="5">
        <v>52.96</v>
      </c>
      <c r="C50" s="4">
        <v>52.38</v>
      </c>
      <c r="D50" s="4">
        <v>52.97</v>
      </c>
      <c r="E50" s="4">
        <v>52.29</v>
      </c>
      <c r="F50" s="4" t="s">
        <v>1417</v>
      </c>
      <c r="G50" s="2" t="s">
        <v>38</v>
      </c>
      <c r="I50">
        <f t="shared" si="0"/>
        <v>52.886499999999998</v>
      </c>
      <c r="J50">
        <f t="shared" si="1"/>
        <v>55.008750000000006</v>
      </c>
      <c r="L50">
        <f t="shared" si="2"/>
        <v>1</v>
      </c>
      <c r="M50">
        <f t="shared" si="3"/>
        <v>0</v>
      </c>
      <c r="O50">
        <f t="shared" si="4"/>
        <v>0.57999999999999829</v>
      </c>
      <c r="P50">
        <f t="shared" si="5"/>
        <v>0</v>
      </c>
      <c r="R50">
        <f t="shared" si="6"/>
        <v>0.4588888888888884</v>
      </c>
      <c r="S50">
        <f t="shared" si="7"/>
        <v>0.38599999999999995</v>
      </c>
      <c r="U50">
        <f t="shared" si="8"/>
        <v>54.313519200420814</v>
      </c>
      <c r="V50">
        <v>86</v>
      </c>
      <c r="W50">
        <v>5</v>
      </c>
      <c r="AH50">
        <f t="shared" si="11"/>
        <v>5.6805654916159307</v>
      </c>
      <c r="AI50">
        <f t="shared" si="12"/>
        <v>46.504999016977067</v>
      </c>
      <c r="AJ50">
        <f t="shared" si="13"/>
        <v>59.26800098302293</v>
      </c>
      <c r="AL50">
        <f t="shared" si="14"/>
        <v>64.247630983231858</v>
      </c>
      <c r="AM50">
        <f t="shared" si="15"/>
        <v>41.525369016768138</v>
      </c>
    </row>
    <row r="51" spans="1:39" ht="16.5" x14ac:dyDescent="0.25">
      <c r="A51" s="1">
        <v>45624</v>
      </c>
      <c r="B51" s="5">
        <v>52.66</v>
      </c>
      <c r="C51" s="4">
        <v>52.33</v>
      </c>
      <c r="D51" s="4">
        <v>52.96</v>
      </c>
      <c r="E51" s="4">
        <v>52.3</v>
      </c>
      <c r="F51" s="4" t="s">
        <v>722</v>
      </c>
      <c r="G51" s="2" t="s">
        <v>45</v>
      </c>
      <c r="I51">
        <f t="shared" si="0"/>
        <v>53.035999999999987</v>
      </c>
      <c r="J51">
        <f t="shared" si="1"/>
        <v>55.117750000000001</v>
      </c>
      <c r="L51">
        <f t="shared" si="2"/>
        <v>1</v>
      </c>
      <c r="M51">
        <f t="shared" si="3"/>
        <v>0</v>
      </c>
      <c r="O51">
        <f t="shared" si="4"/>
        <v>0.32999999999999829</v>
      </c>
      <c r="P51">
        <f t="shared" si="5"/>
        <v>0</v>
      </c>
      <c r="R51">
        <f t="shared" si="6"/>
        <v>0.44374999999999964</v>
      </c>
      <c r="S51">
        <f t="shared" si="7"/>
        <v>0.32666666666666683</v>
      </c>
      <c r="U51">
        <f t="shared" si="8"/>
        <v>57.598702001081641</v>
      </c>
      <c r="V51">
        <v>86</v>
      </c>
      <c r="W51">
        <v>5</v>
      </c>
      <c r="AH51">
        <f t="shared" si="11"/>
        <v>5.6542970164739126</v>
      </c>
      <c r="AI51">
        <f t="shared" si="12"/>
        <v>46.654499016977056</v>
      </c>
      <c r="AJ51">
        <f t="shared" si="13"/>
        <v>59.417500983022919</v>
      </c>
      <c r="AL51">
        <f t="shared" si="14"/>
        <v>64.344594032947811</v>
      </c>
      <c r="AM51">
        <f t="shared" si="15"/>
        <v>41.727405967052164</v>
      </c>
    </row>
    <row r="52" spans="1:39" ht="16.5" x14ac:dyDescent="0.25">
      <c r="A52" s="1">
        <v>45623</v>
      </c>
      <c r="B52" s="5">
        <v>52.33</v>
      </c>
      <c r="C52" s="4">
        <v>52.11</v>
      </c>
      <c r="D52" s="4">
        <v>52.38</v>
      </c>
      <c r="E52" s="4">
        <v>51.91</v>
      </c>
      <c r="F52" s="4" t="s">
        <v>1418</v>
      </c>
      <c r="G52" s="2" t="s">
        <v>180</v>
      </c>
      <c r="I52">
        <f t="shared" si="0"/>
        <v>53.188000000000002</v>
      </c>
      <c r="J52">
        <f t="shared" si="1"/>
        <v>55.219250000000002</v>
      </c>
      <c r="L52">
        <f t="shared" si="2"/>
        <v>1</v>
      </c>
      <c r="M52">
        <f t="shared" si="3"/>
        <v>0</v>
      </c>
      <c r="O52">
        <f t="shared" si="4"/>
        <v>0.21999999999999886</v>
      </c>
      <c r="P52">
        <f t="shared" si="5"/>
        <v>0</v>
      </c>
      <c r="R52">
        <f t="shared" si="6"/>
        <v>0.45999999999999985</v>
      </c>
      <c r="S52">
        <f t="shared" si="7"/>
        <v>0.44285714285714306</v>
      </c>
      <c r="U52">
        <f t="shared" si="8"/>
        <v>50.94936708860758</v>
      </c>
      <c r="V52">
        <v>86</v>
      </c>
      <c r="W52">
        <v>5</v>
      </c>
      <c r="AH52">
        <f t="shared" si="11"/>
        <v>5.6283922390057004</v>
      </c>
      <c r="AI52">
        <f t="shared" si="12"/>
        <v>46.806499016977071</v>
      </c>
      <c r="AJ52">
        <f t="shared" si="13"/>
        <v>59.569500983022934</v>
      </c>
      <c r="AL52">
        <f t="shared" si="14"/>
        <v>64.4447844780114</v>
      </c>
      <c r="AM52">
        <f t="shared" si="15"/>
        <v>41.931215521988605</v>
      </c>
    </row>
    <row r="53" spans="1:39" ht="16.5" x14ac:dyDescent="0.25">
      <c r="A53" s="1">
        <v>45622</v>
      </c>
      <c r="B53" s="5">
        <v>52.28</v>
      </c>
      <c r="C53" s="4">
        <v>52.02</v>
      </c>
      <c r="D53" s="4">
        <v>52.52</v>
      </c>
      <c r="E53" s="4">
        <v>51.62</v>
      </c>
      <c r="F53" s="4" t="s">
        <v>1408</v>
      </c>
      <c r="G53" s="2" t="s">
        <v>63</v>
      </c>
      <c r="I53">
        <f t="shared" si="0"/>
        <v>53.391499999999994</v>
      </c>
      <c r="J53">
        <f t="shared" si="1"/>
        <v>55.344749999999998</v>
      </c>
      <c r="L53">
        <f t="shared" si="2"/>
        <v>1</v>
      </c>
      <c r="M53">
        <f t="shared" si="3"/>
        <v>0</v>
      </c>
      <c r="O53">
        <f t="shared" si="4"/>
        <v>0.25999999999999801</v>
      </c>
      <c r="P53">
        <f t="shared" si="5"/>
        <v>0</v>
      </c>
      <c r="R53">
        <f t="shared" si="6"/>
        <v>0.60142857142857153</v>
      </c>
      <c r="S53">
        <f t="shared" si="7"/>
        <v>0.44285714285714306</v>
      </c>
      <c r="U53">
        <f t="shared" si="8"/>
        <v>57.5923392612859</v>
      </c>
      <c r="V53">
        <v>86</v>
      </c>
      <c r="W53">
        <v>5</v>
      </c>
      <c r="AH53">
        <f t="shared" si="11"/>
        <v>5.6028667991794121</v>
      </c>
      <c r="AI53">
        <f t="shared" si="12"/>
        <v>47.009999016977062</v>
      </c>
      <c r="AJ53">
        <f t="shared" si="13"/>
        <v>59.773000983022925</v>
      </c>
      <c r="AL53">
        <f t="shared" si="14"/>
        <v>64.597233598358812</v>
      </c>
      <c r="AM53">
        <f t="shared" si="15"/>
        <v>42.185766401641168</v>
      </c>
    </row>
    <row r="54" spans="1:39" ht="16.5" x14ac:dyDescent="0.25">
      <c r="A54" s="1">
        <v>45621</v>
      </c>
      <c r="B54" s="5">
        <v>52.83</v>
      </c>
      <c r="C54" s="4">
        <v>52.79</v>
      </c>
      <c r="D54" s="4">
        <v>53.12</v>
      </c>
      <c r="E54" s="4">
        <v>52.29</v>
      </c>
      <c r="F54" s="4" t="s">
        <v>1419</v>
      </c>
      <c r="G54" s="2" t="s">
        <v>614</v>
      </c>
      <c r="I54">
        <f t="shared" si="0"/>
        <v>53.625</v>
      </c>
      <c r="J54">
        <f t="shared" si="1"/>
        <v>55.475249999999996</v>
      </c>
      <c r="L54">
        <f t="shared" si="2"/>
        <v>1</v>
      </c>
      <c r="M54">
        <f t="shared" si="3"/>
        <v>0</v>
      </c>
      <c r="O54">
        <f t="shared" si="4"/>
        <v>3.9999999999999147E-2</v>
      </c>
      <c r="P54">
        <f t="shared" si="5"/>
        <v>0</v>
      </c>
      <c r="R54">
        <f t="shared" si="6"/>
        <v>0.65833333333333377</v>
      </c>
      <c r="S54">
        <f t="shared" si="7"/>
        <v>0.62625000000000064</v>
      </c>
      <c r="U54">
        <f t="shared" si="8"/>
        <v>51.248783652286718</v>
      </c>
      <c r="V54">
        <v>86</v>
      </c>
      <c r="W54">
        <v>5</v>
      </c>
      <c r="AH54">
        <f t="shared" si="11"/>
        <v>5.5779729487204408</v>
      </c>
      <c r="AI54">
        <f t="shared" si="12"/>
        <v>47.243499016977069</v>
      </c>
      <c r="AJ54">
        <f t="shared" si="13"/>
        <v>60.006500983022931</v>
      </c>
      <c r="AL54">
        <f t="shared" si="14"/>
        <v>64.780945897440887</v>
      </c>
      <c r="AM54">
        <f t="shared" si="15"/>
        <v>42.46905410255912</v>
      </c>
    </row>
    <row r="55" spans="1:39" ht="16.5" x14ac:dyDescent="0.25">
      <c r="A55" s="1">
        <v>45618</v>
      </c>
      <c r="B55" s="5">
        <v>52.27</v>
      </c>
      <c r="C55" s="4">
        <v>51.89</v>
      </c>
      <c r="D55" s="4">
        <v>52.35</v>
      </c>
      <c r="E55" s="4">
        <v>50.98</v>
      </c>
      <c r="F55" s="4" t="s">
        <v>1420</v>
      </c>
      <c r="G55" s="2" t="s">
        <v>1421</v>
      </c>
      <c r="I55">
        <f t="shared" si="0"/>
        <v>53.854999999999997</v>
      </c>
      <c r="J55">
        <f t="shared" si="1"/>
        <v>55.605499999999992</v>
      </c>
      <c r="L55">
        <f t="shared" si="2"/>
        <v>1</v>
      </c>
      <c r="M55">
        <f t="shared" si="3"/>
        <v>0</v>
      </c>
      <c r="O55">
        <f t="shared" si="4"/>
        <v>0.38000000000000256</v>
      </c>
      <c r="P55">
        <f t="shared" si="5"/>
        <v>0</v>
      </c>
      <c r="R55">
        <f t="shared" si="6"/>
        <v>0.78200000000000069</v>
      </c>
      <c r="S55">
        <f t="shared" si="7"/>
        <v>0.59666666666666712</v>
      </c>
      <c r="U55">
        <f t="shared" si="8"/>
        <v>56.72147001934237</v>
      </c>
      <c r="V55">
        <v>86</v>
      </c>
      <c r="W55">
        <v>5</v>
      </c>
      <c r="AH55">
        <f t="shared" si="11"/>
        <v>5.5538569919431033</v>
      </c>
      <c r="AI55">
        <f t="shared" si="12"/>
        <v>47.473499016977065</v>
      </c>
      <c r="AJ55">
        <f t="shared" si="13"/>
        <v>60.236500983022928</v>
      </c>
      <c r="AL55">
        <f t="shared" si="14"/>
        <v>64.962713983886204</v>
      </c>
      <c r="AM55">
        <f t="shared" si="15"/>
        <v>42.74728601611379</v>
      </c>
    </row>
    <row r="56" spans="1:39" ht="16.5" x14ac:dyDescent="0.25">
      <c r="A56" s="1">
        <v>45617</v>
      </c>
      <c r="B56" s="5">
        <v>51.85</v>
      </c>
      <c r="C56" s="4">
        <v>51.89</v>
      </c>
      <c r="D56" s="4">
        <v>51.9</v>
      </c>
      <c r="E56" s="4">
        <v>50.98</v>
      </c>
      <c r="F56" s="4" t="s">
        <v>1422</v>
      </c>
      <c r="G56" s="2" t="s">
        <v>513</v>
      </c>
      <c r="I56">
        <f t="shared" si="0"/>
        <v>54.130999999999993</v>
      </c>
      <c r="J56">
        <f t="shared" si="1"/>
        <v>55.785999999999987</v>
      </c>
      <c r="L56">
        <f t="shared" si="2"/>
        <v>0</v>
      </c>
      <c r="M56">
        <f t="shared" si="3"/>
        <v>1</v>
      </c>
      <c r="O56">
        <f t="shared" si="4"/>
        <v>0</v>
      </c>
      <c r="P56">
        <f t="shared" si="5"/>
        <v>3.9999999999999147E-2</v>
      </c>
      <c r="R56">
        <f t="shared" si="6"/>
        <v>0.75400000000000067</v>
      </c>
      <c r="S56">
        <f t="shared" si="7"/>
        <v>0.59666666666666712</v>
      </c>
      <c r="U56">
        <f t="shared" si="8"/>
        <v>55.824284304047389</v>
      </c>
      <c r="V56">
        <v>86</v>
      </c>
      <c r="W56">
        <v>5</v>
      </c>
      <c r="AH56">
        <f t="shared" si="11"/>
        <v>5.5305036968080517</v>
      </c>
      <c r="AI56">
        <f t="shared" si="12"/>
        <v>47.749499016977062</v>
      </c>
      <c r="AJ56">
        <f t="shared" si="13"/>
        <v>60.512500983022925</v>
      </c>
      <c r="AL56">
        <f t="shared" si="14"/>
        <v>65.192007393616095</v>
      </c>
      <c r="AM56">
        <f t="shared" si="15"/>
        <v>43.069992606383892</v>
      </c>
    </row>
    <row r="57" spans="1:39" ht="16.5" x14ac:dyDescent="0.25">
      <c r="A57" s="1">
        <v>45616</v>
      </c>
      <c r="B57" s="5">
        <v>51.89</v>
      </c>
      <c r="C57" s="4">
        <v>53</v>
      </c>
      <c r="D57" s="4">
        <v>53.08</v>
      </c>
      <c r="E57" s="4">
        <v>51.83</v>
      </c>
      <c r="F57" s="4" t="s">
        <v>1423</v>
      </c>
      <c r="G57" s="2" t="s">
        <v>1040</v>
      </c>
      <c r="I57">
        <f t="shared" si="0"/>
        <v>54.456499999999991</v>
      </c>
      <c r="J57">
        <f t="shared" si="1"/>
        <v>55.93249999999999</v>
      </c>
      <c r="L57">
        <f t="shared" si="2"/>
        <v>0</v>
      </c>
      <c r="M57">
        <f t="shared" si="3"/>
        <v>1</v>
      </c>
      <c r="O57">
        <f t="shared" si="4"/>
        <v>0</v>
      </c>
      <c r="P57">
        <f t="shared" si="5"/>
        <v>1.1099999999999994</v>
      </c>
      <c r="R57">
        <f t="shared" si="6"/>
        <v>0.68666666666666742</v>
      </c>
      <c r="S57">
        <f t="shared" si="7"/>
        <v>0.66625000000000068</v>
      </c>
      <c r="U57">
        <f t="shared" si="8"/>
        <v>50.754542654758247</v>
      </c>
      <c r="V57">
        <v>86</v>
      </c>
      <c r="W57">
        <v>5</v>
      </c>
      <c r="AH57">
        <f t="shared" si="11"/>
        <v>5.5081288464880878</v>
      </c>
      <c r="AI57">
        <f t="shared" si="12"/>
        <v>48.07499901697706</v>
      </c>
      <c r="AJ57">
        <f t="shared" si="13"/>
        <v>60.838000983022923</v>
      </c>
      <c r="AL57">
        <f t="shared" si="14"/>
        <v>65.47275769297616</v>
      </c>
      <c r="AM57">
        <f t="shared" si="15"/>
        <v>43.440242307023816</v>
      </c>
    </row>
    <row r="58" spans="1:39" ht="16.5" x14ac:dyDescent="0.25">
      <c r="A58" s="1">
        <v>45615</v>
      </c>
      <c r="B58" s="5">
        <v>52.87</v>
      </c>
      <c r="C58" s="4">
        <v>53.39</v>
      </c>
      <c r="D58" s="4">
        <v>53.69</v>
      </c>
      <c r="E58" s="4">
        <v>52.1</v>
      </c>
      <c r="F58" s="4" t="s">
        <v>826</v>
      </c>
      <c r="G58" s="2" t="s">
        <v>1380</v>
      </c>
      <c r="I58">
        <f t="shared" si="0"/>
        <v>54.738500000000002</v>
      </c>
      <c r="J58">
        <f t="shared" si="1"/>
        <v>56.032249999999998</v>
      </c>
      <c r="L58">
        <f t="shared" si="2"/>
        <v>0</v>
      </c>
      <c r="M58">
        <f t="shared" si="3"/>
        <v>1</v>
      </c>
      <c r="O58">
        <f t="shared" si="4"/>
        <v>0</v>
      </c>
      <c r="P58">
        <f t="shared" si="5"/>
        <v>0.52000000000000313</v>
      </c>
      <c r="R58">
        <f t="shared" si="6"/>
        <v>0.68666666666666742</v>
      </c>
      <c r="S58">
        <f t="shared" si="7"/>
        <v>0.54500000000000082</v>
      </c>
      <c r="U58">
        <f t="shared" si="8"/>
        <v>55.751014884979689</v>
      </c>
      <c r="V58">
        <v>86</v>
      </c>
      <c r="W58">
        <v>5</v>
      </c>
      <c r="AH58">
        <f t="shared" si="11"/>
        <v>5.4869560686706791</v>
      </c>
      <c r="AI58">
        <f t="shared" si="12"/>
        <v>48.35699901697707</v>
      </c>
      <c r="AJ58">
        <f t="shared" si="13"/>
        <v>61.120000983022933</v>
      </c>
      <c r="AL58">
        <f t="shared" si="14"/>
        <v>65.71241213734136</v>
      </c>
      <c r="AM58">
        <f t="shared" si="15"/>
        <v>43.764587862658644</v>
      </c>
    </row>
    <row r="59" spans="1:39" ht="16.5" x14ac:dyDescent="0.25">
      <c r="A59" s="1">
        <v>45614</v>
      </c>
      <c r="B59" s="5">
        <v>53.51</v>
      </c>
      <c r="C59" s="4">
        <v>53.08</v>
      </c>
      <c r="D59" s="4">
        <v>53.92</v>
      </c>
      <c r="E59" s="4">
        <v>53.08</v>
      </c>
      <c r="F59" s="4" t="s">
        <v>1424</v>
      </c>
      <c r="G59" s="2" t="s">
        <v>642</v>
      </c>
      <c r="I59">
        <f t="shared" si="0"/>
        <v>54.964000000000013</v>
      </c>
      <c r="J59">
        <f t="shared" si="1"/>
        <v>56.131250000000001</v>
      </c>
      <c r="L59">
        <f t="shared" si="2"/>
        <v>1</v>
      </c>
      <c r="M59">
        <f t="shared" si="3"/>
        <v>0</v>
      </c>
      <c r="O59">
        <f t="shared" si="4"/>
        <v>0.42999999999999972</v>
      </c>
      <c r="P59">
        <f t="shared" si="5"/>
        <v>0</v>
      </c>
      <c r="R59">
        <f t="shared" si="6"/>
        <v>0.60285714285714376</v>
      </c>
      <c r="S59">
        <f t="shared" si="7"/>
        <v>0.54857142857142904</v>
      </c>
      <c r="U59">
        <f t="shared" si="8"/>
        <v>52.357320099255595</v>
      </c>
      <c r="V59">
        <v>86</v>
      </c>
      <c r="W59">
        <v>5</v>
      </c>
      <c r="AH59">
        <f t="shared" si="11"/>
        <v>5.466779954679609</v>
      </c>
      <c r="AI59">
        <f t="shared" si="12"/>
        <v>48.582499016977081</v>
      </c>
      <c r="AJ59">
        <f t="shared" si="13"/>
        <v>61.345500983022944</v>
      </c>
      <c r="AL59">
        <f t="shared" si="14"/>
        <v>65.897559909359231</v>
      </c>
      <c r="AM59">
        <f t="shared" si="15"/>
        <v>44.030440090640795</v>
      </c>
    </row>
    <row r="60" spans="1:39" ht="16.5" x14ac:dyDescent="0.25">
      <c r="A60" s="1">
        <v>45611</v>
      </c>
      <c r="B60" s="5">
        <v>52.95</v>
      </c>
      <c r="C60" s="4">
        <v>51.93</v>
      </c>
      <c r="D60" s="4">
        <v>53.37</v>
      </c>
      <c r="E60" s="4">
        <v>51.91</v>
      </c>
      <c r="F60" s="4" t="s">
        <v>1425</v>
      </c>
      <c r="G60" s="2" t="s">
        <v>249</v>
      </c>
      <c r="I60">
        <f t="shared" si="0"/>
        <v>55.138500000000001</v>
      </c>
      <c r="J60">
        <f t="shared" si="1"/>
        <v>56.195749999999997</v>
      </c>
      <c r="L60">
        <f t="shared" si="2"/>
        <v>1</v>
      </c>
      <c r="M60">
        <f t="shared" si="3"/>
        <v>0</v>
      </c>
      <c r="O60">
        <f t="shared" si="4"/>
        <v>1.0200000000000031</v>
      </c>
      <c r="P60">
        <f t="shared" si="5"/>
        <v>0</v>
      </c>
      <c r="R60">
        <f t="shared" si="6"/>
        <v>0.63166666666666771</v>
      </c>
      <c r="S60">
        <f t="shared" si="7"/>
        <v>0.52374999999999972</v>
      </c>
      <c r="U60">
        <f t="shared" si="8"/>
        <v>54.670032455824064</v>
      </c>
      <c r="V60">
        <v>86</v>
      </c>
      <c r="W60">
        <v>5</v>
      </c>
      <c r="AH60">
        <f t="shared" si="11"/>
        <v>5.4473443309872165</v>
      </c>
      <c r="AI60">
        <f t="shared" si="12"/>
        <v>48.756999016977069</v>
      </c>
      <c r="AJ60">
        <f t="shared" si="13"/>
        <v>61.520000983022932</v>
      </c>
      <c r="AL60">
        <f t="shared" si="14"/>
        <v>66.033188661974435</v>
      </c>
      <c r="AM60">
        <f t="shared" si="15"/>
        <v>44.243811338025566</v>
      </c>
    </row>
    <row r="61" spans="1:39" ht="16.5" x14ac:dyDescent="0.25">
      <c r="A61" s="1">
        <v>45610</v>
      </c>
      <c r="B61" s="5">
        <v>52.47</v>
      </c>
      <c r="C61" s="4">
        <v>51.6</v>
      </c>
      <c r="D61" s="4">
        <v>52.68</v>
      </c>
      <c r="E61" s="4">
        <v>51.37</v>
      </c>
      <c r="F61" s="4" t="s">
        <v>1426</v>
      </c>
      <c r="G61" s="2" t="s">
        <v>381</v>
      </c>
      <c r="I61">
        <f t="shared" si="0"/>
        <v>55.355999999999995</v>
      </c>
      <c r="J61">
        <f t="shared" si="1"/>
        <v>56.246749999999999</v>
      </c>
      <c r="L61">
        <f t="shared" si="2"/>
        <v>1</v>
      </c>
      <c r="M61">
        <f t="shared" si="3"/>
        <v>0</v>
      </c>
      <c r="O61">
        <f t="shared" si="4"/>
        <v>0.86999999999999744</v>
      </c>
      <c r="P61">
        <f t="shared" si="5"/>
        <v>0</v>
      </c>
      <c r="R61">
        <f t="shared" si="6"/>
        <v>0.5540000000000006</v>
      </c>
      <c r="S61">
        <f t="shared" si="7"/>
        <v>0.56555555555555515</v>
      </c>
      <c r="U61">
        <f t="shared" si="8"/>
        <v>49.483922191345819</v>
      </c>
      <c r="V61">
        <v>86</v>
      </c>
      <c r="W61">
        <v>5</v>
      </c>
      <c r="AH61">
        <f t="shared" si="11"/>
        <v>5.4284237031179252</v>
      </c>
      <c r="AI61">
        <f t="shared" si="12"/>
        <v>48.974499016977063</v>
      </c>
      <c r="AJ61">
        <f t="shared" si="13"/>
        <v>61.737500983022926</v>
      </c>
      <c r="AL61">
        <f t="shared" si="14"/>
        <v>66.212847406235852</v>
      </c>
      <c r="AM61">
        <f t="shared" si="15"/>
        <v>44.499152593764144</v>
      </c>
    </row>
    <row r="62" spans="1:39" ht="16.5" x14ac:dyDescent="0.25">
      <c r="A62" s="1">
        <v>45609</v>
      </c>
      <c r="B62" s="5">
        <v>51.44</v>
      </c>
      <c r="C62" s="4">
        <v>51.57</v>
      </c>
      <c r="D62" s="4">
        <v>51.76</v>
      </c>
      <c r="E62" s="4">
        <v>50.75</v>
      </c>
      <c r="F62" s="4" t="s">
        <v>1427</v>
      </c>
      <c r="G62" s="2" t="s">
        <v>1428</v>
      </c>
      <c r="I62">
        <f t="shared" si="0"/>
        <v>55.577500000000001</v>
      </c>
      <c r="J62">
        <f t="shared" si="1"/>
        <v>56.410250000000005</v>
      </c>
      <c r="L62">
        <f t="shared" si="2"/>
        <v>0</v>
      </c>
      <c r="M62">
        <f t="shared" si="3"/>
        <v>1</v>
      </c>
      <c r="O62">
        <f t="shared" si="4"/>
        <v>0</v>
      </c>
      <c r="P62">
        <f t="shared" si="5"/>
        <v>0.13000000000000256</v>
      </c>
      <c r="R62">
        <f t="shared" si="6"/>
        <v>0.63400000000000034</v>
      </c>
      <c r="S62">
        <f t="shared" si="7"/>
        <v>0.56555555555555515</v>
      </c>
      <c r="U62">
        <f t="shared" si="8"/>
        <v>52.852908484623967</v>
      </c>
      <c r="V62">
        <v>86</v>
      </c>
      <c r="W62">
        <v>5</v>
      </c>
      <c r="AH62">
        <f t="shared" si="11"/>
        <v>5.4102072727973329</v>
      </c>
      <c r="AI62">
        <f t="shared" si="12"/>
        <v>49.195999016977069</v>
      </c>
      <c r="AJ62">
        <f t="shared" si="13"/>
        <v>61.959000983022932</v>
      </c>
      <c r="AL62">
        <f t="shared" si="14"/>
        <v>66.397914545594659</v>
      </c>
      <c r="AM62">
        <f t="shared" si="15"/>
        <v>44.757085454405335</v>
      </c>
    </row>
    <row r="63" spans="1:39" ht="16.5" x14ac:dyDescent="0.25">
      <c r="A63" s="1">
        <v>45608</v>
      </c>
      <c r="B63" s="5">
        <v>52.06</v>
      </c>
      <c r="C63" s="4">
        <v>52.19</v>
      </c>
      <c r="D63" s="4">
        <v>53.15</v>
      </c>
      <c r="E63" s="4">
        <v>51.87</v>
      </c>
      <c r="F63" s="4" t="s">
        <v>1429</v>
      </c>
      <c r="G63" s="2" t="s">
        <v>1096</v>
      </c>
      <c r="I63">
        <f t="shared" si="0"/>
        <v>55.843999999999994</v>
      </c>
      <c r="J63">
        <f t="shared" si="1"/>
        <v>56.564499999999995</v>
      </c>
      <c r="L63">
        <f t="shared" si="2"/>
        <v>0</v>
      </c>
      <c r="M63">
        <f t="shared" si="3"/>
        <v>1</v>
      </c>
      <c r="O63">
        <f t="shared" si="4"/>
        <v>0</v>
      </c>
      <c r="P63">
        <f t="shared" si="5"/>
        <v>0.12999999999999545</v>
      </c>
      <c r="R63">
        <f t="shared" si="6"/>
        <v>0.66500000000000037</v>
      </c>
      <c r="S63">
        <f t="shared" si="7"/>
        <v>0.61999999999999922</v>
      </c>
      <c r="U63">
        <f t="shared" si="8"/>
        <v>51.750972762645958</v>
      </c>
      <c r="V63">
        <v>86</v>
      </c>
      <c r="W63">
        <v>5</v>
      </c>
      <c r="AH63">
        <f t="shared" si="11"/>
        <v>5.3927110199559047</v>
      </c>
      <c r="AI63">
        <f t="shared" si="12"/>
        <v>49.462499016977063</v>
      </c>
      <c r="AJ63">
        <f t="shared" si="13"/>
        <v>62.225500983022926</v>
      </c>
      <c r="AL63">
        <f t="shared" si="14"/>
        <v>66.629422039911802</v>
      </c>
      <c r="AM63">
        <f t="shared" si="15"/>
        <v>45.058577960088186</v>
      </c>
    </row>
    <row r="64" spans="1:39" ht="16.5" x14ac:dyDescent="0.25">
      <c r="A64" s="1">
        <v>45607</v>
      </c>
      <c r="B64" s="5">
        <v>52.85</v>
      </c>
      <c r="C64" s="4">
        <v>52.88</v>
      </c>
      <c r="D64" s="4">
        <v>52.96</v>
      </c>
      <c r="E64" s="4">
        <v>51.86</v>
      </c>
      <c r="F64" s="4" t="s">
        <v>1430</v>
      </c>
      <c r="G64" s="2" t="s">
        <v>368</v>
      </c>
      <c r="I64">
        <f t="shared" si="0"/>
        <v>56.104499999999994</v>
      </c>
      <c r="J64">
        <f t="shared" si="1"/>
        <v>56.692250000000001</v>
      </c>
      <c r="L64">
        <f t="shared" si="2"/>
        <v>0</v>
      </c>
      <c r="M64">
        <f t="shared" si="3"/>
        <v>1</v>
      </c>
      <c r="O64">
        <f t="shared" si="4"/>
        <v>0</v>
      </c>
      <c r="P64">
        <f t="shared" si="5"/>
        <v>3.0000000000001137E-2</v>
      </c>
      <c r="R64">
        <f t="shared" si="6"/>
        <v>0.66500000000000037</v>
      </c>
      <c r="S64">
        <f t="shared" si="7"/>
        <v>0.6324999999999994</v>
      </c>
      <c r="U64">
        <f t="shared" si="8"/>
        <v>51.252408477842039</v>
      </c>
      <c r="V64">
        <v>86</v>
      </c>
      <c r="W64">
        <v>5</v>
      </c>
      <c r="AH64">
        <f t="shared" si="11"/>
        <v>5.3761236688512284</v>
      </c>
      <c r="AI64">
        <f t="shared" si="12"/>
        <v>49.722999016977063</v>
      </c>
      <c r="AJ64">
        <f t="shared" si="13"/>
        <v>62.486000983022926</v>
      </c>
      <c r="AL64">
        <f t="shared" si="14"/>
        <v>66.856747337702444</v>
      </c>
      <c r="AM64">
        <f t="shared" si="15"/>
        <v>45.352252662297538</v>
      </c>
    </row>
    <row r="65" spans="1:39" ht="16.5" x14ac:dyDescent="0.25">
      <c r="A65" s="1">
        <v>45604</v>
      </c>
      <c r="B65" s="5">
        <v>52.36</v>
      </c>
      <c r="C65" s="4">
        <v>53.5</v>
      </c>
      <c r="D65" s="4">
        <v>53.5</v>
      </c>
      <c r="E65" s="4">
        <v>51.98</v>
      </c>
      <c r="F65" s="4" t="s">
        <v>1081</v>
      </c>
      <c r="G65" s="2" t="s">
        <v>217</v>
      </c>
      <c r="I65">
        <f t="shared" si="0"/>
        <v>56.349999999999987</v>
      </c>
      <c r="J65">
        <f t="shared" si="1"/>
        <v>56.784500000000001</v>
      </c>
      <c r="L65">
        <f t="shared" si="2"/>
        <v>0</v>
      </c>
      <c r="M65">
        <f t="shared" si="3"/>
        <v>1</v>
      </c>
      <c r="O65">
        <f t="shared" si="4"/>
        <v>0</v>
      </c>
      <c r="P65">
        <f t="shared" si="5"/>
        <v>1.1400000000000006</v>
      </c>
      <c r="R65">
        <f t="shared" si="6"/>
        <v>0.65000000000000058</v>
      </c>
      <c r="S65">
        <f t="shared" si="7"/>
        <v>0.71857142857142775</v>
      </c>
      <c r="U65">
        <f t="shared" si="8"/>
        <v>47.494780793319471</v>
      </c>
      <c r="V65">
        <v>86</v>
      </c>
      <c r="W65">
        <v>5</v>
      </c>
      <c r="AH65">
        <f t="shared" si="11"/>
        <v>5.3604131666625419</v>
      </c>
      <c r="AI65">
        <f t="shared" si="12"/>
        <v>49.968499016977056</v>
      </c>
      <c r="AJ65">
        <f t="shared" si="13"/>
        <v>62.731500983022919</v>
      </c>
      <c r="AL65">
        <f t="shared" si="14"/>
        <v>67.070826333325073</v>
      </c>
      <c r="AM65">
        <f t="shared" si="15"/>
        <v>45.629173666674902</v>
      </c>
    </row>
    <row r="66" spans="1:39" ht="16.5" x14ac:dyDescent="0.25">
      <c r="A66" s="1">
        <v>45603</v>
      </c>
      <c r="B66" s="5">
        <v>53.77</v>
      </c>
      <c r="C66" s="4">
        <v>52.56</v>
      </c>
      <c r="D66" s="4">
        <v>54.17</v>
      </c>
      <c r="E66" s="4">
        <v>52.39</v>
      </c>
      <c r="F66" s="4" t="s">
        <v>1431</v>
      </c>
      <c r="G66" s="2" t="s">
        <v>1019</v>
      </c>
      <c r="I66">
        <f t="shared" ref="I66:I129" si="16">AVERAGE(B66:B85)</f>
        <v>56.62299999999999</v>
      </c>
      <c r="J66">
        <f t="shared" ref="J66:J129" si="17">AVERAGE(B66:B105)</f>
        <v>56.893999999999991</v>
      </c>
      <c r="L66">
        <f t="shared" ref="L66:L129" si="18">IF($C66&lt;$B66,1,0)</f>
        <v>1</v>
      </c>
      <c r="M66">
        <f t="shared" ref="M66:M129" si="19">IF($C66&lt;$B66,0,1)</f>
        <v>0</v>
      </c>
      <c r="O66">
        <f t="shared" ref="O66:O129" si="20">IF($C66&lt;$B66,B66-C66,0)</f>
        <v>1.2100000000000009</v>
      </c>
      <c r="P66">
        <f t="shared" ref="P66:P129" si="21">IF($B66&lt;$C66,C66-B66,0)</f>
        <v>0</v>
      </c>
      <c r="R66">
        <f t="shared" ref="R66:R129" si="22">SUM(O66:O79)/SUM(L66:L79)</f>
        <v>0.65000000000000058</v>
      </c>
      <c r="S66">
        <f t="shared" ref="S66:S129" si="23">SUM(P66:P79)/SUM(M66:M79)</f>
        <v>0.56714285714285595</v>
      </c>
      <c r="U66">
        <f t="shared" ref="U66:U129" si="24">100-(100/(1+(R66/S66)))</f>
        <v>53.403755868544671</v>
      </c>
      <c r="V66">
        <v>86</v>
      </c>
      <c r="W66">
        <v>5</v>
      </c>
      <c r="AH66">
        <f t="shared" si="11"/>
        <v>5.345511086852401</v>
      </c>
      <c r="AI66">
        <f t="shared" si="12"/>
        <v>50.241499016977059</v>
      </c>
      <c r="AJ66">
        <f t="shared" si="13"/>
        <v>63.004500983022922</v>
      </c>
      <c r="AL66">
        <f t="shared" si="14"/>
        <v>67.314022173704785</v>
      </c>
      <c r="AM66">
        <f t="shared" si="15"/>
        <v>45.931977826295189</v>
      </c>
    </row>
    <row r="67" spans="1:39" ht="16.5" x14ac:dyDescent="0.25">
      <c r="A67" s="1">
        <v>45602</v>
      </c>
      <c r="B67" s="5">
        <v>52.3</v>
      </c>
      <c r="C67" s="4">
        <v>54.21</v>
      </c>
      <c r="D67" s="4">
        <v>54.95</v>
      </c>
      <c r="E67" s="4">
        <v>51.91</v>
      </c>
      <c r="F67" s="4" t="s">
        <v>1146</v>
      </c>
      <c r="G67" s="2" t="s">
        <v>1432</v>
      </c>
      <c r="I67">
        <f t="shared" si="16"/>
        <v>56.794499999999992</v>
      </c>
      <c r="J67">
        <f t="shared" si="17"/>
        <v>56.941499999999998</v>
      </c>
      <c r="L67">
        <f t="shared" si="18"/>
        <v>0</v>
      </c>
      <c r="M67">
        <f t="shared" si="19"/>
        <v>1</v>
      </c>
      <c r="O67">
        <f t="shared" si="20"/>
        <v>0</v>
      </c>
      <c r="P67">
        <f t="shared" si="21"/>
        <v>1.9100000000000037</v>
      </c>
      <c r="R67">
        <f t="shared" si="22"/>
        <v>0.52857142857142903</v>
      </c>
      <c r="S67">
        <f t="shared" si="23"/>
        <v>0.56714285714285595</v>
      </c>
      <c r="U67">
        <f t="shared" si="24"/>
        <v>48.23989569752289</v>
      </c>
      <c r="V67">
        <v>86</v>
      </c>
      <c r="W67">
        <v>5</v>
      </c>
      <c r="AH67">
        <f t="shared" ref="AH67:AH130" si="25">_xlfn.STDEV.S(I67:I597)</f>
        <v>5.3315215373914091</v>
      </c>
      <c r="AI67">
        <f t="shared" ref="AI67:AI130" si="26">I67-$AH$2</f>
        <v>50.412999016977061</v>
      </c>
      <c r="AJ67">
        <f t="shared" ref="AJ67:AJ130" si="27">I67+$AH$2</f>
        <v>63.176000983022924</v>
      </c>
      <c r="AL67">
        <f t="shared" ref="AL67:AL130" si="28">I67+(AH67*2)</f>
        <v>67.457543074782805</v>
      </c>
      <c r="AM67">
        <f t="shared" ref="AM67:AM130" si="29">I67-(AH67*2)</f>
        <v>46.131456925217172</v>
      </c>
    </row>
    <row r="68" spans="1:39" ht="16.5" x14ac:dyDescent="0.25">
      <c r="A68" s="1">
        <v>45601</v>
      </c>
      <c r="B68" s="5">
        <v>55.9</v>
      </c>
      <c r="C68" s="4">
        <v>56.26</v>
      </c>
      <c r="D68" s="4">
        <v>56.36</v>
      </c>
      <c r="E68" s="4">
        <v>55.52</v>
      </c>
      <c r="F68" s="4" t="s">
        <v>77</v>
      </c>
      <c r="G68" s="2" t="s">
        <v>508</v>
      </c>
      <c r="I68">
        <f t="shared" si="16"/>
        <v>57.029499999999999</v>
      </c>
      <c r="J68">
        <f t="shared" si="17"/>
        <v>57.025999999999989</v>
      </c>
      <c r="L68">
        <f t="shared" si="18"/>
        <v>0</v>
      </c>
      <c r="M68">
        <f t="shared" si="19"/>
        <v>1</v>
      </c>
      <c r="O68">
        <f t="shared" si="20"/>
        <v>0</v>
      </c>
      <c r="P68">
        <f t="shared" si="21"/>
        <v>0.35999999999999943</v>
      </c>
      <c r="R68">
        <f t="shared" si="22"/>
        <v>0.47500000000000053</v>
      </c>
      <c r="S68">
        <f t="shared" si="23"/>
        <v>0.34333333333333133</v>
      </c>
      <c r="U68">
        <f t="shared" si="24"/>
        <v>58.044806517311784</v>
      </c>
      <c r="V68">
        <v>86</v>
      </c>
      <c r="W68">
        <v>5</v>
      </c>
      <c r="AH68">
        <f t="shared" si="25"/>
        <v>5.3180342136859808</v>
      </c>
      <c r="AI68">
        <f t="shared" si="26"/>
        <v>50.647999016977067</v>
      </c>
      <c r="AJ68">
        <f t="shared" si="27"/>
        <v>63.41100098302293</v>
      </c>
      <c r="AL68">
        <f t="shared" si="28"/>
        <v>67.665568427371966</v>
      </c>
      <c r="AM68">
        <f t="shared" si="29"/>
        <v>46.393431572628039</v>
      </c>
    </row>
    <row r="69" spans="1:39" ht="16.5" x14ac:dyDescent="0.25">
      <c r="A69" s="1">
        <v>45600</v>
      </c>
      <c r="B69" s="5">
        <v>56.18</v>
      </c>
      <c r="C69" s="4">
        <v>55.94</v>
      </c>
      <c r="D69" s="4">
        <v>56.78</v>
      </c>
      <c r="E69" s="4">
        <v>55.9</v>
      </c>
      <c r="F69" s="4" t="s">
        <v>216</v>
      </c>
      <c r="G69" s="2" t="s">
        <v>131</v>
      </c>
      <c r="I69">
        <f t="shared" si="16"/>
        <v>57.056500000000007</v>
      </c>
      <c r="J69">
        <f t="shared" si="17"/>
        <v>57.013500000000001</v>
      </c>
      <c r="L69">
        <f t="shared" si="18"/>
        <v>1</v>
      </c>
      <c r="M69">
        <f t="shared" si="19"/>
        <v>0</v>
      </c>
      <c r="O69">
        <f t="shared" si="20"/>
        <v>0.24000000000000199</v>
      </c>
      <c r="P69">
        <f t="shared" si="21"/>
        <v>0</v>
      </c>
      <c r="R69">
        <f t="shared" si="22"/>
        <v>0.47500000000000053</v>
      </c>
      <c r="S69">
        <f t="shared" si="23"/>
        <v>0.30499999999999733</v>
      </c>
      <c r="U69">
        <f t="shared" si="24"/>
        <v>60.897435897436132</v>
      </c>
      <c r="V69">
        <v>86</v>
      </c>
      <c r="W69">
        <v>5</v>
      </c>
      <c r="AH69">
        <f t="shared" si="25"/>
        <v>5.3052962823137939</v>
      </c>
      <c r="AI69">
        <f t="shared" si="26"/>
        <v>50.674999016977075</v>
      </c>
      <c r="AJ69">
        <f t="shared" si="27"/>
        <v>63.438000983022938</v>
      </c>
      <c r="AL69">
        <f t="shared" si="28"/>
        <v>67.667092564627595</v>
      </c>
      <c r="AM69">
        <f t="shared" si="29"/>
        <v>46.445907435372419</v>
      </c>
    </row>
    <row r="70" spans="1:39" ht="16.5" x14ac:dyDescent="0.25">
      <c r="A70" s="1">
        <v>45597</v>
      </c>
      <c r="B70" s="5">
        <v>55.95</v>
      </c>
      <c r="C70" s="4">
        <v>55.6</v>
      </c>
      <c r="D70" s="4">
        <v>56.27</v>
      </c>
      <c r="E70" s="4">
        <v>55.6</v>
      </c>
      <c r="F70" s="4" t="s">
        <v>343</v>
      </c>
      <c r="G70" s="2" t="s">
        <v>160</v>
      </c>
      <c r="I70">
        <f t="shared" si="16"/>
        <v>57.131000000000007</v>
      </c>
      <c r="J70">
        <f t="shared" si="17"/>
        <v>57.064999999999984</v>
      </c>
      <c r="L70">
        <f t="shared" si="18"/>
        <v>1</v>
      </c>
      <c r="M70">
        <f t="shared" si="19"/>
        <v>0</v>
      </c>
      <c r="O70">
        <f t="shared" si="20"/>
        <v>0.35000000000000142</v>
      </c>
      <c r="P70">
        <f t="shared" si="21"/>
        <v>0</v>
      </c>
      <c r="R70">
        <f t="shared" si="22"/>
        <v>0.5085714285714289</v>
      </c>
      <c r="S70">
        <f t="shared" si="23"/>
        <v>0.34285714285714064</v>
      </c>
      <c r="U70">
        <f t="shared" si="24"/>
        <v>59.731543624161247</v>
      </c>
      <c r="V70">
        <v>86</v>
      </c>
      <c r="W70">
        <v>5</v>
      </c>
      <c r="AH70">
        <f t="shared" si="25"/>
        <v>5.2924973208787502</v>
      </c>
      <c r="AI70">
        <f t="shared" si="26"/>
        <v>50.749499016977076</v>
      </c>
      <c r="AJ70">
        <f t="shared" si="27"/>
        <v>63.512500983022939</v>
      </c>
      <c r="AL70">
        <f t="shared" si="28"/>
        <v>67.715994641757504</v>
      </c>
      <c r="AM70">
        <f t="shared" si="29"/>
        <v>46.54600535824251</v>
      </c>
    </row>
    <row r="71" spans="1:39" ht="16.5" x14ac:dyDescent="0.25">
      <c r="A71" s="1">
        <v>45596</v>
      </c>
      <c r="B71" s="5">
        <v>55.7</v>
      </c>
      <c r="C71" s="4">
        <v>55.84</v>
      </c>
      <c r="D71" s="4">
        <v>56.44</v>
      </c>
      <c r="E71" s="4">
        <v>55.7</v>
      </c>
      <c r="F71" s="4" t="s">
        <v>1413</v>
      </c>
      <c r="G71" s="2" t="s">
        <v>495</v>
      </c>
      <c r="I71">
        <f t="shared" si="16"/>
        <v>57.1995</v>
      </c>
      <c r="J71">
        <f t="shared" si="17"/>
        <v>57.127499999999984</v>
      </c>
      <c r="L71">
        <f t="shared" si="18"/>
        <v>0</v>
      </c>
      <c r="M71">
        <f t="shared" si="19"/>
        <v>1</v>
      </c>
      <c r="O71">
        <f t="shared" si="20"/>
        <v>0</v>
      </c>
      <c r="P71">
        <f t="shared" si="21"/>
        <v>0.14000000000000057</v>
      </c>
      <c r="R71">
        <f t="shared" si="22"/>
        <v>0.53500000000000014</v>
      </c>
      <c r="S71">
        <f t="shared" si="23"/>
        <v>0.33749999999999858</v>
      </c>
      <c r="U71">
        <f t="shared" si="24"/>
        <v>61.318051575931342</v>
      </c>
      <c r="V71">
        <v>86</v>
      </c>
      <c r="W71">
        <v>5</v>
      </c>
      <c r="AH71">
        <f t="shared" si="25"/>
        <v>5.2798224004210654</v>
      </c>
      <c r="AI71">
        <f t="shared" si="26"/>
        <v>50.817999016977069</v>
      </c>
      <c r="AJ71">
        <f t="shared" si="27"/>
        <v>63.581000983022932</v>
      </c>
      <c r="AL71">
        <f t="shared" si="28"/>
        <v>67.759144800842137</v>
      </c>
      <c r="AM71">
        <f t="shared" si="29"/>
        <v>46.639855199157871</v>
      </c>
    </row>
    <row r="72" spans="1:39" ht="16.5" x14ac:dyDescent="0.25">
      <c r="A72" s="1">
        <v>45595</v>
      </c>
      <c r="B72" s="5">
        <v>56.4</v>
      </c>
      <c r="C72" s="4">
        <v>56.3</v>
      </c>
      <c r="D72" s="4">
        <v>56.55</v>
      </c>
      <c r="E72" s="4">
        <v>55.64</v>
      </c>
      <c r="F72" s="4" t="s">
        <v>1433</v>
      </c>
      <c r="G72" s="2" t="s">
        <v>429</v>
      </c>
      <c r="I72">
        <f t="shared" si="16"/>
        <v>57.250500000000002</v>
      </c>
      <c r="J72">
        <f t="shared" si="17"/>
        <v>57.23599999999999</v>
      </c>
      <c r="L72">
        <f t="shared" si="18"/>
        <v>1</v>
      </c>
      <c r="M72">
        <f t="shared" si="19"/>
        <v>0</v>
      </c>
      <c r="O72">
        <f t="shared" si="20"/>
        <v>0.10000000000000142</v>
      </c>
      <c r="P72">
        <f t="shared" si="21"/>
        <v>0</v>
      </c>
      <c r="R72">
        <f t="shared" si="22"/>
        <v>0.57428571428571473</v>
      </c>
      <c r="S72">
        <f t="shared" si="23"/>
        <v>0.36571428571428399</v>
      </c>
      <c r="U72">
        <f t="shared" si="24"/>
        <v>61.094224924012295</v>
      </c>
      <c r="V72">
        <v>86</v>
      </c>
      <c r="W72">
        <v>5</v>
      </c>
      <c r="AH72">
        <f t="shared" si="25"/>
        <v>5.2672491140061712</v>
      </c>
      <c r="AI72">
        <f t="shared" si="26"/>
        <v>50.868999016977071</v>
      </c>
      <c r="AJ72">
        <f t="shared" si="27"/>
        <v>63.632000983022934</v>
      </c>
      <c r="AL72">
        <f t="shared" si="28"/>
        <v>67.784998228012341</v>
      </c>
      <c r="AM72">
        <f t="shared" si="29"/>
        <v>46.716001771987663</v>
      </c>
    </row>
    <row r="73" spans="1:39" ht="16.5" x14ac:dyDescent="0.25">
      <c r="A73" s="1">
        <v>45594</v>
      </c>
      <c r="B73" s="5">
        <v>56.95</v>
      </c>
      <c r="C73" s="4">
        <v>57.3</v>
      </c>
      <c r="D73" s="4">
        <v>57.81</v>
      </c>
      <c r="E73" s="4">
        <v>56.6</v>
      </c>
      <c r="F73" s="4" t="s">
        <v>1434</v>
      </c>
      <c r="G73" s="2" t="s">
        <v>1221</v>
      </c>
      <c r="I73">
        <f t="shared" si="16"/>
        <v>57.298000000000002</v>
      </c>
      <c r="J73">
        <f t="shared" si="17"/>
        <v>57.323249999999987</v>
      </c>
      <c r="L73">
        <f t="shared" si="18"/>
        <v>0</v>
      </c>
      <c r="M73">
        <f t="shared" si="19"/>
        <v>1</v>
      </c>
      <c r="O73">
        <f t="shared" si="20"/>
        <v>0</v>
      </c>
      <c r="P73">
        <f t="shared" si="21"/>
        <v>0.34999999999999432</v>
      </c>
      <c r="R73">
        <f t="shared" si="22"/>
        <v>0.59571428571428597</v>
      </c>
      <c r="S73">
        <f t="shared" si="23"/>
        <v>0.36571428571428399</v>
      </c>
      <c r="U73">
        <f t="shared" si="24"/>
        <v>61.961367013373078</v>
      </c>
      <c r="V73">
        <v>86</v>
      </c>
      <c r="W73">
        <v>5</v>
      </c>
      <c r="AH73">
        <f t="shared" si="25"/>
        <v>5.254710045348526</v>
      </c>
      <c r="AI73">
        <f t="shared" si="26"/>
        <v>50.91649901697707</v>
      </c>
      <c r="AJ73">
        <f t="shared" si="27"/>
        <v>63.679500983022933</v>
      </c>
      <c r="AL73">
        <f t="shared" si="28"/>
        <v>67.80742009069705</v>
      </c>
      <c r="AM73">
        <f t="shared" si="29"/>
        <v>46.788579909302953</v>
      </c>
    </row>
    <row r="74" spans="1:39" ht="16.5" x14ac:dyDescent="0.25">
      <c r="A74" s="1">
        <v>45593</v>
      </c>
      <c r="B74" s="5">
        <v>57.43</v>
      </c>
      <c r="C74" s="4">
        <v>58.33</v>
      </c>
      <c r="D74" s="4">
        <v>58.42</v>
      </c>
      <c r="E74" s="4">
        <v>56.74</v>
      </c>
      <c r="F74" s="4" t="s">
        <v>1435</v>
      </c>
      <c r="G74" s="2" t="s">
        <v>1026</v>
      </c>
      <c r="I74">
        <f t="shared" si="16"/>
        <v>57.325499999999998</v>
      </c>
      <c r="J74">
        <f t="shared" si="17"/>
        <v>57.42199999999999</v>
      </c>
      <c r="L74">
        <f t="shared" si="18"/>
        <v>0</v>
      </c>
      <c r="M74">
        <f t="shared" si="19"/>
        <v>1</v>
      </c>
      <c r="O74">
        <f t="shared" si="20"/>
        <v>0</v>
      </c>
      <c r="P74">
        <f t="shared" si="21"/>
        <v>0.89999999999999858</v>
      </c>
      <c r="R74">
        <f t="shared" si="22"/>
        <v>0.57125000000000004</v>
      </c>
      <c r="S74">
        <f t="shared" si="23"/>
        <v>0.36833333333333229</v>
      </c>
      <c r="U74">
        <f t="shared" si="24"/>
        <v>60.798226164079885</v>
      </c>
      <c r="V74">
        <v>86</v>
      </c>
      <c r="W74">
        <v>5</v>
      </c>
      <c r="AH74">
        <f t="shared" si="25"/>
        <v>5.2421918684684687</v>
      </c>
      <c r="AI74">
        <f t="shared" si="26"/>
        <v>50.943999016977067</v>
      </c>
      <c r="AJ74">
        <f t="shared" si="27"/>
        <v>63.70700098302293</v>
      </c>
      <c r="AL74">
        <f t="shared" si="28"/>
        <v>67.809883736936939</v>
      </c>
      <c r="AM74">
        <f t="shared" si="29"/>
        <v>46.841116263063057</v>
      </c>
    </row>
    <row r="75" spans="1:39" ht="16.5" x14ac:dyDescent="0.25">
      <c r="A75" s="1">
        <v>45590</v>
      </c>
      <c r="B75" s="5">
        <v>57.79</v>
      </c>
      <c r="C75" s="4">
        <v>56.52</v>
      </c>
      <c r="D75" s="4">
        <v>58.08</v>
      </c>
      <c r="E75" s="4">
        <v>56.1</v>
      </c>
      <c r="F75" s="4" t="s">
        <v>1429</v>
      </c>
      <c r="G75" s="2" t="s">
        <v>902</v>
      </c>
      <c r="I75">
        <f t="shared" si="16"/>
        <v>57.355999999999995</v>
      </c>
      <c r="J75">
        <f t="shared" si="17"/>
        <v>57.535249999999998</v>
      </c>
      <c r="L75">
        <f t="shared" si="18"/>
        <v>1</v>
      </c>
      <c r="M75">
        <f t="shared" si="19"/>
        <v>0</v>
      </c>
      <c r="O75">
        <f t="shared" si="20"/>
        <v>1.269999999999996</v>
      </c>
      <c r="P75">
        <f t="shared" si="21"/>
        <v>0</v>
      </c>
      <c r="R75">
        <f t="shared" si="22"/>
        <v>0.57125000000000004</v>
      </c>
      <c r="S75">
        <f t="shared" si="23"/>
        <v>0.24166666666666595</v>
      </c>
      <c r="U75">
        <f t="shared" si="24"/>
        <v>70.271655561250697</v>
      </c>
      <c r="V75">
        <v>86</v>
      </c>
      <c r="W75">
        <v>5</v>
      </c>
      <c r="AH75">
        <f t="shared" si="25"/>
        <v>5.2296163525014077</v>
      </c>
      <c r="AI75">
        <f t="shared" si="26"/>
        <v>50.974499016977063</v>
      </c>
      <c r="AJ75">
        <f t="shared" si="27"/>
        <v>63.737500983022926</v>
      </c>
      <c r="AL75">
        <f t="shared" si="28"/>
        <v>67.815232705002813</v>
      </c>
      <c r="AM75">
        <f t="shared" si="29"/>
        <v>46.896767294997176</v>
      </c>
    </row>
    <row r="76" spans="1:39" ht="16.5" x14ac:dyDescent="0.25">
      <c r="A76" s="1">
        <v>45589</v>
      </c>
      <c r="B76" s="5">
        <v>58.36</v>
      </c>
      <c r="C76" s="4">
        <v>57.54</v>
      </c>
      <c r="D76" s="4">
        <v>59.68</v>
      </c>
      <c r="E76" s="4">
        <v>57.53</v>
      </c>
      <c r="F76" s="4" t="s">
        <v>1436</v>
      </c>
      <c r="G76" s="2" t="s">
        <v>433</v>
      </c>
      <c r="I76">
        <f t="shared" si="16"/>
        <v>57.440999999999995</v>
      </c>
      <c r="J76">
        <f t="shared" si="17"/>
        <v>57.649000000000015</v>
      </c>
      <c r="L76">
        <f t="shared" si="18"/>
        <v>1</v>
      </c>
      <c r="M76">
        <f t="shared" si="19"/>
        <v>0</v>
      </c>
      <c r="O76">
        <f t="shared" si="20"/>
        <v>0.82000000000000028</v>
      </c>
      <c r="P76">
        <f t="shared" si="21"/>
        <v>0</v>
      </c>
      <c r="R76">
        <f t="shared" si="22"/>
        <v>0.42250000000000032</v>
      </c>
      <c r="S76">
        <f t="shared" si="23"/>
        <v>0.24166666666666595</v>
      </c>
      <c r="U76">
        <f t="shared" si="24"/>
        <v>63.613550815558433</v>
      </c>
      <c r="V76">
        <v>86</v>
      </c>
      <c r="W76">
        <v>5</v>
      </c>
      <c r="AH76">
        <f t="shared" si="25"/>
        <v>5.2169945917916936</v>
      </c>
      <c r="AI76">
        <f t="shared" si="26"/>
        <v>51.059499016977064</v>
      </c>
      <c r="AJ76">
        <f t="shared" si="27"/>
        <v>63.822500983022927</v>
      </c>
      <c r="AL76">
        <f t="shared" si="28"/>
        <v>67.874989183583381</v>
      </c>
      <c r="AM76">
        <f t="shared" si="29"/>
        <v>47.00701081641661</v>
      </c>
    </row>
    <row r="77" spans="1:39" ht="16.5" x14ac:dyDescent="0.25">
      <c r="A77" s="1">
        <v>45588</v>
      </c>
      <c r="B77" s="5">
        <v>57.53</v>
      </c>
      <c r="C77" s="4">
        <v>57.76</v>
      </c>
      <c r="D77" s="4">
        <v>58.67</v>
      </c>
      <c r="E77" s="4">
        <v>57.5</v>
      </c>
      <c r="F77" s="4" t="s">
        <v>141</v>
      </c>
      <c r="G77" s="2" t="s">
        <v>450</v>
      </c>
      <c r="I77">
        <f t="shared" si="16"/>
        <v>57.408500000000004</v>
      </c>
      <c r="J77">
        <f t="shared" si="17"/>
        <v>57.749500000000012</v>
      </c>
      <c r="L77">
        <f t="shared" si="18"/>
        <v>0</v>
      </c>
      <c r="M77">
        <f t="shared" si="19"/>
        <v>1</v>
      </c>
      <c r="O77">
        <f t="shared" si="20"/>
        <v>0</v>
      </c>
      <c r="P77">
        <f t="shared" si="21"/>
        <v>0.22999999999999687</v>
      </c>
      <c r="R77">
        <f t="shared" si="22"/>
        <v>0.38625000000000043</v>
      </c>
      <c r="S77">
        <f t="shared" si="23"/>
        <v>0.24166666666666595</v>
      </c>
      <c r="U77">
        <f t="shared" si="24"/>
        <v>61.51293961512949</v>
      </c>
      <c r="V77">
        <v>86</v>
      </c>
      <c r="W77">
        <v>5</v>
      </c>
      <c r="AH77">
        <f t="shared" si="25"/>
        <v>5.204540953001942</v>
      </c>
      <c r="AI77">
        <f t="shared" si="26"/>
        <v>51.026999016977072</v>
      </c>
      <c r="AJ77">
        <f t="shared" si="27"/>
        <v>63.790000983022935</v>
      </c>
      <c r="AL77">
        <f t="shared" si="28"/>
        <v>67.81758190600388</v>
      </c>
      <c r="AM77">
        <f t="shared" si="29"/>
        <v>46.99941809399612</v>
      </c>
    </row>
    <row r="78" spans="1:39" ht="16.5" x14ac:dyDescent="0.25">
      <c r="A78" s="1">
        <v>45587</v>
      </c>
      <c r="B78" s="5">
        <v>57.38</v>
      </c>
      <c r="C78" s="4">
        <v>56.82</v>
      </c>
      <c r="D78" s="4">
        <v>57.49</v>
      </c>
      <c r="E78" s="4">
        <v>56.69</v>
      </c>
      <c r="F78" s="4" t="s">
        <v>58</v>
      </c>
      <c r="G78" s="2" t="s">
        <v>290</v>
      </c>
      <c r="I78">
        <f t="shared" si="16"/>
        <v>57.326000000000001</v>
      </c>
      <c r="J78">
        <f t="shared" si="17"/>
        <v>57.864750000000001</v>
      </c>
      <c r="L78">
        <f t="shared" si="18"/>
        <v>1</v>
      </c>
      <c r="M78">
        <f t="shared" si="19"/>
        <v>0</v>
      </c>
      <c r="O78">
        <f t="shared" si="20"/>
        <v>0.56000000000000227</v>
      </c>
      <c r="P78">
        <f t="shared" si="21"/>
        <v>0</v>
      </c>
      <c r="R78">
        <f t="shared" si="22"/>
        <v>0.38625000000000043</v>
      </c>
      <c r="S78">
        <f t="shared" si="23"/>
        <v>0.22166666666666637</v>
      </c>
      <c r="U78">
        <f t="shared" si="24"/>
        <v>63.536668951336587</v>
      </c>
      <c r="V78">
        <v>86</v>
      </c>
      <c r="W78">
        <v>5</v>
      </c>
      <c r="AH78">
        <f t="shared" si="25"/>
        <v>5.1917926895977118</v>
      </c>
      <c r="AI78">
        <f t="shared" si="26"/>
        <v>50.944499016977069</v>
      </c>
      <c r="AJ78">
        <f t="shared" si="27"/>
        <v>63.707500983022932</v>
      </c>
      <c r="AL78">
        <f t="shared" si="28"/>
        <v>67.709585379195431</v>
      </c>
      <c r="AM78">
        <f t="shared" si="29"/>
        <v>46.942414620804577</v>
      </c>
    </row>
    <row r="79" spans="1:39" ht="16.5" x14ac:dyDescent="0.25">
      <c r="A79" s="1">
        <v>45586</v>
      </c>
      <c r="B79" s="5">
        <v>57</v>
      </c>
      <c r="C79" s="4">
        <v>57.08</v>
      </c>
      <c r="D79" s="4">
        <v>57.6</v>
      </c>
      <c r="E79" s="4">
        <v>56.91</v>
      </c>
      <c r="F79" s="4" t="s">
        <v>56</v>
      </c>
      <c r="G79" s="2" t="s">
        <v>294</v>
      </c>
      <c r="I79">
        <f t="shared" si="16"/>
        <v>57.298500000000004</v>
      </c>
      <c r="J79">
        <f t="shared" si="17"/>
        <v>57.994250000000008</v>
      </c>
      <c r="L79">
        <f t="shared" si="18"/>
        <v>0</v>
      </c>
      <c r="M79">
        <f t="shared" si="19"/>
        <v>1</v>
      </c>
      <c r="O79">
        <f t="shared" si="20"/>
        <v>0</v>
      </c>
      <c r="P79">
        <f t="shared" si="21"/>
        <v>7.9999999999998295E-2</v>
      </c>
      <c r="R79">
        <f t="shared" si="22"/>
        <v>0.3614285714285716</v>
      </c>
      <c r="S79">
        <f t="shared" si="23"/>
        <v>0.21428571428571427</v>
      </c>
      <c r="U79">
        <f t="shared" si="24"/>
        <v>62.779156327543433</v>
      </c>
      <c r="V79">
        <v>86</v>
      </c>
      <c r="W79">
        <v>5</v>
      </c>
      <c r="AH79">
        <f t="shared" si="25"/>
        <v>5.1785427425819135</v>
      </c>
      <c r="AI79">
        <f t="shared" si="26"/>
        <v>50.916999016977073</v>
      </c>
      <c r="AJ79">
        <f t="shared" si="27"/>
        <v>63.680000983022936</v>
      </c>
      <c r="AL79">
        <f t="shared" si="28"/>
        <v>67.655585485163826</v>
      </c>
      <c r="AM79">
        <f t="shared" si="29"/>
        <v>46.941414514836175</v>
      </c>
    </row>
    <row r="80" spans="1:39" ht="16.5" x14ac:dyDescent="0.25">
      <c r="A80" s="1">
        <v>45583</v>
      </c>
      <c r="B80" s="5">
        <v>57.3</v>
      </c>
      <c r="C80" s="4">
        <v>56.94</v>
      </c>
      <c r="D80" s="4">
        <v>58.42</v>
      </c>
      <c r="E80" s="4">
        <v>56.93</v>
      </c>
      <c r="F80" s="4" t="s">
        <v>1437</v>
      </c>
      <c r="G80" s="2" t="s">
        <v>856</v>
      </c>
      <c r="I80">
        <f t="shared" si="16"/>
        <v>57.253</v>
      </c>
      <c r="J80">
        <f t="shared" si="17"/>
        <v>58.12700000000001</v>
      </c>
      <c r="L80">
        <f t="shared" si="18"/>
        <v>1</v>
      </c>
      <c r="M80">
        <f t="shared" si="19"/>
        <v>0</v>
      </c>
      <c r="O80">
        <f t="shared" si="20"/>
        <v>0.35999999999999943</v>
      </c>
      <c r="P80">
        <f t="shared" si="21"/>
        <v>0</v>
      </c>
      <c r="R80">
        <f t="shared" si="22"/>
        <v>0.3614285714285716</v>
      </c>
      <c r="S80">
        <f t="shared" si="23"/>
        <v>0.29571428571428576</v>
      </c>
      <c r="U80">
        <f t="shared" si="24"/>
        <v>55</v>
      </c>
      <c r="V80">
        <v>86</v>
      </c>
      <c r="W80">
        <v>5</v>
      </c>
      <c r="AH80">
        <f t="shared" si="25"/>
        <v>5.1650032931340233</v>
      </c>
      <c r="AI80">
        <f t="shared" si="26"/>
        <v>50.871499016977069</v>
      </c>
      <c r="AJ80">
        <f t="shared" si="27"/>
        <v>63.634500983022932</v>
      </c>
      <c r="AL80">
        <f t="shared" si="28"/>
        <v>67.583006586268041</v>
      </c>
      <c r="AM80">
        <f t="shared" si="29"/>
        <v>46.922993413731952</v>
      </c>
    </row>
    <row r="81" spans="1:39" ht="16.5" x14ac:dyDescent="0.25">
      <c r="A81" s="1">
        <v>45582</v>
      </c>
      <c r="B81" s="5">
        <v>56.9</v>
      </c>
      <c r="C81" s="4">
        <v>56.8</v>
      </c>
      <c r="D81" s="4">
        <v>57.36</v>
      </c>
      <c r="E81" s="4">
        <v>56.32</v>
      </c>
      <c r="F81" s="4" t="s">
        <v>722</v>
      </c>
      <c r="G81" s="2" t="s">
        <v>98</v>
      </c>
      <c r="I81">
        <f t="shared" si="16"/>
        <v>57.137500000000003</v>
      </c>
      <c r="J81">
        <f t="shared" si="17"/>
        <v>58.246750000000006</v>
      </c>
      <c r="L81">
        <f t="shared" si="18"/>
        <v>1</v>
      </c>
      <c r="M81">
        <f t="shared" si="19"/>
        <v>0</v>
      </c>
      <c r="O81">
        <f t="shared" si="20"/>
        <v>0.10000000000000142</v>
      </c>
      <c r="P81">
        <f t="shared" si="21"/>
        <v>0</v>
      </c>
      <c r="R81">
        <f t="shared" si="22"/>
        <v>0.36166666666666697</v>
      </c>
      <c r="S81">
        <f t="shared" si="23"/>
        <v>0.39000000000000057</v>
      </c>
      <c r="U81">
        <f t="shared" si="24"/>
        <v>48.11529933481151</v>
      </c>
      <c r="V81">
        <v>86</v>
      </c>
      <c r="W81">
        <v>5</v>
      </c>
      <c r="AH81">
        <f t="shared" si="25"/>
        <v>5.1510945213867476</v>
      </c>
      <c r="AI81">
        <f t="shared" si="26"/>
        <v>50.755999016977071</v>
      </c>
      <c r="AJ81">
        <f t="shared" si="27"/>
        <v>63.519000983022934</v>
      </c>
      <c r="AL81">
        <f t="shared" si="28"/>
        <v>67.439689042773495</v>
      </c>
      <c r="AM81">
        <f t="shared" si="29"/>
        <v>46.835310957226511</v>
      </c>
    </row>
    <row r="82" spans="1:39" ht="16.5" x14ac:dyDescent="0.25">
      <c r="A82" s="1">
        <v>45581</v>
      </c>
      <c r="B82" s="5">
        <v>56.77</v>
      </c>
      <c r="C82" s="4">
        <v>56.9</v>
      </c>
      <c r="D82" s="4">
        <v>57.11</v>
      </c>
      <c r="E82" s="4">
        <v>56.32</v>
      </c>
      <c r="F82" s="4" t="s">
        <v>1438</v>
      </c>
      <c r="G82" s="2" t="s">
        <v>484</v>
      </c>
      <c r="I82">
        <f t="shared" si="16"/>
        <v>57.243000000000009</v>
      </c>
      <c r="J82">
        <f t="shared" si="17"/>
        <v>58.364500000000021</v>
      </c>
      <c r="L82">
        <f t="shared" si="18"/>
        <v>0</v>
      </c>
      <c r="M82">
        <f t="shared" si="19"/>
        <v>1</v>
      </c>
      <c r="O82">
        <f t="shared" si="20"/>
        <v>0</v>
      </c>
      <c r="P82">
        <f t="shared" si="21"/>
        <v>0.12999999999999545</v>
      </c>
      <c r="R82">
        <f t="shared" si="22"/>
        <v>0.59500000000000008</v>
      </c>
      <c r="S82">
        <f t="shared" si="23"/>
        <v>0.39000000000000057</v>
      </c>
      <c r="U82">
        <f t="shared" si="24"/>
        <v>60.406091370558343</v>
      </c>
      <c r="V82">
        <v>86</v>
      </c>
      <c r="W82">
        <v>5</v>
      </c>
      <c r="AH82">
        <f t="shared" si="25"/>
        <v>5.1365151260465041</v>
      </c>
      <c r="AI82">
        <f t="shared" si="26"/>
        <v>50.861499016977078</v>
      </c>
      <c r="AJ82">
        <f t="shared" si="27"/>
        <v>63.624500983022941</v>
      </c>
      <c r="AL82">
        <f t="shared" si="28"/>
        <v>67.516030252093017</v>
      </c>
      <c r="AM82">
        <f t="shared" si="29"/>
        <v>46.969969747907001</v>
      </c>
    </row>
    <row r="83" spans="1:39" ht="16.5" x14ac:dyDescent="0.25">
      <c r="A83" s="1">
        <v>45580</v>
      </c>
      <c r="B83" s="5">
        <v>57.27</v>
      </c>
      <c r="C83" s="4">
        <v>57.84</v>
      </c>
      <c r="D83" s="4">
        <v>57.89</v>
      </c>
      <c r="E83" s="4">
        <v>56.63</v>
      </c>
      <c r="F83" s="4" t="s">
        <v>1439</v>
      </c>
      <c r="G83" s="2" t="s">
        <v>689</v>
      </c>
      <c r="I83">
        <f t="shared" si="16"/>
        <v>57.285000000000004</v>
      </c>
      <c r="J83">
        <f t="shared" si="17"/>
        <v>58.491750000000025</v>
      </c>
      <c r="L83">
        <f t="shared" si="18"/>
        <v>0</v>
      </c>
      <c r="M83">
        <f t="shared" si="19"/>
        <v>1</v>
      </c>
      <c r="O83">
        <f t="shared" si="20"/>
        <v>0</v>
      </c>
      <c r="P83">
        <f t="shared" si="21"/>
        <v>0.57000000000000028</v>
      </c>
      <c r="R83">
        <f t="shared" si="22"/>
        <v>0.71285714285714319</v>
      </c>
      <c r="S83">
        <f t="shared" si="23"/>
        <v>0.42714285714285843</v>
      </c>
      <c r="U83">
        <f t="shared" si="24"/>
        <v>62.531328320801947</v>
      </c>
      <c r="V83">
        <v>86</v>
      </c>
      <c r="W83">
        <v>5</v>
      </c>
      <c r="AH83">
        <f t="shared" si="25"/>
        <v>5.1221822734684492</v>
      </c>
      <c r="AI83">
        <f t="shared" si="26"/>
        <v>50.903499016977072</v>
      </c>
      <c r="AJ83">
        <f t="shared" si="27"/>
        <v>63.666500983022935</v>
      </c>
      <c r="AL83">
        <f t="shared" si="28"/>
        <v>67.529364546936904</v>
      </c>
      <c r="AM83">
        <f t="shared" si="29"/>
        <v>47.040635453063103</v>
      </c>
    </row>
    <row r="84" spans="1:39" ht="16.5" x14ac:dyDescent="0.25">
      <c r="A84" s="1">
        <v>45579</v>
      </c>
      <c r="B84" s="5">
        <v>57.76</v>
      </c>
      <c r="C84" s="4">
        <v>58.06</v>
      </c>
      <c r="D84" s="4">
        <v>58.1</v>
      </c>
      <c r="E84" s="4">
        <v>57.43</v>
      </c>
      <c r="F84" s="4" t="s">
        <v>134</v>
      </c>
      <c r="G84" s="2" t="s">
        <v>929</v>
      </c>
      <c r="I84">
        <f t="shared" si="16"/>
        <v>57.280000000000008</v>
      </c>
      <c r="J84">
        <f t="shared" si="17"/>
        <v>58.584000000000024</v>
      </c>
      <c r="L84">
        <f t="shared" si="18"/>
        <v>0</v>
      </c>
      <c r="M84">
        <f t="shared" si="19"/>
        <v>1</v>
      </c>
      <c r="O84">
        <f t="shared" si="20"/>
        <v>0</v>
      </c>
      <c r="P84">
        <f t="shared" si="21"/>
        <v>0.30000000000000426</v>
      </c>
      <c r="R84">
        <f t="shared" si="22"/>
        <v>0.71285714285714319</v>
      </c>
      <c r="S84">
        <f t="shared" si="23"/>
        <v>0.45285714285714412</v>
      </c>
      <c r="U84">
        <f t="shared" si="24"/>
        <v>61.151960784313673</v>
      </c>
      <c r="V84">
        <v>86</v>
      </c>
      <c r="W84">
        <v>5</v>
      </c>
      <c r="AH84">
        <f t="shared" si="25"/>
        <v>5.1078315004428694</v>
      </c>
      <c r="AI84">
        <f t="shared" si="26"/>
        <v>50.898499016977077</v>
      </c>
      <c r="AJ84">
        <f t="shared" si="27"/>
        <v>63.66150098302294</v>
      </c>
      <c r="AL84">
        <f t="shared" si="28"/>
        <v>67.495663000885742</v>
      </c>
      <c r="AM84">
        <f t="shared" si="29"/>
        <v>47.064336999114268</v>
      </c>
    </row>
    <row r="85" spans="1:39" ht="16.5" x14ac:dyDescent="0.25">
      <c r="A85" s="1">
        <v>45576</v>
      </c>
      <c r="B85" s="5">
        <v>57.82</v>
      </c>
      <c r="C85" s="4">
        <v>57.01</v>
      </c>
      <c r="D85" s="4">
        <v>57.82</v>
      </c>
      <c r="E85" s="4">
        <v>56.76</v>
      </c>
      <c r="F85" s="4" t="s">
        <v>1379</v>
      </c>
      <c r="G85" s="2" t="s">
        <v>257</v>
      </c>
      <c r="I85">
        <f t="shared" si="16"/>
        <v>57.219000000000008</v>
      </c>
      <c r="J85">
        <f t="shared" si="17"/>
        <v>58.657500000000013</v>
      </c>
      <c r="L85">
        <f t="shared" si="18"/>
        <v>1</v>
      </c>
      <c r="M85">
        <f t="shared" si="19"/>
        <v>0</v>
      </c>
      <c r="O85">
        <f t="shared" si="20"/>
        <v>0.81000000000000227</v>
      </c>
      <c r="P85">
        <f t="shared" si="21"/>
        <v>0</v>
      </c>
      <c r="R85">
        <f t="shared" si="22"/>
        <v>0.71285714285714319</v>
      </c>
      <c r="S85">
        <f t="shared" si="23"/>
        <v>0.45000000000000079</v>
      </c>
      <c r="U85">
        <f t="shared" si="24"/>
        <v>61.302211302211269</v>
      </c>
      <c r="V85">
        <v>86</v>
      </c>
      <c r="W85">
        <v>5</v>
      </c>
      <c r="AH85">
        <f t="shared" si="25"/>
        <v>5.0932640302192995</v>
      </c>
      <c r="AI85">
        <f t="shared" si="26"/>
        <v>50.837499016977077</v>
      </c>
      <c r="AJ85">
        <f t="shared" si="27"/>
        <v>63.60050098302294</v>
      </c>
      <c r="AL85">
        <f t="shared" si="28"/>
        <v>67.405528060438613</v>
      </c>
      <c r="AM85">
        <f t="shared" si="29"/>
        <v>47.032471939561411</v>
      </c>
    </row>
    <row r="86" spans="1:39" ht="16.5" x14ac:dyDescent="0.25">
      <c r="A86" s="1">
        <v>45575</v>
      </c>
      <c r="B86" s="5">
        <v>57.2</v>
      </c>
      <c r="C86" s="4">
        <v>56.95</v>
      </c>
      <c r="D86" s="4">
        <v>57.65</v>
      </c>
      <c r="E86" s="4">
        <v>56.67</v>
      </c>
      <c r="F86" s="4" t="s">
        <v>537</v>
      </c>
      <c r="G86" s="2" t="s">
        <v>755</v>
      </c>
      <c r="I86">
        <f t="shared" si="16"/>
        <v>57.165000000000006</v>
      </c>
      <c r="J86">
        <f t="shared" si="17"/>
        <v>58.714250000000014</v>
      </c>
      <c r="L86">
        <f t="shared" si="18"/>
        <v>1</v>
      </c>
      <c r="M86">
        <f t="shared" si="19"/>
        <v>0</v>
      </c>
      <c r="O86">
        <f t="shared" si="20"/>
        <v>0.25</v>
      </c>
      <c r="P86">
        <f t="shared" si="21"/>
        <v>0</v>
      </c>
      <c r="R86">
        <f t="shared" si="22"/>
        <v>0.78142857142857225</v>
      </c>
      <c r="S86">
        <f t="shared" si="23"/>
        <v>0.45000000000000079</v>
      </c>
      <c r="U86">
        <f t="shared" si="24"/>
        <v>63.457076566125274</v>
      </c>
      <c r="V86">
        <v>86</v>
      </c>
      <c r="W86">
        <v>5</v>
      </c>
      <c r="AH86">
        <f t="shared" si="25"/>
        <v>5.0782362624563628</v>
      </c>
      <c r="AI86">
        <f t="shared" si="26"/>
        <v>50.783499016977075</v>
      </c>
      <c r="AJ86">
        <f t="shared" si="27"/>
        <v>63.546500983022938</v>
      </c>
      <c r="AL86">
        <f t="shared" si="28"/>
        <v>67.321472524912735</v>
      </c>
      <c r="AM86">
        <f t="shared" si="29"/>
        <v>47.008527475087277</v>
      </c>
    </row>
    <row r="87" spans="1:39" ht="16.5" x14ac:dyDescent="0.25">
      <c r="A87" s="1">
        <v>45574</v>
      </c>
      <c r="B87" s="5">
        <v>57</v>
      </c>
      <c r="C87" s="4">
        <v>56.6</v>
      </c>
      <c r="D87" s="4">
        <v>57.06</v>
      </c>
      <c r="E87" s="4">
        <v>56.11</v>
      </c>
      <c r="F87" s="4" t="s">
        <v>355</v>
      </c>
      <c r="G87" s="2" t="s">
        <v>477</v>
      </c>
      <c r="I87">
        <f t="shared" si="16"/>
        <v>57.08850000000001</v>
      </c>
      <c r="J87">
        <f t="shared" si="17"/>
        <v>58.774000000000015</v>
      </c>
      <c r="L87">
        <f t="shared" si="18"/>
        <v>1</v>
      </c>
      <c r="M87">
        <f t="shared" si="19"/>
        <v>0</v>
      </c>
      <c r="O87">
        <f t="shared" si="20"/>
        <v>0.39999999999999858</v>
      </c>
      <c r="P87">
        <f t="shared" si="21"/>
        <v>0</v>
      </c>
      <c r="R87">
        <f t="shared" si="22"/>
        <v>0.77285714285714435</v>
      </c>
      <c r="S87">
        <f t="shared" si="23"/>
        <v>0.45000000000000079</v>
      </c>
      <c r="U87">
        <f t="shared" si="24"/>
        <v>63.200934579439256</v>
      </c>
      <c r="V87">
        <v>86</v>
      </c>
      <c r="W87">
        <v>5</v>
      </c>
      <c r="AH87">
        <f t="shared" si="25"/>
        <v>5.0627676769541567</v>
      </c>
      <c r="AI87">
        <f t="shared" si="26"/>
        <v>50.706999016977079</v>
      </c>
      <c r="AJ87">
        <f t="shared" si="27"/>
        <v>63.470000983022942</v>
      </c>
      <c r="AL87">
        <f t="shared" si="28"/>
        <v>67.214035353908329</v>
      </c>
      <c r="AM87">
        <f t="shared" si="29"/>
        <v>46.962964646091699</v>
      </c>
    </row>
    <row r="88" spans="1:39" ht="16.5" x14ac:dyDescent="0.25">
      <c r="A88" s="1">
        <v>45573</v>
      </c>
      <c r="B88" s="5">
        <v>56.44</v>
      </c>
      <c r="C88" s="4">
        <v>56.58</v>
      </c>
      <c r="D88" s="4">
        <v>57.09</v>
      </c>
      <c r="E88" s="4">
        <v>56.02</v>
      </c>
      <c r="F88" s="4" t="s">
        <v>1440</v>
      </c>
      <c r="G88" s="2" t="s">
        <v>1441</v>
      </c>
      <c r="I88">
        <f t="shared" si="16"/>
        <v>57.022500000000001</v>
      </c>
      <c r="J88">
        <f t="shared" si="17"/>
        <v>58.80575000000001</v>
      </c>
      <c r="L88">
        <f t="shared" si="18"/>
        <v>0</v>
      </c>
      <c r="M88">
        <f t="shared" si="19"/>
        <v>1</v>
      </c>
      <c r="O88">
        <f t="shared" si="20"/>
        <v>0</v>
      </c>
      <c r="P88">
        <f t="shared" si="21"/>
        <v>0.14000000000000057</v>
      </c>
      <c r="R88">
        <f t="shared" si="22"/>
        <v>0.78285714285714447</v>
      </c>
      <c r="S88">
        <f t="shared" si="23"/>
        <v>0.45000000000000079</v>
      </c>
      <c r="U88">
        <f t="shared" si="24"/>
        <v>63.499420625724227</v>
      </c>
      <c r="V88">
        <v>86</v>
      </c>
      <c r="W88">
        <v>5</v>
      </c>
      <c r="AH88">
        <f t="shared" si="25"/>
        <v>5.0467486844381124</v>
      </c>
      <c r="AI88">
        <f t="shared" si="26"/>
        <v>50.640999016977069</v>
      </c>
      <c r="AJ88">
        <f t="shared" si="27"/>
        <v>63.404000983022932</v>
      </c>
      <c r="AL88">
        <f t="shared" si="28"/>
        <v>67.115997368876222</v>
      </c>
      <c r="AM88">
        <f t="shared" si="29"/>
        <v>46.92900263112378</v>
      </c>
    </row>
    <row r="89" spans="1:39" ht="16.5" x14ac:dyDescent="0.25">
      <c r="A89" s="1">
        <v>45572</v>
      </c>
      <c r="B89" s="5">
        <v>57.67</v>
      </c>
      <c r="C89" s="4">
        <v>57.59</v>
      </c>
      <c r="D89" s="4">
        <v>57.71</v>
      </c>
      <c r="E89" s="4">
        <v>57</v>
      </c>
      <c r="F89" s="4" t="s">
        <v>50</v>
      </c>
      <c r="G89" s="2" t="s">
        <v>104</v>
      </c>
      <c r="I89">
        <f t="shared" si="16"/>
        <v>56.970500000000015</v>
      </c>
      <c r="J89">
        <f t="shared" si="17"/>
        <v>58.830750000000009</v>
      </c>
      <c r="L89">
        <f t="shared" si="18"/>
        <v>1</v>
      </c>
      <c r="M89">
        <f t="shared" si="19"/>
        <v>0</v>
      </c>
      <c r="O89">
        <f t="shared" si="20"/>
        <v>7.9999999999998295E-2</v>
      </c>
      <c r="P89">
        <f t="shared" si="21"/>
        <v>0</v>
      </c>
      <c r="R89">
        <f t="shared" si="22"/>
        <v>0.73000000000000131</v>
      </c>
      <c r="S89">
        <f t="shared" si="23"/>
        <v>0.50166666666666748</v>
      </c>
      <c r="U89">
        <f t="shared" si="24"/>
        <v>59.26928281461435</v>
      </c>
      <c r="V89">
        <v>86</v>
      </c>
      <c r="W89">
        <v>5</v>
      </c>
      <c r="AH89">
        <f t="shared" si="25"/>
        <v>5.0302121089802858</v>
      </c>
      <c r="AI89">
        <f t="shared" si="26"/>
        <v>50.588999016977084</v>
      </c>
      <c r="AJ89">
        <f t="shared" si="27"/>
        <v>63.352000983022947</v>
      </c>
      <c r="AL89">
        <f t="shared" si="28"/>
        <v>67.030924217960589</v>
      </c>
      <c r="AM89">
        <f t="shared" si="29"/>
        <v>46.910075782039442</v>
      </c>
    </row>
    <row r="90" spans="1:39" ht="16.5" x14ac:dyDescent="0.25">
      <c r="A90" s="1">
        <v>45569</v>
      </c>
      <c r="B90" s="5">
        <v>57.32</v>
      </c>
      <c r="C90" s="4">
        <v>56.79</v>
      </c>
      <c r="D90" s="4">
        <v>57.69</v>
      </c>
      <c r="E90" s="4">
        <v>56.56</v>
      </c>
      <c r="F90" s="4" t="s">
        <v>1403</v>
      </c>
      <c r="G90" s="2" t="s">
        <v>642</v>
      </c>
      <c r="I90">
        <f t="shared" si="16"/>
        <v>56.999000000000002</v>
      </c>
      <c r="J90">
        <f t="shared" si="17"/>
        <v>58.826000000000008</v>
      </c>
      <c r="L90">
        <f t="shared" si="18"/>
        <v>1</v>
      </c>
      <c r="M90">
        <f t="shared" si="19"/>
        <v>0</v>
      </c>
      <c r="O90">
        <f t="shared" si="20"/>
        <v>0.53000000000000114</v>
      </c>
      <c r="P90">
        <f t="shared" si="21"/>
        <v>0</v>
      </c>
      <c r="R90">
        <f t="shared" si="22"/>
        <v>0.79125000000000156</v>
      </c>
      <c r="S90">
        <f t="shared" si="23"/>
        <v>0.50166666666666748</v>
      </c>
      <c r="U90">
        <f t="shared" si="24"/>
        <v>61.198839832420248</v>
      </c>
      <c r="V90">
        <v>86</v>
      </c>
      <c r="W90">
        <v>5</v>
      </c>
      <c r="AH90">
        <f t="shared" si="25"/>
        <v>5.0132086144820143</v>
      </c>
      <c r="AI90">
        <f t="shared" si="26"/>
        <v>50.617499016977071</v>
      </c>
      <c r="AJ90">
        <f t="shared" si="27"/>
        <v>63.380500983022934</v>
      </c>
      <c r="AL90">
        <f t="shared" si="28"/>
        <v>67.025417228964031</v>
      </c>
      <c r="AM90">
        <f t="shared" si="29"/>
        <v>46.972582771035974</v>
      </c>
    </row>
    <row r="91" spans="1:39" ht="16.5" x14ac:dyDescent="0.25">
      <c r="A91" s="1">
        <v>45568</v>
      </c>
      <c r="B91" s="5">
        <v>56.72</v>
      </c>
      <c r="C91" s="4">
        <v>56.83</v>
      </c>
      <c r="D91" s="4">
        <v>56.91</v>
      </c>
      <c r="E91" s="4">
        <v>56</v>
      </c>
      <c r="F91" s="4" t="s">
        <v>1400</v>
      </c>
      <c r="G91" s="2" t="s">
        <v>1442</v>
      </c>
      <c r="I91">
        <f t="shared" si="16"/>
        <v>57.055499999999995</v>
      </c>
      <c r="J91">
        <f t="shared" si="17"/>
        <v>58.838250000000002</v>
      </c>
      <c r="L91">
        <f t="shared" si="18"/>
        <v>0</v>
      </c>
      <c r="M91">
        <f t="shared" si="19"/>
        <v>1</v>
      </c>
      <c r="O91">
        <f t="shared" si="20"/>
        <v>0</v>
      </c>
      <c r="P91">
        <f t="shared" si="21"/>
        <v>0.10999999999999943</v>
      </c>
      <c r="R91">
        <f t="shared" si="22"/>
        <v>0.82857142857143018</v>
      </c>
      <c r="S91">
        <f t="shared" si="23"/>
        <v>0.45285714285714412</v>
      </c>
      <c r="U91">
        <f t="shared" si="24"/>
        <v>64.659977703455951</v>
      </c>
      <c r="V91">
        <v>86</v>
      </c>
      <c r="W91">
        <v>5</v>
      </c>
      <c r="AH91">
        <f t="shared" si="25"/>
        <v>4.9960960830922838</v>
      </c>
      <c r="AI91">
        <f t="shared" si="26"/>
        <v>50.673999016977064</v>
      </c>
      <c r="AJ91">
        <f t="shared" si="27"/>
        <v>63.437000983022926</v>
      </c>
      <c r="AL91">
        <f t="shared" si="28"/>
        <v>67.047692166184561</v>
      </c>
      <c r="AM91">
        <f t="shared" si="29"/>
        <v>47.063307833815429</v>
      </c>
    </row>
    <row r="92" spans="1:39" ht="16.5" x14ac:dyDescent="0.25">
      <c r="A92" s="1">
        <v>45567</v>
      </c>
      <c r="B92" s="5">
        <v>57.35</v>
      </c>
      <c r="C92" s="4">
        <v>57.52</v>
      </c>
      <c r="D92" s="4">
        <v>58.15</v>
      </c>
      <c r="E92" s="4">
        <v>57.27</v>
      </c>
      <c r="F92" s="4" t="s">
        <v>1383</v>
      </c>
      <c r="G92" s="2" t="s">
        <v>843</v>
      </c>
      <c r="I92">
        <f t="shared" si="16"/>
        <v>57.221499999999992</v>
      </c>
      <c r="J92">
        <f t="shared" si="17"/>
        <v>58.871249999999996</v>
      </c>
      <c r="L92">
        <f t="shared" si="18"/>
        <v>0</v>
      </c>
      <c r="M92">
        <f t="shared" si="19"/>
        <v>1</v>
      </c>
      <c r="O92">
        <f t="shared" si="20"/>
        <v>0</v>
      </c>
      <c r="P92">
        <f t="shared" si="21"/>
        <v>0.17000000000000171</v>
      </c>
      <c r="R92">
        <f t="shared" si="22"/>
        <v>0.83000000000000185</v>
      </c>
      <c r="S92">
        <f t="shared" si="23"/>
        <v>0.51000000000000156</v>
      </c>
      <c r="U92">
        <f t="shared" si="24"/>
        <v>61.940298507462664</v>
      </c>
      <c r="V92">
        <v>86</v>
      </c>
      <c r="W92">
        <v>5</v>
      </c>
      <c r="AH92">
        <f t="shared" si="25"/>
        <v>4.9790011611437324</v>
      </c>
      <c r="AI92">
        <f t="shared" si="26"/>
        <v>50.83999901697706</v>
      </c>
      <c r="AJ92">
        <f t="shared" si="27"/>
        <v>63.603000983022923</v>
      </c>
      <c r="AL92">
        <f t="shared" si="28"/>
        <v>67.179502322287462</v>
      </c>
      <c r="AM92">
        <f t="shared" si="29"/>
        <v>47.263497677712529</v>
      </c>
    </row>
    <row r="93" spans="1:39" ht="16.5" x14ac:dyDescent="0.25">
      <c r="A93" s="1">
        <v>45566</v>
      </c>
      <c r="B93" s="5">
        <v>57.5</v>
      </c>
      <c r="C93" s="4">
        <v>58.15</v>
      </c>
      <c r="D93" s="4">
        <v>58.28</v>
      </c>
      <c r="E93" s="4">
        <v>57.15</v>
      </c>
      <c r="F93" s="4" t="s">
        <v>1420</v>
      </c>
      <c r="G93" s="2" t="s">
        <v>634</v>
      </c>
      <c r="I93">
        <f t="shared" si="16"/>
        <v>57.348499999999987</v>
      </c>
      <c r="J93">
        <f t="shared" si="17"/>
        <v>58.883499999999991</v>
      </c>
      <c r="L93">
        <f t="shared" si="18"/>
        <v>0</v>
      </c>
      <c r="M93">
        <f t="shared" si="19"/>
        <v>1</v>
      </c>
      <c r="O93">
        <f t="shared" si="20"/>
        <v>0</v>
      </c>
      <c r="P93">
        <f t="shared" si="21"/>
        <v>0.64999999999999858</v>
      </c>
      <c r="R93">
        <f t="shared" si="22"/>
        <v>0.83000000000000185</v>
      </c>
      <c r="S93">
        <f t="shared" si="23"/>
        <v>0.59666666666666757</v>
      </c>
      <c r="U93">
        <f t="shared" si="24"/>
        <v>58.177570093457959</v>
      </c>
      <c r="V93">
        <v>86</v>
      </c>
      <c r="W93">
        <v>5</v>
      </c>
      <c r="AH93">
        <f t="shared" si="25"/>
        <v>4.9624236076123882</v>
      </c>
      <c r="AI93">
        <f t="shared" si="26"/>
        <v>50.966999016977056</v>
      </c>
      <c r="AJ93">
        <f t="shared" si="27"/>
        <v>63.730000983022919</v>
      </c>
      <c r="AL93">
        <f t="shared" si="28"/>
        <v>67.27334721522476</v>
      </c>
      <c r="AM93">
        <f t="shared" si="29"/>
        <v>47.423652784775214</v>
      </c>
    </row>
    <row r="94" spans="1:39" ht="16.5" x14ac:dyDescent="0.25">
      <c r="A94" s="1">
        <v>45565</v>
      </c>
      <c r="B94" s="5">
        <v>58.04</v>
      </c>
      <c r="C94" s="4">
        <v>59.09</v>
      </c>
      <c r="D94" s="4">
        <v>59.16</v>
      </c>
      <c r="E94" s="4">
        <v>57.92</v>
      </c>
      <c r="F94" s="4" t="s">
        <v>1443</v>
      </c>
      <c r="G94" s="2" t="s">
        <v>1444</v>
      </c>
      <c r="I94">
        <f t="shared" si="16"/>
        <v>57.518500000000003</v>
      </c>
      <c r="J94">
        <f t="shared" si="17"/>
        <v>58.860499999999988</v>
      </c>
      <c r="L94">
        <f t="shared" si="18"/>
        <v>0</v>
      </c>
      <c r="M94">
        <f t="shared" si="19"/>
        <v>1</v>
      </c>
      <c r="O94">
        <f t="shared" si="20"/>
        <v>0</v>
      </c>
      <c r="P94">
        <f t="shared" si="21"/>
        <v>1.0500000000000043</v>
      </c>
      <c r="R94">
        <f t="shared" si="22"/>
        <v>0.74777777777777898</v>
      </c>
      <c r="S94">
        <f t="shared" si="23"/>
        <v>0.58600000000000141</v>
      </c>
      <c r="U94">
        <f t="shared" si="24"/>
        <v>56.064645118293882</v>
      </c>
      <c r="V94">
        <v>86</v>
      </c>
      <c r="W94">
        <v>5</v>
      </c>
      <c r="AH94">
        <f t="shared" si="25"/>
        <v>4.9461886728172599</v>
      </c>
      <c r="AI94">
        <f t="shared" si="26"/>
        <v>51.136999016977072</v>
      </c>
      <c r="AJ94">
        <f t="shared" si="27"/>
        <v>63.900000983022935</v>
      </c>
      <c r="AL94">
        <f t="shared" si="28"/>
        <v>67.410877345634518</v>
      </c>
      <c r="AM94">
        <f t="shared" si="29"/>
        <v>47.626122654365481</v>
      </c>
    </row>
    <row r="95" spans="1:39" ht="16.5" x14ac:dyDescent="0.25">
      <c r="A95" s="1">
        <v>45562</v>
      </c>
      <c r="B95" s="5">
        <v>59.49</v>
      </c>
      <c r="C95" s="4">
        <v>57.99</v>
      </c>
      <c r="D95" s="4">
        <v>59.71</v>
      </c>
      <c r="E95" s="4">
        <v>57.95</v>
      </c>
      <c r="F95" s="4" t="s">
        <v>1445</v>
      </c>
      <c r="G95" s="2" t="s">
        <v>1446</v>
      </c>
      <c r="I95">
        <f t="shared" si="16"/>
        <v>57.714500000000001</v>
      </c>
      <c r="J95">
        <f t="shared" si="17"/>
        <v>58.832499999999996</v>
      </c>
      <c r="L95">
        <f t="shared" si="18"/>
        <v>1</v>
      </c>
      <c r="M95">
        <f t="shared" si="19"/>
        <v>0</v>
      </c>
      <c r="O95">
        <f t="shared" si="20"/>
        <v>1.5</v>
      </c>
      <c r="P95">
        <f t="shared" si="21"/>
        <v>0</v>
      </c>
      <c r="R95">
        <f t="shared" si="22"/>
        <v>0.74777777777777898</v>
      </c>
      <c r="S95">
        <f t="shared" si="23"/>
        <v>0.8960000000000008</v>
      </c>
      <c r="U95">
        <f t="shared" si="24"/>
        <v>45.491415438691384</v>
      </c>
      <c r="V95">
        <v>86</v>
      </c>
      <c r="W95">
        <v>5</v>
      </c>
      <c r="AH95">
        <f t="shared" si="25"/>
        <v>4.9304908166932302</v>
      </c>
      <c r="AI95">
        <f t="shared" si="26"/>
        <v>51.33299901697707</v>
      </c>
      <c r="AJ95">
        <f t="shared" si="27"/>
        <v>64.096000983022932</v>
      </c>
      <c r="AL95">
        <f t="shared" si="28"/>
        <v>67.57548163338646</v>
      </c>
      <c r="AM95">
        <f t="shared" si="29"/>
        <v>47.853518366613542</v>
      </c>
    </row>
    <row r="96" spans="1:39" ht="16.5" x14ac:dyDescent="0.25">
      <c r="A96" s="1">
        <v>45561</v>
      </c>
      <c r="B96" s="5">
        <v>57.71</v>
      </c>
      <c r="C96" s="4">
        <v>56.29</v>
      </c>
      <c r="D96" s="4">
        <v>57.99</v>
      </c>
      <c r="E96" s="4">
        <v>56.24</v>
      </c>
      <c r="F96" s="4" t="s">
        <v>1415</v>
      </c>
      <c r="G96" s="2" t="s">
        <v>1447</v>
      </c>
      <c r="I96">
        <f t="shared" si="16"/>
        <v>57.856999999999992</v>
      </c>
      <c r="J96">
        <f t="shared" si="17"/>
        <v>58.802750000000003</v>
      </c>
      <c r="L96">
        <f t="shared" si="18"/>
        <v>1</v>
      </c>
      <c r="M96">
        <f t="shared" si="19"/>
        <v>0</v>
      </c>
      <c r="O96">
        <f t="shared" si="20"/>
        <v>1.4200000000000017</v>
      </c>
      <c r="P96">
        <f t="shared" si="21"/>
        <v>0</v>
      </c>
      <c r="R96">
        <f t="shared" si="22"/>
        <v>0.65375000000000139</v>
      </c>
      <c r="S96">
        <f t="shared" si="23"/>
        <v>0.80166666666666708</v>
      </c>
      <c r="U96">
        <f t="shared" si="24"/>
        <v>44.918408245061592</v>
      </c>
      <c r="V96">
        <v>86</v>
      </c>
      <c r="W96">
        <v>5</v>
      </c>
      <c r="AH96">
        <f t="shared" si="25"/>
        <v>4.9154451537746109</v>
      </c>
      <c r="AI96">
        <f t="shared" si="26"/>
        <v>51.475499016977061</v>
      </c>
      <c r="AJ96">
        <f t="shared" si="27"/>
        <v>64.238500983022917</v>
      </c>
      <c r="AL96">
        <f t="shared" si="28"/>
        <v>67.68789030754921</v>
      </c>
      <c r="AM96">
        <f t="shared" si="29"/>
        <v>48.026109692450774</v>
      </c>
    </row>
    <row r="97" spans="1:39" ht="16.5" x14ac:dyDescent="0.25">
      <c r="A97" s="1">
        <v>45560</v>
      </c>
      <c r="B97" s="5">
        <v>55.88</v>
      </c>
      <c r="C97" s="4">
        <v>56.63</v>
      </c>
      <c r="D97" s="4">
        <v>57.07</v>
      </c>
      <c r="E97" s="4">
        <v>55.82</v>
      </c>
      <c r="F97" s="4" t="s">
        <v>1448</v>
      </c>
      <c r="G97" s="2" t="s">
        <v>1449</v>
      </c>
      <c r="I97">
        <f t="shared" si="16"/>
        <v>58.090499999999999</v>
      </c>
      <c r="J97">
        <f t="shared" si="17"/>
        <v>58.845749999999995</v>
      </c>
      <c r="L97">
        <f t="shared" si="18"/>
        <v>0</v>
      </c>
      <c r="M97">
        <f t="shared" si="19"/>
        <v>1</v>
      </c>
      <c r="O97">
        <f t="shared" si="20"/>
        <v>0</v>
      </c>
      <c r="P97">
        <f t="shared" si="21"/>
        <v>0.75</v>
      </c>
      <c r="R97">
        <f t="shared" si="22"/>
        <v>0.54428571428571559</v>
      </c>
      <c r="S97">
        <f t="shared" si="23"/>
        <v>0.89571428571428513</v>
      </c>
      <c r="U97">
        <f t="shared" si="24"/>
        <v>37.797619047619115</v>
      </c>
      <c r="V97">
        <v>86</v>
      </c>
      <c r="W97">
        <v>5</v>
      </c>
      <c r="AH97">
        <f t="shared" si="25"/>
        <v>4.9008163007294288</v>
      </c>
      <c r="AI97">
        <f t="shared" si="26"/>
        <v>51.708999016977067</v>
      </c>
      <c r="AJ97">
        <f t="shared" si="27"/>
        <v>64.472000983022923</v>
      </c>
      <c r="AL97">
        <f t="shared" si="28"/>
        <v>67.892132601458854</v>
      </c>
      <c r="AM97">
        <f t="shared" si="29"/>
        <v>48.288867398541143</v>
      </c>
    </row>
    <row r="98" spans="1:39" ht="16.5" x14ac:dyDescent="0.25">
      <c r="A98" s="1">
        <v>45559</v>
      </c>
      <c r="B98" s="5">
        <v>56.83</v>
      </c>
      <c r="C98" s="4">
        <v>57.11</v>
      </c>
      <c r="D98" s="4">
        <v>57.53</v>
      </c>
      <c r="E98" s="4">
        <v>56.7</v>
      </c>
      <c r="F98" s="4" t="s">
        <v>1450</v>
      </c>
      <c r="G98" s="2" t="s">
        <v>1451</v>
      </c>
      <c r="I98">
        <f t="shared" si="16"/>
        <v>58.403500000000008</v>
      </c>
      <c r="J98">
        <f t="shared" si="17"/>
        <v>58.977749999999993</v>
      </c>
      <c r="L98">
        <f t="shared" si="18"/>
        <v>0</v>
      </c>
      <c r="M98">
        <f t="shared" si="19"/>
        <v>1</v>
      </c>
      <c r="O98">
        <f t="shared" si="20"/>
        <v>0</v>
      </c>
      <c r="P98">
        <f t="shared" si="21"/>
        <v>0.28000000000000114</v>
      </c>
      <c r="R98">
        <f t="shared" si="22"/>
        <v>0.54125000000000068</v>
      </c>
      <c r="S98">
        <f t="shared" si="23"/>
        <v>0.91999999999999937</v>
      </c>
      <c r="U98">
        <f t="shared" si="24"/>
        <v>37.040205303678405</v>
      </c>
      <c r="V98">
        <v>86</v>
      </c>
      <c r="W98">
        <v>5</v>
      </c>
      <c r="AH98">
        <f t="shared" si="25"/>
        <v>4.8869985094375759</v>
      </c>
      <c r="AI98">
        <f t="shared" si="26"/>
        <v>52.021999016977077</v>
      </c>
      <c r="AJ98">
        <f t="shared" si="27"/>
        <v>64.78500098302294</v>
      </c>
      <c r="AL98">
        <f t="shared" si="28"/>
        <v>68.177497018875158</v>
      </c>
      <c r="AM98">
        <f t="shared" si="29"/>
        <v>48.629502981124858</v>
      </c>
    </row>
    <row r="99" spans="1:39" ht="16.5" x14ac:dyDescent="0.25">
      <c r="A99" s="1">
        <v>45558</v>
      </c>
      <c r="B99" s="5">
        <v>56.09</v>
      </c>
      <c r="C99" s="4">
        <v>54.8</v>
      </c>
      <c r="D99" s="4">
        <v>56.09</v>
      </c>
      <c r="E99" s="4">
        <v>54.21</v>
      </c>
      <c r="F99" s="4" t="s">
        <v>1452</v>
      </c>
      <c r="G99" s="2" t="s">
        <v>381</v>
      </c>
      <c r="I99">
        <f t="shared" si="16"/>
        <v>58.690000000000012</v>
      </c>
      <c r="J99">
        <f t="shared" si="17"/>
        <v>59.097749999999998</v>
      </c>
      <c r="L99">
        <f t="shared" si="18"/>
        <v>1</v>
      </c>
      <c r="M99">
        <f t="shared" si="19"/>
        <v>0</v>
      </c>
      <c r="O99">
        <f t="shared" si="20"/>
        <v>1.2900000000000063</v>
      </c>
      <c r="P99">
        <f t="shared" si="21"/>
        <v>0</v>
      </c>
      <c r="R99">
        <f t="shared" si="22"/>
        <v>0.54125000000000068</v>
      </c>
      <c r="S99">
        <f t="shared" si="23"/>
        <v>0.87499999999999878</v>
      </c>
      <c r="U99">
        <f t="shared" si="24"/>
        <v>38.217122683142158</v>
      </c>
      <c r="V99">
        <v>86</v>
      </c>
      <c r="W99">
        <v>5</v>
      </c>
      <c r="AH99">
        <f t="shared" si="25"/>
        <v>4.8743190176580491</v>
      </c>
      <c r="AI99">
        <f t="shared" si="26"/>
        <v>52.30849901697708</v>
      </c>
      <c r="AJ99">
        <f t="shared" si="27"/>
        <v>65.071500983022943</v>
      </c>
      <c r="AL99">
        <f t="shared" si="28"/>
        <v>68.438638035316103</v>
      </c>
      <c r="AM99">
        <f t="shared" si="29"/>
        <v>48.941361964683914</v>
      </c>
    </row>
    <row r="100" spans="1:39" ht="16.5" x14ac:dyDescent="0.25">
      <c r="A100" s="1">
        <v>45555</v>
      </c>
      <c r="B100" s="5">
        <v>54.99</v>
      </c>
      <c r="C100" s="4">
        <v>54.8</v>
      </c>
      <c r="D100" s="4">
        <v>55.58</v>
      </c>
      <c r="E100" s="4">
        <v>54.05</v>
      </c>
      <c r="F100" s="4" t="s">
        <v>1453</v>
      </c>
      <c r="G100" s="2" t="s">
        <v>1454</v>
      </c>
      <c r="I100">
        <f t="shared" si="16"/>
        <v>59.000999999999998</v>
      </c>
      <c r="J100">
        <f t="shared" si="17"/>
        <v>59.242999999999981</v>
      </c>
      <c r="L100">
        <f t="shared" si="18"/>
        <v>1</v>
      </c>
      <c r="M100">
        <f t="shared" si="19"/>
        <v>0</v>
      </c>
      <c r="O100">
        <f t="shared" si="20"/>
        <v>0.19000000000000483</v>
      </c>
      <c r="P100">
        <f t="shared" si="21"/>
        <v>0</v>
      </c>
      <c r="R100">
        <f t="shared" si="22"/>
        <v>0.43428571428571416</v>
      </c>
      <c r="S100">
        <f t="shared" si="23"/>
        <v>0.88285714285714179</v>
      </c>
      <c r="U100">
        <f t="shared" si="24"/>
        <v>32.971800433839491</v>
      </c>
      <c r="V100">
        <v>86</v>
      </c>
      <c r="W100">
        <v>5</v>
      </c>
      <c r="AH100">
        <f t="shared" si="25"/>
        <v>4.8626489081046875</v>
      </c>
      <c r="AI100">
        <f t="shared" si="26"/>
        <v>52.619499016977066</v>
      </c>
      <c r="AJ100">
        <f t="shared" si="27"/>
        <v>65.382500983022922</v>
      </c>
      <c r="AL100">
        <f t="shared" si="28"/>
        <v>68.726297816209367</v>
      </c>
      <c r="AM100">
        <f t="shared" si="29"/>
        <v>49.275702183790621</v>
      </c>
    </row>
    <row r="101" spans="1:39" ht="16.5" x14ac:dyDescent="0.25">
      <c r="A101" s="1">
        <v>45554</v>
      </c>
      <c r="B101" s="5">
        <v>59.01</v>
      </c>
      <c r="C101" s="4">
        <v>58.54</v>
      </c>
      <c r="D101" s="4">
        <v>59.56</v>
      </c>
      <c r="E101" s="4">
        <v>58.29</v>
      </c>
      <c r="F101" s="4" t="s">
        <v>1455</v>
      </c>
      <c r="G101" s="2" t="s">
        <v>1456</v>
      </c>
      <c r="I101">
        <f t="shared" si="16"/>
        <v>59.355999999999995</v>
      </c>
      <c r="J101">
        <f t="shared" si="17"/>
        <v>59.443749999999987</v>
      </c>
      <c r="L101">
        <f t="shared" si="18"/>
        <v>1</v>
      </c>
      <c r="M101">
        <f t="shared" si="19"/>
        <v>0</v>
      </c>
      <c r="O101">
        <f t="shared" si="20"/>
        <v>0.46999999999999886</v>
      </c>
      <c r="P101">
        <f t="shared" si="21"/>
        <v>0</v>
      </c>
      <c r="R101">
        <f t="shared" si="22"/>
        <v>0.47499999999999903</v>
      </c>
      <c r="S101">
        <f t="shared" si="23"/>
        <v>0.84249999999999936</v>
      </c>
      <c r="U101">
        <f t="shared" si="24"/>
        <v>36.053130929791244</v>
      </c>
      <c r="V101">
        <v>86</v>
      </c>
      <c r="W101">
        <v>5</v>
      </c>
      <c r="AH101">
        <f t="shared" si="25"/>
        <v>4.8520679545331147</v>
      </c>
      <c r="AI101">
        <f t="shared" si="26"/>
        <v>52.974499016977063</v>
      </c>
      <c r="AJ101">
        <f t="shared" si="27"/>
        <v>65.737500983022926</v>
      </c>
      <c r="AL101">
        <f t="shared" si="28"/>
        <v>69.060135909066219</v>
      </c>
      <c r="AM101">
        <f t="shared" si="29"/>
        <v>49.651864090933763</v>
      </c>
    </row>
    <row r="102" spans="1:39" ht="16.5" x14ac:dyDescent="0.25">
      <c r="A102" s="1">
        <v>45553</v>
      </c>
      <c r="B102" s="5">
        <v>57.61</v>
      </c>
      <c r="C102" s="4">
        <v>57.25</v>
      </c>
      <c r="D102" s="4">
        <v>57.78</v>
      </c>
      <c r="E102" s="4">
        <v>57.09</v>
      </c>
      <c r="F102" s="4" t="s">
        <v>343</v>
      </c>
      <c r="G102" s="2" t="s">
        <v>861</v>
      </c>
      <c r="I102">
        <f t="shared" si="16"/>
        <v>59.48599999999999</v>
      </c>
      <c r="J102">
        <f t="shared" si="17"/>
        <v>59.542499999999983</v>
      </c>
      <c r="L102">
        <f t="shared" si="18"/>
        <v>1</v>
      </c>
      <c r="M102">
        <f t="shared" si="19"/>
        <v>0</v>
      </c>
      <c r="O102">
        <f t="shared" si="20"/>
        <v>0.35999999999999943</v>
      </c>
      <c r="P102">
        <f t="shared" si="21"/>
        <v>0</v>
      </c>
      <c r="R102">
        <f t="shared" si="22"/>
        <v>0.47599999999999909</v>
      </c>
      <c r="S102">
        <f t="shared" si="23"/>
        <v>0.76222222222222136</v>
      </c>
      <c r="U102">
        <f t="shared" si="24"/>
        <v>38.44221105527636</v>
      </c>
      <c r="V102">
        <v>86</v>
      </c>
      <c r="W102">
        <v>5</v>
      </c>
      <c r="AH102">
        <f t="shared" si="25"/>
        <v>4.8427206031507328</v>
      </c>
      <c r="AI102">
        <f t="shared" si="26"/>
        <v>53.104499016977059</v>
      </c>
      <c r="AJ102">
        <f t="shared" si="27"/>
        <v>65.867500983022921</v>
      </c>
      <c r="AL102">
        <f t="shared" si="28"/>
        <v>69.171441206301452</v>
      </c>
      <c r="AM102">
        <f t="shared" si="29"/>
        <v>49.800558793698528</v>
      </c>
    </row>
    <row r="103" spans="1:39" ht="16.5" x14ac:dyDescent="0.25">
      <c r="A103" s="1">
        <v>45552</v>
      </c>
      <c r="B103" s="5">
        <v>57.17</v>
      </c>
      <c r="C103" s="4">
        <v>56.6</v>
      </c>
      <c r="D103" s="4">
        <v>57.57</v>
      </c>
      <c r="E103" s="4">
        <v>56.48</v>
      </c>
      <c r="F103" s="4" t="s">
        <v>1395</v>
      </c>
      <c r="G103" s="2" t="s">
        <v>879</v>
      </c>
      <c r="I103">
        <f t="shared" si="16"/>
        <v>59.698499999999981</v>
      </c>
      <c r="J103">
        <f t="shared" si="17"/>
        <v>59.688749999999992</v>
      </c>
      <c r="L103">
        <f t="shared" si="18"/>
        <v>1</v>
      </c>
      <c r="M103">
        <f t="shared" si="19"/>
        <v>0</v>
      </c>
      <c r="O103">
        <f t="shared" si="20"/>
        <v>0.57000000000000028</v>
      </c>
      <c r="P103">
        <f t="shared" si="21"/>
        <v>0</v>
      </c>
      <c r="R103">
        <f t="shared" si="22"/>
        <v>0.43999999999999917</v>
      </c>
      <c r="S103">
        <f t="shared" si="23"/>
        <v>0.76222222222222136</v>
      </c>
      <c r="U103">
        <f t="shared" si="24"/>
        <v>36.598890942698688</v>
      </c>
      <c r="V103">
        <v>86</v>
      </c>
      <c r="W103">
        <v>5</v>
      </c>
      <c r="AH103">
        <f t="shared" si="25"/>
        <v>4.8337351488148608</v>
      </c>
      <c r="AI103">
        <f t="shared" si="26"/>
        <v>53.31699901697705</v>
      </c>
      <c r="AJ103">
        <f t="shared" si="27"/>
        <v>66.080000983022913</v>
      </c>
      <c r="AL103">
        <f t="shared" si="28"/>
        <v>69.365970297629701</v>
      </c>
      <c r="AM103">
        <f t="shared" si="29"/>
        <v>50.031029702370262</v>
      </c>
    </row>
    <row r="104" spans="1:39" ht="16.5" x14ac:dyDescent="0.25">
      <c r="A104" s="1">
        <v>45551</v>
      </c>
      <c r="B104" s="5">
        <v>56.54</v>
      </c>
      <c r="C104" s="4">
        <v>56.7</v>
      </c>
      <c r="D104" s="4">
        <v>56.77</v>
      </c>
      <c r="E104" s="4">
        <v>56.21</v>
      </c>
      <c r="F104" s="4" t="s">
        <v>193</v>
      </c>
      <c r="G104" s="2" t="s">
        <v>258</v>
      </c>
      <c r="I104">
        <f t="shared" si="16"/>
        <v>59.887999999999998</v>
      </c>
      <c r="J104">
        <f t="shared" si="17"/>
        <v>59.858750000000001</v>
      </c>
      <c r="L104">
        <f t="shared" si="18"/>
        <v>0</v>
      </c>
      <c r="M104">
        <f t="shared" si="19"/>
        <v>1</v>
      </c>
      <c r="O104">
        <f t="shared" si="20"/>
        <v>0</v>
      </c>
      <c r="P104">
        <f t="shared" si="21"/>
        <v>0.16000000000000369</v>
      </c>
      <c r="R104">
        <f t="shared" si="22"/>
        <v>0.40749999999999886</v>
      </c>
      <c r="S104">
        <f t="shared" si="23"/>
        <v>0.73899999999999932</v>
      </c>
      <c r="U104">
        <f t="shared" si="24"/>
        <v>35.542956825119887</v>
      </c>
      <c r="V104">
        <v>86</v>
      </c>
      <c r="W104">
        <v>5</v>
      </c>
      <c r="AH104">
        <f t="shared" si="25"/>
        <v>4.8254171299798401</v>
      </c>
      <c r="AI104">
        <f t="shared" si="26"/>
        <v>53.506499016977067</v>
      </c>
      <c r="AJ104">
        <f t="shared" si="27"/>
        <v>66.269500983022922</v>
      </c>
      <c r="AL104">
        <f t="shared" si="28"/>
        <v>69.538834259959685</v>
      </c>
      <c r="AM104">
        <f t="shared" si="29"/>
        <v>50.237165740040318</v>
      </c>
    </row>
    <row r="105" spans="1:39" ht="16.5" x14ac:dyDescent="0.25">
      <c r="A105" s="1">
        <v>45548</v>
      </c>
      <c r="B105" s="5">
        <v>56.74</v>
      </c>
      <c r="C105" s="4">
        <v>55.9</v>
      </c>
      <c r="D105" s="4">
        <v>56.94</v>
      </c>
      <c r="E105" s="4">
        <v>55.9</v>
      </c>
      <c r="F105" s="4" t="s">
        <v>1379</v>
      </c>
      <c r="G105" s="2" t="s">
        <v>1195</v>
      </c>
      <c r="I105">
        <f t="shared" si="16"/>
        <v>60.096000000000004</v>
      </c>
      <c r="J105">
        <f t="shared" si="17"/>
        <v>60.051499999999997</v>
      </c>
      <c r="L105">
        <f t="shared" si="18"/>
        <v>1</v>
      </c>
      <c r="M105">
        <f t="shared" si="19"/>
        <v>0</v>
      </c>
      <c r="O105">
        <f t="shared" si="20"/>
        <v>0.84000000000000341</v>
      </c>
      <c r="P105">
        <f t="shared" si="21"/>
        <v>0</v>
      </c>
      <c r="R105">
        <f t="shared" si="22"/>
        <v>0.33799999999999952</v>
      </c>
      <c r="S105">
        <f t="shared" si="23"/>
        <v>0.80333333333333223</v>
      </c>
      <c r="U105">
        <f t="shared" si="24"/>
        <v>29.61448598130842</v>
      </c>
      <c r="V105">
        <v>86</v>
      </c>
      <c r="W105">
        <v>5</v>
      </c>
      <c r="AH105">
        <f t="shared" si="25"/>
        <v>4.8176747256306145</v>
      </c>
      <c r="AI105">
        <f t="shared" si="26"/>
        <v>53.714499016977072</v>
      </c>
      <c r="AJ105">
        <f t="shared" si="27"/>
        <v>66.477500983022935</v>
      </c>
      <c r="AL105">
        <f t="shared" si="28"/>
        <v>69.731349451261238</v>
      </c>
      <c r="AM105">
        <f t="shared" si="29"/>
        <v>50.460650548738776</v>
      </c>
    </row>
    <row r="106" spans="1:39" ht="16.5" x14ac:dyDescent="0.25">
      <c r="A106" s="1">
        <v>45547</v>
      </c>
      <c r="B106" s="5">
        <v>55.67</v>
      </c>
      <c r="C106" s="4">
        <v>56.36</v>
      </c>
      <c r="D106" s="4">
        <v>56.56</v>
      </c>
      <c r="E106" s="4">
        <v>55.33</v>
      </c>
      <c r="F106" s="4" t="s">
        <v>1402</v>
      </c>
      <c r="G106" s="2" t="s">
        <v>231</v>
      </c>
      <c r="I106">
        <f t="shared" si="16"/>
        <v>60.263500000000001</v>
      </c>
      <c r="J106">
        <f t="shared" si="17"/>
        <v>60.221250000000012</v>
      </c>
      <c r="L106">
        <f t="shared" si="18"/>
        <v>0</v>
      </c>
      <c r="M106">
        <f t="shared" si="19"/>
        <v>1</v>
      </c>
      <c r="O106">
        <f t="shared" si="20"/>
        <v>0</v>
      </c>
      <c r="P106">
        <f t="shared" si="21"/>
        <v>0.68999999999999773</v>
      </c>
      <c r="R106">
        <f t="shared" si="22"/>
        <v>0.2299999999999997</v>
      </c>
      <c r="S106">
        <f t="shared" si="23"/>
        <v>0.80333333333333223</v>
      </c>
      <c r="U106">
        <f t="shared" si="24"/>
        <v>22.258064516129039</v>
      </c>
      <c r="V106">
        <v>86</v>
      </c>
      <c r="W106">
        <v>5</v>
      </c>
      <c r="AH106">
        <f t="shared" si="25"/>
        <v>4.8105673025603037</v>
      </c>
      <c r="AI106">
        <f t="shared" si="26"/>
        <v>53.881999016977069</v>
      </c>
      <c r="AJ106">
        <f t="shared" si="27"/>
        <v>66.645000983022925</v>
      </c>
      <c r="AL106">
        <f t="shared" si="28"/>
        <v>69.88463460512061</v>
      </c>
      <c r="AM106">
        <f t="shared" si="29"/>
        <v>50.642365394879391</v>
      </c>
    </row>
    <row r="107" spans="1:39" ht="16.5" x14ac:dyDescent="0.25">
      <c r="A107" s="1">
        <v>45546</v>
      </c>
      <c r="B107" s="5">
        <v>55.68</v>
      </c>
      <c r="C107" s="4">
        <v>55.59</v>
      </c>
      <c r="D107" s="4">
        <v>56</v>
      </c>
      <c r="E107" s="4">
        <v>54.91</v>
      </c>
      <c r="F107" s="4" t="s">
        <v>1457</v>
      </c>
      <c r="G107" s="2" t="s">
        <v>491</v>
      </c>
      <c r="I107">
        <f t="shared" si="16"/>
        <v>60.459499999999991</v>
      </c>
      <c r="J107">
        <f t="shared" si="17"/>
        <v>60.439499999999995</v>
      </c>
      <c r="L107">
        <f t="shared" si="18"/>
        <v>1</v>
      </c>
      <c r="M107">
        <f t="shared" si="19"/>
        <v>0</v>
      </c>
      <c r="O107">
        <f t="shared" si="20"/>
        <v>8.9999999999996305E-2</v>
      </c>
      <c r="P107">
        <f t="shared" si="21"/>
        <v>0</v>
      </c>
      <c r="R107">
        <f t="shared" si="22"/>
        <v>0.22833333333333408</v>
      </c>
      <c r="S107">
        <f t="shared" si="23"/>
        <v>0.81749999999999901</v>
      </c>
      <c r="U107">
        <f t="shared" si="24"/>
        <v>21.832669322709236</v>
      </c>
      <c r="V107">
        <v>86</v>
      </c>
      <c r="W107">
        <v>5</v>
      </c>
      <c r="AH107">
        <f t="shared" si="25"/>
        <v>4.8039452477206321</v>
      </c>
      <c r="AI107">
        <f t="shared" si="26"/>
        <v>54.07799901697706</v>
      </c>
      <c r="AJ107">
        <f t="shared" si="27"/>
        <v>66.841000983022923</v>
      </c>
      <c r="AL107">
        <f t="shared" si="28"/>
        <v>70.067390495441259</v>
      </c>
      <c r="AM107">
        <f t="shared" si="29"/>
        <v>50.851609504558724</v>
      </c>
    </row>
    <row r="108" spans="1:39" ht="16.5" x14ac:dyDescent="0.25">
      <c r="A108" s="1">
        <v>45545</v>
      </c>
      <c r="B108" s="5">
        <v>55.4</v>
      </c>
      <c r="C108" s="4">
        <v>58</v>
      </c>
      <c r="D108" s="4">
        <v>58.16</v>
      </c>
      <c r="E108" s="4">
        <v>54.89</v>
      </c>
      <c r="F108" s="4" t="s">
        <v>1015</v>
      </c>
      <c r="G108" s="2" t="s">
        <v>1458</v>
      </c>
      <c r="I108">
        <f t="shared" si="16"/>
        <v>60.588999999999984</v>
      </c>
      <c r="J108">
        <f t="shared" si="17"/>
        <v>60.631250000000001</v>
      </c>
      <c r="L108">
        <f t="shared" si="18"/>
        <v>0</v>
      </c>
      <c r="M108">
        <f t="shared" si="19"/>
        <v>1</v>
      </c>
      <c r="O108">
        <f t="shared" si="20"/>
        <v>0</v>
      </c>
      <c r="P108">
        <f t="shared" si="21"/>
        <v>2.6000000000000014</v>
      </c>
      <c r="R108">
        <f t="shared" si="22"/>
        <v>0.25600000000000167</v>
      </c>
      <c r="S108">
        <f t="shared" si="23"/>
        <v>0.75888888888888795</v>
      </c>
      <c r="U108">
        <f t="shared" si="24"/>
        <v>25.224436172542298</v>
      </c>
      <c r="V108">
        <v>86</v>
      </c>
      <c r="W108">
        <v>5</v>
      </c>
      <c r="AH108">
        <f t="shared" si="25"/>
        <v>4.7979012061158741</v>
      </c>
      <c r="AI108">
        <f t="shared" si="26"/>
        <v>54.207499016977053</v>
      </c>
      <c r="AJ108">
        <f t="shared" si="27"/>
        <v>66.970500983022916</v>
      </c>
      <c r="AL108">
        <f t="shared" si="28"/>
        <v>70.184802412231733</v>
      </c>
      <c r="AM108">
        <f t="shared" si="29"/>
        <v>50.993197587768236</v>
      </c>
    </row>
    <row r="109" spans="1:39" ht="16.5" x14ac:dyDescent="0.25">
      <c r="A109" s="1">
        <v>45544</v>
      </c>
      <c r="B109" s="5">
        <v>58.24</v>
      </c>
      <c r="C109" s="4">
        <v>58.57</v>
      </c>
      <c r="D109" s="4">
        <v>58.63</v>
      </c>
      <c r="E109" s="4">
        <v>57.87</v>
      </c>
      <c r="F109" s="4" t="s">
        <v>197</v>
      </c>
      <c r="G109" s="2" t="s">
        <v>497</v>
      </c>
      <c r="I109">
        <f t="shared" si="16"/>
        <v>60.690999999999995</v>
      </c>
      <c r="J109">
        <f t="shared" si="17"/>
        <v>60.835000000000001</v>
      </c>
      <c r="L109">
        <f t="shared" si="18"/>
        <v>0</v>
      </c>
      <c r="M109">
        <f t="shared" si="19"/>
        <v>1</v>
      </c>
      <c r="O109">
        <f t="shared" si="20"/>
        <v>0</v>
      </c>
      <c r="P109">
        <f t="shared" si="21"/>
        <v>0.32999999999999829</v>
      </c>
      <c r="R109">
        <f t="shared" si="22"/>
        <v>0.39833333333333459</v>
      </c>
      <c r="S109">
        <f t="shared" si="23"/>
        <v>0.52874999999999872</v>
      </c>
      <c r="U109">
        <f t="shared" si="24"/>
        <v>42.966292134831598</v>
      </c>
      <c r="V109">
        <v>86</v>
      </c>
      <c r="W109">
        <v>5</v>
      </c>
      <c r="AH109">
        <f t="shared" si="25"/>
        <v>4.7922045148375574</v>
      </c>
      <c r="AI109">
        <f t="shared" si="26"/>
        <v>54.309499016977064</v>
      </c>
      <c r="AJ109">
        <f t="shared" si="27"/>
        <v>67.07250098302292</v>
      </c>
      <c r="AL109">
        <f t="shared" si="28"/>
        <v>70.275409029675103</v>
      </c>
      <c r="AM109">
        <f t="shared" si="29"/>
        <v>51.106590970324881</v>
      </c>
    </row>
    <row r="110" spans="1:39" ht="16.5" x14ac:dyDescent="0.25">
      <c r="A110" s="1">
        <v>45541</v>
      </c>
      <c r="B110" s="5">
        <v>58.45</v>
      </c>
      <c r="C110" s="4">
        <v>59.91</v>
      </c>
      <c r="D110" s="4">
        <v>59.94</v>
      </c>
      <c r="E110" s="4">
        <v>58.16</v>
      </c>
      <c r="F110" s="4" t="s">
        <v>1450</v>
      </c>
      <c r="G110" s="2" t="s">
        <v>1459</v>
      </c>
      <c r="I110">
        <f t="shared" si="16"/>
        <v>60.653000000000006</v>
      </c>
      <c r="J110">
        <f t="shared" si="17"/>
        <v>60.990500000000019</v>
      </c>
      <c r="L110">
        <f t="shared" si="18"/>
        <v>0</v>
      </c>
      <c r="M110">
        <f t="shared" si="19"/>
        <v>1</v>
      </c>
      <c r="O110">
        <f t="shared" si="20"/>
        <v>0</v>
      </c>
      <c r="P110">
        <f t="shared" si="21"/>
        <v>1.4599999999999937</v>
      </c>
      <c r="R110">
        <f t="shared" si="22"/>
        <v>0.34714285714285814</v>
      </c>
      <c r="S110">
        <f t="shared" si="23"/>
        <v>0.55714285714285594</v>
      </c>
      <c r="U110">
        <f t="shared" si="24"/>
        <v>38.388625592417178</v>
      </c>
      <c r="V110">
        <v>86</v>
      </c>
      <c r="W110">
        <v>5</v>
      </c>
      <c r="AH110">
        <f t="shared" si="25"/>
        <v>4.7867619596574604</v>
      </c>
      <c r="AI110">
        <f t="shared" si="26"/>
        <v>54.271499016977074</v>
      </c>
      <c r="AJ110">
        <f t="shared" si="27"/>
        <v>67.034500983022937</v>
      </c>
      <c r="AL110">
        <f t="shared" si="28"/>
        <v>70.226523919314928</v>
      </c>
      <c r="AM110">
        <f t="shared" si="29"/>
        <v>51.079476080685083</v>
      </c>
    </row>
    <row r="111" spans="1:39" ht="16.5" x14ac:dyDescent="0.25">
      <c r="A111" s="1">
        <v>45540</v>
      </c>
      <c r="B111" s="5">
        <v>60.04</v>
      </c>
      <c r="C111" s="4">
        <v>59.52</v>
      </c>
      <c r="D111" s="4">
        <v>60.92</v>
      </c>
      <c r="E111" s="4">
        <v>59.38</v>
      </c>
      <c r="F111" s="4" t="s">
        <v>1424</v>
      </c>
      <c r="G111" s="2" t="s">
        <v>463</v>
      </c>
      <c r="I111">
        <f t="shared" si="16"/>
        <v>60.621000000000016</v>
      </c>
      <c r="J111">
        <f t="shared" si="17"/>
        <v>61.148750000000028</v>
      </c>
      <c r="L111">
        <f t="shared" si="18"/>
        <v>1</v>
      </c>
      <c r="M111">
        <f t="shared" si="19"/>
        <v>0</v>
      </c>
      <c r="O111">
        <f t="shared" si="20"/>
        <v>0.51999999999999602</v>
      </c>
      <c r="P111">
        <f t="shared" si="21"/>
        <v>0</v>
      </c>
      <c r="R111">
        <f t="shared" si="22"/>
        <v>0.3650000000000011</v>
      </c>
      <c r="S111">
        <f t="shared" si="23"/>
        <v>0.40666666666666629</v>
      </c>
      <c r="U111">
        <f t="shared" si="24"/>
        <v>47.300215982721483</v>
      </c>
      <c r="V111">
        <v>86</v>
      </c>
      <c r="W111">
        <v>5</v>
      </c>
      <c r="AH111">
        <f t="shared" si="25"/>
        <v>4.7811064896304334</v>
      </c>
      <c r="AI111">
        <f t="shared" si="26"/>
        <v>54.239499016977085</v>
      </c>
      <c r="AJ111">
        <f t="shared" si="27"/>
        <v>67.002500983022941</v>
      </c>
      <c r="AL111">
        <f t="shared" si="28"/>
        <v>70.183212979260887</v>
      </c>
      <c r="AM111">
        <f t="shared" si="29"/>
        <v>51.058787020739146</v>
      </c>
    </row>
    <row r="112" spans="1:39" ht="16.5" x14ac:dyDescent="0.25">
      <c r="A112" s="1">
        <v>45539</v>
      </c>
      <c r="B112" s="5">
        <v>59.89</v>
      </c>
      <c r="C112" s="4">
        <v>59.9</v>
      </c>
      <c r="D112" s="4">
        <v>60.33</v>
      </c>
      <c r="E112" s="4">
        <v>59.44</v>
      </c>
      <c r="F112" s="4" t="s">
        <v>1460</v>
      </c>
      <c r="G112" s="2" t="s">
        <v>1461</v>
      </c>
      <c r="I112">
        <f t="shared" si="16"/>
        <v>60.521000000000001</v>
      </c>
      <c r="J112">
        <f t="shared" si="17"/>
        <v>61.247750000000018</v>
      </c>
      <c r="L112">
        <f t="shared" si="18"/>
        <v>0</v>
      </c>
      <c r="M112">
        <f t="shared" si="19"/>
        <v>1</v>
      </c>
      <c r="O112">
        <f t="shared" si="20"/>
        <v>0</v>
      </c>
      <c r="P112">
        <f t="shared" si="21"/>
        <v>9.9999999999980105E-3</v>
      </c>
      <c r="R112">
        <f t="shared" si="22"/>
        <v>0.3237500000000022</v>
      </c>
      <c r="S112">
        <f t="shared" si="23"/>
        <v>0.40666666666666629</v>
      </c>
      <c r="U112">
        <f t="shared" si="24"/>
        <v>44.324015972618561</v>
      </c>
      <c r="V112">
        <v>86</v>
      </c>
      <c r="W112">
        <v>5</v>
      </c>
      <c r="AH112">
        <f t="shared" si="25"/>
        <v>4.7752542825142843</v>
      </c>
      <c r="AI112">
        <f t="shared" si="26"/>
        <v>54.139499016977069</v>
      </c>
      <c r="AJ112">
        <f t="shared" si="27"/>
        <v>66.902500983022932</v>
      </c>
      <c r="AL112">
        <f t="shared" si="28"/>
        <v>70.071508565028566</v>
      </c>
      <c r="AM112">
        <f t="shared" si="29"/>
        <v>50.970491434971436</v>
      </c>
    </row>
    <row r="113" spans="1:39" ht="16.5" x14ac:dyDescent="0.25">
      <c r="A113" s="1">
        <v>45538</v>
      </c>
      <c r="B113" s="5">
        <v>60.9</v>
      </c>
      <c r="C113" s="4">
        <v>61.83</v>
      </c>
      <c r="D113" s="4">
        <v>62.02</v>
      </c>
      <c r="E113" s="4">
        <v>60.69</v>
      </c>
      <c r="F113" s="4" t="s">
        <v>1462</v>
      </c>
      <c r="G113" s="2" t="s">
        <v>341</v>
      </c>
      <c r="I113">
        <f t="shared" si="16"/>
        <v>60.418499999999995</v>
      </c>
      <c r="J113">
        <f t="shared" si="17"/>
        <v>61.349250000000005</v>
      </c>
      <c r="L113">
        <f t="shared" si="18"/>
        <v>0</v>
      </c>
      <c r="M113">
        <f t="shared" si="19"/>
        <v>1</v>
      </c>
      <c r="O113">
        <f t="shared" si="20"/>
        <v>0</v>
      </c>
      <c r="P113">
        <f t="shared" si="21"/>
        <v>0.92999999999999972</v>
      </c>
      <c r="R113">
        <f t="shared" si="22"/>
        <v>0.42000000000000248</v>
      </c>
      <c r="S113">
        <f t="shared" si="23"/>
        <v>0.48599999999999993</v>
      </c>
      <c r="U113">
        <f t="shared" si="24"/>
        <v>46.357615894039881</v>
      </c>
      <c r="V113">
        <v>86</v>
      </c>
      <c r="W113">
        <v>5</v>
      </c>
      <c r="AH113">
        <f t="shared" si="25"/>
        <v>4.7689663875199102</v>
      </c>
      <c r="AI113">
        <f t="shared" si="26"/>
        <v>54.036999016977063</v>
      </c>
      <c r="AJ113">
        <f t="shared" si="27"/>
        <v>66.800000983022926</v>
      </c>
      <c r="AL113">
        <f t="shared" si="28"/>
        <v>69.956432775039815</v>
      </c>
      <c r="AM113">
        <f t="shared" si="29"/>
        <v>50.880567224960174</v>
      </c>
    </row>
    <row r="114" spans="1:39" ht="16.5" x14ac:dyDescent="0.25">
      <c r="A114" s="1">
        <v>45537</v>
      </c>
      <c r="B114" s="5">
        <v>61.96</v>
      </c>
      <c r="C114" s="4">
        <v>62.52</v>
      </c>
      <c r="D114" s="4">
        <v>62.56</v>
      </c>
      <c r="E114" s="4">
        <v>60.84</v>
      </c>
      <c r="F114" s="4" t="s">
        <v>97</v>
      </c>
      <c r="G114" s="2" t="s">
        <v>1463</v>
      </c>
      <c r="I114">
        <f t="shared" si="16"/>
        <v>60.202500000000001</v>
      </c>
      <c r="J114">
        <f t="shared" si="17"/>
        <v>61.405500000000018</v>
      </c>
      <c r="L114">
        <f t="shared" si="18"/>
        <v>0</v>
      </c>
      <c r="M114">
        <f t="shared" si="19"/>
        <v>1</v>
      </c>
      <c r="O114">
        <f t="shared" si="20"/>
        <v>0</v>
      </c>
      <c r="P114">
        <f t="shared" si="21"/>
        <v>0.56000000000000227</v>
      </c>
      <c r="R114">
        <f t="shared" si="22"/>
        <v>0.42800000000000227</v>
      </c>
      <c r="S114">
        <f t="shared" si="23"/>
        <v>0.375</v>
      </c>
      <c r="U114">
        <f t="shared" si="24"/>
        <v>53.300124533001373</v>
      </c>
      <c r="V114">
        <v>86</v>
      </c>
      <c r="W114">
        <v>5</v>
      </c>
      <c r="AH114">
        <f t="shared" si="25"/>
        <v>4.762221181854148</v>
      </c>
      <c r="AI114">
        <f t="shared" si="26"/>
        <v>53.820999016977069</v>
      </c>
      <c r="AJ114">
        <f t="shared" si="27"/>
        <v>66.584000983022932</v>
      </c>
      <c r="AL114">
        <f t="shared" si="28"/>
        <v>69.726942363708304</v>
      </c>
      <c r="AM114">
        <f t="shared" si="29"/>
        <v>50.678057636291705</v>
      </c>
    </row>
    <row r="115" spans="1:39" ht="16.5" x14ac:dyDescent="0.25">
      <c r="A115" s="1">
        <v>45534</v>
      </c>
      <c r="B115" s="5">
        <v>62.34</v>
      </c>
      <c r="C115" s="4">
        <v>62.46</v>
      </c>
      <c r="D115" s="4">
        <v>62.64</v>
      </c>
      <c r="E115" s="4">
        <v>62.21</v>
      </c>
      <c r="F115" s="4" t="s">
        <v>885</v>
      </c>
      <c r="G115" s="2" t="s">
        <v>553</v>
      </c>
      <c r="I115">
        <f t="shared" si="16"/>
        <v>59.950499999999998</v>
      </c>
      <c r="J115">
        <f t="shared" si="17"/>
        <v>61.491250000000015</v>
      </c>
      <c r="L115">
        <f t="shared" si="18"/>
        <v>0</v>
      </c>
      <c r="M115">
        <f t="shared" si="19"/>
        <v>1</v>
      </c>
      <c r="O115">
        <f t="shared" si="20"/>
        <v>0</v>
      </c>
      <c r="P115">
        <f t="shared" si="21"/>
        <v>0.11999999999999744</v>
      </c>
      <c r="R115">
        <f t="shared" si="22"/>
        <v>0.42800000000000227</v>
      </c>
      <c r="S115">
        <f t="shared" si="23"/>
        <v>0.26750000000000007</v>
      </c>
      <c r="U115">
        <f t="shared" si="24"/>
        <v>61.538461538461661</v>
      </c>
      <c r="V115">
        <v>86</v>
      </c>
      <c r="W115">
        <v>5</v>
      </c>
      <c r="AH115">
        <f t="shared" si="25"/>
        <v>4.7545905835370643</v>
      </c>
      <c r="AI115">
        <f t="shared" si="26"/>
        <v>53.568999016977067</v>
      </c>
      <c r="AJ115">
        <f t="shared" si="27"/>
        <v>66.332000983022922</v>
      </c>
      <c r="AL115">
        <f t="shared" si="28"/>
        <v>69.459681167074123</v>
      </c>
      <c r="AM115">
        <f t="shared" si="29"/>
        <v>50.441318832925873</v>
      </c>
    </row>
    <row r="116" spans="1:39" ht="16.5" x14ac:dyDescent="0.25">
      <c r="A116" s="1">
        <v>45533</v>
      </c>
      <c r="B116" s="5">
        <v>62.38</v>
      </c>
      <c r="C116" s="4">
        <v>62.2</v>
      </c>
      <c r="D116" s="4">
        <v>62.85</v>
      </c>
      <c r="E116" s="4">
        <v>62.04</v>
      </c>
      <c r="F116" s="4" t="s">
        <v>759</v>
      </c>
      <c r="G116" s="2" t="s">
        <v>90</v>
      </c>
      <c r="I116">
        <f t="shared" si="16"/>
        <v>59.7485</v>
      </c>
      <c r="J116">
        <f t="shared" si="17"/>
        <v>61.569500000000005</v>
      </c>
      <c r="L116">
        <f t="shared" si="18"/>
        <v>1</v>
      </c>
      <c r="M116">
        <f t="shared" si="19"/>
        <v>0</v>
      </c>
      <c r="O116">
        <f t="shared" si="20"/>
        <v>0.17999999999999972</v>
      </c>
      <c r="P116">
        <f t="shared" si="21"/>
        <v>0</v>
      </c>
      <c r="R116">
        <f t="shared" si="22"/>
        <v>0.42800000000000227</v>
      </c>
      <c r="S116">
        <f t="shared" si="23"/>
        <v>0.35750000000000171</v>
      </c>
      <c r="U116">
        <f t="shared" si="24"/>
        <v>54.487587523870161</v>
      </c>
      <c r="V116">
        <v>86</v>
      </c>
      <c r="W116">
        <v>5</v>
      </c>
      <c r="AH116">
        <f t="shared" si="25"/>
        <v>4.7458964052312975</v>
      </c>
      <c r="AI116">
        <f t="shared" si="26"/>
        <v>53.366999016977068</v>
      </c>
      <c r="AJ116">
        <f t="shared" si="27"/>
        <v>66.130000983022924</v>
      </c>
      <c r="AL116">
        <f t="shared" si="28"/>
        <v>69.240292810462591</v>
      </c>
      <c r="AM116">
        <f t="shared" si="29"/>
        <v>50.256707189537408</v>
      </c>
    </row>
    <row r="117" spans="1:39" ht="16.5" x14ac:dyDescent="0.25">
      <c r="A117" s="1">
        <v>45532</v>
      </c>
      <c r="B117" s="5">
        <v>62.14</v>
      </c>
      <c r="C117" s="4">
        <v>62.67</v>
      </c>
      <c r="D117" s="4">
        <v>62.86</v>
      </c>
      <c r="E117" s="4">
        <v>62.07</v>
      </c>
      <c r="F117" s="4" t="s">
        <v>492</v>
      </c>
      <c r="G117" s="2" t="s">
        <v>327</v>
      </c>
      <c r="I117">
        <f t="shared" si="16"/>
        <v>59.600999999999999</v>
      </c>
      <c r="J117">
        <f t="shared" si="17"/>
        <v>61.658500000000004</v>
      </c>
      <c r="L117">
        <f t="shared" si="18"/>
        <v>0</v>
      </c>
      <c r="M117">
        <f t="shared" si="19"/>
        <v>1</v>
      </c>
      <c r="O117">
        <f t="shared" si="20"/>
        <v>0</v>
      </c>
      <c r="P117">
        <f t="shared" si="21"/>
        <v>0.53000000000000114</v>
      </c>
      <c r="R117">
        <f t="shared" si="22"/>
        <v>0.4555555555555581</v>
      </c>
      <c r="S117">
        <f t="shared" si="23"/>
        <v>0.32800000000000151</v>
      </c>
      <c r="U117">
        <f t="shared" si="24"/>
        <v>58.139534883720955</v>
      </c>
      <c r="V117">
        <v>86</v>
      </c>
      <c r="W117">
        <v>5</v>
      </c>
      <c r="AH117">
        <f t="shared" si="25"/>
        <v>4.7362841068886246</v>
      </c>
      <c r="AI117">
        <f t="shared" si="26"/>
        <v>53.219499016977068</v>
      </c>
      <c r="AJ117">
        <f t="shared" si="27"/>
        <v>65.982500983022931</v>
      </c>
      <c r="AL117">
        <f t="shared" si="28"/>
        <v>69.07356821377725</v>
      </c>
      <c r="AM117">
        <f t="shared" si="29"/>
        <v>50.128431786222748</v>
      </c>
    </row>
    <row r="118" spans="1:39" ht="16.5" x14ac:dyDescent="0.25">
      <c r="A118" s="1">
        <v>45531</v>
      </c>
      <c r="B118" s="5">
        <v>62.56</v>
      </c>
      <c r="C118" s="4">
        <v>62.5</v>
      </c>
      <c r="D118" s="4">
        <v>63.24</v>
      </c>
      <c r="E118" s="4">
        <v>62.34</v>
      </c>
      <c r="F118" s="4" t="s">
        <v>128</v>
      </c>
      <c r="G118" s="2" t="s">
        <v>233</v>
      </c>
      <c r="I118">
        <f t="shared" si="16"/>
        <v>59.552000000000007</v>
      </c>
      <c r="J118">
        <f t="shared" si="17"/>
        <v>61.737499999999997</v>
      </c>
      <c r="L118">
        <f t="shared" si="18"/>
        <v>1</v>
      </c>
      <c r="M118">
        <f t="shared" si="19"/>
        <v>0</v>
      </c>
      <c r="O118">
        <f t="shared" si="20"/>
        <v>6.0000000000002274E-2</v>
      </c>
      <c r="P118">
        <f t="shared" si="21"/>
        <v>0</v>
      </c>
      <c r="R118">
        <f t="shared" si="22"/>
        <v>0.45500000000000185</v>
      </c>
      <c r="S118">
        <f t="shared" si="23"/>
        <v>0.27750000000000163</v>
      </c>
      <c r="U118">
        <f t="shared" si="24"/>
        <v>62.116040955631355</v>
      </c>
      <c r="V118">
        <v>86</v>
      </c>
      <c r="W118">
        <v>5</v>
      </c>
      <c r="AH118">
        <f t="shared" si="25"/>
        <v>4.7259367080907104</v>
      </c>
      <c r="AI118">
        <f t="shared" si="26"/>
        <v>53.170499016977075</v>
      </c>
      <c r="AJ118">
        <f t="shared" si="27"/>
        <v>65.933500983022938</v>
      </c>
      <c r="AL118">
        <f t="shared" si="28"/>
        <v>69.00387341618142</v>
      </c>
      <c r="AM118">
        <f t="shared" si="29"/>
        <v>50.100126583818586</v>
      </c>
    </row>
    <row r="119" spans="1:39" ht="16.5" x14ac:dyDescent="0.25">
      <c r="A119" s="1">
        <v>45530</v>
      </c>
      <c r="B119" s="5">
        <v>62.31</v>
      </c>
      <c r="C119" s="4">
        <v>62.01</v>
      </c>
      <c r="D119" s="4">
        <v>62.63</v>
      </c>
      <c r="E119" s="4">
        <v>61.91</v>
      </c>
      <c r="F119" s="4" t="s">
        <v>269</v>
      </c>
      <c r="G119" s="2" t="s">
        <v>755</v>
      </c>
      <c r="I119">
        <f t="shared" si="16"/>
        <v>59.505500000000005</v>
      </c>
      <c r="J119">
        <f t="shared" si="17"/>
        <v>61.79175</v>
      </c>
      <c r="L119">
        <f t="shared" si="18"/>
        <v>1</v>
      </c>
      <c r="M119">
        <f t="shared" si="19"/>
        <v>0</v>
      </c>
      <c r="O119">
        <f t="shared" si="20"/>
        <v>0.30000000000000426</v>
      </c>
      <c r="P119">
        <f t="shared" si="21"/>
        <v>0</v>
      </c>
      <c r="R119">
        <f t="shared" si="22"/>
        <v>0.55300000000000227</v>
      </c>
      <c r="S119">
        <f t="shared" si="23"/>
        <v>0.27750000000000163</v>
      </c>
      <c r="U119">
        <f t="shared" si="24"/>
        <v>66.586393738711578</v>
      </c>
      <c r="V119">
        <v>86</v>
      </c>
      <c r="W119">
        <v>5</v>
      </c>
      <c r="AH119">
        <f t="shared" si="25"/>
        <v>4.7152365198671875</v>
      </c>
      <c r="AI119">
        <f t="shared" si="26"/>
        <v>53.123999016977073</v>
      </c>
      <c r="AJ119">
        <f t="shared" si="27"/>
        <v>65.887000983022929</v>
      </c>
      <c r="AL119">
        <f t="shared" si="28"/>
        <v>68.935973039734378</v>
      </c>
      <c r="AM119">
        <f t="shared" si="29"/>
        <v>50.075026960265632</v>
      </c>
    </row>
    <row r="120" spans="1:39" ht="16.5" x14ac:dyDescent="0.25">
      <c r="A120" s="1">
        <v>45527</v>
      </c>
      <c r="B120" s="5">
        <v>62.09</v>
      </c>
      <c r="C120" s="4">
        <v>61.87</v>
      </c>
      <c r="D120" s="4">
        <v>62.3</v>
      </c>
      <c r="E120" s="4">
        <v>61.81</v>
      </c>
      <c r="F120" s="4" t="s">
        <v>1464</v>
      </c>
      <c r="G120" s="2" t="s">
        <v>345</v>
      </c>
      <c r="I120">
        <f t="shared" si="16"/>
        <v>59.485000000000014</v>
      </c>
      <c r="J120">
        <f t="shared" si="17"/>
        <v>61.854000000000006</v>
      </c>
      <c r="L120">
        <f t="shared" si="18"/>
        <v>1</v>
      </c>
      <c r="M120">
        <f t="shared" si="19"/>
        <v>0</v>
      </c>
      <c r="O120">
        <f t="shared" si="20"/>
        <v>0.22000000000000597</v>
      </c>
      <c r="P120">
        <f t="shared" si="21"/>
        <v>0</v>
      </c>
      <c r="R120">
        <f t="shared" si="22"/>
        <v>0.58111111111111313</v>
      </c>
      <c r="S120">
        <f t="shared" si="23"/>
        <v>0.34000000000000197</v>
      </c>
      <c r="U120">
        <f t="shared" si="24"/>
        <v>63.088057901085591</v>
      </c>
      <c r="V120">
        <v>86</v>
      </c>
      <c r="W120">
        <v>5</v>
      </c>
      <c r="AH120">
        <f t="shared" si="25"/>
        <v>4.7041858673010397</v>
      </c>
      <c r="AI120">
        <f t="shared" si="26"/>
        <v>53.103499016977082</v>
      </c>
      <c r="AJ120">
        <f t="shared" si="27"/>
        <v>65.866500983022945</v>
      </c>
      <c r="AL120">
        <f t="shared" si="28"/>
        <v>68.893371734602098</v>
      </c>
      <c r="AM120">
        <f t="shared" si="29"/>
        <v>50.076628265397936</v>
      </c>
    </row>
    <row r="121" spans="1:39" ht="16.5" x14ac:dyDescent="0.25">
      <c r="A121" s="1">
        <v>45526</v>
      </c>
      <c r="B121" s="5">
        <v>61.61</v>
      </c>
      <c r="C121" s="4">
        <v>61.9</v>
      </c>
      <c r="D121" s="4">
        <v>62.03</v>
      </c>
      <c r="E121" s="4">
        <v>61.5</v>
      </c>
      <c r="F121" s="4" t="s">
        <v>1465</v>
      </c>
      <c r="G121" s="2" t="s">
        <v>814</v>
      </c>
      <c r="I121">
        <f t="shared" si="16"/>
        <v>59.531499999999994</v>
      </c>
      <c r="J121">
        <f t="shared" si="17"/>
        <v>61.916000000000011</v>
      </c>
      <c r="L121">
        <f t="shared" si="18"/>
        <v>0</v>
      </c>
      <c r="M121">
        <f t="shared" si="19"/>
        <v>1</v>
      </c>
      <c r="O121">
        <f t="shared" si="20"/>
        <v>0</v>
      </c>
      <c r="P121">
        <f t="shared" si="21"/>
        <v>0.28999999999999915</v>
      </c>
      <c r="R121">
        <f t="shared" si="22"/>
        <v>0.62625000000000153</v>
      </c>
      <c r="S121">
        <f t="shared" si="23"/>
        <v>0.29666666666666802</v>
      </c>
      <c r="U121">
        <f t="shared" si="24"/>
        <v>67.855530474040592</v>
      </c>
      <c r="V121">
        <v>86</v>
      </c>
      <c r="W121">
        <v>5</v>
      </c>
      <c r="AH121">
        <f t="shared" si="25"/>
        <v>4.6928865552453098</v>
      </c>
      <c r="AI121">
        <f t="shared" si="26"/>
        <v>53.149999016977063</v>
      </c>
      <c r="AJ121">
        <f t="shared" si="27"/>
        <v>65.913000983022926</v>
      </c>
      <c r="AL121">
        <f t="shared" si="28"/>
        <v>68.917273110490612</v>
      </c>
      <c r="AM121">
        <f t="shared" si="29"/>
        <v>50.145726889509376</v>
      </c>
    </row>
    <row r="122" spans="1:39" ht="16.5" x14ac:dyDescent="0.25">
      <c r="A122" s="1">
        <v>45525</v>
      </c>
      <c r="B122" s="5">
        <v>61.86</v>
      </c>
      <c r="C122" s="4">
        <v>60.75</v>
      </c>
      <c r="D122" s="4">
        <v>61.93</v>
      </c>
      <c r="E122" s="4">
        <v>60.67</v>
      </c>
      <c r="F122" s="4" t="s">
        <v>1424</v>
      </c>
      <c r="G122" s="2" t="s">
        <v>1212</v>
      </c>
      <c r="I122">
        <f t="shared" si="16"/>
        <v>59.599000000000004</v>
      </c>
      <c r="J122">
        <f t="shared" si="17"/>
        <v>61.961500000000015</v>
      </c>
      <c r="L122">
        <f t="shared" si="18"/>
        <v>1</v>
      </c>
      <c r="M122">
        <f t="shared" si="19"/>
        <v>0</v>
      </c>
      <c r="O122">
        <f t="shared" si="20"/>
        <v>1.1099999999999994</v>
      </c>
      <c r="P122">
        <f t="shared" si="21"/>
        <v>0</v>
      </c>
      <c r="R122">
        <f t="shared" si="22"/>
        <v>0.62625000000000153</v>
      </c>
      <c r="S122">
        <f t="shared" si="23"/>
        <v>0.43166666666666842</v>
      </c>
      <c r="U122">
        <f t="shared" si="24"/>
        <v>59.19653406853088</v>
      </c>
      <c r="V122">
        <v>86</v>
      </c>
      <c r="W122">
        <v>5</v>
      </c>
      <c r="AH122">
        <f t="shared" si="25"/>
        <v>4.6816178179463419</v>
      </c>
      <c r="AI122">
        <f t="shared" si="26"/>
        <v>53.217499016977072</v>
      </c>
      <c r="AJ122">
        <f t="shared" si="27"/>
        <v>65.980500983022935</v>
      </c>
      <c r="AL122">
        <f t="shared" si="28"/>
        <v>68.962235635892682</v>
      </c>
      <c r="AM122">
        <f t="shared" si="29"/>
        <v>50.235764364107318</v>
      </c>
    </row>
    <row r="123" spans="1:39" ht="16.5" x14ac:dyDescent="0.25">
      <c r="A123" s="1">
        <v>45524</v>
      </c>
      <c r="B123" s="5">
        <v>60.96</v>
      </c>
      <c r="C123" s="4">
        <v>60.92</v>
      </c>
      <c r="D123" s="4">
        <v>61.31</v>
      </c>
      <c r="E123" s="4">
        <v>60.69</v>
      </c>
      <c r="F123" s="4" t="s">
        <v>492</v>
      </c>
      <c r="G123" s="2" t="s">
        <v>251</v>
      </c>
      <c r="I123">
        <f t="shared" si="16"/>
        <v>59.678999999999995</v>
      </c>
      <c r="J123">
        <f t="shared" si="17"/>
        <v>62.021250000000009</v>
      </c>
      <c r="L123">
        <f t="shared" si="18"/>
        <v>1</v>
      </c>
      <c r="M123">
        <f t="shared" si="19"/>
        <v>0</v>
      </c>
      <c r="O123">
        <f t="shared" si="20"/>
        <v>3.9999999999999147E-2</v>
      </c>
      <c r="P123">
        <f t="shared" si="21"/>
        <v>0</v>
      </c>
      <c r="R123">
        <f t="shared" si="22"/>
        <v>0.55714285714285894</v>
      </c>
      <c r="S123">
        <f t="shared" si="23"/>
        <v>0.500000000000002</v>
      </c>
      <c r="U123">
        <f t="shared" si="24"/>
        <v>52.70270270270268</v>
      </c>
      <c r="V123">
        <v>86</v>
      </c>
      <c r="W123">
        <v>5</v>
      </c>
      <c r="AH123">
        <f t="shared" si="25"/>
        <v>4.6704687030402789</v>
      </c>
      <c r="AI123">
        <f t="shared" si="26"/>
        <v>53.297499016977063</v>
      </c>
      <c r="AJ123">
        <f t="shared" si="27"/>
        <v>66.060500983022919</v>
      </c>
      <c r="AL123">
        <f t="shared" si="28"/>
        <v>69.019937406080558</v>
      </c>
      <c r="AM123">
        <f t="shared" si="29"/>
        <v>50.338062593919439</v>
      </c>
    </row>
    <row r="124" spans="1:39" ht="16.5" x14ac:dyDescent="0.25">
      <c r="A124" s="1">
        <v>45523</v>
      </c>
      <c r="B124" s="5">
        <v>60.7</v>
      </c>
      <c r="C124" s="4">
        <v>60.21</v>
      </c>
      <c r="D124" s="4">
        <v>61.07</v>
      </c>
      <c r="E124" s="4">
        <v>60.2</v>
      </c>
      <c r="F124" s="4" t="s">
        <v>1466</v>
      </c>
      <c r="G124" s="2" t="s">
        <v>1156</v>
      </c>
      <c r="I124">
        <f t="shared" si="16"/>
        <v>59.829499999999996</v>
      </c>
      <c r="J124">
        <f t="shared" si="17"/>
        <v>62.117500000000007</v>
      </c>
      <c r="L124">
        <f t="shared" si="18"/>
        <v>1</v>
      </c>
      <c r="M124">
        <f t="shared" si="19"/>
        <v>0</v>
      </c>
      <c r="O124">
        <f t="shared" si="20"/>
        <v>0.49000000000000199</v>
      </c>
      <c r="P124">
        <f t="shared" si="21"/>
        <v>0</v>
      </c>
      <c r="R124">
        <f t="shared" si="22"/>
        <v>0.64333333333333564</v>
      </c>
      <c r="S124">
        <f t="shared" si="23"/>
        <v>0.48125000000000195</v>
      </c>
      <c r="U124">
        <f t="shared" si="24"/>
        <v>57.206372730640965</v>
      </c>
      <c r="V124">
        <v>86</v>
      </c>
      <c r="W124">
        <v>5</v>
      </c>
      <c r="AH124">
        <f t="shared" si="25"/>
        <v>4.6594928640367836</v>
      </c>
      <c r="AI124">
        <f t="shared" si="26"/>
        <v>53.447999016977064</v>
      </c>
      <c r="AJ124">
        <f t="shared" si="27"/>
        <v>66.211000983022927</v>
      </c>
      <c r="AL124">
        <f t="shared" si="28"/>
        <v>69.148485728073567</v>
      </c>
      <c r="AM124">
        <f t="shared" si="29"/>
        <v>50.510514271926425</v>
      </c>
    </row>
    <row r="125" spans="1:39" ht="16.5" x14ac:dyDescent="0.25">
      <c r="A125" s="1">
        <v>45520</v>
      </c>
      <c r="B125" s="5">
        <v>60.09</v>
      </c>
      <c r="C125" s="4">
        <v>59.9</v>
      </c>
      <c r="D125" s="4">
        <v>60.35</v>
      </c>
      <c r="E125" s="4">
        <v>59.81</v>
      </c>
      <c r="F125" s="4" t="s">
        <v>1392</v>
      </c>
      <c r="G125" s="2" t="s">
        <v>980</v>
      </c>
      <c r="I125">
        <f t="shared" si="16"/>
        <v>60.006999999999991</v>
      </c>
      <c r="J125">
        <f t="shared" si="17"/>
        <v>62.213499999999996</v>
      </c>
      <c r="L125">
        <f t="shared" si="18"/>
        <v>1</v>
      </c>
      <c r="M125">
        <f t="shared" si="19"/>
        <v>0</v>
      </c>
      <c r="O125">
        <f t="shared" si="20"/>
        <v>0.19000000000000483</v>
      </c>
      <c r="P125">
        <f t="shared" si="21"/>
        <v>0</v>
      </c>
      <c r="R125">
        <f t="shared" si="22"/>
        <v>0.67400000000000237</v>
      </c>
      <c r="S125">
        <f t="shared" si="23"/>
        <v>0.4533333333333347</v>
      </c>
      <c r="U125">
        <f t="shared" si="24"/>
        <v>59.787108219988184</v>
      </c>
      <c r="V125">
        <v>86</v>
      </c>
      <c r="W125">
        <v>5</v>
      </c>
      <c r="AH125">
        <f t="shared" si="25"/>
        <v>4.6489859054957625</v>
      </c>
      <c r="AI125">
        <f t="shared" si="26"/>
        <v>53.625499016977059</v>
      </c>
      <c r="AJ125">
        <f t="shared" si="27"/>
        <v>66.388500983022922</v>
      </c>
      <c r="AL125">
        <f t="shared" si="28"/>
        <v>69.304971810991518</v>
      </c>
      <c r="AM125">
        <f t="shared" si="29"/>
        <v>50.709028189008464</v>
      </c>
    </row>
    <row r="126" spans="1:39" ht="16.5" x14ac:dyDescent="0.25">
      <c r="A126" s="1">
        <v>45519</v>
      </c>
      <c r="B126" s="5">
        <v>59.59</v>
      </c>
      <c r="C126" s="4">
        <v>58.4</v>
      </c>
      <c r="D126" s="4">
        <v>59.89</v>
      </c>
      <c r="E126" s="4">
        <v>58.16</v>
      </c>
      <c r="F126" s="4" t="s">
        <v>1467</v>
      </c>
      <c r="G126" s="2" t="s">
        <v>1331</v>
      </c>
      <c r="I126">
        <f t="shared" si="16"/>
        <v>60.178999999999995</v>
      </c>
      <c r="J126">
        <f t="shared" si="17"/>
        <v>62.302750000000003</v>
      </c>
      <c r="L126">
        <f t="shared" si="18"/>
        <v>1</v>
      </c>
      <c r="M126">
        <f t="shared" si="19"/>
        <v>0</v>
      </c>
      <c r="O126">
        <f t="shared" si="20"/>
        <v>1.1900000000000048</v>
      </c>
      <c r="P126">
        <f t="shared" si="21"/>
        <v>0</v>
      </c>
      <c r="R126">
        <f t="shared" si="22"/>
        <v>0.79500000000000171</v>
      </c>
      <c r="S126">
        <f t="shared" si="23"/>
        <v>0.53100000000000169</v>
      </c>
      <c r="U126">
        <f t="shared" si="24"/>
        <v>59.954751131221698</v>
      </c>
      <c r="V126">
        <v>86</v>
      </c>
      <c r="W126">
        <v>5</v>
      </c>
      <c r="AH126">
        <f t="shared" si="25"/>
        <v>4.6390573402857882</v>
      </c>
      <c r="AI126">
        <f t="shared" si="26"/>
        <v>53.797499016977063</v>
      </c>
      <c r="AJ126">
        <f t="shared" si="27"/>
        <v>66.560500983022919</v>
      </c>
      <c r="AL126">
        <f t="shared" si="28"/>
        <v>69.457114680571578</v>
      </c>
      <c r="AM126">
        <f t="shared" si="29"/>
        <v>50.900885319428419</v>
      </c>
    </row>
    <row r="127" spans="1:39" ht="16.5" x14ac:dyDescent="0.25">
      <c r="A127" s="1">
        <v>45518</v>
      </c>
      <c r="B127" s="5">
        <v>58.27</v>
      </c>
      <c r="C127" s="4">
        <v>57.77</v>
      </c>
      <c r="D127" s="4">
        <v>58.45</v>
      </c>
      <c r="E127" s="4">
        <v>57.52</v>
      </c>
      <c r="F127" s="4" t="s">
        <v>1468</v>
      </c>
      <c r="G127" s="2" t="s">
        <v>433</v>
      </c>
      <c r="I127">
        <f t="shared" si="16"/>
        <v>60.419500000000006</v>
      </c>
      <c r="J127">
        <f t="shared" si="17"/>
        <v>62.421500000000002</v>
      </c>
      <c r="L127">
        <f t="shared" si="18"/>
        <v>1</v>
      </c>
      <c r="M127">
        <f t="shared" si="19"/>
        <v>0</v>
      </c>
      <c r="O127">
        <f t="shared" si="20"/>
        <v>0.5</v>
      </c>
      <c r="P127">
        <f t="shared" si="21"/>
        <v>0</v>
      </c>
      <c r="R127">
        <f t="shared" si="22"/>
        <v>0.89500000000000135</v>
      </c>
      <c r="S127">
        <f t="shared" si="23"/>
        <v>0.53100000000000169</v>
      </c>
      <c r="U127">
        <f t="shared" si="24"/>
        <v>62.762973352033626</v>
      </c>
      <c r="V127">
        <v>86</v>
      </c>
      <c r="W127">
        <v>5</v>
      </c>
      <c r="AH127">
        <f t="shared" si="25"/>
        <v>4.6296811829842008</v>
      </c>
      <c r="AI127">
        <f t="shared" si="26"/>
        <v>54.037999016977075</v>
      </c>
      <c r="AJ127">
        <f t="shared" si="27"/>
        <v>66.801000983022931</v>
      </c>
      <c r="AL127">
        <f t="shared" si="28"/>
        <v>69.678862365968413</v>
      </c>
      <c r="AM127">
        <f t="shared" si="29"/>
        <v>51.160137634031607</v>
      </c>
    </row>
    <row r="128" spans="1:39" ht="16.5" x14ac:dyDescent="0.25">
      <c r="A128" s="1">
        <v>45517</v>
      </c>
      <c r="B128" s="5">
        <v>57.44</v>
      </c>
      <c r="C128" s="4">
        <v>57.57</v>
      </c>
      <c r="D128" s="4">
        <v>57.77</v>
      </c>
      <c r="E128" s="4">
        <v>57.14</v>
      </c>
      <c r="F128" s="4" t="s">
        <v>1465</v>
      </c>
      <c r="G128" s="2" t="s">
        <v>241</v>
      </c>
      <c r="I128">
        <f t="shared" si="16"/>
        <v>60.673500000000004</v>
      </c>
      <c r="J128">
        <f t="shared" si="17"/>
        <v>62.560500000000005</v>
      </c>
      <c r="L128">
        <f t="shared" si="18"/>
        <v>0</v>
      </c>
      <c r="M128">
        <f t="shared" si="19"/>
        <v>1</v>
      </c>
      <c r="O128">
        <f t="shared" si="20"/>
        <v>0</v>
      </c>
      <c r="P128">
        <f t="shared" si="21"/>
        <v>0.13000000000000256</v>
      </c>
      <c r="R128">
        <f t="shared" si="22"/>
        <v>0.88500000000000156</v>
      </c>
      <c r="S128">
        <f t="shared" si="23"/>
        <v>0.53100000000000169</v>
      </c>
      <c r="U128">
        <f t="shared" si="24"/>
        <v>62.499999999999964</v>
      </c>
      <c r="V128">
        <v>86</v>
      </c>
      <c r="W128">
        <v>5</v>
      </c>
      <c r="AH128">
        <f t="shared" si="25"/>
        <v>4.6211240041912145</v>
      </c>
      <c r="AI128">
        <f t="shared" si="26"/>
        <v>54.291999016977073</v>
      </c>
      <c r="AJ128">
        <f t="shared" si="27"/>
        <v>67.055000983022936</v>
      </c>
      <c r="AL128">
        <f t="shared" si="28"/>
        <v>69.915748008382437</v>
      </c>
      <c r="AM128">
        <f t="shared" si="29"/>
        <v>51.431251991617572</v>
      </c>
    </row>
    <row r="129" spans="1:39" ht="16.5" x14ac:dyDescent="0.25">
      <c r="A129" s="1">
        <v>45516</v>
      </c>
      <c r="B129" s="5">
        <v>57.48</v>
      </c>
      <c r="C129" s="4">
        <v>57.96</v>
      </c>
      <c r="D129" s="4">
        <v>58.04</v>
      </c>
      <c r="E129" s="4">
        <v>57.24</v>
      </c>
      <c r="F129" s="4" t="s">
        <v>383</v>
      </c>
      <c r="G129" s="2" t="s">
        <v>313</v>
      </c>
      <c r="I129">
        <f t="shared" si="16"/>
        <v>60.979000000000006</v>
      </c>
      <c r="J129">
        <f t="shared" si="17"/>
        <v>62.712499999999999</v>
      </c>
      <c r="L129">
        <f t="shared" si="18"/>
        <v>0</v>
      </c>
      <c r="M129">
        <f t="shared" si="19"/>
        <v>1</v>
      </c>
      <c r="O129">
        <f t="shared" si="20"/>
        <v>0</v>
      </c>
      <c r="P129">
        <f t="shared" si="21"/>
        <v>0.48000000000000398</v>
      </c>
      <c r="R129">
        <f t="shared" si="22"/>
        <v>0.75600000000000167</v>
      </c>
      <c r="S129">
        <f t="shared" si="23"/>
        <v>0.57555555555555715</v>
      </c>
      <c r="U129">
        <f t="shared" si="24"/>
        <v>56.775700934579426</v>
      </c>
      <c r="V129">
        <v>86</v>
      </c>
      <c r="W129">
        <v>5</v>
      </c>
      <c r="AH129">
        <f t="shared" si="25"/>
        <v>4.6134234884467666</v>
      </c>
      <c r="AI129">
        <f t="shared" si="26"/>
        <v>54.597499016977075</v>
      </c>
      <c r="AJ129">
        <f t="shared" si="27"/>
        <v>67.360500983022931</v>
      </c>
      <c r="AL129">
        <f t="shared" si="28"/>
        <v>70.20584697689354</v>
      </c>
      <c r="AM129">
        <f t="shared" si="29"/>
        <v>51.752153023106473</v>
      </c>
    </row>
    <row r="130" spans="1:39" ht="16.5" x14ac:dyDescent="0.25">
      <c r="A130" s="1">
        <v>45513</v>
      </c>
      <c r="B130" s="5">
        <v>57.81</v>
      </c>
      <c r="C130" s="4">
        <v>58.02</v>
      </c>
      <c r="D130" s="4">
        <v>58.46</v>
      </c>
      <c r="E130" s="4">
        <v>57.47</v>
      </c>
      <c r="F130" s="4" t="s">
        <v>1469</v>
      </c>
      <c r="G130" s="2" t="s">
        <v>814</v>
      </c>
      <c r="I130">
        <f t="shared" ref="I130:I193" si="30">AVERAGE(B130:B149)</f>
        <v>61.327999999999996</v>
      </c>
      <c r="J130">
        <f t="shared" ref="J130:J193" si="31">AVERAGE(B130:B169)</f>
        <v>62.865250000000003</v>
      </c>
      <c r="L130">
        <f t="shared" ref="L130:L193" si="32">IF($C130&lt;$B130,1,0)</f>
        <v>0</v>
      </c>
      <c r="M130">
        <f t="shared" ref="M130:M193" si="33">IF($C130&lt;$B130,0,1)</f>
        <v>1</v>
      </c>
      <c r="O130">
        <f t="shared" ref="O130:O193" si="34">IF($C130&lt;$B130,B130-C130,0)</f>
        <v>0</v>
      </c>
      <c r="P130">
        <f t="shared" ref="P130:P193" si="35">IF($B130&lt;$C130,C130-B130,0)</f>
        <v>0.21000000000000085</v>
      </c>
      <c r="R130">
        <f t="shared" ref="R130:R193" si="36">SUM(O130:O143)/SUM(L130:L143)</f>
        <v>0.75600000000000167</v>
      </c>
      <c r="S130">
        <f t="shared" ref="S130:S193" si="37">SUM(P130:P143)/SUM(M130:M143)</f>
        <v>0.52555555555555677</v>
      </c>
      <c r="U130">
        <f t="shared" ref="U130:U193" si="38">100-(100/(1+(R130/S130)))</f>
        <v>58.990809779781515</v>
      </c>
      <c r="V130">
        <v>86</v>
      </c>
      <c r="W130">
        <v>5</v>
      </c>
      <c r="AH130">
        <f t="shared" si="25"/>
        <v>4.6067522041548994</v>
      </c>
      <c r="AI130">
        <f t="shared" si="26"/>
        <v>54.946499016977064</v>
      </c>
      <c r="AJ130">
        <f t="shared" si="27"/>
        <v>67.70950098302292</v>
      </c>
      <c r="AL130">
        <f t="shared" si="28"/>
        <v>70.541504408309791</v>
      </c>
      <c r="AM130">
        <f t="shared" si="29"/>
        <v>52.114495591690201</v>
      </c>
    </row>
    <row r="131" spans="1:39" ht="16.5" x14ac:dyDescent="0.25">
      <c r="A131" s="1">
        <v>45512</v>
      </c>
      <c r="B131" s="5">
        <v>58.04</v>
      </c>
      <c r="C131" s="4">
        <v>57.59</v>
      </c>
      <c r="D131" s="4">
        <v>58.05</v>
      </c>
      <c r="E131" s="4">
        <v>57.26</v>
      </c>
      <c r="F131" s="4" t="s">
        <v>1470</v>
      </c>
      <c r="G131" s="2" t="s">
        <v>755</v>
      </c>
      <c r="I131">
        <f t="shared" si="30"/>
        <v>61.676499999999997</v>
      </c>
      <c r="J131">
        <f t="shared" si="31"/>
        <v>63</v>
      </c>
      <c r="L131">
        <f t="shared" si="32"/>
        <v>1</v>
      </c>
      <c r="M131">
        <f t="shared" si="33"/>
        <v>0</v>
      </c>
      <c r="O131">
        <f t="shared" si="34"/>
        <v>0.44999999999999574</v>
      </c>
      <c r="P131">
        <f t="shared" si="35"/>
        <v>0</v>
      </c>
      <c r="R131">
        <f t="shared" si="36"/>
        <v>0.70833333333333448</v>
      </c>
      <c r="S131">
        <f t="shared" si="37"/>
        <v>0.56500000000000128</v>
      </c>
      <c r="U131">
        <f t="shared" si="38"/>
        <v>55.628272251308886</v>
      </c>
      <c r="V131">
        <v>86</v>
      </c>
      <c r="W131">
        <v>5</v>
      </c>
      <c r="AH131">
        <f t="shared" ref="AH131:AH194" si="39">_xlfn.STDEV.S(I131:I661)</f>
        <v>4.6012327255743601</v>
      </c>
      <c r="AI131">
        <f t="shared" ref="AI131:AI194" si="40">I131-$AH$2</f>
        <v>55.294999016977066</v>
      </c>
      <c r="AJ131">
        <f t="shared" ref="AJ131:AJ194" si="41">I131+$AH$2</f>
        <v>68.058000983022922</v>
      </c>
      <c r="AL131">
        <f t="shared" ref="AL131:AL194" si="42">I131+(AH131*2)</f>
        <v>70.878965451148716</v>
      </c>
      <c r="AM131">
        <f t="shared" ref="AM131:AM194" si="43">I131-(AH131*2)</f>
        <v>52.474034548851279</v>
      </c>
    </row>
    <row r="132" spans="1:39" ht="16.5" x14ac:dyDescent="0.25">
      <c r="A132" s="1">
        <v>45511</v>
      </c>
      <c r="B132" s="5">
        <v>57.84</v>
      </c>
      <c r="C132" s="4">
        <v>56.8</v>
      </c>
      <c r="D132" s="4">
        <v>58.33</v>
      </c>
      <c r="E132" s="4">
        <v>56.76</v>
      </c>
      <c r="F132" s="4" t="s">
        <v>1471</v>
      </c>
      <c r="G132" s="2" t="s">
        <v>1130</v>
      </c>
      <c r="I132">
        <f t="shared" si="30"/>
        <v>61.974499999999999</v>
      </c>
      <c r="J132">
        <f t="shared" si="31"/>
        <v>63.140250000000002</v>
      </c>
      <c r="L132">
        <f t="shared" si="32"/>
        <v>1</v>
      </c>
      <c r="M132">
        <f t="shared" si="33"/>
        <v>0</v>
      </c>
      <c r="O132">
        <f t="shared" si="34"/>
        <v>1.0400000000000063</v>
      </c>
      <c r="P132">
        <f t="shared" si="35"/>
        <v>0</v>
      </c>
      <c r="R132">
        <f t="shared" si="36"/>
        <v>0.76000000000000223</v>
      </c>
      <c r="S132">
        <f t="shared" si="37"/>
        <v>0.54333333333333422</v>
      </c>
      <c r="U132">
        <f t="shared" si="38"/>
        <v>58.312020460358085</v>
      </c>
      <c r="V132">
        <v>86</v>
      </c>
      <c r="W132">
        <v>5</v>
      </c>
      <c r="AH132">
        <f t="shared" si="39"/>
        <v>4.5968186082984532</v>
      </c>
      <c r="AI132">
        <f t="shared" si="40"/>
        <v>55.592999016977068</v>
      </c>
      <c r="AJ132">
        <f t="shared" si="41"/>
        <v>68.356000983022923</v>
      </c>
      <c r="AL132">
        <f t="shared" si="42"/>
        <v>71.168137216596904</v>
      </c>
      <c r="AM132">
        <f t="shared" si="43"/>
        <v>52.780862783403094</v>
      </c>
    </row>
    <row r="133" spans="1:39" ht="16.5" x14ac:dyDescent="0.25">
      <c r="A133" s="1">
        <v>45510</v>
      </c>
      <c r="B133" s="5">
        <v>56.58</v>
      </c>
      <c r="C133" s="4">
        <v>57.17</v>
      </c>
      <c r="D133" s="4">
        <v>57.42</v>
      </c>
      <c r="E133" s="4">
        <v>56.31</v>
      </c>
      <c r="F133" s="4" t="s">
        <v>1472</v>
      </c>
      <c r="G133" s="2" t="s">
        <v>766</v>
      </c>
      <c r="I133">
        <f t="shared" si="30"/>
        <v>62.279999999999994</v>
      </c>
      <c r="J133">
        <f t="shared" si="31"/>
        <v>63.314750000000004</v>
      </c>
      <c r="L133">
        <f t="shared" si="32"/>
        <v>0</v>
      </c>
      <c r="M133">
        <f t="shared" si="33"/>
        <v>1</v>
      </c>
      <c r="O133">
        <f t="shared" si="34"/>
        <v>0</v>
      </c>
      <c r="P133">
        <f t="shared" si="35"/>
        <v>0.59000000000000341</v>
      </c>
      <c r="R133">
        <f t="shared" si="36"/>
        <v>0.61600000000000255</v>
      </c>
      <c r="S133">
        <f t="shared" si="37"/>
        <v>0.54333333333333422</v>
      </c>
      <c r="U133">
        <f t="shared" si="38"/>
        <v>53.133985048878728</v>
      </c>
      <c r="V133">
        <v>86</v>
      </c>
      <c r="W133">
        <v>5</v>
      </c>
      <c r="AH133">
        <f t="shared" si="39"/>
        <v>4.5933027896152216</v>
      </c>
      <c r="AI133">
        <f t="shared" si="40"/>
        <v>55.898499016977063</v>
      </c>
      <c r="AJ133">
        <f t="shared" si="41"/>
        <v>68.661500983022918</v>
      </c>
      <c r="AL133">
        <f t="shared" si="42"/>
        <v>71.466605579230432</v>
      </c>
      <c r="AM133">
        <f t="shared" si="43"/>
        <v>53.093394420769549</v>
      </c>
    </row>
    <row r="134" spans="1:39" ht="16.5" x14ac:dyDescent="0.25">
      <c r="A134" s="1">
        <v>45509</v>
      </c>
      <c r="B134" s="5">
        <v>56.92</v>
      </c>
      <c r="C134" s="4">
        <v>57</v>
      </c>
      <c r="D134" s="4">
        <v>57.39</v>
      </c>
      <c r="E134" s="4">
        <v>55.91</v>
      </c>
      <c r="F134" s="4" t="s">
        <v>1274</v>
      </c>
      <c r="G134" s="2" t="s">
        <v>1473</v>
      </c>
      <c r="I134">
        <f t="shared" si="30"/>
        <v>62.608500000000006</v>
      </c>
      <c r="J134">
        <f t="shared" si="31"/>
        <v>63.535499999999999</v>
      </c>
      <c r="L134">
        <f t="shared" si="32"/>
        <v>0</v>
      </c>
      <c r="M134">
        <f t="shared" si="33"/>
        <v>1</v>
      </c>
      <c r="O134">
        <f t="shared" si="34"/>
        <v>0</v>
      </c>
      <c r="P134">
        <f t="shared" si="35"/>
        <v>7.9999999999998295E-2</v>
      </c>
      <c r="R134">
        <f t="shared" si="36"/>
        <v>0.52000000000000191</v>
      </c>
      <c r="S134">
        <f t="shared" si="37"/>
        <v>0.53750000000000053</v>
      </c>
      <c r="U134">
        <f t="shared" si="38"/>
        <v>49.172576832151364</v>
      </c>
      <c r="V134">
        <v>86</v>
      </c>
      <c r="W134">
        <v>5</v>
      </c>
      <c r="AH134">
        <f t="shared" si="39"/>
        <v>4.5906750759471473</v>
      </c>
      <c r="AI134">
        <f t="shared" si="40"/>
        <v>56.226999016977075</v>
      </c>
      <c r="AJ134">
        <f t="shared" si="41"/>
        <v>68.990000983022938</v>
      </c>
      <c r="AL134">
        <f t="shared" si="42"/>
        <v>71.789850151894299</v>
      </c>
      <c r="AM134">
        <f t="shared" si="43"/>
        <v>53.427149848105714</v>
      </c>
    </row>
    <row r="135" spans="1:39" ht="16.5" x14ac:dyDescent="0.25">
      <c r="A135" s="1">
        <v>45506</v>
      </c>
      <c r="B135" s="5">
        <v>58.3</v>
      </c>
      <c r="C135" s="4">
        <v>59.4</v>
      </c>
      <c r="D135" s="4">
        <v>59.51</v>
      </c>
      <c r="E135" s="4">
        <v>57.89</v>
      </c>
      <c r="F135" s="4" t="s">
        <v>1474</v>
      </c>
      <c r="G135" s="2" t="s">
        <v>223</v>
      </c>
      <c r="I135">
        <f t="shared" si="30"/>
        <v>63.032000000000004</v>
      </c>
      <c r="J135">
        <f t="shared" si="31"/>
        <v>63.750500000000002</v>
      </c>
      <c r="L135">
        <f t="shared" si="32"/>
        <v>0</v>
      </c>
      <c r="M135">
        <f t="shared" si="33"/>
        <v>1</v>
      </c>
      <c r="O135">
        <f t="shared" si="34"/>
        <v>0</v>
      </c>
      <c r="P135">
        <f t="shared" si="35"/>
        <v>1.1000000000000014</v>
      </c>
      <c r="R135">
        <f t="shared" si="36"/>
        <v>0.52000000000000191</v>
      </c>
      <c r="S135">
        <f t="shared" si="37"/>
        <v>0.60000000000000053</v>
      </c>
      <c r="U135">
        <f t="shared" si="38"/>
        <v>46.428571428571495</v>
      </c>
      <c r="V135">
        <v>86</v>
      </c>
      <c r="W135">
        <v>5</v>
      </c>
      <c r="AH135">
        <f t="shared" si="39"/>
        <v>4.5889654215423885</v>
      </c>
      <c r="AI135">
        <f t="shared" si="40"/>
        <v>56.650499016977072</v>
      </c>
      <c r="AJ135">
        <f t="shared" si="41"/>
        <v>69.413500983022928</v>
      </c>
      <c r="AL135">
        <f t="shared" si="42"/>
        <v>72.209930843084777</v>
      </c>
      <c r="AM135">
        <f t="shared" si="43"/>
        <v>53.85406915691523</v>
      </c>
    </row>
    <row r="136" spans="1:39" ht="16.5" x14ac:dyDescent="0.25">
      <c r="A136" s="1">
        <v>45505</v>
      </c>
      <c r="B136" s="5">
        <v>59.43</v>
      </c>
      <c r="C136" s="4">
        <v>60.34</v>
      </c>
      <c r="D136" s="4">
        <v>60.64</v>
      </c>
      <c r="E136" s="4">
        <v>58.72</v>
      </c>
      <c r="F136" s="4" t="s">
        <v>1475</v>
      </c>
      <c r="G136" s="2" t="s">
        <v>1476</v>
      </c>
      <c r="I136">
        <f t="shared" si="30"/>
        <v>63.39050000000001</v>
      </c>
      <c r="J136">
        <f t="shared" si="31"/>
        <v>63.920750000000012</v>
      </c>
      <c r="L136">
        <f t="shared" si="32"/>
        <v>0</v>
      </c>
      <c r="M136">
        <f t="shared" si="33"/>
        <v>1</v>
      </c>
      <c r="O136">
        <f t="shared" si="34"/>
        <v>0</v>
      </c>
      <c r="P136">
        <f t="shared" si="35"/>
        <v>0.91000000000000369</v>
      </c>
      <c r="R136">
        <f t="shared" si="36"/>
        <v>0.52000000000000191</v>
      </c>
      <c r="S136">
        <f t="shared" si="37"/>
        <v>0.47875000000000156</v>
      </c>
      <c r="U136">
        <f t="shared" si="38"/>
        <v>52.065081351689628</v>
      </c>
      <c r="V136">
        <v>86</v>
      </c>
      <c r="W136">
        <v>5</v>
      </c>
      <c r="AH136">
        <f t="shared" si="39"/>
        <v>4.5883842569049484</v>
      </c>
      <c r="AI136">
        <f t="shared" si="40"/>
        <v>57.008999016977079</v>
      </c>
      <c r="AJ136">
        <f t="shared" si="41"/>
        <v>69.772000983022934</v>
      </c>
      <c r="AL136">
        <f t="shared" si="42"/>
        <v>72.567268513809907</v>
      </c>
      <c r="AM136">
        <f t="shared" si="43"/>
        <v>54.213731486190113</v>
      </c>
    </row>
    <row r="137" spans="1:39" ht="16.5" x14ac:dyDescent="0.25">
      <c r="A137" s="1">
        <v>45504</v>
      </c>
      <c r="B137" s="5">
        <v>61.16</v>
      </c>
      <c r="C137" s="4">
        <v>61.51</v>
      </c>
      <c r="D137" s="4">
        <v>61.89</v>
      </c>
      <c r="E137" s="4">
        <v>60.87</v>
      </c>
      <c r="F137" s="4" t="s">
        <v>1477</v>
      </c>
      <c r="G137" s="2" t="s">
        <v>1388</v>
      </c>
      <c r="I137">
        <f t="shared" si="30"/>
        <v>63.716000000000008</v>
      </c>
      <c r="J137">
        <f t="shared" si="31"/>
        <v>64.07950000000001</v>
      </c>
      <c r="L137">
        <f t="shared" si="32"/>
        <v>0</v>
      </c>
      <c r="M137">
        <f t="shared" si="33"/>
        <v>1</v>
      </c>
      <c r="O137">
        <f t="shared" si="34"/>
        <v>0</v>
      </c>
      <c r="P137">
        <f t="shared" si="35"/>
        <v>0.35000000000000142</v>
      </c>
      <c r="R137">
        <f t="shared" si="36"/>
        <v>0.53142857142857225</v>
      </c>
      <c r="S137">
        <f t="shared" si="37"/>
        <v>0.41714285714285843</v>
      </c>
      <c r="U137">
        <f t="shared" si="38"/>
        <v>56.02409638554213</v>
      </c>
      <c r="V137">
        <v>86</v>
      </c>
      <c r="W137">
        <v>5</v>
      </c>
      <c r="AH137">
        <f t="shared" si="39"/>
        <v>4.5886900910689592</v>
      </c>
      <c r="AI137">
        <f t="shared" si="40"/>
        <v>57.334499016977077</v>
      </c>
      <c r="AJ137">
        <f t="shared" si="41"/>
        <v>70.09750098302294</v>
      </c>
      <c r="AL137">
        <f t="shared" si="42"/>
        <v>72.893380182137932</v>
      </c>
      <c r="AM137">
        <f t="shared" si="43"/>
        <v>54.538619817862092</v>
      </c>
    </row>
    <row r="138" spans="1:39" ht="16.5" x14ac:dyDescent="0.25">
      <c r="A138" s="1">
        <v>45503</v>
      </c>
      <c r="B138" s="5">
        <v>61.63</v>
      </c>
      <c r="C138" s="4">
        <v>61.86</v>
      </c>
      <c r="D138" s="4">
        <v>62.2</v>
      </c>
      <c r="E138" s="4">
        <v>61.42</v>
      </c>
      <c r="F138" s="4" t="s">
        <v>1478</v>
      </c>
      <c r="G138" s="2" t="s">
        <v>647</v>
      </c>
      <c r="I138">
        <f t="shared" si="30"/>
        <v>63.923000000000002</v>
      </c>
      <c r="J138">
        <f t="shared" si="31"/>
        <v>64.19</v>
      </c>
      <c r="L138">
        <f t="shared" si="32"/>
        <v>0</v>
      </c>
      <c r="M138">
        <f t="shared" si="33"/>
        <v>1</v>
      </c>
      <c r="O138">
        <f t="shared" si="34"/>
        <v>0</v>
      </c>
      <c r="P138">
        <f t="shared" si="35"/>
        <v>0.22999999999999687</v>
      </c>
      <c r="R138">
        <f t="shared" si="36"/>
        <v>0.53142857142857225</v>
      </c>
      <c r="S138">
        <f t="shared" si="37"/>
        <v>0.38428571428571601</v>
      </c>
      <c r="U138">
        <f t="shared" si="38"/>
        <v>58.034321372854841</v>
      </c>
      <c r="V138">
        <v>86</v>
      </c>
      <c r="W138">
        <v>5</v>
      </c>
      <c r="AH138">
        <f t="shared" si="39"/>
        <v>4.5897490382112371</v>
      </c>
      <c r="AI138">
        <f t="shared" si="40"/>
        <v>57.54149901697707</v>
      </c>
      <c r="AJ138">
        <f t="shared" si="41"/>
        <v>70.304500983022933</v>
      </c>
      <c r="AL138">
        <f t="shared" si="42"/>
        <v>73.102498076422478</v>
      </c>
      <c r="AM138">
        <f t="shared" si="43"/>
        <v>54.743501923577526</v>
      </c>
    </row>
    <row r="139" spans="1:39" ht="16.5" x14ac:dyDescent="0.25">
      <c r="A139" s="1">
        <v>45502</v>
      </c>
      <c r="B139" s="5">
        <v>61.9</v>
      </c>
      <c r="C139" s="4">
        <v>63.13</v>
      </c>
      <c r="D139" s="4">
        <v>63.34</v>
      </c>
      <c r="E139" s="4">
        <v>61.74</v>
      </c>
      <c r="F139" s="4" t="s">
        <v>1479</v>
      </c>
      <c r="G139" s="2" t="s">
        <v>859</v>
      </c>
      <c r="I139">
        <f t="shared" si="30"/>
        <v>64.078000000000003</v>
      </c>
      <c r="J139">
        <f t="shared" si="31"/>
        <v>64.287499999999994</v>
      </c>
      <c r="L139">
        <f t="shared" si="32"/>
        <v>0</v>
      </c>
      <c r="M139">
        <f t="shared" si="33"/>
        <v>1</v>
      </c>
      <c r="O139">
        <f t="shared" si="34"/>
        <v>0</v>
      </c>
      <c r="P139">
        <f t="shared" si="35"/>
        <v>1.230000000000004</v>
      </c>
      <c r="R139">
        <f t="shared" si="36"/>
        <v>0.55500000000000149</v>
      </c>
      <c r="S139">
        <f t="shared" si="37"/>
        <v>0.41000000000000253</v>
      </c>
      <c r="U139">
        <f t="shared" si="38"/>
        <v>57.512953367875568</v>
      </c>
      <c r="V139">
        <v>86</v>
      </c>
      <c r="W139">
        <v>5</v>
      </c>
      <c r="AH139">
        <f t="shared" si="39"/>
        <v>4.591256184235359</v>
      </c>
      <c r="AI139">
        <f t="shared" si="40"/>
        <v>57.696499016977072</v>
      </c>
      <c r="AJ139">
        <f t="shared" si="41"/>
        <v>70.459500983022934</v>
      </c>
      <c r="AL139">
        <f t="shared" si="42"/>
        <v>73.260512368470728</v>
      </c>
      <c r="AM139">
        <f t="shared" si="43"/>
        <v>54.895487631529285</v>
      </c>
    </row>
    <row r="140" spans="1:39" ht="16.5" x14ac:dyDescent="0.25">
      <c r="A140" s="1">
        <v>45499</v>
      </c>
      <c r="B140" s="5">
        <v>63.02</v>
      </c>
      <c r="C140" s="4">
        <v>61.43</v>
      </c>
      <c r="D140" s="4">
        <v>63.46</v>
      </c>
      <c r="E140" s="4">
        <v>61</v>
      </c>
      <c r="F140" s="4" t="s">
        <v>1480</v>
      </c>
      <c r="G140" s="2" t="s">
        <v>180</v>
      </c>
      <c r="I140">
        <f t="shared" si="30"/>
        <v>64.222999999999985</v>
      </c>
      <c r="J140">
        <f t="shared" si="31"/>
        <v>64.39824999999999</v>
      </c>
      <c r="L140">
        <f t="shared" si="32"/>
        <v>1</v>
      </c>
      <c r="M140">
        <f t="shared" si="33"/>
        <v>0</v>
      </c>
      <c r="O140">
        <f t="shared" si="34"/>
        <v>1.5900000000000034</v>
      </c>
      <c r="P140">
        <f t="shared" si="35"/>
        <v>0</v>
      </c>
      <c r="R140">
        <f t="shared" si="36"/>
        <v>0.55500000000000149</v>
      </c>
      <c r="S140">
        <f t="shared" si="37"/>
        <v>0.32000000000000267</v>
      </c>
      <c r="U140">
        <f t="shared" si="38"/>
        <v>63.428571428571296</v>
      </c>
      <c r="V140">
        <v>86</v>
      </c>
      <c r="W140">
        <v>5</v>
      </c>
      <c r="AH140">
        <f t="shared" si="39"/>
        <v>4.5930842768161888</v>
      </c>
      <c r="AI140">
        <f t="shared" si="40"/>
        <v>57.841499016977053</v>
      </c>
      <c r="AJ140">
        <f t="shared" si="41"/>
        <v>70.604500983022916</v>
      </c>
      <c r="AL140">
        <f t="shared" si="42"/>
        <v>73.409168553632355</v>
      </c>
      <c r="AM140">
        <f t="shared" si="43"/>
        <v>55.036831446367607</v>
      </c>
    </row>
    <row r="141" spans="1:39" ht="16.5" x14ac:dyDescent="0.25">
      <c r="A141" s="1">
        <v>45498</v>
      </c>
      <c r="B141" s="5">
        <v>62.96</v>
      </c>
      <c r="C141" s="4">
        <v>62.5</v>
      </c>
      <c r="D141" s="4">
        <v>63.21</v>
      </c>
      <c r="E141" s="4">
        <v>62.15</v>
      </c>
      <c r="F141" s="4" t="s">
        <v>1410</v>
      </c>
      <c r="G141" s="2" t="s">
        <v>565</v>
      </c>
      <c r="I141">
        <f t="shared" si="30"/>
        <v>64.300499999999985</v>
      </c>
      <c r="J141">
        <f t="shared" si="31"/>
        <v>64.482749999999996</v>
      </c>
      <c r="L141">
        <f t="shared" si="32"/>
        <v>1</v>
      </c>
      <c r="M141">
        <f t="shared" si="33"/>
        <v>0</v>
      </c>
      <c r="O141">
        <f t="shared" si="34"/>
        <v>0.46000000000000085</v>
      </c>
      <c r="P141">
        <f t="shared" si="35"/>
        <v>0</v>
      </c>
      <c r="R141">
        <f t="shared" si="36"/>
        <v>0.36875000000000036</v>
      </c>
      <c r="S141">
        <f t="shared" si="37"/>
        <v>0.32000000000000267</v>
      </c>
      <c r="U141">
        <f t="shared" si="38"/>
        <v>53.539019963702174</v>
      </c>
      <c r="V141">
        <v>86</v>
      </c>
      <c r="W141">
        <v>5</v>
      </c>
      <c r="AH141">
        <f t="shared" si="39"/>
        <v>4.5952038582054398</v>
      </c>
      <c r="AI141">
        <f t="shared" si="40"/>
        <v>57.918999016977054</v>
      </c>
      <c r="AJ141">
        <f t="shared" si="41"/>
        <v>70.682000983022917</v>
      </c>
      <c r="AL141">
        <f t="shared" si="42"/>
        <v>73.49090771641086</v>
      </c>
      <c r="AM141">
        <f t="shared" si="43"/>
        <v>55.110092283589104</v>
      </c>
    </row>
    <row r="142" spans="1:39" ht="16.5" x14ac:dyDescent="0.25">
      <c r="A142" s="1">
        <v>45497</v>
      </c>
      <c r="B142" s="5">
        <v>63.46</v>
      </c>
      <c r="C142" s="4">
        <v>63.22</v>
      </c>
      <c r="D142" s="4">
        <v>63.66</v>
      </c>
      <c r="E142" s="4">
        <v>63.12</v>
      </c>
      <c r="F142" s="4" t="s">
        <v>1424</v>
      </c>
      <c r="G142" s="2" t="s">
        <v>792</v>
      </c>
      <c r="I142">
        <f t="shared" si="30"/>
        <v>64.323999999999998</v>
      </c>
      <c r="J142">
        <f t="shared" si="31"/>
        <v>64.557000000000002</v>
      </c>
      <c r="L142">
        <f t="shared" si="32"/>
        <v>1</v>
      </c>
      <c r="M142">
        <f t="shared" si="33"/>
        <v>0</v>
      </c>
      <c r="O142">
        <f t="shared" si="34"/>
        <v>0.24000000000000199</v>
      </c>
      <c r="P142">
        <f t="shared" si="35"/>
        <v>0</v>
      </c>
      <c r="R142">
        <f t="shared" si="36"/>
        <v>0.35571428571428598</v>
      </c>
      <c r="S142">
        <f t="shared" si="37"/>
        <v>0.32857142857143018</v>
      </c>
      <c r="U142">
        <f t="shared" si="38"/>
        <v>51.983298538622023</v>
      </c>
      <c r="V142">
        <v>86</v>
      </c>
      <c r="W142">
        <v>5</v>
      </c>
      <c r="AH142">
        <f t="shared" si="39"/>
        <v>4.597472153448849</v>
      </c>
      <c r="AI142">
        <f t="shared" si="40"/>
        <v>57.942499016977067</v>
      </c>
      <c r="AJ142">
        <f t="shared" si="41"/>
        <v>70.70550098302293</v>
      </c>
      <c r="AL142">
        <f t="shared" si="42"/>
        <v>73.518944306897694</v>
      </c>
      <c r="AM142">
        <f t="shared" si="43"/>
        <v>55.129055693102302</v>
      </c>
    </row>
    <row r="143" spans="1:39" ht="16.5" x14ac:dyDescent="0.25">
      <c r="A143" s="1">
        <v>45496</v>
      </c>
      <c r="B143" s="5">
        <v>63.97</v>
      </c>
      <c r="C143" s="4">
        <v>64</v>
      </c>
      <c r="D143" s="4">
        <v>64.81</v>
      </c>
      <c r="E143" s="4">
        <v>63.55</v>
      </c>
      <c r="F143" s="4" t="s">
        <v>1466</v>
      </c>
      <c r="G143" s="2" t="s">
        <v>647</v>
      </c>
      <c r="I143">
        <f t="shared" si="30"/>
        <v>64.363500000000002</v>
      </c>
      <c r="J143">
        <f t="shared" si="31"/>
        <v>64.607249999999993</v>
      </c>
      <c r="L143">
        <f t="shared" si="32"/>
        <v>0</v>
      </c>
      <c r="M143">
        <f t="shared" si="33"/>
        <v>1</v>
      </c>
      <c r="O143">
        <f t="shared" si="34"/>
        <v>0</v>
      </c>
      <c r="P143">
        <f t="shared" si="35"/>
        <v>3.0000000000001137E-2</v>
      </c>
      <c r="R143">
        <f t="shared" si="36"/>
        <v>0.37285714285714278</v>
      </c>
      <c r="S143">
        <f t="shared" si="37"/>
        <v>0.32857142857143018</v>
      </c>
      <c r="U143">
        <f t="shared" si="38"/>
        <v>53.156822810590505</v>
      </c>
      <c r="V143">
        <v>86</v>
      </c>
      <c r="W143">
        <v>5</v>
      </c>
      <c r="AH143">
        <f t="shared" si="39"/>
        <v>4.5997797940001215</v>
      </c>
      <c r="AI143">
        <f t="shared" si="40"/>
        <v>57.98199901697707</v>
      </c>
      <c r="AJ143">
        <f t="shared" si="41"/>
        <v>70.745000983022933</v>
      </c>
      <c r="AL143">
        <f t="shared" si="42"/>
        <v>73.563059588000243</v>
      </c>
      <c r="AM143">
        <f t="shared" si="43"/>
        <v>55.163940411999761</v>
      </c>
    </row>
    <row r="144" spans="1:39" ht="16.5" x14ac:dyDescent="0.25">
      <c r="A144" s="1">
        <v>45495</v>
      </c>
      <c r="B144" s="5">
        <v>64.25</v>
      </c>
      <c r="C144" s="4">
        <v>63.78</v>
      </c>
      <c r="D144" s="4">
        <v>64.87</v>
      </c>
      <c r="E144" s="4">
        <v>63.77</v>
      </c>
      <c r="F144" s="4" t="s">
        <v>1466</v>
      </c>
      <c r="G144" s="2" t="s">
        <v>61</v>
      </c>
      <c r="I144">
        <f t="shared" si="30"/>
        <v>64.405499999999989</v>
      </c>
      <c r="J144">
        <f t="shared" si="31"/>
        <v>64.66749999999999</v>
      </c>
      <c r="L144">
        <f t="shared" si="32"/>
        <v>1</v>
      </c>
      <c r="M144">
        <f t="shared" si="33"/>
        <v>0</v>
      </c>
      <c r="O144">
        <f t="shared" si="34"/>
        <v>0.46999999999999886</v>
      </c>
      <c r="P144">
        <f t="shared" si="35"/>
        <v>0</v>
      </c>
      <c r="R144">
        <f t="shared" si="36"/>
        <v>0.375</v>
      </c>
      <c r="S144">
        <f t="shared" si="37"/>
        <v>0.37833333333333502</v>
      </c>
      <c r="U144">
        <f t="shared" si="38"/>
        <v>49.778761061946788</v>
      </c>
      <c r="V144">
        <v>86</v>
      </c>
      <c r="W144">
        <v>5</v>
      </c>
      <c r="AH144">
        <f t="shared" si="39"/>
        <v>4.6021590551307474</v>
      </c>
      <c r="AI144">
        <f t="shared" si="40"/>
        <v>58.023999016977058</v>
      </c>
      <c r="AJ144">
        <f t="shared" si="41"/>
        <v>70.787000983022921</v>
      </c>
      <c r="AL144">
        <f t="shared" si="42"/>
        <v>73.609818110261486</v>
      </c>
      <c r="AM144">
        <f t="shared" si="43"/>
        <v>55.201181889738493</v>
      </c>
    </row>
    <row r="145" spans="1:39" ht="16.5" x14ac:dyDescent="0.25">
      <c r="A145" s="1">
        <v>45492</v>
      </c>
      <c r="B145" s="5">
        <v>63.53</v>
      </c>
      <c r="C145" s="4">
        <v>63.9</v>
      </c>
      <c r="D145" s="4">
        <v>64.14</v>
      </c>
      <c r="E145" s="4">
        <v>63.49</v>
      </c>
      <c r="F145" s="4" t="s">
        <v>1481</v>
      </c>
      <c r="G145" s="2" t="s">
        <v>1202</v>
      </c>
      <c r="I145">
        <f t="shared" si="30"/>
        <v>64.419999999999987</v>
      </c>
      <c r="J145">
        <f t="shared" si="31"/>
        <v>64.718499999999992</v>
      </c>
      <c r="L145">
        <f t="shared" si="32"/>
        <v>0</v>
      </c>
      <c r="M145">
        <f t="shared" si="33"/>
        <v>1</v>
      </c>
      <c r="O145">
        <f t="shared" si="34"/>
        <v>0</v>
      </c>
      <c r="P145">
        <f t="shared" si="35"/>
        <v>0.36999999999999744</v>
      </c>
      <c r="R145">
        <f t="shared" si="36"/>
        <v>0.31750000000000078</v>
      </c>
      <c r="S145">
        <f t="shared" si="37"/>
        <v>0.37833333333333502</v>
      </c>
      <c r="U145">
        <f t="shared" si="38"/>
        <v>45.628742514970014</v>
      </c>
      <c r="V145">
        <v>86</v>
      </c>
      <c r="W145">
        <v>5</v>
      </c>
      <c r="AH145">
        <f t="shared" si="39"/>
        <v>4.6046149542422823</v>
      </c>
      <c r="AI145">
        <f t="shared" si="40"/>
        <v>58.038499016977056</v>
      </c>
      <c r="AJ145">
        <f t="shared" si="41"/>
        <v>70.801500983022919</v>
      </c>
      <c r="AL145">
        <f t="shared" si="42"/>
        <v>73.629229908484547</v>
      </c>
      <c r="AM145">
        <f t="shared" si="43"/>
        <v>55.210770091515421</v>
      </c>
    </row>
    <row r="146" spans="1:39" ht="16.5" x14ac:dyDescent="0.25">
      <c r="A146" s="1">
        <v>45491</v>
      </c>
      <c r="B146" s="5">
        <v>64.400000000000006</v>
      </c>
      <c r="C146" s="4">
        <v>64.08</v>
      </c>
      <c r="D146" s="4">
        <v>64.81</v>
      </c>
      <c r="E146" s="4">
        <v>63.74</v>
      </c>
      <c r="F146" s="4" t="s">
        <v>1482</v>
      </c>
      <c r="G146" s="2" t="s">
        <v>579</v>
      </c>
      <c r="I146">
        <f t="shared" si="30"/>
        <v>64.426500000000004</v>
      </c>
      <c r="J146">
        <f t="shared" si="31"/>
        <v>64.780999999999992</v>
      </c>
      <c r="L146">
        <f t="shared" si="32"/>
        <v>1</v>
      </c>
      <c r="M146">
        <f t="shared" si="33"/>
        <v>0</v>
      </c>
      <c r="O146">
        <f t="shared" si="34"/>
        <v>0.32000000000000739</v>
      </c>
      <c r="P146">
        <f t="shared" si="35"/>
        <v>0</v>
      </c>
      <c r="R146">
        <f t="shared" si="36"/>
        <v>0.31750000000000078</v>
      </c>
      <c r="S146">
        <f t="shared" si="37"/>
        <v>0.44500000000000145</v>
      </c>
      <c r="U146">
        <f t="shared" si="38"/>
        <v>41.639344262295062</v>
      </c>
      <c r="V146">
        <v>86</v>
      </c>
      <c r="W146">
        <v>5</v>
      </c>
      <c r="AH146">
        <f t="shared" si="39"/>
        <v>4.6070930043544855</v>
      </c>
      <c r="AI146">
        <f t="shared" si="40"/>
        <v>58.044999016977073</v>
      </c>
      <c r="AJ146">
        <f t="shared" si="41"/>
        <v>70.808000983022936</v>
      </c>
      <c r="AL146">
        <f t="shared" si="42"/>
        <v>73.640686008708968</v>
      </c>
      <c r="AM146">
        <f t="shared" si="43"/>
        <v>55.212313991291033</v>
      </c>
    </row>
    <row r="147" spans="1:39" ht="16.5" x14ac:dyDescent="0.25">
      <c r="A147" s="1">
        <v>45490</v>
      </c>
      <c r="B147" s="5">
        <v>63.35</v>
      </c>
      <c r="C147" s="4">
        <v>63.31</v>
      </c>
      <c r="D147" s="4">
        <v>63.63</v>
      </c>
      <c r="E147" s="4">
        <v>62.99</v>
      </c>
      <c r="F147" s="4" t="s">
        <v>1483</v>
      </c>
      <c r="G147" s="2" t="s">
        <v>67</v>
      </c>
      <c r="I147">
        <f t="shared" si="30"/>
        <v>64.42349999999999</v>
      </c>
      <c r="J147">
        <f t="shared" si="31"/>
        <v>64.813749999999999</v>
      </c>
      <c r="L147">
        <f t="shared" si="32"/>
        <v>1</v>
      </c>
      <c r="M147">
        <f t="shared" si="33"/>
        <v>0</v>
      </c>
      <c r="O147">
        <f t="shared" si="34"/>
        <v>3.9999999999999147E-2</v>
      </c>
      <c r="P147">
        <f t="shared" si="35"/>
        <v>0</v>
      </c>
      <c r="R147">
        <f t="shared" si="36"/>
        <v>0.317142857142857</v>
      </c>
      <c r="S147">
        <f t="shared" si="37"/>
        <v>0.39857142857143046</v>
      </c>
      <c r="U147">
        <f t="shared" si="38"/>
        <v>44.311377245508851</v>
      </c>
      <c r="V147">
        <v>86</v>
      </c>
      <c r="W147">
        <v>5</v>
      </c>
      <c r="AH147">
        <f t="shared" si="39"/>
        <v>4.6095773788217524</v>
      </c>
      <c r="AI147">
        <f t="shared" si="40"/>
        <v>58.041999016977059</v>
      </c>
      <c r="AJ147">
        <f t="shared" si="41"/>
        <v>70.805000983022921</v>
      </c>
      <c r="AL147">
        <f t="shared" si="42"/>
        <v>73.642654757643498</v>
      </c>
      <c r="AM147">
        <f t="shared" si="43"/>
        <v>55.204345242356482</v>
      </c>
    </row>
    <row r="148" spans="1:39" ht="16.5" x14ac:dyDescent="0.25">
      <c r="A148" s="1">
        <v>45489</v>
      </c>
      <c r="B148" s="5">
        <v>63.55</v>
      </c>
      <c r="C148" s="4">
        <v>64.13</v>
      </c>
      <c r="D148" s="4">
        <v>64.180000000000007</v>
      </c>
      <c r="E148" s="4">
        <v>63.16</v>
      </c>
      <c r="F148" s="4" t="s">
        <v>1393</v>
      </c>
      <c r="G148" s="2" t="s">
        <v>361</v>
      </c>
      <c r="I148">
        <f t="shared" si="30"/>
        <v>64.447499999999977</v>
      </c>
      <c r="J148">
        <f t="shared" si="31"/>
        <v>64.873999999999995</v>
      </c>
      <c r="L148">
        <f t="shared" si="32"/>
        <v>0</v>
      </c>
      <c r="M148">
        <f t="shared" si="33"/>
        <v>1</v>
      </c>
      <c r="O148">
        <f t="shared" si="34"/>
        <v>0</v>
      </c>
      <c r="P148">
        <f t="shared" si="35"/>
        <v>0.57999999999999829</v>
      </c>
      <c r="R148">
        <f t="shared" si="36"/>
        <v>0.36333333333333329</v>
      </c>
      <c r="S148">
        <f t="shared" si="37"/>
        <v>0.44250000000000256</v>
      </c>
      <c r="U148">
        <f t="shared" si="38"/>
        <v>45.087900723888168</v>
      </c>
      <c r="V148">
        <v>86</v>
      </c>
      <c r="W148">
        <v>5</v>
      </c>
      <c r="AH148">
        <f t="shared" si="39"/>
        <v>4.6120490345349268</v>
      </c>
      <c r="AI148">
        <f t="shared" si="40"/>
        <v>58.065999016977045</v>
      </c>
      <c r="AJ148">
        <f t="shared" si="41"/>
        <v>70.829000983022908</v>
      </c>
      <c r="AL148">
        <f t="shared" si="42"/>
        <v>73.67159806906983</v>
      </c>
      <c r="AM148">
        <f t="shared" si="43"/>
        <v>55.223401930930123</v>
      </c>
    </row>
    <row r="149" spans="1:39" ht="16.5" x14ac:dyDescent="0.25">
      <c r="A149" s="1">
        <v>45488</v>
      </c>
      <c r="B149" s="5">
        <v>64.459999999999994</v>
      </c>
      <c r="C149" s="4">
        <v>64.59</v>
      </c>
      <c r="D149" s="4">
        <v>64.64</v>
      </c>
      <c r="E149" s="4">
        <v>64.14</v>
      </c>
      <c r="F149" s="4" t="s">
        <v>50</v>
      </c>
      <c r="G149" s="2" t="s">
        <v>354</v>
      </c>
      <c r="I149">
        <f t="shared" si="30"/>
        <v>64.445999999999984</v>
      </c>
      <c r="J149">
        <f t="shared" si="31"/>
        <v>64.955499999999986</v>
      </c>
      <c r="L149">
        <f t="shared" si="32"/>
        <v>0</v>
      </c>
      <c r="M149">
        <f t="shared" si="33"/>
        <v>1</v>
      </c>
      <c r="O149">
        <f t="shared" si="34"/>
        <v>0</v>
      </c>
      <c r="P149">
        <f t="shared" si="35"/>
        <v>0.13000000000000966</v>
      </c>
      <c r="R149">
        <f t="shared" si="36"/>
        <v>0.36333333333333329</v>
      </c>
      <c r="S149">
        <f t="shared" si="37"/>
        <v>0.43000000000000327</v>
      </c>
      <c r="U149">
        <f t="shared" si="38"/>
        <v>45.798319327730901</v>
      </c>
      <c r="V149">
        <v>86</v>
      </c>
      <c r="W149">
        <v>5</v>
      </c>
      <c r="AH149">
        <f t="shared" si="39"/>
        <v>4.6145619512600415</v>
      </c>
      <c r="AI149">
        <f t="shared" si="40"/>
        <v>58.064499016977052</v>
      </c>
      <c r="AJ149">
        <f t="shared" si="41"/>
        <v>70.827500983022915</v>
      </c>
      <c r="AL149">
        <f t="shared" si="42"/>
        <v>73.67512390252007</v>
      </c>
      <c r="AM149">
        <f t="shared" si="43"/>
        <v>55.216876097479897</v>
      </c>
    </row>
    <row r="150" spans="1:39" ht="16.5" x14ac:dyDescent="0.25">
      <c r="A150" s="1">
        <v>45485</v>
      </c>
      <c r="B150" s="5">
        <v>64.78</v>
      </c>
      <c r="C150" s="4">
        <v>64.180000000000007</v>
      </c>
      <c r="D150" s="4">
        <v>64.819999999999993</v>
      </c>
      <c r="E150" s="4">
        <v>64</v>
      </c>
      <c r="F150" s="4" t="s">
        <v>726</v>
      </c>
      <c r="G150" s="2" t="s">
        <v>158</v>
      </c>
      <c r="I150">
        <f t="shared" si="30"/>
        <v>64.402499999999989</v>
      </c>
      <c r="J150">
        <f t="shared" si="31"/>
        <v>65.02225</v>
      </c>
      <c r="L150">
        <f t="shared" si="32"/>
        <v>1</v>
      </c>
      <c r="M150">
        <f t="shared" si="33"/>
        <v>0</v>
      </c>
      <c r="O150">
        <f t="shared" si="34"/>
        <v>0.59999999999999432</v>
      </c>
      <c r="P150">
        <f t="shared" si="35"/>
        <v>0</v>
      </c>
      <c r="R150">
        <f t="shared" si="36"/>
        <v>0.33714285714285808</v>
      </c>
      <c r="S150">
        <f t="shared" si="37"/>
        <v>0.4728571428571452</v>
      </c>
      <c r="U150">
        <f t="shared" si="38"/>
        <v>41.622574955908242</v>
      </c>
      <c r="V150">
        <v>86</v>
      </c>
      <c r="W150">
        <v>5</v>
      </c>
      <c r="AH150">
        <f t="shared" si="39"/>
        <v>4.6170651899538333</v>
      </c>
      <c r="AI150">
        <f t="shared" si="40"/>
        <v>58.020999016977058</v>
      </c>
      <c r="AJ150">
        <f t="shared" si="41"/>
        <v>70.784000983022921</v>
      </c>
      <c r="AL150">
        <f t="shared" si="42"/>
        <v>73.636630379907658</v>
      </c>
      <c r="AM150">
        <f t="shared" si="43"/>
        <v>55.168369620092321</v>
      </c>
    </row>
    <row r="151" spans="1:39" ht="16.5" x14ac:dyDescent="0.25">
      <c r="A151" s="1">
        <v>45484</v>
      </c>
      <c r="B151" s="5">
        <v>64</v>
      </c>
      <c r="C151" s="4">
        <v>64.12</v>
      </c>
      <c r="D151" s="4">
        <v>64.31</v>
      </c>
      <c r="E151" s="4">
        <v>63.31</v>
      </c>
      <c r="F151" s="4" t="s">
        <v>1484</v>
      </c>
      <c r="G151" s="2" t="s">
        <v>1149</v>
      </c>
      <c r="I151">
        <f t="shared" si="30"/>
        <v>64.323499999999996</v>
      </c>
      <c r="J151">
        <f t="shared" si="31"/>
        <v>65.104250000000008</v>
      </c>
      <c r="L151">
        <f t="shared" si="32"/>
        <v>0</v>
      </c>
      <c r="M151">
        <f t="shared" si="33"/>
        <v>1</v>
      </c>
      <c r="O151">
        <f t="shared" si="34"/>
        <v>0</v>
      </c>
      <c r="P151">
        <f t="shared" si="35"/>
        <v>0.12000000000000455</v>
      </c>
      <c r="R151">
        <f t="shared" si="36"/>
        <v>0.34571428571428797</v>
      </c>
      <c r="S151">
        <f t="shared" si="37"/>
        <v>0.4728571428571452</v>
      </c>
      <c r="U151">
        <f t="shared" si="38"/>
        <v>42.2338568935428</v>
      </c>
      <c r="V151">
        <v>86</v>
      </c>
      <c r="W151">
        <v>5</v>
      </c>
      <c r="AH151">
        <f t="shared" si="39"/>
        <v>4.6194731013034955</v>
      </c>
      <c r="AI151">
        <f t="shared" si="40"/>
        <v>57.941999016977064</v>
      </c>
      <c r="AJ151">
        <f t="shared" si="41"/>
        <v>70.705000983022927</v>
      </c>
      <c r="AL151">
        <f t="shared" si="42"/>
        <v>73.562446202606992</v>
      </c>
      <c r="AM151">
        <f t="shared" si="43"/>
        <v>55.084553797393006</v>
      </c>
    </row>
    <row r="152" spans="1:39" ht="16.5" x14ac:dyDescent="0.25">
      <c r="A152" s="1">
        <v>45483</v>
      </c>
      <c r="B152" s="5">
        <v>63.95</v>
      </c>
      <c r="C152" s="4">
        <v>63.23</v>
      </c>
      <c r="D152" s="4">
        <v>64.150000000000006</v>
      </c>
      <c r="E152" s="4">
        <v>62.69</v>
      </c>
      <c r="F152" s="4" t="s">
        <v>1468</v>
      </c>
      <c r="G152" s="2" t="s">
        <v>847</v>
      </c>
      <c r="I152">
        <f t="shared" si="30"/>
        <v>64.305999999999997</v>
      </c>
      <c r="J152">
        <f t="shared" si="31"/>
        <v>65.212250000000012</v>
      </c>
      <c r="L152">
        <f t="shared" si="32"/>
        <v>1</v>
      </c>
      <c r="M152">
        <f t="shared" si="33"/>
        <v>0</v>
      </c>
      <c r="O152">
        <f t="shared" si="34"/>
        <v>0.72000000000000597</v>
      </c>
      <c r="P152">
        <f t="shared" si="35"/>
        <v>0</v>
      </c>
      <c r="R152">
        <f t="shared" si="36"/>
        <v>0.34571428571428797</v>
      </c>
      <c r="S152">
        <f t="shared" si="37"/>
        <v>0.56571428571428883</v>
      </c>
      <c r="U152">
        <f t="shared" si="38"/>
        <v>37.931034482758641</v>
      </c>
      <c r="V152">
        <v>86</v>
      </c>
      <c r="W152">
        <v>5</v>
      </c>
      <c r="AH152">
        <f t="shared" si="39"/>
        <v>4.6217089327098844</v>
      </c>
      <c r="AI152">
        <f t="shared" si="40"/>
        <v>57.924499016977066</v>
      </c>
      <c r="AJ152">
        <f t="shared" si="41"/>
        <v>70.687500983022929</v>
      </c>
      <c r="AL152">
        <f t="shared" si="42"/>
        <v>73.54941786541977</v>
      </c>
      <c r="AM152">
        <f t="shared" si="43"/>
        <v>55.062582134580225</v>
      </c>
    </row>
    <row r="153" spans="1:39" ht="16.5" x14ac:dyDescent="0.25">
      <c r="A153" s="1">
        <v>45482</v>
      </c>
      <c r="B153" s="5">
        <v>63.15</v>
      </c>
      <c r="C153" s="4">
        <v>63.84</v>
      </c>
      <c r="D153" s="4">
        <v>64.22</v>
      </c>
      <c r="E153" s="4">
        <v>62.85</v>
      </c>
      <c r="F153" s="4" t="s">
        <v>1485</v>
      </c>
      <c r="G153" s="2" t="s">
        <v>1486</v>
      </c>
      <c r="I153">
        <f t="shared" si="30"/>
        <v>64.349500000000006</v>
      </c>
      <c r="J153">
        <f t="shared" si="31"/>
        <v>65.33850000000001</v>
      </c>
      <c r="L153">
        <f t="shared" si="32"/>
        <v>0</v>
      </c>
      <c r="M153">
        <f t="shared" si="33"/>
        <v>1</v>
      </c>
      <c r="O153">
        <f t="shared" si="34"/>
        <v>0</v>
      </c>
      <c r="P153">
        <f t="shared" si="35"/>
        <v>0.69000000000000483</v>
      </c>
      <c r="R153">
        <f t="shared" si="36"/>
        <v>0.30428571428571666</v>
      </c>
      <c r="S153">
        <f t="shared" si="37"/>
        <v>0.56571428571428883</v>
      </c>
      <c r="U153">
        <f t="shared" si="38"/>
        <v>34.975369458128128</v>
      </c>
      <c r="V153">
        <v>86</v>
      </c>
      <c r="W153">
        <v>5</v>
      </c>
      <c r="AH153">
        <f t="shared" si="39"/>
        <v>4.6238980785931121</v>
      </c>
      <c r="AI153">
        <f t="shared" si="40"/>
        <v>57.967999016977075</v>
      </c>
      <c r="AJ153">
        <f t="shared" si="41"/>
        <v>70.731000983022938</v>
      </c>
      <c r="AL153">
        <f t="shared" si="42"/>
        <v>73.597296157186236</v>
      </c>
      <c r="AM153">
        <f t="shared" si="43"/>
        <v>55.101703842813784</v>
      </c>
    </row>
    <row r="154" spans="1:39" ht="16.5" x14ac:dyDescent="0.25">
      <c r="A154" s="1">
        <v>45481</v>
      </c>
      <c r="B154" s="5">
        <v>65.39</v>
      </c>
      <c r="C154" s="4">
        <v>65.290000000000006</v>
      </c>
      <c r="D154" s="4">
        <v>65.930000000000007</v>
      </c>
      <c r="E154" s="4">
        <v>65.17</v>
      </c>
      <c r="F154" s="4" t="s">
        <v>1464</v>
      </c>
      <c r="G154" s="2" t="s">
        <v>121</v>
      </c>
      <c r="I154">
        <f t="shared" si="30"/>
        <v>64.462500000000006</v>
      </c>
      <c r="J154">
        <f t="shared" si="31"/>
        <v>65.493000000000023</v>
      </c>
      <c r="L154">
        <f t="shared" si="32"/>
        <v>1</v>
      </c>
      <c r="M154">
        <f t="shared" si="33"/>
        <v>0</v>
      </c>
      <c r="O154">
        <f t="shared" si="34"/>
        <v>9.9999999999994316E-2</v>
      </c>
      <c r="P154">
        <f t="shared" si="35"/>
        <v>0</v>
      </c>
      <c r="R154">
        <f t="shared" si="36"/>
        <v>0.29500000000000171</v>
      </c>
      <c r="S154">
        <f t="shared" si="37"/>
        <v>0.54500000000000293</v>
      </c>
      <c r="U154">
        <f t="shared" si="38"/>
        <v>35.11904761904762</v>
      </c>
      <c r="V154">
        <v>86</v>
      </c>
      <c r="W154">
        <v>5</v>
      </c>
      <c r="AH154">
        <f t="shared" si="39"/>
        <v>4.6261691714485771</v>
      </c>
      <c r="AI154">
        <f t="shared" si="40"/>
        <v>58.080999016977074</v>
      </c>
      <c r="AJ154">
        <f t="shared" si="41"/>
        <v>70.844000983022937</v>
      </c>
      <c r="AL154">
        <f t="shared" si="42"/>
        <v>73.714838342897167</v>
      </c>
      <c r="AM154">
        <f t="shared" si="43"/>
        <v>55.210161657102852</v>
      </c>
    </row>
    <row r="155" spans="1:39" ht="16.5" x14ac:dyDescent="0.25">
      <c r="A155" s="1">
        <v>45478</v>
      </c>
      <c r="B155" s="5">
        <v>65.47</v>
      </c>
      <c r="C155" s="4">
        <v>65.849999999999994</v>
      </c>
      <c r="D155" s="4">
        <v>66.25</v>
      </c>
      <c r="E155" s="4">
        <v>65.180000000000007</v>
      </c>
      <c r="F155" s="4" t="s">
        <v>39</v>
      </c>
      <c r="G155" s="2" t="s">
        <v>396</v>
      </c>
      <c r="I155">
        <f t="shared" si="30"/>
        <v>64.469000000000008</v>
      </c>
      <c r="J155">
        <f t="shared" si="31"/>
        <v>65.567250000000001</v>
      </c>
      <c r="L155">
        <f t="shared" si="32"/>
        <v>0</v>
      </c>
      <c r="M155">
        <f t="shared" si="33"/>
        <v>1</v>
      </c>
      <c r="O155">
        <f t="shared" si="34"/>
        <v>0</v>
      </c>
      <c r="P155">
        <f t="shared" si="35"/>
        <v>0.37999999999999545</v>
      </c>
      <c r="R155">
        <f t="shared" si="36"/>
        <v>0.32285714285714562</v>
      </c>
      <c r="S155">
        <f t="shared" si="37"/>
        <v>0.53714285714285992</v>
      </c>
      <c r="U155">
        <f t="shared" si="38"/>
        <v>37.541528239202741</v>
      </c>
      <c r="V155">
        <v>86</v>
      </c>
      <c r="W155">
        <v>5</v>
      </c>
      <c r="AH155">
        <f t="shared" si="39"/>
        <v>4.6286661934577102</v>
      </c>
      <c r="AI155">
        <f t="shared" si="40"/>
        <v>58.087499016977077</v>
      </c>
      <c r="AJ155">
        <f t="shared" si="41"/>
        <v>70.85050098302294</v>
      </c>
      <c r="AL155">
        <f t="shared" si="42"/>
        <v>73.726332386915431</v>
      </c>
      <c r="AM155">
        <f t="shared" si="43"/>
        <v>55.211667613084586</v>
      </c>
    </row>
    <row r="156" spans="1:39" ht="16.5" x14ac:dyDescent="0.25">
      <c r="A156" s="1">
        <v>45477</v>
      </c>
      <c r="B156" s="5">
        <v>65.94</v>
      </c>
      <c r="C156" s="4">
        <v>65.58</v>
      </c>
      <c r="D156" s="4">
        <v>66.28</v>
      </c>
      <c r="E156" s="4">
        <v>65.52</v>
      </c>
      <c r="F156" s="4" t="s">
        <v>1483</v>
      </c>
      <c r="G156" s="2" t="s">
        <v>448</v>
      </c>
      <c r="I156">
        <f t="shared" si="30"/>
        <v>64.450999999999993</v>
      </c>
      <c r="J156">
        <f t="shared" si="31"/>
        <v>65.635250000000013</v>
      </c>
      <c r="L156">
        <f t="shared" si="32"/>
        <v>1</v>
      </c>
      <c r="M156">
        <f t="shared" si="33"/>
        <v>0</v>
      </c>
      <c r="O156">
        <f t="shared" si="34"/>
        <v>0.35999999999999943</v>
      </c>
      <c r="P156">
        <f t="shared" si="35"/>
        <v>0</v>
      </c>
      <c r="R156">
        <f t="shared" si="36"/>
        <v>0.29875000000000274</v>
      </c>
      <c r="S156">
        <f t="shared" si="37"/>
        <v>0.56333333333333735</v>
      </c>
      <c r="U156">
        <f t="shared" si="38"/>
        <v>34.654422426292939</v>
      </c>
      <c r="V156">
        <v>86</v>
      </c>
      <c r="W156">
        <v>5</v>
      </c>
      <c r="AH156">
        <f t="shared" si="39"/>
        <v>4.631169093714167</v>
      </c>
      <c r="AI156">
        <f t="shared" si="40"/>
        <v>58.069499016977062</v>
      </c>
      <c r="AJ156">
        <f t="shared" si="41"/>
        <v>70.832500983022925</v>
      </c>
      <c r="AL156">
        <f t="shared" si="42"/>
        <v>73.71333818742832</v>
      </c>
      <c r="AM156">
        <f t="shared" si="43"/>
        <v>55.188661812571659</v>
      </c>
    </row>
    <row r="157" spans="1:39" ht="16.5" x14ac:dyDescent="0.25">
      <c r="A157" s="1">
        <v>45476</v>
      </c>
      <c r="B157" s="5">
        <v>65.3</v>
      </c>
      <c r="C157" s="4">
        <v>64.91</v>
      </c>
      <c r="D157" s="4">
        <v>65.52</v>
      </c>
      <c r="E157" s="4">
        <v>64.8</v>
      </c>
      <c r="F157" s="4" t="s">
        <v>1422</v>
      </c>
      <c r="G157" s="2" t="s">
        <v>715</v>
      </c>
      <c r="I157">
        <f t="shared" si="30"/>
        <v>64.442999999999998</v>
      </c>
      <c r="J157">
        <f t="shared" si="31"/>
        <v>65.69550000000001</v>
      </c>
      <c r="L157">
        <f t="shared" si="32"/>
        <v>1</v>
      </c>
      <c r="M157">
        <f t="shared" si="33"/>
        <v>0</v>
      </c>
      <c r="O157">
        <f t="shared" si="34"/>
        <v>0.39000000000000057</v>
      </c>
      <c r="P157">
        <f t="shared" si="35"/>
        <v>0</v>
      </c>
      <c r="R157">
        <f t="shared" si="36"/>
        <v>0.2900000000000032</v>
      </c>
      <c r="S157">
        <f t="shared" si="37"/>
        <v>0.54000000000000326</v>
      </c>
      <c r="U157">
        <f t="shared" si="38"/>
        <v>34.939759036144693</v>
      </c>
      <c r="V157">
        <v>86</v>
      </c>
      <c r="W157">
        <v>5</v>
      </c>
      <c r="AH157">
        <f t="shared" si="39"/>
        <v>4.6336271162379141</v>
      </c>
      <c r="AI157">
        <f t="shared" si="40"/>
        <v>58.061499016977066</v>
      </c>
      <c r="AJ157">
        <f t="shared" si="41"/>
        <v>70.824500983022929</v>
      </c>
      <c r="AL157">
        <f t="shared" si="42"/>
        <v>73.710254232475819</v>
      </c>
      <c r="AM157">
        <f t="shared" si="43"/>
        <v>55.17574576752417</v>
      </c>
    </row>
    <row r="158" spans="1:39" ht="16.5" x14ac:dyDescent="0.25">
      <c r="A158" s="1">
        <v>45475</v>
      </c>
      <c r="B158" s="5">
        <v>64.73</v>
      </c>
      <c r="C158" s="4">
        <v>64.72</v>
      </c>
      <c r="D158" s="4">
        <v>64.86</v>
      </c>
      <c r="E158" s="4">
        <v>64.06</v>
      </c>
      <c r="F158" s="4" t="s">
        <v>349</v>
      </c>
      <c r="G158" s="2" t="s">
        <v>114</v>
      </c>
      <c r="I158">
        <f t="shared" si="30"/>
        <v>64.456999999999994</v>
      </c>
      <c r="J158">
        <f t="shared" si="31"/>
        <v>65.877250000000004</v>
      </c>
      <c r="L158">
        <f t="shared" si="32"/>
        <v>1</v>
      </c>
      <c r="M158">
        <f t="shared" si="33"/>
        <v>0</v>
      </c>
      <c r="O158">
        <f t="shared" si="34"/>
        <v>1.0000000000005116E-2</v>
      </c>
      <c r="P158">
        <f t="shared" si="35"/>
        <v>0</v>
      </c>
      <c r="R158">
        <f t="shared" si="36"/>
        <v>0.27333333333333698</v>
      </c>
      <c r="S158">
        <f t="shared" si="37"/>
        <v>0.56750000000000256</v>
      </c>
      <c r="U158">
        <f t="shared" si="38"/>
        <v>32.507433102081464</v>
      </c>
      <c r="V158">
        <v>86</v>
      </c>
      <c r="W158">
        <v>5</v>
      </c>
      <c r="AH158">
        <f t="shared" si="39"/>
        <v>4.6360602904471477</v>
      </c>
      <c r="AI158">
        <f t="shared" si="40"/>
        <v>58.075499016977062</v>
      </c>
      <c r="AJ158">
        <f t="shared" si="41"/>
        <v>70.838500983022925</v>
      </c>
      <c r="AL158">
        <f t="shared" si="42"/>
        <v>73.729120580894289</v>
      </c>
      <c r="AM158">
        <f t="shared" si="43"/>
        <v>55.184879419105698</v>
      </c>
    </row>
    <row r="159" spans="1:39" ht="16.5" x14ac:dyDescent="0.25">
      <c r="A159" s="1">
        <v>45474</v>
      </c>
      <c r="B159" s="5">
        <v>64.8</v>
      </c>
      <c r="C159" s="4">
        <v>65.569999999999993</v>
      </c>
      <c r="D159" s="4">
        <v>65.84</v>
      </c>
      <c r="E159" s="4">
        <v>64.78</v>
      </c>
      <c r="F159" s="4" t="s">
        <v>1487</v>
      </c>
      <c r="G159" s="2" t="s">
        <v>375</v>
      </c>
      <c r="I159">
        <f t="shared" si="30"/>
        <v>64.497</v>
      </c>
      <c r="J159">
        <f t="shared" si="31"/>
        <v>66.091500000000025</v>
      </c>
      <c r="L159">
        <f t="shared" si="32"/>
        <v>0</v>
      </c>
      <c r="M159">
        <f t="shared" si="33"/>
        <v>1</v>
      </c>
      <c r="O159">
        <f t="shared" si="34"/>
        <v>0</v>
      </c>
      <c r="P159">
        <f t="shared" si="35"/>
        <v>0.76999999999999602</v>
      </c>
      <c r="R159">
        <f t="shared" si="36"/>
        <v>0.32600000000000334</v>
      </c>
      <c r="S159">
        <f t="shared" si="37"/>
        <v>0.53333333333333621</v>
      </c>
      <c r="U159">
        <f t="shared" si="38"/>
        <v>37.936384794414387</v>
      </c>
      <c r="V159">
        <v>86</v>
      </c>
      <c r="W159">
        <v>5</v>
      </c>
      <c r="AH159">
        <f t="shared" si="39"/>
        <v>4.6385143510747948</v>
      </c>
      <c r="AI159">
        <f t="shared" si="40"/>
        <v>58.115499016977068</v>
      </c>
      <c r="AJ159">
        <f t="shared" si="41"/>
        <v>70.878500983022931</v>
      </c>
      <c r="AL159">
        <f t="shared" si="42"/>
        <v>73.774028702149593</v>
      </c>
      <c r="AM159">
        <f t="shared" si="43"/>
        <v>55.219971297850407</v>
      </c>
    </row>
    <row r="160" spans="1:39" ht="16.5" x14ac:dyDescent="0.25">
      <c r="A160" s="1">
        <v>45471</v>
      </c>
      <c r="B160" s="5">
        <v>64.569999999999993</v>
      </c>
      <c r="C160" s="4">
        <v>64.69</v>
      </c>
      <c r="D160" s="4">
        <v>65.209999999999994</v>
      </c>
      <c r="E160" s="4">
        <v>64.099999999999994</v>
      </c>
      <c r="F160" s="4" t="s">
        <v>1488</v>
      </c>
      <c r="G160" s="2" t="s">
        <v>247</v>
      </c>
      <c r="I160">
        <f t="shared" si="30"/>
        <v>64.573499999999996</v>
      </c>
      <c r="J160">
        <f t="shared" si="31"/>
        <v>66.284750000000017</v>
      </c>
      <c r="L160">
        <f t="shared" si="32"/>
        <v>0</v>
      </c>
      <c r="M160">
        <f t="shared" si="33"/>
        <v>1</v>
      </c>
      <c r="O160">
        <f t="shared" si="34"/>
        <v>0</v>
      </c>
      <c r="P160">
        <f t="shared" si="35"/>
        <v>0.12000000000000455</v>
      </c>
      <c r="R160">
        <f t="shared" si="36"/>
        <v>0.32600000000000334</v>
      </c>
      <c r="S160">
        <f t="shared" si="37"/>
        <v>0.47000000000000358</v>
      </c>
      <c r="U160">
        <f t="shared" si="38"/>
        <v>40.954773869346795</v>
      </c>
      <c r="V160">
        <v>86</v>
      </c>
      <c r="W160">
        <v>5</v>
      </c>
      <c r="AH160">
        <f t="shared" si="39"/>
        <v>4.6410437140243772</v>
      </c>
      <c r="AI160">
        <f t="shared" si="40"/>
        <v>58.191999016977064</v>
      </c>
      <c r="AJ160">
        <f t="shared" si="41"/>
        <v>70.955000983022927</v>
      </c>
      <c r="AL160">
        <f t="shared" si="42"/>
        <v>73.85558742804875</v>
      </c>
      <c r="AM160">
        <f t="shared" si="43"/>
        <v>55.291412571951241</v>
      </c>
    </row>
    <row r="161" spans="1:39" ht="16.5" x14ac:dyDescent="0.25">
      <c r="A161" s="1">
        <v>45470</v>
      </c>
      <c r="B161" s="5">
        <v>63.43</v>
      </c>
      <c r="C161" s="4">
        <v>64.180000000000007</v>
      </c>
      <c r="D161" s="4">
        <v>64.349999999999994</v>
      </c>
      <c r="E161" s="4">
        <v>63.27</v>
      </c>
      <c r="F161" s="4" t="s">
        <v>1489</v>
      </c>
      <c r="G161" s="2" t="s">
        <v>1490</v>
      </c>
      <c r="I161">
        <f t="shared" si="30"/>
        <v>64.664999999999992</v>
      </c>
      <c r="J161">
        <f t="shared" si="31"/>
        <v>66.460000000000008</v>
      </c>
      <c r="L161">
        <f t="shared" si="32"/>
        <v>0</v>
      </c>
      <c r="M161">
        <f t="shared" si="33"/>
        <v>1</v>
      </c>
      <c r="O161">
        <f t="shared" si="34"/>
        <v>0</v>
      </c>
      <c r="P161">
        <f t="shared" si="35"/>
        <v>0.75000000000000711</v>
      </c>
      <c r="R161">
        <f t="shared" si="36"/>
        <v>0.39333333333333442</v>
      </c>
      <c r="S161">
        <f t="shared" si="37"/>
        <v>0.51375000000000348</v>
      </c>
      <c r="U161">
        <f t="shared" si="38"/>
        <v>43.36242535599439</v>
      </c>
      <c r="V161">
        <v>86</v>
      </c>
      <c r="W161">
        <v>5</v>
      </c>
      <c r="AH161">
        <f t="shared" si="39"/>
        <v>4.6437235491307787</v>
      </c>
      <c r="AI161">
        <f t="shared" si="40"/>
        <v>58.283499016977061</v>
      </c>
      <c r="AJ161">
        <f t="shared" si="41"/>
        <v>71.046500983022923</v>
      </c>
      <c r="AL161">
        <f t="shared" si="42"/>
        <v>73.952447098261544</v>
      </c>
      <c r="AM161">
        <f t="shared" si="43"/>
        <v>55.377552901738433</v>
      </c>
    </row>
    <row r="162" spans="1:39" ht="16.5" x14ac:dyDescent="0.25">
      <c r="A162" s="1">
        <v>45469</v>
      </c>
      <c r="B162" s="5">
        <v>64.25</v>
      </c>
      <c r="C162" s="4">
        <v>64.73</v>
      </c>
      <c r="D162" s="4">
        <v>64.959999999999994</v>
      </c>
      <c r="E162" s="4">
        <v>63.99</v>
      </c>
      <c r="F162" s="4" t="s">
        <v>1491</v>
      </c>
      <c r="G162" s="2" t="s">
        <v>542</v>
      </c>
      <c r="I162">
        <f t="shared" si="30"/>
        <v>64.789999999999992</v>
      </c>
      <c r="J162">
        <f t="shared" si="31"/>
        <v>66.64700000000002</v>
      </c>
      <c r="L162">
        <f t="shared" si="32"/>
        <v>0</v>
      </c>
      <c r="M162">
        <f t="shared" si="33"/>
        <v>1</v>
      </c>
      <c r="O162">
        <f t="shared" si="34"/>
        <v>0</v>
      </c>
      <c r="P162">
        <f t="shared" si="35"/>
        <v>0.48000000000000398</v>
      </c>
      <c r="R162">
        <f t="shared" si="36"/>
        <v>0.39333333333333442</v>
      </c>
      <c r="S162">
        <f t="shared" si="37"/>
        <v>0.48125000000000195</v>
      </c>
      <c r="U162">
        <f t="shared" si="38"/>
        <v>44.973797046212447</v>
      </c>
      <c r="V162">
        <v>86</v>
      </c>
      <c r="W162">
        <v>5</v>
      </c>
      <c r="AH162">
        <f t="shared" si="39"/>
        <v>4.6465826365478486</v>
      </c>
      <c r="AI162">
        <f t="shared" si="40"/>
        <v>58.408499016977061</v>
      </c>
      <c r="AJ162">
        <f t="shared" si="41"/>
        <v>71.171500983022923</v>
      </c>
      <c r="AL162">
        <f t="shared" si="42"/>
        <v>74.083165273095688</v>
      </c>
      <c r="AM162">
        <f t="shared" si="43"/>
        <v>55.496834726904297</v>
      </c>
    </row>
    <row r="163" spans="1:39" ht="16.5" x14ac:dyDescent="0.25">
      <c r="A163" s="1">
        <v>45468</v>
      </c>
      <c r="B163" s="5">
        <v>64.81</v>
      </c>
      <c r="C163" s="4">
        <v>64.63</v>
      </c>
      <c r="D163" s="4">
        <v>65.209999999999994</v>
      </c>
      <c r="E163" s="4">
        <v>64.45</v>
      </c>
      <c r="F163" s="4" t="s">
        <v>1492</v>
      </c>
      <c r="G163" s="2" t="s">
        <v>676</v>
      </c>
      <c r="I163">
        <f t="shared" si="30"/>
        <v>64.851000000000013</v>
      </c>
      <c r="J163">
        <f t="shared" si="31"/>
        <v>66.814250000000001</v>
      </c>
      <c r="L163">
        <f t="shared" si="32"/>
        <v>1</v>
      </c>
      <c r="M163">
        <f t="shared" si="33"/>
        <v>0</v>
      </c>
      <c r="O163">
        <f t="shared" si="34"/>
        <v>0.18000000000000682</v>
      </c>
      <c r="P163">
        <f t="shared" si="35"/>
        <v>0</v>
      </c>
      <c r="R163">
        <f t="shared" si="36"/>
        <v>0.35571428571428598</v>
      </c>
      <c r="S163">
        <f t="shared" si="37"/>
        <v>0.48142857142857309</v>
      </c>
      <c r="U163">
        <f t="shared" si="38"/>
        <v>42.491467576791749</v>
      </c>
      <c r="V163">
        <v>86</v>
      </c>
      <c r="W163">
        <v>5</v>
      </c>
      <c r="AH163">
        <f t="shared" si="39"/>
        <v>4.6496838560888998</v>
      </c>
      <c r="AI163">
        <f t="shared" si="40"/>
        <v>58.469499016977082</v>
      </c>
      <c r="AJ163">
        <f t="shared" si="41"/>
        <v>71.232500983022945</v>
      </c>
      <c r="AL163">
        <f t="shared" si="42"/>
        <v>74.150367712177811</v>
      </c>
      <c r="AM163">
        <f t="shared" si="43"/>
        <v>55.551632287822216</v>
      </c>
    </row>
    <row r="164" spans="1:39" ht="16.5" x14ac:dyDescent="0.25">
      <c r="A164" s="1">
        <v>45467</v>
      </c>
      <c r="B164" s="5">
        <v>64.540000000000006</v>
      </c>
      <c r="C164" s="4">
        <v>63.88</v>
      </c>
      <c r="D164" s="4">
        <v>65.48</v>
      </c>
      <c r="E164" s="4">
        <v>63.87</v>
      </c>
      <c r="F164" s="4" t="s">
        <v>1493</v>
      </c>
      <c r="G164" s="2" t="s">
        <v>1035</v>
      </c>
      <c r="I164">
        <f t="shared" si="30"/>
        <v>64.929500000000004</v>
      </c>
      <c r="J164">
        <f t="shared" si="31"/>
        <v>67.063749999999999</v>
      </c>
      <c r="L164">
        <f t="shared" si="32"/>
        <v>1</v>
      </c>
      <c r="M164">
        <f t="shared" si="33"/>
        <v>0</v>
      </c>
      <c r="O164">
        <f t="shared" si="34"/>
        <v>0.66000000000000369</v>
      </c>
      <c r="P164">
        <f t="shared" si="35"/>
        <v>0</v>
      </c>
      <c r="R164">
        <f t="shared" si="36"/>
        <v>0.33285714285714157</v>
      </c>
      <c r="S164">
        <f t="shared" si="37"/>
        <v>0.48142857142857309</v>
      </c>
      <c r="U164">
        <f t="shared" si="38"/>
        <v>40.877192982455959</v>
      </c>
      <c r="V164">
        <v>86</v>
      </c>
      <c r="W164">
        <v>5</v>
      </c>
      <c r="AH164">
        <f t="shared" si="39"/>
        <v>4.6529001852514833</v>
      </c>
      <c r="AI164">
        <f t="shared" si="40"/>
        <v>58.547999016977073</v>
      </c>
      <c r="AJ164">
        <f t="shared" si="41"/>
        <v>71.311000983022936</v>
      </c>
      <c r="AL164">
        <f t="shared" si="42"/>
        <v>74.235300370502969</v>
      </c>
      <c r="AM164">
        <f t="shared" si="43"/>
        <v>55.62369962949704</v>
      </c>
    </row>
    <row r="165" spans="1:39" ht="16.5" x14ac:dyDescent="0.25">
      <c r="A165" s="1">
        <v>45464</v>
      </c>
      <c r="B165" s="5">
        <v>63.66</v>
      </c>
      <c r="C165" s="4">
        <v>64.430000000000007</v>
      </c>
      <c r="D165" s="4">
        <v>64.47</v>
      </c>
      <c r="E165" s="4">
        <v>63.52</v>
      </c>
      <c r="F165" s="4" t="s">
        <v>1256</v>
      </c>
      <c r="G165" s="2" t="s">
        <v>28</v>
      </c>
      <c r="I165">
        <f t="shared" si="30"/>
        <v>65.01700000000001</v>
      </c>
      <c r="J165">
        <f t="shared" si="31"/>
        <v>67.309250000000006</v>
      </c>
      <c r="L165">
        <f t="shared" si="32"/>
        <v>0</v>
      </c>
      <c r="M165">
        <f t="shared" si="33"/>
        <v>1</v>
      </c>
      <c r="O165">
        <f t="shared" si="34"/>
        <v>0</v>
      </c>
      <c r="P165">
        <f t="shared" si="35"/>
        <v>0.77000000000001023</v>
      </c>
      <c r="R165">
        <f t="shared" si="36"/>
        <v>0.27833333333333127</v>
      </c>
      <c r="S165">
        <f t="shared" si="37"/>
        <v>0.49750000000000139</v>
      </c>
      <c r="U165">
        <f t="shared" si="38"/>
        <v>35.875402792695795</v>
      </c>
      <c r="V165">
        <v>86</v>
      </c>
      <c r="W165">
        <v>5</v>
      </c>
      <c r="AH165">
        <f t="shared" si="39"/>
        <v>4.6562638871323525</v>
      </c>
      <c r="AI165">
        <f t="shared" si="40"/>
        <v>58.635499016977079</v>
      </c>
      <c r="AJ165">
        <f t="shared" si="41"/>
        <v>71.398500983022942</v>
      </c>
      <c r="AL165">
        <f t="shared" si="42"/>
        <v>74.329527774264719</v>
      </c>
      <c r="AM165">
        <f t="shared" si="43"/>
        <v>55.704472225735302</v>
      </c>
    </row>
    <row r="166" spans="1:39" ht="16.5" x14ac:dyDescent="0.25">
      <c r="A166" s="1">
        <v>45463</v>
      </c>
      <c r="B166" s="5">
        <v>64.34</v>
      </c>
      <c r="C166" s="4">
        <v>63.91</v>
      </c>
      <c r="D166" s="4">
        <v>64.5</v>
      </c>
      <c r="E166" s="4">
        <v>63.76</v>
      </c>
      <c r="F166" s="4" t="s">
        <v>1480</v>
      </c>
      <c r="G166" s="2" t="s">
        <v>717</v>
      </c>
      <c r="I166">
        <f t="shared" si="30"/>
        <v>65.135499999999993</v>
      </c>
      <c r="J166">
        <f t="shared" si="31"/>
        <v>67.548249999999996</v>
      </c>
      <c r="L166">
        <f t="shared" si="32"/>
        <v>1</v>
      </c>
      <c r="M166">
        <f t="shared" si="33"/>
        <v>0</v>
      </c>
      <c r="O166">
        <f t="shared" si="34"/>
        <v>0.43000000000000682</v>
      </c>
      <c r="P166">
        <f t="shared" si="35"/>
        <v>0</v>
      </c>
      <c r="R166">
        <f t="shared" si="36"/>
        <v>0.27833333333333127</v>
      </c>
      <c r="S166">
        <f t="shared" si="37"/>
        <v>0.45750000000000046</v>
      </c>
      <c r="U166">
        <f t="shared" si="38"/>
        <v>37.825594563986208</v>
      </c>
      <c r="V166">
        <v>86</v>
      </c>
      <c r="W166">
        <v>5</v>
      </c>
      <c r="AH166">
        <f t="shared" si="39"/>
        <v>4.6597898370801012</v>
      </c>
      <c r="AI166">
        <f t="shared" si="40"/>
        <v>58.753999016977062</v>
      </c>
      <c r="AJ166">
        <f t="shared" si="41"/>
        <v>71.517000983022925</v>
      </c>
      <c r="AL166">
        <f t="shared" si="42"/>
        <v>74.455079674160203</v>
      </c>
      <c r="AM166">
        <f t="shared" si="43"/>
        <v>55.815920325839791</v>
      </c>
    </row>
    <row r="167" spans="1:39" ht="16.5" x14ac:dyDescent="0.25">
      <c r="A167" s="1">
        <v>45462</v>
      </c>
      <c r="B167" s="5">
        <v>63.83</v>
      </c>
      <c r="C167" s="4">
        <v>63.6</v>
      </c>
      <c r="D167" s="4">
        <v>64.03</v>
      </c>
      <c r="E167" s="4">
        <v>63.42</v>
      </c>
      <c r="F167" s="4" t="s">
        <v>1494</v>
      </c>
      <c r="G167" s="2" t="s">
        <v>55</v>
      </c>
      <c r="I167">
        <f t="shared" si="30"/>
        <v>65.204000000000008</v>
      </c>
      <c r="J167">
        <f t="shared" si="31"/>
        <v>67.79025</v>
      </c>
      <c r="L167">
        <f t="shared" si="32"/>
        <v>1</v>
      </c>
      <c r="M167">
        <f t="shared" si="33"/>
        <v>0</v>
      </c>
      <c r="O167">
        <f t="shared" si="34"/>
        <v>0.22999999999999687</v>
      </c>
      <c r="P167">
        <f t="shared" si="35"/>
        <v>0</v>
      </c>
      <c r="R167">
        <f t="shared" si="36"/>
        <v>0.25166666666666515</v>
      </c>
      <c r="S167">
        <f t="shared" si="37"/>
        <v>0.45750000000000046</v>
      </c>
      <c r="U167">
        <f t="shared" si="38"/>
        <v>35.487661574617931</v>
      </c>
      <c r="V167">
        <v>86</v>
      </c>
      <c r="W167">
        <v>5</v>
      </c>
      <c r="AH167">
        <f t="shared" si="39"/>
        <v>4.6635308974349732</v>
      </c>
      <c r="AI167">
        <f t="shared" si="40"/>
        <v>58.822499016977076</v>
      </c>
      <c r="AJ167">
        <f t="shared" si="41"/>
        <v>71.585500983022939</v>
      </c>
      <c r="AL167">
        <f t="shared" si="42"/>
        <v>74.531061794869956</v>
      </c>
      <c r="AM167">
        <f t="shared" si="43"/>
        <v>55.87693820513006</v>
      </c>
    </row>
    <row r="168" spans="1:39" ht="16.5" x14ac:dyDescent="0.25">
      <c r="A168" s="1">
        <v>45461</v>
      </c>
      <c r="B168" s="5">
        <v>63.52</v>
      </c>
      <c r="C168" s="4">
        <v>64.010000000000005</v>
      </c>
      <c r="D168" s="4">
        <v>64.19</v>
      </c>
      <c r="E168" s="4">
        <v>63.3</v>
      </c>
      <c r="F168" s="4" t="s">
        <v>1012</v>
      </c>
      <c r="G168" s="2" t="s">
        <v>114</v>
      </c>
      <c r="I168">
        <f t="shared" si="30"/>
        <v>65.300499999999985</v>
      </c>
      <c r="J168">
        <f t="shared" si="31"/>
        <v>68.045749999999984</v>
      </c>
      <c r="L168">
        <f t="shared" si="32"/>
        <v>0</v>
      </c>
      <c r="M168">
        <f t="shared" si="33"/>
        <v>1</v>
      </c>
      <c r="O168">
        <f t="shared" si="34"/>
        <v>0</v>
      </c>
      <c r="P168">
        <f t="shared" si="35"/>
        <v>0.49000000000000199</v>
      </c>
      <c r="R168">
        <f t="shared" si="36"/>
        <v>0.30666666666666603</v>
      </c>
      <c r="S168">
        <f t="shared" si="37"/>
        <v>0.45750000000000046</v>
      </c>
      <c r="U168">
        <f t="shared" si="38"/>
        <v>40.13086150490723</v>
      </c>
      <c r="V168">
        <v>86</v>
      </c>
      <c r="W168">
        <v>5</v>
      </c>
      <c r="AH168">
        <f t="shared" si="39"/>
        <v>4.6673954473694774</v>
      </c>
      <c r="AI168">
        <f t="shared" si="40"/>
        <v>58.918999016977054</v>
      </c>
      <c r="AJ168">
        <f t="shared" si="41"/>
        <v>71.682000983022917</v>
      </c>
      <c r="AL168">
        <f t="shared" si="42"/>
        <v>74.635290894738944</v>
      </c>
      <c r="AM168">
        <f t="shared" si="43"/>
        <v>55.965709105261027</v>
      </c>
    </row>
    <row r="169" spans="1:39" ht="16.5" x14ac:dyDescent="0.25">
      <c r="A169" s="1">
        <v>45460</v>
      </c>
      <c r="B169" s="5">
        <v>63.59</v>
      </c>
      <c r="C169" s="4">
        <v>63.46</v>
      </c>
      <c r="D169" s="4">
        <v>63.92</v>
      </c>
      <c r="E169" s="4">
        <v>63.08</v>
      </c>
      <c r="F169" s="4" t="s">
        <v>1495</v>
      </c>
      <c r="G169" s="2" t="s">
        <v>583</v>
      </c>
      <c r="I169">
        <f t="shared" si="30"/>
        <v>65.465000000000003</v>
      </c>
      <c r="J169">
        <f t="shared" si="31"/>
        <v>68.312499999999986</v>
      </c>
      <c r="L169">
        <f t="shared" si="32"/>
        <v>1</v>
      </c>
      <c r="M169">
        <f t="shared" si="33"/>
        <v>0</v>
      </c>
      <c r="O169">
        <f t="shared" si="34"/>
        <v>0.13000000000000256</v>
      </c>
      <c r="P169">
        <f t="shared" si="35"/>
        <v>0</v>
      </c>
      <c r="R169">
        <f t="shared" si="36"/>
        <v>0.30666666666666603</v>
      </c>
      <c r="S169">
        <f t="shared" si="37"/>
        <v>0.48125000000000107</v>
      </c>
      <c r="U169">
        <f t="shared" si="38"/>
        <v>38.921205711263781</v>
      </c>
      <c r="V169">
        <v>86</v>
      </c>
      <c r="W169">
        <v>5</v>
      </c>
      <c r="AH169">
        <f t="shared" si="39"/>
        <v>4.6714298725153878</v>
      </c>
      <c r="AI169">
        <f t="shared" si="40"/>
        <v>59.083499016977072</v>
      </c>
      <c r="AJ169">
        <f t="shared" si="41"/>
        <v>71.846500983022935</v>
      </c>
      <c r="AL169">
        <f t="shared" si="42"/>
        <v>74.807859745030783</v>
      </c>
      <c r="AM169">
        <f t="shared" si="43"/>
        <v>56.122140254969224</v>
      </c>
    </row>
    <row r="170" spans="1:39" ht="16.5" x14ac:dyDescent="0.25">
      <c r="A170" s="1">
        <v>45457</v>
      </c>
      <c r="B170" s="5">
        <v>63.2</v>
      </c>
      <c r="C170" s="4">
        <v>63.6</v>
      </c>
      <c r="D170" s="4">
        <v>63.7</v>
      </c>
      <c r="E170" s="4">
        <v>62.73</v>
      </c>
      <c r="F170" s="4" t="s">
        <v>836</v>
      </c>
      <c r="G170" s="2" t="s">
        <v>396</v>
      </c>
      <c r="I170">
        <f t="shared" si="30"/>
        <v>65.64200000000001</v>
      </c>
      <c r="J170">
        <f t="shared" si="31"/>
        <v>68.576249999999987</v>
      </c>
      <c r="L170">
        <f t="shared" si="32"/>
        <v>0</v>
      </c>
      <c r="M170">
        <f t="shared" si="33"/>
        <v>1</v>
      </c>
      <c r="O170">
        <f t="shared" si="34"/>
        <v>0</v>
      </c>
      <c r="P170">
        <f t="shared" si="35"/>
        <v>0.39999999999999858</v>
      </c>
      <c r="R170">
        <f t="shared" si="36"/>
        <v>0.34199999999999875</v>
      </c>
      <c r="S170">
        <f t="shared" si="37"/>
        <v>0.44666666666666782</v>
      </c>
      <c r="U170">
        <f t="shared" si="38"/>
        <v>43.364327979712442</v>
      </c>
      <c r="V170">
        <v>86</v>
      </c>
      <c r="W170">
        <v>5</v>
      </c>
      <c r="AH170">
        <f t="shared" si="39"/>
        <v>4.6757410732441498</v>
      </c>
      <c r="AI170">
        <f t="shared" si="40"/>
        <v>59.260499016977079</v>
      </c>
      <c r="AJ170">
        <f t="shared" si="41"/>
        <v>72.023500983022942</v>
      </c>
      <c r="AL170">
        <f t="shared" si="42"/>
        <v>74.993482146488304</v>
      </c>
      <c r="AM170">
        <f t="shared" si="43"/>
        <v>56.290517853511709</v>
      </c>
    </row>
    <row r="171" spans="1:39" ht="16.5" x14ac:dyDescent="0.25">
      <c r="A171" s="1">
        <v>45456</v>
      </c>
      <c r="B171" s="5">
        <v>63.65</v>
      </c>
      <c r="C171" s="4">
        <v>64.41</v>
      </c>
      <c r="D171" s="4">
        <v>64.58</v>
      </c>
      <c r="E171" s="4">
        <v>63.42</v>
      </c>
      <c r="F171" s="4" t="s">
        <v>878</v>
      </c>
      <c r="G171" s="2" t="s">
        <v>674</v>
      </c>
      <c r="I171">
        <f t="shared" si="30"/>
        <v>65.884999999999991</v>
      </c>
      <c r="J171">
        <f t="shared" si="31"/>
        <v>68.866499999999988</v>
      </c>
      <c r="L171">
        <f t="shared" si="32"/>
        <v>0</v>
      </c>
      <c r="M171">
        <f t="shared" si="33"/>
        <v>1</v>
      </c>
      <c r="O171">
        <f t="shared" si="34"/>
        <v>0</v>
      </c>
      <c r="P171">
        <f t="shared" si="35"/>
        <v>0.75999999999999801</v>
      </c>
      <c r="R171">
        <f t="shared" si="36"/>
        <v>0.29833333333333439</v>
      </c>
      <c r="S171">
        <f t="shared" si="37"/>
        <v>0.45250000000000146</v>
      </c>
      <c r="U171">
        <f t="shared" si="38"/>
        <v>39.733629300776926</v>
      </c>
      <c r="V171">
        <v>86</v>
      </c>
      <c r="W171">
        <v>5</v>
      </c>
      <c r="AH171">
        <f t="shared" si="39"/>
        <v>4.6803354607866012</v>
      </c>
      <c r="AI171">
        <f t="shared" si="40"/>
        <v>59.503499016977059</v>
      </c>
      <c r="AJ171">
        <f t="shared" si="41"/>
        <v>72.266500983022922</v>
      </c>
      <c r="AL171">
        <f t="shared" si="42"/>
        <v>75.245670921573193</v>
      </c>
      <c r="AM171">
        <f t="shared" si="43"/>
        <v>56.524329078426788</v>
      </c>
    </row>
    <row r="172" spans="1:39" ht="16.5" x14ac:dyDescent="0.25">
      <c r="A172" s="1">
        <v>45455</v>
      </c>
      <c r="B172" s="5">
        <v>64.819999999999993</v>
      </c>
      <c r="C172" s="4">
        <v>65.08</v>
      </c>
      <c r="D172" s="4">
        <v>65.67</v>
      </c>
      <c r="E172" s="4">
        <v>64.22</v>
      </c>
      <c r="F172" s="4" t="s">
        <v>970</v>
      </c>
      <c r="G172" s="2" t="s">
        <v>253</v>
      </c>
      <c r="I172">
        <f t="shared" si="30"/>
        <v>66.118500000000012</v>
      </c>
      <c r="J172">
        <f t="shared" si="31"/>
        <v>69.135249999999999</v>
      </c>
      <c r="L172">
        <f t="shared" si="32"/>
        <v>0</v>
      </c>
      <c r="M172">
        <f t="shared" si="33"/>
        <v>1</v>
      </c>
      <c r="O172">
        <f t="shared" si="34"/>
        <v>0</v>
      </c>
      <c r="P172">
        <f t="shared" si="35"/>
        <v>0.26000000000000512</v>
      </c>
      <c r="R172">
        <f t="shared" si="36"/>
        <v>0.38714285714285829</v>
      </c>
      <c r="S172">
        <f t="shared" si="37"/>
        <v>0.40857142857143053</v>
      </c>
      <c r="U172">
        <f t="shared" si="38"/>
        <v>48.653500897666021</v>
      </c>
      <c r="V172">
        <v>86</v>
      </c>
      <c r="W172">
        <v>5</v>
      </c>
      <c r="AH172">
        <f t="shared" si="39"/>
        <v>4.6852894157005389</v>
      </c>
      <c r="AI172">
        <f t="shared" si="40"/>
        <v>59.73699901697708</v>
      </c>
      <c r="AJ172">
        <f t="shared" si="41"/>
        <v>72.500000983022943</v>
      </c>
      <c r="AL172">
        <f t="shared" si="42"/>
        <v>75.489078831401088</v>
      </c>
      <c r="AM172">
        <f t="shared" si="43"/>
        <v>56.747921168598936</v>
      </c>
    </row>
    <row r="173" spans="1:39" ht="16.5" x14ac:dyDescent="0.25">
      <c r="A173" s="1">
        <v>45454</v>
      </c>
      <c r="B173" s="5">
        <v>65.41</v>
      </c>
      <c r="C173" s="4">
        <v>65.61</v>
      </c>
      <c r="D173" s="4">
        <v>65.86</v>
      </c>
      <c r="E173" s="4">
        <v>64.959999999999994</v>
      </c>
      <c r="F173" s="4" t="s">
        <v>1416</v>
      </c>
      <c r="G173" s="2" t="s">
        <v>623</v>
      </c>
      <c r="I173">
        <f t="shared" si="30"/>
        <v>66.327500000000001</v>
      </c>
      <c r="J173">
        <f t="shared" si="31"/>
        <v>69.38</v>
      </c>
      <c r="L173">
        <f t="shared" si="32"/>
        <v>0</v>
      </c>
      <c r="M173">
        <f t="shared" si="33"/>
        <v>1</v>
      </c>
      <c r="O173">
        <f t="shared" si="34"/>
        <v>0</v>
      </c>
      <c r="P173">
        <f t="shared" si="35"/>
        <v>0.20000000000000284</v>
      </c>
      <c r="R173">
        <f t="shared" si="36"/>
        <v>0.38714285714285829</v>
      </c>
      <c r="S173">
        <f t="shared" si="37"/>
        <v>0.38857142857143046</v>
      </c>
      <c r="U173">
        <f t="shared" si="38"/>
        <v>49.9079189686924</v>
      </c>
      <c r="V173">
        <v>86</v>
      </c>
      <c r="W173">
        <v>5</v>
      </c>
      <c r="AH173">
        <f t="shared" si="39"/>
        <v>4.6905607041654047</v>
      </c>
      <c r="AI173">
        <f t="shared" si="40"/>
        <v>59.945999016977069</v>
      </c>
      <c r="AJ173">
        <f t="shared" si="41"/>
        <v>72.709000983022932</v>
      </c>
      <c r="AL173">
        <f t="shared" si="42"/>
        <v>75.708621408330814</v>
      </c>
      <c r="AM173">
        <f t="shared" si="43"/>
        <v>56.946378591669188</v>
      </c>
    </row>
    <row r="174" spans="1:39" ht="16.5" x14ac:dyDescent="0.25">
      <c r="A174" s="1">
        <v>45453</v>
      </c>
      <c r="B174" s="5">
        <v>65.52</v>
      </c>
      <c r="C174" s="4">
        <v>64.790000000000006</v>
      </c>
      <c r="D174" s="4">
        <v>65.52</v>
      </c>
      <c r="E174" s="4">
        <v>64.290000000000006</v>
      </c>
      <c r="F174" s="4" t="s">
        <v>1480</v>
      </c>
      <c r="G174" s="2" t="s">
        <v>45</v>
      </c>
      <c r="I174">
        <f t="shared" si="30"/>
        <v>66.523499999999999</v>
      </c>
      <c r="J174">
        <f t="shared" si="31"/>
        <v>69.650749999999988</v>
      </c>
      <c r="L174">
        <f t="shared" si="32"/>
        <v>1</v>
      </c>
      <c r="M174">
        <f t="shared" si="33"/>
        <v>0</v>
      </c>
      <c r="O174">
        <f t="shared" si="34"/>
        <v>0.72999999999998977</v>
      </c>
      <c r="P174">
        <f t="shared" si="35"/>
        <v>0</v>
      </c>
      <c r="R174">
        <f t="shared" si="36"/>
        <v>0.34625000000000128</v>
      </c>
      <c r="S174">
        <f t="shared" si="37"/>
        <v>0.42000000000000171</v>
      </c>
      <c r="U174">
        <f t="shared" si="38"/>
        <v>45.187601957585635</v>
      </c>
      <c r="V174">
        <v>86</v>
      </c>
      <c r="W174">
        <v>5</v>
      </c>
      <c r="AH174">
        <f t="shared" si="39"/>
        <v>4.6960937417186166</v>
      </c>
      <c r="AI174">
        <f t="shared" si="40"/>
        <v>60.141999016977067</v>
      </c>
      <c r="AJ174">
        <f t="shared" si="41"/>
        <v>72.90500098302293</v>
      </c>
      <c r="AL174">
        <f t="shared" si="42"/>
        <v>75.915687483437239</v>
      </c>
      <c r="AM174">
        <f t="shared" si="43"/>
        <v>57.131312516562765</v>
      </c>
    </row>
    <row r="175" spans="1:39" ht="16.5" x14ac:dyDescent="0.25">
      <c r="A175" s="1">
        <v>45450</v>
      </c>
      <c r="B175" s="5">
        <v>65.11</v>
      </c>
      <c r="C175" s="4">
        <v>65.599999999999994</v>
      </c>
      <c r="D175" s="4">
        <v>65.8</v>
      </c>
      <c r="E175" s="4">
        <v>64.7</v>
      </c>
      <c r="F175" s="4" t="s">
        <v>1469</v>
      </c>
      <c r="G175" s="2" t="s">
        <v>272</v>
      </c>
      <c r="I175">
        <f t="shared" si="30"/>
        <v>66.66549999999998</v>
      </c>
      <c r="J175">
        <f t="shared" si="31"/>
        <v>69.896999999999977</v>
      </c>
      <c r="L175">
        <f t="shared" si="32"/>
        <v>0</v>
      </c>
      <c r="M175">
        <f t="shared" si="33"/>
        <v>1</v>
      </c>
      <c r="O175">
        <f t="shared" si="34"/>
        <v>0</v>
      </c>
      <c r="P175">
        <f t="shared" si="35"/>
        <v>0.48999999999999488</v>
      </c>
      <c r="R175">
        <f t="shared" si="36"/>
        <v>0.2562500000000032</v>
      </c>
      <c r="S175">
        <f t="shared" si="37"/>
        <v>0.42000000000000171</v>
      </c>
      <c r="U175">
        <f t="shared" si="38"/>
        <v>37.892791127541791</v>
      </c>
      <c r="V175">
        <v>86</v>
      </c>
      <c r="W175">
        <v>5</v>
      </c>
      <c r="AH175">
        <f t="shared" si="39"/>
        <v>4.7018527263064316</v>
      </c>
      <c r="AI175">
        <f t="shared" si="40"/>
        <v>60.283999016977049</v>
      </c>
      <c r="AJ175">
        <f t="shared" si="41"/>
        <v>73.047000983022912</v>
      </c>
      <c r="AL175">
        <f t="shared" si="42"/>
        <v>76.069205452612849</v>
      </c>
      <c r="AM175">
        <f t="shared" si="43"/>
        <v>57.261794547387119</v>
      </c>
    </row>
    <row r="176" spans="1:39" ht="16.5" x14ac:dyDescent="0.25">
      <c r="A176" s="1">
        <v>45449</v>
      </c>
      <c r="B176" s="5">
        <v>65.78</v>
      </c>
      <c r="C176" s="4">
        <v>65.650000000000006</v>
      </c>
      <c r="D176" s="4">
        <v>66.03</v>
      </c>
      <c r="E176" s="4">
        <v>65.290000000000006</v>
      </c>
      <c r="F176" s="4" t="s">
        <v>1496</v>
      </c>
      <c r="G176" s="2" t="s">
        <v>390</v>
      </c>
      <c r="I176">
        <f t="shared" si="30"/>
        <v>66.819499999999991</v>
      </c>
      <c r="J176">
        <f t="shared" si="31"/>
        <v>70.162749999999988</v>
      </c>
      <c r="L176">
        <f t="shared" si="32"/>
        <v>1</v>
      </c>
      <c r="M176">
        <f t="shared" si="33"/>
        <v>0</v>
      </c>
      <c r="O176">
        <f t="shared" si="34"/>
        <v>0.12999999999999545</v>
      </c>
      <c r="P176">
        <f t="shared" si="35"/>
        <v>0</v>
      </c>
      <c r="R176">
        <f t="shared" si="36"/>
        <v>0.2562500000000032</v>
      </c>
      <c r="S176">
        <f t="shared" si="37"/>
        <v>0.56833333333333746</v>
      </c>
      <c r="U176">
        <f t="shared" si="38"/>
        <v>31.076301162203251</v>
      </c>
      <c r="V176">
        <v>86</v>
      </c>
      <c r="W176">
        <v>5</v>
      </c>
      <c r="AH176">
        <f t="shared" si="39"/>
        <v>4.7077687289757186</v>
      </c>
      <c r="AI176">
        <f t="shared" si="40"/>
        <v>60.437999016977059</v>
      </c>
      <c r="AJ176">
        <f t="shared" si="41"/>
        <v>73.201000983022922</v>
      </c>
      <c r="AL176">
        <f t="shared" si="42"/>
        <v>76.235037457951421</v>
      </c>
      <c r="AM176">
        <f t="shared" si="43"/>
        <v>57.403962542048554</v>
      </c>
    </row>
    <row r="177" spans="1:39" ht="16.5" x14ac:dyDescent="0.25">
      <c r="A177" s="1">
        <v>45448</v>
      </c>
      <c r="B177" s="5">
        <v>65.58</v>
      </c>
      <c r="C177" s="4">
        <v>65.56</v>
      </c>
      <c r="D177" s="4">
        <v>66.11</v>
      </c>
      <c r="E177" s="4">
        <v>65.37</v>
      </c>
      <c r="F177" s="4" t="s">
        <v>1469</v>
      </c>
      <c r="G177" s="2" t="s">
        <v>1149</v>
      </c>
      <c r="I177">
        <f t="shared" si="30"/>
        <v>66.947999999999993</v>
      </c>
      <c r="J177">
        <f t="shared" si="31"/>
        <v>70.418249999999986</v>
      </c>
      <c r="L177">
        <f t="shared" si="32"/>
        <v>1</v>
      </c>
      <c r="M177">
        <f t="shared" si="33"/>
        <v>0</v>
      </c>
      <c r="O177">
        <f t="shared" si="34"/>
        <v>1.9999999999996021E-2</v>
      </c>
      <c r="P177">
        <f t="shared" si="35"/>
        <v>0</v>
      </c>
      <c r="R177">
        <f t="shared" si="36"/>
        <v>0.27428571428571857</v>
      </c>
      <c r="S177">
        <f t="shared" si="37"/>
        <v>0.51428571428571757</v>
      </c>
      <c r="U177">
        <f t="shared" si="38"/>
        <v>34.782608695652385</v>
      </c>
      <c r="V177">
        <v>86</v>
      </c>
      <c r="W177">
        <v>5</v>
      </c>
      <c r="AH177">
        <f t="shared" si="39"/>
        <v>4.7138415194701855</v>
      </c>
      <c r="AI177">
        <f t="shared" si="40"/>
        <v>60.566499016977062</v>
      </c>
      <c r="AJ177">
        <f t="shared" si="41"/>
        <v>73.329500983022925</v>
      </c>
      <c r="AL177">
        <f t="shared" si="42"/>
        <v>76.375683038940366</v>
      </c>
      <c r="AM177">
        <f t="shared" si="43"/>
        <v>57.520316961059621</v>
      </c>
    </row>
    <row r="178" spans="1:39" ht="16.5" x14ac:dyDescent="0.25">
      <c r="A178" s="1">
        <v>45447</v>
      </c>
      <c r="B178" s="5">
        <v>65.53</v>
      </c>
      <c r="C178" s="4">
        <v>66.14</v>
      </c>
      <c r="D178" s="4">
        <v>66.42</v>
      </c>
      <c r="E178" s="4">
        <v>65.11</v>
      </c>
      <c r="F178" s="4" t="s">
        <v>931</v>
      </c>
      <c r="G178" s="2" t="s">
        <v>725</v>
      </c>
      <c r="I178">
        <f t="shared" si="30"/>
        <v>67.297499999999985</v>
      </c>
      <c r="J178">
        <f t="shared" si="31"/>
        <v>70.683249999999973</v>
      </c>
      <c r="L178">
        <f t="shared" si="32"/>
        <v>0</v>
      </c>
      <c r="M178">
        <f t="shared" si="33"/>
        <v>1</v>
      </c>
      <c r="O178">
        <f t="shared" si="34"/>
        <v>0</v>
      </c>
      <c r="P178">
        <f t="shared" si="35"/>
        <v>0.60999999999999943</v>
      </c>
      <c r="R178">
        <f t="shared" si="36"/>
        <v>0.31666666666667237</v>
      </c>
      <c r="S178">
        <f t="shared" si="37"/>
        <v>0.51000000000000334</v>
      </c>
      <c r="U178">
        <f t="shared" si="38"/>
        <v>38.306451612903494</v>
      </c>
      <c r="V178">
        <v>86</v>
      </c>
      <c r="W178">
        <v>5</v>
      </c>
      <c r="AH178">
        <f t="shared" si="39"/>
        <v>4.7200396365099122</v>
      </c>
      <c r="AI178">
        <f t="shared" si="40"/>
        <v>60.915999016977054</v>
      </c>
      <c r="AJ178">
        <f t="shared" si="41"/>
        <v>73.679000983022917</v>
      </c>
      <c r="AL178">
        <f t="shared" si="42"/>
        <v>76.737579273019804</v>
      </c>
      <c r="AM178">
        <f t="shared" si="43"/>
        <v>57.857420726980159</v>
      </c>
    </row>
    <row r="179" spans="1:39" ht="16.5" x14ac:dyDescent="0.25">
      <c r="A179" s="1">
        <v>45446</v>
      </c>
      <c r="B179" s="5">
        <v>66.33</v>
      </c>
      <c r="C179" s="4">
        <v>66.78</v>
      </c>
      <c r="D179" s="4">
        <v>67.099999999999994</v>
      </c>
      <c r="E179" s="4">
        <v>66.33</v>
      </c>
      <c r="F179" s="4" t="s">
        <v>1497</v>
      </c>
      <c r="G179" s="2" t="s">
        <v>114</v>
      </c>
      <c r="I179">
        <f t="shared" si="30"/>
        <v>67.686000000000007</v>
      </c>
      <c r="J179">
        <f t="shared" si="31"/>
        <v>70.960249999999988</v>
      </c>
      <c r="L179">
        <f t="shared" si="32"/>
        <v>0</v>
      </c>
      <c r="M179">
        <f t="shared" si="33"/>
        <v>1</v>
      </c>
      <c r="O179">
        <f t="shared" si="34"/>
        <v>0</v>
      </c>
      <c r="P179">
        <f t="shared" si="35"/>
        <v>0.45000000000000284</v>
      </c>
      <c r="R179">
        <f t="shared" si="36"/>
        <v>0.31666666666667237</v>
      </c>
      <c r="S179">
        <f t="shared" si="37"/>
        <v>0.49625000000000341</v>
      </c>
      <c r="U179">
        <f t="shared" si="38"/>
        <v>38.954382368016674</v>
      </c>
      <c r="V179">
        <v>86</v>
      </c>
      <c r="W179">
        <v>5</v>
      </c>
      <c r="AH179">
        <f t="shared" si="39"/>
        <v>4.7264904157956504</v>
      </c>
      <c r="AI179">
        <f t="shared" si="40"/>
        <v>61.304499016977076</v>
      </c>
      <c r="AJ179">
        <f t="shared" si="41"/>
        <v>74.067500983022938</v>
      </c>
      <c r="AL179">
        <f t="shared" si="42"/>
        <v>77.138980831591311</v>
      </c>
      <c r="AM179">
        <f t="shared" si="43"/>
        <v>58.233019168408703</v>
      </c>
    </row>
    <row r="180" spans="1:39" ht="16.5" x14ac:dyDescent="0.25">
      <c r="A180" s="1">
        <v>45443</v>
      </c>
      <c r="B180" s="5">
        <v>66.400000000000006</v>
      </c>
      <c r="C180" s="4">
        <v>66.13</v>
      </c>
      <c r="D180" s="4">
        <v>66.62</v>
      </c>
      <c r="E180" s="4">
        <v>65.67</v>
      </c>
      <c r="F180" s="4" t="s">
        <v>1498</v>
      </c>
      <c r="G180" s="2" t="s">
        <v>424</v>
      </c>
      <c r="I180">
        <f t="shared" si="30"/>
        <v>67.995999999999995</v>
      </c>
      <c r="J180">
        <f t="shared" si="31"/>
        <v>71.169749999999993</v>
      </c>
      <c r="L180">
        <f t="shared" si="32"/>
        <v>1</v>
      </c>
      <c r="M180">
        <f t="shared" si="33"/>
        <v>0</v>
      </c>
      <c r="O180">
        <f t="shared" si="34"/>
        <v>0.27000000000001023</v>
      </c>
      <c r="P180">
        <f t="shared" si="35"/>
        <v>0</v>
      </c>
      <c r="R180">
        <f t="shared" si="36"/>
        <v>0.38571428571429017</v>
      </c>
      <c r="S180">
        <f t="shared" si="37"/>
        <v>0.50285714285714633</v>
      </c>
      <c r="U180">
        <f t="shared" si="38"/>
        <v>43.408360128617481</v>
      </c>
      <c r="V180">
        <v>86</v>
      </c>
      <c r="W180">
        <v>5</v>
      </c>
      <c r="AH180">
        <f t="shared" si="39"/>
        <v>4.7331359126513872</v>
      </c>
      <c r="AI180">
        <f t="shared" si="40"/>
        <v>61.614499016977064</v>
      </c>
      <c r="AJ180">
        <f t="shared" si="41"/>
        <v>74.377500983022927</v>
      </c>
      <c r="AL180">
        <f t="shared" si="42"/>
        <v>77.462271825302764</v>
      </c>
      <c r="AM180">
        <f t="shared" si="43"/>
        <v>58.529728174697219</v>
      </c>
    </row>
    <row r="181" spans="1:39" ht="16.5" x14ac:dyDescent="0.25">
      <c r="A181" s="1">
        <v>45442</v>
      </c>
      <c r="B181" s="5">
        <v>65.930000000000007</v>
      </c>
      <c r="C181" s="4">
        <v>65.37</v>
      </c>
      <c r="D181" s="4">
        <v>66.069999999999993</v>
      </c>
      <c r="E181" s="4">
        <v>65.14</v>
      </c>
      <c r="F181" s="4" t="s">
        <v>931</v>
      </c>
      <c r="G181" s="2" t="s">
        <v>856</v>
      </c>
      <c r="I181">
        <f t="shared" si="30"/>
        <v>68.254999999999981</v>
      </c>
      <c r="J181">
        <f t="shared" si="31"/>
        <v>71.391499999999979</v>
      </c>
      <c r="L181">
        <f t="shared" si="32"/>
        <v>1</v>
      </c>
      <c r="M181">
        <f t="shared" si="33"/>
        <v>0</v>
      </c>
      <c r="O181">
        <f t="shared" si="34"/>
        <v>0.56000000000000227</v>
      </c>
      <c r="P181">
        <f t="shared" si="35"/>
        <v>0</v>
      </c>
      <c r="R181">
        <f t="shared" si="36"/>
        <v>0.40857142857143053</v>
      </c>
      <c r="S181">
        <f t="shared" si="37"/>
        <v>0.50285714285714633</v>
      </c>
      <c r="U181">
        <f t="shared" si="38"/>
        <v>44.827586206896498</v>
      </c>
      <c r="V181">
        <v>86</v>
      </c>
      <c r="W181">
        <v>5</v>
      </c>
      <c r="AH181">
        <f t="shared" si="39"/>
        <v>4.7398787865132448</v>
      </c>
      <c r="AI181">
        <f t="shared" si="40"/>
        <v>61.87349901697705</v>
      </c>
      <c r="AJ181">
        <f t="shared" si="41"/>
        <v>74.636500983022913</v>
      </c>
      <c r="AL181">
        <f t="shared" si="42"/>
        <v>77.734757573026471</v>
      </c>
      <c r="AM181">
        <f t="shared" si="43"/>
        <v>58.775242426973492</v>
      </c>
    </row>
    <row r="182" spans="1:39" ht="16.5" x14ac:dyDescent="0.25">
      <c r="A182" s="1">
        <v>45441</v>
      </c>
      <c r="B182" s="5">
        <v>65.47</v>
      </c>
      <c r="C182" s="4">
        <v>66.150000000000006</v>
      </c>
      <c r="D182" s="4">
        <v>66.239999999999995</v>
      </c>
      <c r="E182" s="4">
        <v>65.349999999999994</v>
      </c>
      <c r="F182" s="4" t="s">
        <v>1499</v>
      </c>
      <c r="G182" s="2" t="s">
        <v>261</v>
      </c>
      <c r="I182">
        <f t="shared" si="30"/>
        <v>68.503999999999991</v>
      </c>
      <c r="J182">
        <f t="shared" si="31"/>
        <v>71.59099999999998</v>
      </c>
      <c r="L182">
        <f t="shared" si="32"/>
        <v>0</v>
      </c>
      <c r="M182">
        <f t="shared" si="33"/>
        <v>1</v>
      </c>
      <c r="O182">
        <f t="shared" si="34"/>
        <v>0</v>
      </c>
      <c r="P182">
        <f t="shared" si="35"/>
        <v>0.68000000000000682</v>
      </c>
      <c r="R182">
        <f t="shared" si="36"/>
        <v>0.38333333333333525</v>
      </c>
      <c r="S182">
        <f t="shared" si="37"/>
        <v>0.49750000000000405</v>
      </c>
      <c r="U182">
        <f t="shared" si="38"/>
        <v>43.519394512771925</v>
      </c>
      <c r="V182">
        <v>86</v>
      </c>
      <c r="W182">
        <v>5</v>
      </c>
      <c r="AH182">
        <f t="shared" si="39"/>
        <v>4.7466640073038775</v>
      </c>
      <c r="AI182">
        <f t="shared" si="40"/>
        <v>62.122499016977059</v>
      </c>
      <c r="AJ182">
        <f t="shared" si="41"/>
        <v>74.885500983022922</v>
      </c>
      <c r="AL182">
        <f t="shared" si="42"/>
        <v>77.997328014607746</v>
      </c>
      <c r="AM182">
        <f t="shared" si="43"/>
        <v>59.010671985392236</v>
      </c>
    </row>
    <row r="183" spans="1:39" ht="16.5" x14ac:dyDescent="0.25">
      <c r="A183" s="1">
        <v>45440</v>
      </c>
      <c r="B183" s="5">
        <v>66.38</v>
      </c>
      <c r="C183" s="4">
        <v>66.55</v>
      </c>
      <c r="D183" s="4">
        <v>66.989999999999995</v>
      </c>
      <c r="E183" s="4">
        <v>66.12</v>
      </c>
      <c r="F183" s="4" t="s">
        <v>1409</v>
      </c>
      <c r="G183" s="2" t="s">
        <v>438</v>
      </c>
      <c r="I183">
        <f t="shared" si="30"/>
        <v>68.777500000000003</v>
      </c>
      <c r="J183">
        <f t="shared" si="31"/>
        <v>71.790999999999983</v>
      </c>
      <c r="L183">
        <f t="shared" si="32"/>
        <v>0</v>
      </c>
      <c r="M183">
        <f t="shared" si="33"/>
        <v>1</v>
      </c>
      <c r="O183">
        <f t="shared" si="34"/>
        <v>0</v>
      </c>
      <c r="P183">
        <f t="shared" si="35"/>
        <v>0.17000000000000171</v>
      </c>
      <c r="R183">
        <f t="shared" si="36"/>
        <v>0.38333333333333525</v>
      </c>
      <c r="S183">
        <f t="shared" si="37"/>
        <v>0.45000000000000462</v>
      </c>
      <c r="U183">
        <f t="shared" si="38"/>
        <v>45.999999999999865</v>
      </c>
      <c r="V183">
        <v>86</v>
      </c>
      <c r="W183">
        <v>5</v>
      </c>
      <c r="AH183">
        <f t="shared" si="39"/>
        <v>4.7534530355316331</v>
      </c>
      <c r="AI183">
        <f t="shared" si="40"/>
        <v>62.395999016977072</v>
      </c>
      <c r="AJ183">
        <f t="shared" si="41"/>
        <v>75.159000983022935</v>
      </c>
      <c r="AL183">
        <f t="shared" si="42"/>
        <v>78.284406071063273</v>
      </c>
      <c r="AM183">
        <f t="shared" si="43"/>
        <v>59.270593928936734</v>
      </c>
    </row>
    <row r="184" spans="1:39" ht="16.5" x14ac:dyDescent="0.25">
      <c r="A184" s="1">
        <v>45439</v>
      </c>
      <c r="B184" s="5">
        <v>66.290000000000006</v>
      </c>
      <c r="C184" s="4">
        <v>66.209999999999994</v>
      </c>
      <c r="D184" s="4">
        <v>66.599999999999994</v>
      </c>
      <c r="E184" s="4">
        <v>65.900000000000006</v>
      </c>
      <c r="F184" s="4" t="s">
        <v>200</v>
      </c>
      <c r="G184" s="2" t="s">
        <v>90</v>
      </c>
      <c r="I184">
        <f t="shared" si="30"/>
        <v>69.198000000000008</v>
      </c>
      <c r="J184">
        <f t="shared" si="31"/>
        <v>71.976749999999981</v>
      </c>
      <c r="L184">
        <f t="shared" si="32"/>
        <v>1</v>
      </c>
      <c r="M184">
        <f t="shared" si="33"/>
        <v>0</v>
      </c>
      <c r="O184">
        <f t="shared" si="34"/>
        <v>8.0000000000012506E-2</v>
      </c>
      <c r="P184">
        <f t="shared" si="35"/>
        <v>0</v>
      </c>
      <c r="R184">
        <f t="shared" si="36"/>
        <v>0.38333333333333525</v>
      </c>
      <c r="S184">
        <f t="shared" si="37"/>
        <v>0.52125000000000554</v>
      </c>
      <c r="U184">
        <f t="shared" si="38"/>
        <v>42.376784891754809</v>
      </c>
      <c r="V184">
        <v>86</v>
      </c>
      <c r="W184">
        <v>5</v>
      </c>
      <c r="AH184">
        <f t="shared" si="39"/>
        <v>4.760199799768869</v>
      </c>
      <c r="AI184">
        <f t="shared" si="40"/>
        <v>62.816499016977076</v>
      </c>
      <c r="AJ184">
        <f t="shared" si="41"/>
        <v>75.579500983022939</v>
      </c>
      <c r="AL184">
        <f t="shared" si="42"/>
        <v>78.718399599537747</v>
      </c>
      <c r="AM184">
        <f t="shared" si="43"/>
        <v>59.677600400462268</v>
      </c>
    </row>
    <row r="185" spans="1:39" ht="16.5" x14ac:dyDescent="0.25">
      <c r="A185" s="1">
        <v>45436</v>
      </c>
      <c r="B185" s="5">
        <v>66.03</v>
      </c>
      <c r="C185" s="4">
        <v>65.11</v>
      </c>
      <c r="D185" s="4">
        <v>66.319999999999993</v>
      </c>
      <c r="E185" s="4">
        <v>65.040000000000006</v>
      </c>
      <c r="F185" s="4" t="s">
        <v>830</v>
      </c>
      <c r="G185" s="2" t="s">
        <v>55</v>
      </c>
      <c r="I185">
        <f t="shared" si="30"/>
        <v>69.601500000000001</v>
      </c>
      <c r="J185">
        <f t="shared" si="31"/>
        <v>72.157499999999985</v>
      </c>
      <c r="L185">
        <f t="shared" si="32"/>
        <v>1</v>
      </c>
      <c r="M185">
        <f t="shared" si="33"/>
        <v>0</v>
      </c>
      <c r="O185">
        <f t="shared" si="34"/>
        <v>0.92000000000000171</v>
      </c>
      <c r="P185">
        <f t="shared" si="35"/>
        <v>0</v>
      </c>
      <c r="R185">
        <f t="shared" si="36"/>
        <v>0.41666666666666669</v>
      </c>
      <c r="S185">
        <f t="shared" si="37"/>
        <v>0.52125000000000554</v>
      </c>
      <c r="U185">
        <f t="shared" si="38"/>
        <v>44.424700133273838</v>
      </c>
      <c r="V185">
        <v>86</v>
      </c>
      <c r="W185">
        <v>5</v>
      </c>
      <c r="AH185">
        <f t="shared" si="39"/>
        <v>4.7667761669422637</v>
      </c>
      <c r="AI185">
        <f t="shared" si="40"/>
        <v>63.21999901697707</v>
      </c>
      <c r="AJ185">
        <f t="shared" si="41"/>
        <v>75.983000983022933</v>
      </c>
      <c r="AL185">
        <f t="shared" si="42"/>
        <v>79.135052333884531</v>
      </c>
      <c r="AM185">
        <f t="shared" si="43"/>
        <v>60.067947666115472</v>
      </c>
    </row>
    <row r="186" spans="1:39" ht="16.5" x14ac:dyDescent="0.25">
      <c r="A186" s="1">
        <v>45435</v>
      </c>
      <c r="B186" s="5">
        <v>65.709999999999994</v>
      </c>
      <c r="C186" s="4">
        <v>65.83</v>
      </c>
      <c r="D186" s="4">
        <v>66.11</v>
      </c>
      <c r="E186" s="4">
        <v>65.31</v>
      </c>
      <c r="F186" s="4" t="s">
        <v>965</v>
      </c>
      <c r="G186" s="2" t="s">
        <v>513</v>
      </c>
      <c r="I186">
        <f t="shared" si="30"/>
        <v>69.960999999999999</v>
      </c>
      <c r="J186">
        <f t="shared" si="31"/>
        <v>72.342999999999989</v>
      </c>
      <c r="L186">
        <f t="shared" si="32"/>
        <v>0</v>
      </c>
      <c r="M186">
        <f t="shared" si="33"/>
        <v>1</v>
      </c>
      <c r="O186">
        <f t="shared" si="34"/>
        <v>0</v>
      </c>
      <c r="P186">
        <f t="shared" si="35"/>
        <v>0.12000000000000455</v>
      </c>
      <c r="R186">
        <f t="shared" si="36"/>
        <v>0.30499999999999972</v>
      </c>
      <c r="S186">
        <f t="shared" si="37"/>
        <v>0.52125000000000554</v>
      </c>
      <c r="U186">
        <f t="shared" si="38"/>
        <v>36.913767019666899</v>
      </c>
      <c r="V186">
        <v>86</v>
      </c>
      <c r="W186">
        <v>5</v>
      </c>
      <c r="AH186">
        <f t="shared" si="39"/>
        <v>4.773086405686195</v>
      </c>
      <c r="AI186">
        <f t="shared" si="40"/>
        <v>63.579499016977067</v>
      </c>
      <c r="AJ186">
        <f t="shared" si="41"/>
        <v>76.34250098302293</v>
      </c>
      <c r="AL186">
        <f t="shared" si="42"/>
        <v>79.507172811372385</v>
      </c>
      <c r="AM186">
        <f t="shared" si="43"/>
        <v>60.414827188627612</v>
      </c>
    </row>
    <row r="187" spans="1:39" ht="16.5" x14ac:dyDescent="0.25">
      <c r="A187" s="1">
        <v>45434</v>
      </c>
      <c r="B187" s="5">
        <v>65.760000000000005</v>
      </c>
      <c r="C187" s="4">
        <v>65.7</v>
      </c>
      <c r="D187" s="4">
        <v>66.33</v>
      </c>
      <c r="E187" s="4">
        <v>64.7</v>
      </c>
      <c r="F187" s="4" t="s">
        <v>1443</v>
      </c>
      <c r="G187" s="2" t="s">
        <v>760</v>
      </c>
      <c r="I187">
        <f t="shared" si="30"/>
        <v>70.376499999999993</v>
      </c>
      <c r="J187">
        <f t="shared" si="31"/>
        <v>72.543249999999972</v>
      </c>
      <c r="L187">
        <f t="shared" si="32"/>
        <v>1</v>
      </c>
      <c r="M187">
        <f t="shared" si="33"/>
        <v>0</v>
      </c>
      <c r="O187">
        <f t="shared" si="34"/>
        <v>6.0000000000002274E-2</v>
      </c>
      <c r="P187">
        <f t="shared" si="35"/>
        <v>0</v>
      </c>
      <c r="R187">
        <f t="shared" si="36"/>
        <v>0.30499999999999972</v>
      </c>
      <c r="S187">
        <f t="shared" si="37"/>
        <v>0.50625000000000497</v>
      </c>
      <c r="U187">
        <f t="shared" si="38"/>
        <v>37.596302003081412</v>
      </c>
      <c r="V187">
        <v>86</v>
      </c>
      <c r="W187">
        <v>5</v>
      </c>
      <c r="AH187">
        <f t="shared" si="39"/>
        <v>4.7790751068155473</v>
      </c>
      <c r="AI187">
        <f t="shared" si="40"/>
        <v>63.994999016977062</v>
      </c>
      <c r="AJ187">
        <f t="shared" si="41"/>
        <v>76.758000983022924</v>
      </c>
      <c r="AL187">
        <f t="shared" si="42"/>
        <v>79.934650213631087</v>
      </c>
      <c r="AM187">
        <f t="shared" si="43"/>
        <v>60.818349786368898</v>
      </c>
    </row>
    <row r="188" spans="1:39" ht="16.5" x14ac:dyDescent="0.25">
      <c r="A188" s="1">
        <v>45433</v>
      </c>
      <c r="B188" s="5">
        <v>66.81</v>
      </c>
      <c r="C188" s="4">
        <v>66.8</v>
      </c>
      <c r="D188" s="4">
        <v>66.92</v>
      </c>
      <c r="E188" s="4">
        <v>66.45</v>
      </c>
      <c r="F188" s="4" t="s">
        <v>1448</v>
      </c>
      <c r="G188" s="2" t="s">
        <v>788</v>
      </c>
      <c r="I188">
        <f t="shared" si="30"/>
        <v>70.790999999999997</v>
      </c>
      <c r="J188">
        <f t="shared" si="31"/>
        <v>72.736749999999972</v>
      </c>
      <c r="L188">
        <f t="shared" si="32"/>
        <v>1</v>
      </c>
      <c r="M188">
        <f t="shared" si="33"/>
        <v>0</v>
      </c>
      <c r="O188">
        <f t="shared" si="34"/>
        <v>1.0000000000005116E-2</v>
      </c>
      <c r="P188">
        <f t="shared" si="35"/>
        <v>0</v>
      </c>
      <c r="R188">
        <f t="shared" si="36"/>
        <v>0.3539999999999992</v>
      </c>
      <c r="S188">
        <f t="shared" si="37"/>
        <v>0.46000000000000479</v>
      </c>
      <c r="U188">
        <f t="shared" si="38"/>
        <v>43.488943488943178</v>
      </c>
      <c r="V188">
        <v>86</v>
      </c>
      <c r="W188">
        <v>5</v>
      </c>
      <c r="AH188">
        <f t="shared" si="39"/>
        <v>4.7845849523669752</v>
      </c>
      <c r="AI188">
        <f t="shared" si="40"/>
        <v>64.409499016977065</v>
      </c>
      <c r="AJ188">
        <f t="shared" si="41"/>
        <v>77.172500983022928</v>
      </c>
      <c r="AL188">
        <f t="shared" si="42"/>
        <v>80.360169904733951</v>
      </c>
      <c r="AM188">
        <f t="shared" si="43"/>
        <v>61.221830095266043</v>
      </c>
    </row>
    <row r="189" spans="1:39" ht="16.5" x14ac:dyDescent="0.25">
      <c r="A189" s="1">
        <v>45432</v>
      </c>
      <c r="B189" s="5">
        <v>67.13</v>
      </c>
      <c r="C189" s="4">
        <v>68.510000000000005</v>
      </c>
      <c r="D189" s="4">
        <v>68.599999999999994</v>
      </c>
      <c r="E189" s="4">
        <v>67.06</v>
      </c>
      <c r="F189" s="4" t="s">
        <v>826</v>
      </c>
      <c r="G189" s="2" t="s">
        <v>261</v>
      </c>
      <c r="I189">
        <f t="shared" si="30"/>
        <v>71.16</v>
      </c>
      <c r="J189">
        <f t="shared" si="31"/>
        <v>72.899999999999991</v>
      </c>
      <c r="L189">
        <f t="shared" si="32"/>
        <v>0</v>
      </c>
      <c r="M189">
        <f t="shared" si="33"/>
        <v>1</v>
      </c>
      <c r="O189">
        <f t="shared" si="34"/>
        <v>0</v>
      </c>
      <c r="P189">
        <f t="shared" si="35"/>
        <v>1.3800000000000097</v>
      </c>
      <c r="R189">
        <f t="shared" si="36"/>
        <v>0.43999999999999773</v>
      </c>
      <c r="S189">
        <f t="shared" si="37"/>
        <v>0.6410000000000039</v>
      </c>
      <c r="U189">
        <f t="shared" si="38"/>
        <v>40.703052728954404</v>
      </c>
      <c r="V189">
        <v>86</v>
      </c>
      <c r="W189">
        <v>5</v>
      </c>
      <c r="AH189">
        <f t="shared" si="39"/>
        <v>4.7895047648242581</v>
      </c>
      <c r="AI189">
        <f t="shared" si="40"/>
        <v>64.778499016977065</v>
      </c>
      <c r="AJ189">
        <f t="shared" si="41"/>
        <v>77.541500983022928</v>
      </c>
      <c r="AL189">
        <f t="shared" si="42"/>
        <v>80.739009529648513</v>
      </c>
      <c r="AM189">
        <f t="shared" si="43"/>
        <v>61.58099047035148</v>
      </c>
    </row>
    <row r="190" spans="1:39" ht="16.5" x14ac:dyDescent="0.25">
      <c r="A190" s="1">
        <v>45429</v>
      </c>
      <c r="B190" s="5">
        <v>68.06</v>
      </c>
      <c r="C190" s="4">
        <v>68.25</v>
      </c>
      <c r="D190" s="4">
        <v>68.86</v>
      </c>
      <c r="E190" s="4">
        <v>67.95</v>
      </c>
      <c r="F190" s="4" t="s">
        <v>211</v>
      </c>
      <c r="G190" s="2" t="s">
        <v>388</v>
      </c>
      <c r="I190">
        <f t="shared" si="30"/>
        <v>71.510500000000008</v>
      </c>
      <c r="J190">
        <f t="shared" si="31"/>
        <v>73.066749999999985</v>
      </c>
      <c r="L190">
        <f t="shared" si="32"/>
        <v>0</v>
      </c>
      <c r="M190">
        <f t="shared" si="33"/>
        <v>1</v>
      </c>
      <c r="O190">
        <f t="shared" si="34"/>
        <v>0</v>
      </c>
      <c r="P190">
        <f t="shared" si="35"/>
        <v>0.18999999999999773</v>
      </c>
      <c r="R190">
        <f t="shared" si="36"/>
        <v>0.43999999999999773</v>
      </c>
      <c r="S190">
        <f t="shared" si="37"/>
        <v>0.52400000000000235</v>
      </c>
      <c r="U190">
        <f t="shared" si="38"/>
        <v>45.643153526970714</v>
      </c>
      <c r="V190">
        <v>86</v>
      </c>
      <c r="W190">
        <v>5</v>
      </c>
      <c r="AH190">
        <f t="shared" si="39"/>
        <v>4.7938039986180456</v>
      </c>
      <c r="AI190">
        <f t="shared" si="40"/>
        <v>65.128999016977076</v>
      </c>
      <c r="AJ190">
        <f t="shared" si="41"/>
        <v>77.892000983022939</v>
      </c>
      <c r="AL190">
        <f t="shared" si="42"/>
        <v>81.098107997236099</v>
      </c>
      <c r="AM190">
        <f t="shared" si="43"/>
        <v>61.922892002763916</v>
      </c>
    </row>
    <row r="191" spans="1:39" ht="16.5" x14ac:dyDescent="0.25">
      <c r="A191" s="1">
        <v>45428</v>
      </c>
      <c r="B191" s="5">
        <v>68.319999999999993</v>
      </c>
      <c r="C191" s="4">
        <v>68.8</v>
      </c>
      <c r="D191" s="4">
        <v>68.94</v>
      </c>
      <c r="E191" s="4">
        <v>67.95</v>
      </c>
      <c r="F191" s="4" t="s">
        <v>1500</v>
      </c>
      <c r="G191" s="2" t="s">
        <v>274</v>
      </c>
      <c r="I191">
        <f t="shared" si="30"/>
        <v>71.847999999999985</v>
      </c>
      <c r="J191">
        <f t="shared" si="31"/>
        <v>73.21899999999998</v>
      </c>
      <c r="L191">
        <f t="shared" si="32"/>
        <v>0</v>
      </c>
      <c r="M191">
        <f t="shared" si="33"/>
        <v>1</v>
      </c>
      <c r="O191">
        <f t="shared" si="34"/>
        <v>0</v>
      </c>
      <c r="P191">
        <f t="shared" si="35"/>
        <v>0.48000000000000398</v>
      </c>
      <c r="R191">
        <f t="shared" si="36"/>
        <v>0.49599999999999794</v>
      </c>
      <c r="S191">
        <f t="shared" si="37"/>
        <v>0.561111111111114</v>
      </c>
      <c r="U191">
        <f t="shared" si="38"/>
        <v>46.920327937775681</v>
      </c>
      <c r="V191">
        <v>86</v>
      </c>
      <c r="W191">
        <v>5</v>
      </c>
      <c r="AH191">
        <f t="shared" si="39"/>
        <v>4.7974274273567961</v>
      </c>
      <c r="AI191">
        <f t="shared" si="40"/>
        <v>65.466499016977053</v>
      </c>
      <c r="AJ191">
        <f t="shared" si="41"/>
        <v>78.229500983022916</v>
      </c>
      <c r="AL191">
        <f t="shared" si="42"/>
        <v>81.442854854713573</v>
      </c>
      <c r="AM191">
        <f t="shared" si="43"/>
        <v>62.253145145286396</v>
      </c>
    </row>
    <row r="192" spans="1:39" ht="16.5" x14ac:dyDescent="0.25">
      <c r="A192" s="1">
        <v>45427</v>
      </c>
      <c r="B192" s="5">
        <v>69</v>
      </c>
      <c r="C192" s="4">
        <v>69.5</v>
      </c>
      <c r="D192" s="4">
        <v>70.13</v>
      </c>
      <c r="E192" s="4">
        <v>69</v>
      </c>
      <c r="F192" s="4" t="s">
        <v>1492</v>
      </c>
      <c r="G192" s="2" t="s">
        <v>788</v>
      </c>
      <c r="I192">
        <f t="shared" si="30"/>
        <v>72.152000000000015</v>
      </c>
      <c r="J192">
        <f t="shared" si="31"/>
        <v>73.344999999999999</v>
      </c>
      <c r="L192">
        <f t="shared" si="32"/>
        <v>0</v>
      </c>
      <c r="M192">
        <f t="shared" si="33"/>
        <v>1</v>
      </c>
      <c r="O192">
        <f t="shared" si="34"/>
        <v>0</v>
      </c>
      <c r="P192">
        <f t="shared" si="35"/>
        <v>0.5</v>
      </c>
      <c r="R192">
        <f t="shared" si="36"/>
        <v>0.49599999999999794</v>
      </c>
      <c r="S192">
        <f t="shared" si="37"/>
        <v>0.63444444444444692</v>
      </c>
      <c r="U192">
        <f t="shared" si="38"/>
        <v>43.876548063691565</v>
      </c>
      <c r="V192">
        <v>86</v>
      </c>
      <c r="W192">
        <v>5</v>
      </c>
      <c r="AH192">
        <f t="shared" si="39"/>
        <v>4.800318212345914</v>
      </c>
      <c r="AI192">
        <f t="shared" si="40"/>
        <v>65.770499016977084</v>
      </c>
      <c r="AJ192">
        <f t="shared" si="41"/>
        <v>78.533500983022947</v>
      </c>
      <c r="AL192">
        <f t="shared" si="42"/>
        <v>81.752636424691843</v>
      </c>
      <c r="AM192">
        <f t="shared" si="43"/>
        <v>62.551363575308187</v>
      </c>
    </row>
    <row r="193" spans="1:39" ht="16.5" x14ac:dyDescent="0.25">
      <c r="A193" s="1">
        <v>45426</v>
      </c>
      <c r="B193" s="5">
        <v>69.33</v>
      </c>
      <c r="C193" s="4">
        <v>68.53</v>
      </c>
      <c r="D193" s="4">
        <v>69.5</v>
      </c>
      <c r="E193" s="4">
        <v>68.38</v>
      </c>
      <c r="F193" s="4" t="s">
        <v>1501</v>
      </c>
      <c r="G193" s="2" t="s">
        <v>800</v>
      </c>
      <c r="I193">
        <f t="shared" si="30"/>
        <v>72.432500000000005</v>
      </c>
      <c r="J193">
        <f t="shared" si="31"/>
        <v>73.447500000000005</v>
      </c>
      <c r="L193">
        <f t="shared" si="32"/>
        <v>1</v>
      </c>
      <c r="M193">
        <f t="shared" si="33"/>
        <v>0</v>
      </c>
      <c r="O193">
        <f t="shared" si="34"/>
        <v>0.79999999999999716</v>
      </c>
      <c r="P193">
        <f t="shared" si="35"/>
        <v>0</v>
      </c>
      <c r="R193">
        <f t="shared" si="36"/>
        <v>0.49599999999999794</v>
      </c>
      <c r="S193">
        <f t="shared" si="37"/>
        <v>0.59333333333333682</v>
      </c>
      <c r="U193">
        <f t="shared" si="38"/>
        <v>45.532435740513826</v>
      </c>
      <c r="V193">
        <v>86</v>
      </c>
      <c r="W193">
        <v>5</v>
      </c>
      <c r="AH193">
        <f t="shared" si="39"/>
        <v>4.8024771637424939</v>
      </c>
      <c r="AI193">
        <f t="shared" si="40"/>
        <v>66.050999016977073</v>
      </c>
      <c r="AJ193">
        <f t="shared" si="41"/>
        <v>78.814000983022936</v>
      </c>
      <c r="AL193">
        <f t="shared" si="42"/>
        <v>82.037454327484994</v>
      </c>
      <c r="AM193">
        <f t="shared" si="43"/>
        <v>62.827545672515015</v>
      </c>
    </row>
    <row r="194" spans="1:39" ht="16.5" x14ac:dyDescent="0.25">
      <c r="A194" s="1">
        <v>45425</v>
      </c>
      <c r="B194" s="5">
        <v>68.36</v>
      </c>
      <c r="C194" s="4">
        <v>67.930000000000007</v>
      </c>
      <c r="D194" s="4">
        <v>68.52</v>
      </c>
      <c r="E194" s="4">
        <v>67.53</v>
      </c>
      <c r="F194" s="4" t="s">
        <v>1415</v>
      </c>
      <c r="G194" s="2" t="s">
        <v>463</v>
      </c>
      <c r="I194">
        <f t="shared" ref="I194:I257" si="44">AVERAGE(B194:B213)</f>
        <v>72.777999999999992</v>
      </c>
      <c r="J194">
        <f t="shared" ref="J194:J257" si="45">AVERAGE(B194:B233)</f>
        <v>73.527749999999997</v>
      </c>
      <c r="L194">
        <f t="shared" ref="L194:L257" si="46">IF($C194&lt;$B194,1,0)</f>
        <v>1</v>
      </c>
      <c r="M194">
        <f t="shared" ref="M194:M257" si="47">IF($C194&lt;$B194,0,1)</f>
        <v>0</v>
      </c>
      <c r="O194">
        <f t="shared" ref="O194:O257" si="48">IF($C194&lt;$B194,B194-C194,0)</f>
        <v>0.42999999999999261</v>
      </c>
      <c r="P194">
        <f t="shared" ref="P194:P257" si="49">IF($B194&lt;$C194,C194-B194,0)</f>
        <v>0</v>
      </c>
      <c r="R194">
        <f t="shared" ref="R194:R257" si="50">SUM(O194:O207)/SUM(L194:L207)</f>
        <v>0.41999999999999815</v>
      </c>
      <c r="S194">
        <f t="shared" ref="S194:S257" si="51">SUM(P194:P207)/SUM(M194:M207)</f>
        <v>0.59900000000000375</v>
      </c>
      <c r="U194">
        <f t="shared" ref="U194:U257" si="52">100-(100/(1+(R194/S194)))</f>
        <v>41.216879293424668</v>
      </c>
      <c r="V194">
        <v>86</v>
      </c>
      <c r="W194">
        <v>5</v>
      </c>
      <c r="AH194">
        <f t="shared" si="39"/>
        <v>4.8038974227609925</v>
      </c>
      <c r="AI194">
        <f t="shared" si="40"/>
        <v>66.39649901697706</v>
      </c>
      <c r="AJ194">
        <f t="shared" si="41"/>
        <v>79.159500983022923</v>
      </c>
      <c r="AL194">
        <f t="shared" si="42"/>
        <v>82.385794845521971</v>
      </c>
      <c r="AM194">
        <f t="shared" si="43"/>
        <v>63.170205154478005</v>
      </c>
    </row>
    <row r="195" spans="1:39" ht="16.5" x14ac:dyDescent="0.25">
      <c r="A195" s="1">
        <v>45422</v>
      </c>
      <c r="B195" s="5">
        <v>68.19</v>
      </c>
      <c r="C195" s="4">
        <v>68.650000000000006</v>
      </c>
      <c r="D195" s="4">
        <v>68.73</v>
      </c>
      <c r="E195" s="4">
        <v>67.87</v>
      </c>
      <c r="F195" s="4" t="s">
        <v>878</v>
      </c>
      <c r="G195" s="2" t="s">
        <v>816</v>
      </c>
      <c r="I195">
        <f t="shared" si="44"/>
        <v>73.128499999999988</v>
      </c>
      <c r="J195">
        <f t="shared" si="45"/>
        <v>73.630999999999986</v>
      </c>
      <c r="L195">
        <f t="shared" si="46"/>
        <v>0</v>
      </c>
      <c r="M195">
        <f t="shared" si="47"/>
        <v>1</v>
      </c>
      <c r="O195">
        <f t="shared" si="48"/>
        <v>0</v>
      </c>
      <c r="P195">
        <f t="shared" si="49"/>
        <v>0.46000000000000796</v>
      </c>
      <c r="R195">
        <f t="shared" si="50"/>
        <v>0.41666666666666669</v>
      </c>
      <c r="S195">
        <f t="shared" si="51"/>
        <v>0.60727272727273052</v>
      </c>
      <c r="U195">
        <f t="shared" si="52"/>
        <v>40.692512577685577</v>
      </c>
      <c r="V195">
        <v>86</v>
      </c>
      <c r="W195">
        <v>5</v>
      </c>
      <c r="AH195">
        <f t="shared" ref="AH195:AH258" si="53">_xlfn.STDEV.S(I195:I725)</f>
        <v>4.8043309625391686</v>
      </c>
      <c r="AI195">
        <f t="shared" ref="AI195:AI258" si="54">I195-$AH$2</f>
        <v>66.746999016977057</v>
      </c>
      <c r="AJ195">
        <f t="shared" ref="AJ195:AJ258" si="55">I195+$AH$2</f>
        <v>79.51000098302292</v>
      </c>
      <c r="AL195">
        <f t="shared" ref="AL195:AL258" si="56">I195+(AH195*2)</f>
        <v>82.737161925078325</v>
      </c>
      <c r="AM195">
        <f t="shared" ref="AM195:AM258" si="57">I195-(AH195*2)</f>
        <v>63.519838074921651</v>
      </c>
    </row>
    <row r="196" spans="1:39" ht="16.5" x14ac:dyDescent="0.25">
      <c r="A196" s="1">
        <v>45421</v>
      </c>
      <c r="B196" s="5">
        <v>68.349999999999994</v>
      </c>
      <c r="C196" s="4">
        <v>68.650000000000006</v>
      </c>
      <c r="D196" s="4">
        <v>68.819999999999993</v>
      </c>
      <c r="E196" s="4">
        <v>67.84</v>
      </c>
      <c r="F196" s="4" t="s">
        <v>1480</v>
      </c>
      <c r="G196" s="2" t="s">
        <v>1502</v>
      </c>
      <c r="I196">
        <f t="shared" si="44"/>
        <v>73.506</v>
      </c>
      <c r="J196">
        <f t="shared" si="45"/>
        <v>73.759250000000009</v>
      </c>
      <c r="L196">
        <f t="shared" si="46"/>
        <v>0</v>
      </c>
      <c r="M196">
        <f t="shared" si="47"/>
        <v>1</v>
      </c>
      <c r="O196">
        <f t="shared" si="48"/>
        <v>0</v>
      </c>
      <c r="P196">
        <f t="shared" si="49"/>
        <v>0.30000000000001137</v>
      </c>
      <c r="R196">
        <f t="shared" si="50"/>
        <v>0.41666666666666669</v>
      </c>
      <c r="S196">
        <f t="shared" si="51"/>
        <v>0.57272727272727508</v>
      </c>
      <c r="U196">
        <f t="shared" si="52"/>
        <v>42.113323124042779</v>
      </c>
      <c r="V196">
        <v>86</v>
      </c>
      <c r="W196">
        <v>5</v>
      </c>
      <c r="AH196">
        <f t="shared" si="53"/>
        <v>4.8036701813476368</v>
      </c>
      <c r="AI196">
        <f t="shared" si="54"/>
        <v>67.124499016977069</v>
      </c>
      <c r="AJ196">
        <f t="shared" si="55"/>
        <v>79.887500983022932</v>
      </c>
      <c r="AL196">
        <f t="shared" si="56"/>
        <v>83.113340362695268</v>
      </c>
      <c r="AM196">
        <f t="shared" si="57"/>
        <v>63.898659637304725</v>
      </c>
    </row>
    <row r="197" spans="1:39" ht="16.5" x14ac:dyDescent="0.25">
      <c r="A197" s="1">
        <v>45420</v>
      </c>
      <c r="B197" s="5">
        <v>72.569999999999993</v>
      </c>
      <c r="C197" s="4">
        <v>73.31</v>
      </c>
      <c r="D197" s="4">
        <v>73.42</v>
      </c>
      <c r="E197" s="4">
        <v>71.97</v>
      </c>
      <c r="F197" s="4" t="s">
        <v>973</v>
      </c>
      <c r="G197" s="2" t="s">
        <v>1503</v>
      </c>
      <c r="I197">
        <f t="shared" si="44"/>
        <v>73.888500000000008</v>
      </c>
      <c r="J197">
        <f t="shared" si="45"/>
        <v>73.860500000000016</v>
      </c>
      <c r="L197">
        <f t="shared" si="46"/>
        <v>0</v>
      </c>
      <c r="M197">
        <f t="shared" si="47"/>
        <v>1</v>
      </c>
      <c r="O197">
        <f t="shared" si="48"/>
        <v>0</v>
      </c>
      <c r="P197">
        <f t="shared" si="49"/>
        <v>0.74000000000000909</v>
      </c>
      <c r="R197">
        <f t="shared" si="50"/>
        <v>0.41666666666666669</v>
      </c>
      <c r="S197">
        <f t="shared" si="51"/>
        <v>0.54545454545454675</v>
      </c>
      <c r="U197">
        <f t="shared" si="52"/>
        <v>43.307086614173173</v>
      </c>
      <c r="V197">
        <v>86</v>
      </c>
      <c r="W197">
        <v>5</v>
      </c>
      <c r="AH197">
        <f t="shared" si="53"/>
        <v>4.8017269451044715</v>
      </c>
      <c r="AI197">
        <f t="shared" si="54"/>
        <v>67.506999016977076</v>
      </c>
      <c r="AJ197">
        <f t="shared" si="55"/>
        <v>80.270000983022939</v>
      </c>
      <c r="AL197">
        <f t="shared" si="56"/>
        <v>83.491953890208947</v>
      </c>
      <c r="AM197">
        <f t="shared" si="57"/>
        <v>64.285046109791068</v>
      </c>
    </row>
    <row r="198" spans="1:39" ht="16.5" x14ac:dyDescent="0.25">
      <c r="A198" s="1">
        <v>45419</v>
      </c>
      <c r="B198" s="5">
        <v>73.3</v>
      </c>
      <c r="C198" s="4">
        <v>73.02</v>
      </c>
      <c r="D198" s="4">
        <v>73.680000000000007</v>
      </c>
      <c r="E198" s="4">
        <v>72.430000000000007</v>
      </c>
      <c r="F198" s="4" t="s">
        <v>965</v>
      </c>
      <c r="G198" s="2" t="s">
        <v>642</v>
      </c>
      <c r="I198">
        <f t="shared" si="44"/>
        <v>74.069000000000003</v>
      </c>
      <c r="J198">
        <f t="shared" si="45"/>
        <v>73.860000000000014</v>
      </c>
      <c r="L198">
        <f t="shared" si="46"/>
        <v>1</v>
      </c>
      <c r="M198">
        <f t="shared" si="47"/>
        <v>0</v>
      </c>
      <c r="O198">
        <f t="shared" si="48"/>
        <v>0.28000000000000114</v>
      </c>
      <c r="P198">
        <f t="shared" si="49"/>
        <v>0</v>
      </c>
      <c r="R198">
        <f t="shared" si="50"/>
        <v>0.41666666666666669</v>
      </c>
      <c r="S198">
        <f t="shared" si="51"/>
        <v>0.49363636363636298</v>
      </c>
      <c r="U198">
        <f t="shared" si="52"/>
        <v>45.772303595206424</v>
      </c>
      <c r="V198">
        <v>86</v>
      </c>
      <c r="W198">
        <v>5</v>
      </c>
      <c r="AH198">
        <f t="shared" si="53"/>
        <v>4.7983688122789205</v>
      </c>
      <c r="AI198">
        <f t="shared" si="54"/>
        <v>67.687499016977071</v>
      </c>
      <c r="AJ198">
        <f t="shared" si="55"/>
        <v>80.450500983022934</v>
      </c>
      <c r="AL198">
        <f t="shared" si="56"/>
        <v>83.665737624557849</v>
      </c>
      <c r="AM198">
        <f t="shared" si="57"/>
        <v>64.472262375442156</v>
      </c>
    </row>
    <row r="199" spans="1:39" ht="16.5" x14ac:dyDescent="0.25">
      <c r="A199" s="1">
        <v>45418</v>
      </c>
      <c r="B199" s="5">
        <v>72.53</v>
      </c>
      <c r="C199" s="4">
        <v>72.28</v>
      </c>
      <c r="D199" s="4">
        <v>73.22</v>
      </c>
      <c r="E199" s="4">
        <v>71.8</v>
      </c>
      <c r="F199" s="4" t="s">
        <v>1457</v>
      </c>
      <c r="G199" s="2" t="s">
        <v>347</v>
      </c>
      <c r="I199">
        <f t="shared" si="44"/>
        <v>74.234499999999997</v>
      </c>
      <c r="J199">
        <f t="shared" si="45"/>
        <v>73.837500000000006</v>
      </c>
      <c r="L199">
        <f t="shared" si="46"/>
        <v>1</v>
      </c>
      <c r="M199">
        <f t="shared" si="47"/>
        <v>0</v>
      </c>
      <c r="O199">
        <f t="shared" si="48"/>
        <v>0.25</v>
      </c>
      <c r="P199">
        <f t="shared" si="49"/>
        <v>0</v>
      </c>
      <c r="R199">
        <f t="shared" si="50"/>
        <v>0.48499999999999943</v>
      </c>
      <c r="S199">
        <f t="shared" si="51"/>
        <v>0.49416666666666603</v>
      </c>
      <c r="U199">
        <f t="shared" si="52"/>
        <v>49.531914893617021</v>
      </c>
      <c r="V199">
        <v>86</v>
      </c>
      <c r="W199">
        <v>5</v>
      </c>
      <c r="AH199">
        <f t="shared" si="53"/>
        <v>4.7942519329468078</v>
      </c>
      <c r="AI199">
        <f t="shared" si="54"/>
        <v>67.852999016977066</v>
      </c>
      <c r="AJ199">
        <f t="shared" si="55"/>
        <v>80.616000983022928</v>
      </c>
      <c r="AL199">
        <f t="shared" si="56"/>
        <v>83.823003865893611</v>
      </c>
      <c r="AM199">
        <f t="shared" si="57"/>
        <v>64.645996134106383</v>
      </c>
    </row>
    <row r="200" spans="1:39" ht="16.5" x14ac:dyDescent="0.25">
      <c r="A200" s="1">
        <v>45415</v>
      </c>
      <c r="B200" s="5">
        <v>71.58</v>
      </c>
      <c r="C200" s="4">
        <v>71.58</v>
      </c>
      <c r="D200" s="4">
        <v>72.55</v>
      </c>
      <c r="E200" s="4">
        <v>70.930000000000007</v>
      </c>
      <c r="F200" s="4" t="s">
        <v>1504</v>
      </c>
      <c r="G200" s="2" t="s">
        <v>368</v>
      </c>
      <c r="I200">
        <f t="shared" si="44"/>
        <v>74.343500000000006</v>
      </c>
      <c r="J200">
        <f t="shared" si="45"/>
        <v>73.84550000000003</v>
      </c>
      <c r="L200">
        <f t="shared" si="46"/>
        <v>0</v>
      </c>
      <c r="M200">
        <f t="shared" si="47"/>
        <v>1</v>
      </c>
      <c r="O200">
        <f t="shared" si="48"/>
        <v>0</v>
      </c>
      <c r="P200">
        <f t="shared" si="49"/>
        <v>0</v>
      </c>
      <c r="R200">
        <f t="shared" si="50"/>
        <v>0.71999999999999886</v>
      </c>
      <c r="S200">
        <f t="shared" si="51"/>
        <v>0.49416666666666603</v>
      </c>
      <c r="U200">
        <f t="shared" si="52"/>
        <v>59.299931365820164</v>
      </c>
      <c r="V200">
        <v>86</v>
      </c>
      <c r="W200">
        <v>5</v>
      </c>
      <c r="AH200">
        <f t="shared" si="53"/>
        <v>4.7893989412880638</v>
      </c>
      <c r="AI200">
        <f t="shared" si="54"/>
        <v>67.961999016977074</v>
      </c>
      <c r="AJ200">
        <f t="shared" si="55"/>
        <v>80.725000983022937</v>
      </c>
      <c r="AL200">
        <f t="shared" si="56"/>
        <v>83.922297882576132</v>
      </c>
      <c r="AM200">
        <f t="shared" si="57"/>
        <v>64.76470211742388</v>
      </c>
    </row>
    <row r="201" spans="1:39" ht="16.5" x14ac:dyDescent="0.25">
      <c r="A201" s="1">
        <v>45414</v>
      </c>
      <c r="B201" s="5">
        <v>70.91</v>
      </c>
      <c r="C201" s="4">
        <v>71</v>
      </c>
      <c r="D201" s="4">
        <v>71.94</v>
      </c>
      <c r="E201" s="4">
        <v>70.64</v>
      </c>
      <c r="F201" s="4" t="s">
        <v>1505</v>
      </c>
      <c r="G201" s="2" t="s">
        <v>729</v>
      </c>
      <c r="I201">
        <f t="shared" si="44"/>
        <v>74.528000000000006</v>
      </c>
      <c r="J201">
        <f t="shared" si="45"/>
        <v>73.90000000000002</v>
      </c>
      <c r="L201">
        <f t="shared" si="46"/>
        <v>0</v>
      </c>
      <c r="M201">
        <f t="shared" si="47"/>
        <v>1</v>
      </c>
      <c r="O201">
        <f t="shared" si="48"/>
        <v>0</v>
      </c>
      <c r="P201">
        <f t="shared" si="49"/>
        <v>9.0000000000003411E-2</v>
      </c>
      <c r="R201">
        <f t="shared" si="50"/>
        <v>0.71999999999999886</v>
      </c>
      <c r="S201">
        <f t="shared" si="51"/>
        <v>0.57749999999999935</v>
      </c>
      <c r="U201">
        <f t="shared" si="52"/>
        <v>55.49132947976878</v>
      </c>
      <c r="V201">
        <v>86</v>
      </c>
      <c r="W201">
        <v>5</v>
      </c>
      <c r="AH201">
        <f t="shared" si="53"/>
        <v>4.784004708868725</v>
      </c>
      <c r="AI201">
        <f t="shared" si="54"/>
        <v>68.146499016977074</v>
      </c>
      <c r="AJ201">
        <f t="shared" si="55"/>
        <v>80.909500983022937</v>
      </c>
      <c r="AL201">
        <f t="shared" si="56"/>
        <v>84.096009417737463</v>
      </c>
      <c r="AM201">
        <f t="shared" si="57"/>
        <v>64.959990582262549</v>
      </c>
    </row>
    <row r="202" spans="1:39" ht="16.5" x14ac:dyDescent="0.25">
      <c r="A202" s="1">
        <v>45412</v>
      </c>
      <c r="B202" s="5">
        <v>70.94</v>
      </c>
      <c r="C202" s="4">
        <v>73.209999999999994</v>
      </c>
      <c r="D202" s="4">
        <v>73.790000000000006</v>
      </c>
      <c r="E202" s="4">
        <v>70.41</v>
      </c>
      <c r="F202" s="4" t="s">
        <v>1353</v>
      </c>
      <c r="G202" s="2" t="s">
        <v>1506</v>
      </c>
      <c r="I202">
        <f t="shared" si="44"/>
        <v>74.677999999999997</v>
      </c>
      <c r="J202">
        <f t="shared" si="45"/>
        <v>73.97075000000001</v>
      </c>
      <c r="L202">
        <f t="shared" si="46"/>
        <v>0</v>
      </c>
      <c r="M202">
        <f t="shared" si="47"/>
        <v>1</v>
      </c>
      <c r="O202">
        <f t="shared" si="48"/>
        <v>0</v>
      </c>
      <c r="P202">
        <f t="shared" si="49"/>
        <v>2.269999999999996</v>
      </c>
      <c r="R202">
        <f t="shared" si="50"/>
        <v>0.71999999999999886</v>
      </c>
      <c r="S202">
        <f t="shared" si="51"/>
        <v>0.59583333333333266</v>
      </c>
      <c r="U202">
        <f t="shared" si="52"/>
        <v>54.718176060797965</v>
      </c>
      <c r="V202">
        <v>86</v>
      </c>
      <c r="W202">
        <v>5</v>
      </c>
      <c r="AH202">
        <f t="shared" si="53"/>
        <v>4.7777381422238481</v>
      </c>
      <c r="AI202">
        <f t="shared" si="54"/>
        <v>68.296499016977066</v>
      </c>
      <c r="AJ202">
        <f t="shared" si="55"/>
        <v>81.059500983022929</v>
      </c>
      <c r="AL202">
        <f t="shared" si="56"/>
        <v>84.23347628444769</v>
      </c>
      <c r="AM202">
        <f t="shared" si="57"/>
        <v>65.122523715552305</v>
      </c>
    </row>
    <row r="203" spans="1:39" ht="16.5" x14ac:dyDescent="0.25">
      <c r="A203" s="1">
        <v>45411</v>
      </c>
      <c r="B203" s="5">
        <v>74.790000000000006</v>
      </c>
      <c r="C203" s="4">
        <v>75</v>
      </c>
      <c r="D203" s="4">
        <v>75.28</v>
      </c>
      <c r="E203" s="4">
        <v>74.52</v>
      </c>
      <c r="F203" s="4" t="s">
        <v>1420</v>
      </c>
      <c r="G203" s="2" t="s">
        <v>697</v>
      </c>
      <c r="I203">
        <f t="shared" si="44"/>
        <v>74.804500000000004</v>
      </c>
      <c r="J203">
        <f t="shared" si="45"/>
        <v>74.049500000000009</v>
      </c>
      <c r="L203">
        <f t="shared" si="46"/>
        <v>0</v>
      </c>
      <c r="M203">
        <f t="shared" si="47"/>
        <v>1</v>
      </c>
      <c r="O203">
        <f t="shared" si="48"/>
        <v>0</v>
      </c>
      <c r="P203">
        <f t="shared" si="49"/>
        <v>0.20999999999999375</v>
      </c>
      <c r="R203">
        <f t="shared" si="50"/>
        <v>0.71999999999999886</v>
      </c>
      <c r="S203">
        <f t="shared" si="51"/>
        <v>0.48166666666666674</v>
      </c>
      <c r="U203">
        <f t="shared" si="52"/>
        <v>59.916782246879286</v>
      </c>
      <c r="V203">
        <v>86</v>
      </c>
      <c r="W203">
        <v>5</v>
      </c>
      <c r="AH203">
        <f t="shared" si="53"/>
        <v>4.7707066391776811</v>
      </c>
      <c r="AI203">
        <f t="shared" si="54"/>
        <v>68.422999016977073</v>
      </c>
      <c r="AJ203">
        <f t="shared" si="55"/>
        <v>81.186000983022936</v>
      </c>
      <c r="AL203">
        <f t="shared" si="56"/>
        <v>84.345913278355368</v>
      </c>
      <c r="AM203">
        <f t="shared" si="57"/>
        <v>65.26308672164464</v>
      </c>
    </row>
    <row r="204" spans="1:39" ht="16.5" x14ac:dyDescent="0.25">
      <c r="A204" s="1">
        <v>45408</v>
      </c>
      <c r="B204" s="5">
        <v>74.36</v>
      </c>
      <c r="C204" s="4">
        <v>73.64</v>
      </c>
      <c r="D204" s="4">
        <v>74.790000000000006</v>
      </c>
      <c r="E204" s="4">
        <v>73.260000000000005</v>
      </c>
      <c r="F204" s="4" t="s">
        <v>1481</v>
      </c>
      <c r="G204" s="2" t="s">
        <v>426</v>
      </c>
      <c r="I204">
        <f t="shared" si="44"/>
        <v>74.755499999999998</v>
      </c>
      <c r="J204">
        <f t="shared" si="45"/>
        <v>74.020749999999992</v>
      </c>
      <c r="L204">
        <f t="shared" si="46"/>
        <v>1</v>
      </c>
      <c r="M204">
        <f t="shared" si="47"/>
        <v>0</v>
      </c>
      <c r="O204">
        <f t="shared" si="48"/>
        <v>0.71999999999999886</v>
      </c>
      <c r="P204">
        <f t="shared" si="49"/>
        <v>0</v>
      </c>
      <c r="R204">
        <f t="shared" si="50"/>
        <v>0.71999999999999886</v>
      </c>
      <c r="S204">
        <f t="shared" si="51"/>
        <v>0.48250000000000054</v>
      </c>
      <c r="U204">
        <f t="shared" si="52"/>
        <v>59.875259875259808</v>
      </c>
      <c r="V204">
        <v>86</v>
      </c>
      <c r="W204">
        <v>5</v>
      </c>
      <c r="AH204">
        <f t="shared" si="53"/>
        <v>4.7629823434520073</v>
      </c>
      <c r="AI204">
        <f t="shared" si="54"/>
        <v>68.373999016977066</v>
      </c>
      <c r="AJ204">
        <f t="shared" si="55"/>
        <v>81.137000983022929</v>
      </c>
      <c r="AL204">
        <f t="shared" si="56"/>
        <v>84.281464686904016</v>
      </c>
      <c r="AM204">
        <f t="shared" si="57"/>
        <v>65.22953531309598</v>
      </c>
    </row>
    <row r="205" spans="1:39" ht="16.5" x14ac:dyDescent="0.25">
      <c r="A205" s="1">
        <v>45407</v>
      </c>
      <c r="B205" s="5">
        <v>73.22</v>
      </c>
      <c r="C205" s="4">
        <v>74.36</v>
      </c>
      <c r="D205" s="4">
        <v>74.36</v>
      </c>
      <c r="E205" s="4">
        <v>72.36</v>
      </c>
      <c r="F205" s="4" t="s">
        <v>1507</v>
      </c>
      <c r="G205" s="2" t="s">
        <v>264</v>
      </c>
      <c r="I205">
        <f t="shared" si="44"/>
        <v>74.713499999999996</v>
      </c>
      <c r="J205">
        <f t="shared" si="45"/>
        <v>73.996750000000006</v>
      </c>
      <c r="L205">
        <f t="shared" si="46"/>
        <v>0</v>
      </c>
      <c r="M205">
        <f t="shared" si="47"/>
        <v>1</v>
      </c>
      <c r="O205">
        <f t="shared" si="48"/>
        <v>0</v>
      </c>
      <c r="P205">
        <f t="shared" si="49"/>
        <v>1.1400000000000006</v>
      </c>
      <c r="R205">
        <f t="shared" si="50"/>
        <v>1.1400000000000006</v>
      </c>
      <c r="S205">
        <f t="shared" si="51"/>
        <v>0.48250000000000054</v>
      </c>
      <c r="U205">
        <f t="shared" si="52"/>
        <v>70.261941448382117</v>
      </c>
      <c r="V205">
        <v>86</v>
      </c>
      <c r="W205">
        <v>5</v>
      </c>
      <c r="AH205">
        <f t="shared" si="53"/>
        <v>4.7553221386794071</v>
      </c>
      <c r="AI205">
        <f t="shared" si="54"/>
        <v>68.331999016977065</v>
      </c>
      <c r="AJ205">
        <f t="shared" si="55"/>
        <v>81.095000983022928</v>
      </c>
      <c r="AL205">
        <f t="shared" si="56"/>
        <v>84.224144277358818</v>
      </c>
      <c r="AM205">
        <f t="shared" si="57"/>
        <v>65.202855722641175</v>
      </c>
    </row>
    <row r="206" spans="1:39" ht="16.5" x14ac:dyDescent="0.25">
      <c r="A206" s="1">
        <v>45406</v>
      </c>
      <c r="B206" s="5">
        <v>74.02</v>
      </c>
      <c r="C206" s="4">
        <v>74.150000000000006</v>
      </c>
      <c r="D206" s="4">
        <v>74.44</v>
      </c>
      <c r="E206" s="4">
        <v>73.77</v>
      </c>
      <c r="F206" s="4" t="s">
        <v>726</v>
      </c>
      <c r="G206" s="2" t="s">
        <v>729</v>
      </c>
      <c r="I206">
        <f t="shared" si="44"/>
        <v>74.724999999999994</v>
      </c>
      <c r="J206">
        <f t="shared" si="45"/>
        <v>73.970249999999993</v>
      </c>
      <c r="L206">
        <f t="shared" si="46"/>
        <v>0</v>
      </c>
      <c r="M206">
        <f t="shared" si="47"/>
        <v>1</v>
      </c>
      <c r="O206">
        <f t="shared" si="48"/>
        <v>0</v>
      </c>
      <c r="P206">
        <f t="shared" si="49"/>
        <v>0.13000000000000966</v>
      </c>
      <c r="R206">
        <f t="shared" si="50"/>
        <v>0.89999999999999625</v>
      </c>
      <c r="S206">
        <f t="shared" si="51"/>
        <v>0.42272727272727323</v>
      </c>
      <c r="U206">
        <f t="shared" si="52"/>
        <v>68.041237113401948</v>
      </c>
      <c r="V206">
        <v>86</v>
      </c>
      <c r="W206">
        <v>5</v>
      </c>
      <c r="AH206">
        <f t="shared" si="53"/>
        <v>4.7476957723572148</v>
      </c>
      <c r="AI206">
        <f t="shared" si="54"/>
        <v>68.343499016977063</v>
      </c>
      <c r="AJ206">
        <f t="shared" si="55"/>
        <v>81.106500983022926</v>
      </c>
      <c r="AL206">
        <f t="shared" si="56"/>
        <v>84.220391544714431</v>
      </c>
      <c r="AM206">
        <f t="shared" si="57"/>
        <v>65.229608455285558</v>
      </c>
    </row>
    <row r="207" spans="1:39" ht="16.5" x14ac:dyDescent="0.25">
      <c r="A207" s="1">
        <v>45405</v>
      </c>
      <c r="B207" s="5">
        <v>74.05</v>
      </c>
      <c r="C207" s="4">
        <v>74.7</v>
      </c>
      <c r="D207" s="4">
        <v>74.78</v>
      </c>
      <c r="E207" s="4">
        <v>73.23</v>
      </c>
      <c r="F207" s="4" t="s">
        <v>1408</v>
      </c>
      <c r="G207" s="2" t="s">
        <v>342</v>
      </c>
      <c r="I207">
        <f t="shared" si="44"/>
        <v>74.710000000000008</v>
      </c>
      <c r="J207">
        <f t="shared" si="45"/>
        <v>73.903750000000016</v>
      </c>
      <c r="L207">
        <f t="shared" si="46"/>
        <v>0</v>
      </c>
      <c r="M207">
        <f t="shared" si="47"/>
        <v>1</v>
      </c>
      <c r="O207">
        <f t="shared" si="48"/>
        <v>0</v>
      </c>
      <c r="P207">
        <f t="shared" si="49"/>
        <v>0.65000000000000568</v>
      </c>
      <c r="R207">
        <f t="shared" si="50"/>
        <v>1.0049999999999955</v>
      </c>
      <c r="S207">
        <f t="shared" si="51"/>
        <v>0.45199999999999962</v>
      </c>
      <c r="U207">
        <f t="shared" si="52"/>
        <v>68.977350720658805</v>
      </c>
      <c r="V207">
        <v>86</v>
      </c>
      <c r="W207">
        <v>5</v>
      </c>
      <c r="AH207">
        <f t="shared" si="53"/>
        <v>4.7398662901467921</v>
      </c>
      <c r="AI207">
        <f t="shared" si="54"/>
        <v>68.328499016977077</v>
      </c>
      <c r="AJ207">
        <f t="shared" si="55"/>
        <v>81.091500983022939</v>
      </c>
      <c r="AL207">
        <f t="shared" si="56"/>
        <v>84.189732580293594</v>
      </c>
      <c r="AM207">
        <f t="shared" si="57"/>
        <v>65.230267419706422</v>
      </c>
    </row>
    <row r="208" spans="1:39" ht="16.5" x14ac:dyDescent="0.25">
      <c r="A208" s="1">
        <v>45404</v>
      </c>
      <c r="B208" s="5">
        <v>74.19</v>
      </c>
      <c r="C208" s="4">
        <v>74.88</v>
      </c>
      <c r="D208" s="4">
        <v>74.900000000000006</v>
      </c>
      <c r="E208" s="4">
        <v>73.36</v>
      </c>
      <c r="F208" s="4" t="s">
        <v>1402</v>
      </c>
      <c r="G208" s="2" t="s">
        <v>1508</v>
      </c>
      <c r="I208">
        <f t="shared" si="44"/>
        <v>74.682500000000005</v>
      </c>
      <c r="J208">
        <f t="shared" si="45"/>
        <v>73.844500000000011</v>
      </c>
      <c r="L208">
        <f t="shared" si="46"/>
        <v>0</v>
      </c>
      <c r="M208">
        <f t="shared" si="47"/>
        <v>1</v>
      </c>
      <c r="O208">
        <f t="shared" si="48"/>
        <v>0</v>
      </c>
      <c r="P208">
        <f t="shared" si="49"/>
        <v>0.68999999999999773</v>
      </c>
      <c r="R208">
        <f t="shared" si="50"/>
        <v>0.84799999999999609</v>
      </c>
      <c r="S208">
        <f t="shared" si="51"/>
        <v>0.42999999999999894</v>
      </c>
      <c r="U208">
        <f t="shared" si="52"/>
        <v>66.353677621283211</v>
      </c>
      <c r="V208">
        <v>86</v>
      </c>
      <c r="W208">
        <v>5</v>
      </c>
      <c r="AH208">
        <f t="shared" si="53"/>
        <v>4.7319483717009767</v>
      </c>
      <c r="AI208">
        <f t="shared" si="54"/>
        <v>68.300999016977073</v>
      </c>
      <c r="AJ208">
        <f t="shared" si="55"/>
        <v>81.064000983022936</v>
      </c>
      <c r="AL208">
        <f t="shared" si="56"/>
        <v>84.146396743401965</v>
      </c>
      <c r="AM208">
        <f t="shared" si="57"/>
        <v>65.218603256598044</v>
      </c>
    </row>
    <row r="209" spans="1:39" ht="16.5" x14ac:dyDescent="0.25">
      <c r="A209" s="1">
        <v>45401</v>
      </c>
      <c r="B209" s="5">
        <v>74.14</v>
      </c>
      <c r="C209" s="4">
        <v>74.22</v>
      </c>
      <c r="D209" s="4">
        <v>74.349999999999994</v>
      </c>
      <c r="E209" s="4">
        <v>73.489999999999995</v>
      </c>
      <c r="F209" s="4" t="s">
        <v>1416</v>
      </c>
      <c r="G209" s="2" t="s">
        <v>253</v>
      </c>
      <c r="I209">
        <f t="shared" si="44"/>
        <v>74.64</v>
      </c>
      <c r="J209">
        <f t="shared" si="45"/>
        <v>73.771499999999989</v>
      </c>
      <c r="L209">
        <f t="shared" si="46"/>
        <v>0</v>
      </c>
      <c r="M209">
        <f t="shared" si="47"/>
        <v>1</v>
      </c>
      <c r="O209">
        <f t="shared" si="48"/>
        <v>0</v>
      </c>
      <c r="P209">
        <f t="shared" si="49"/>
        <v>7.9999999999998295E-2</v>
      </c>
      <c r="R209">
        <f t="shared" si="50"/>
        <v>0.84799999999999609</v>
      </c>
      <c r="S209">
        <f t="shared" si="51"/>
        <v>0.43444444444444408</v>
      </c>
      <c r="U209">
        <f t="shared" si="52"/>
        <v>66.123722058568632</v>
      </c>
      <c r="V209">
        <v>86</v>
      </c>
      <c r="W209">
        <v>5</v>
      </c>
      <c r="AH209">
        <f t="shared" si="53"/>
        <v>4.7239967053738843</v>
      </c>
      <c r="AI209">
        <f t="shared" si="54"/>
        <v>68.258499016977069</v>
      </c>
      <c r="AJ209">
        <f t="shared" si="55"/>
        <v>81.021500983022932</v>
      </c>
      <c r="AL209">
        <f t="shared" si="56"/>
        <v>84.087993410747771</v>
      </c>
      <c r="AM209">
        <f t="shared" si="57"/>
        <v>65.19200658925223</v>
      </c>
    </row>
    <row r="210" spans="1:39" ht="16.5" x14ac:dyDescent="0.25">
      <c r="A210" s="1">
        <v>45400</v>
      </c>
      <c r="B210" s="5">
        <v>74.81</v>
      </c>
      <c r="C210" s="4">
        <v>74.81</v>
      </c>
      <c r="D210" s="4">
        <v>75.14</v>
      </c>
      <c r="E210" s="4">
        <v>74.45</v>
      </c>
      <c r="F210" s="4" t="s">
        <v>757</v>
      </c>
      <c r="G210" s="2" t="s">
        <v>207</v>
      </c>
      <c r="I210">
        <f t="shared" si="44"/>
        <v>74.623000000000005</v>
      </c>
      <c r="J210">
        <f t="shared" si="45"/>
        <v>73.619749999999996</v>
      </c>
      <c r="L210">
        <f t="shared" si="46"/>
        <v>0</v>
      </c>
      <c r="M210">
        <f t="shared" si="47"/>
        <v>1</v>
      </c>
      <c r="O210">
        <f t="shared" si="48"/>
        <v>0</v>
      </c>
      <c r="P210">
        <f t="shared" si="49"/>
        <v>0</v>
      </c>
      <c r="R210">
        <f t="shared" si="50"/>
        <v>0.73833333333332973</v>
      </c>
      <c r="S210">
        <f t="shared" si="51"/>
        <v>0.47874999999999979</v>
      </c>
      <c r="U210">
        <f t="shared" si="52"/>
        <v>60.664156110920814</v>
      </c>
      <c r="V210">
        <v>86</v>
      </c>
      <c r="W210">
        <v>5</v>
      </c>
      <c r="AH210">
        <f t="shared" si="53"/>
        <v>4.7160783054768904</v>
      </c>
      <c r="AI210">
        <f t="shared" si="54"/>
        <v>68.241499016977073</v>
      </c>
      <c r="AJ210">
        <f t="shared" si="55"/>
        <v>81.004500983022936</v>
      </c>
      <c r="AL210">
        <f t="shared" si="56"/>
        <v>84.055156610953787</v>
      </c>
      <c r="AM210">
        <f t="shared" si="57"/>
        <v>65.190843389046222</v>
      </c>
    </row>
    <row r="211" spans="1:39" ht="16.5" x14ac:dyDescent="0.25">
      <c r="A211" s="1">
        <v>45399</v>
      </c>
      <c r="B211" s="5">
        <v>74.400000000000006</v>
      </c>
      <c r="C211" s="4">
        <v>74.569999999999993</v>
      </c>
      <c r="D211" s="4">
        <v>75.209999999999994</v>
      </c>
      <c r="E211" s="4">
        <v>74.239999999999995</v>
      </c>
      <c r="F211" s="4" t="s">
        <v>1483</v>
      </c>
      <c r="G211" s="2" t="s">
        <v>596</v>
      </c>
      <c r="I211">
        <f t="shared" si="44"/>
        <v>74.59</v>
      </c>
      <c r="J211">
        <f t="shared" si="45"/>
        <v>73.418999999999997</v>
      </c>
      <c r="L211">
        <f t="shared" si="46"/>
        <v>0</v>
      </c>
      <c r="M211">
        <f t="shared" si="47"/>
        <v>1</v>
      </c>
      <c r="O211">
        <f t="shared" si="48"/>
        <v>0</v>
      </c>
      <c r="P211">
        <f t="shared" si="49"/>
        <v>0.16999999999998749</v>
      </c>
      <c r="R211">
        <f t="shared" si="50"/>
        <v>0.6428571428571388</v>
      </c>
      <c r="S211">
        <f t="shared" si="51"/>
        <v>0.54714285714285693</v>
      </c>
      <c r="U211">
        <f t="shared" si="52"/>
        <v>54.021608643457228</v>
      </c>
      <c r="V211">
        <v>86</v>
      </c>
      <c r="W211">
        <v>5</v>
      </c>
      <c r="AH211">
        <f t="shared" si="53"/>
        <v>4.7080782637644143</v>
      </c>
      <c r="AI211">
        <f t="shared" si="54"/>
        <v>68.208499016977072</v>
      </c>
      <c r="AJ211">
        <f t="shared" si="55"/>
        <v>80.971500983022935</v>
      </c>
      <c r="AL211">
        <f t="shared" si="56"/>
        <v>84.00615652752883</v>
      </c>
      <c r="AM211">
        <f t="shared" si="57"/>
        <v>65.173843472471177</v>
      </c>
    </row>
    <row r="212" spans="1:39" ht="16.5" x14ac:dyDescent="0.25">
      <c r="A212" s="1">
        <v>45398</v>
      </c>
      <c r="B212" s="5">
        <v>74.61</v>
      </c>
      <c r="C212" s="4">
        <v>75.11</v>
      </c>
      <c r="D212" s="4">
        <v>75.11</v>
      </c>
      <c r="E212" s="4">
        <v>74.16</v>
      </c>
      <c r="F212" s="4" t="s">
        <v>1264</v>
      </c>
      <c r="G212" s="2" t="s">
        <v>374</v>
      </c>
      <c r="I212">
        <f t="shared" si="44"/>
        <v>74.537999999999997</v>
      </c>
      <c r="J212">
        <f t="shared" si="45"/>
        <v>73.249750000000006</v>
      </c>
      <c r="L212">
        <f t="shared" si="46"/>
        <v>0</v>
      </c>
      <c r="M212">
        <f t="shared" si="47"/>
        <v>1</v>
      </c>
      <c r="O212">
        <f t="shared" si="48"/>
        <v>0</v>
      </c>
      <c r="P212">
        <f t="shared" si="49"/>
        <v>0.5</v>
      </c>
      <c r="R212">
        <f t="shared" si="50"/>
        <v>0.6428571428571388</v>
      </c>
      <c r="S212">
        <f t="shared" si="51"/>
        <v>0.56857142857142917</v>
      </c>
      <c r="U212">
        <f t="shared" si="52"/>
        <v>53.066037735848866</v>
      </c>
      <c r="V212">
        <v>86</v>
      </c>
      <c r="W212">
        <v>5</v>
      </c>
      <c r="AH212">
        <f t="shared" si="53"/>
        <v>4.700067889264794</v>
      </c>
      <c r="AI212">
        <f t="shared" si="54"/>
        <v>68.156499016977065</v>
      </c>
      <c r="AJ212">
        <f t="shared" si="55"/>
        <v>80.919500983022928</v>
      </c>
      <c r="AL212">
        <f t="shared" si="56"/>
        <v>83.938135778529585</v>
      </c>
      <c r="AM212">
        <f t="shared" si="57"/>
        <v>65.137864221470409</v>
      </c>
    </row>
    <row r="213" spans="1:39" ht="16.5" x14ac:dyDescent="0.25">
      <c r="A213" s="1">
        <v>45397</v>
      </c>
      <c r="B213" s="5">
        <v>76.239999999999995</v>
      </c>
      <c r="C213" s="4">
        <v>75.52</v>
      </c>
      <c r="D213" s="4">
        <v>77.12</v>
      </c>
      <c r="E213" s="4">
        <v>75.52</v>
      </c>
      <c r="F213" s="4" t="s">
        <v>1399</v>
      </c>
      <c r="G213" s="2" t="s">
        <v>455</v>
      </c>
      <c r="I213">
        <f t="shared" si="44"/>
        <v>74.462499999999991</v>
      </c>
      <c r="J213">
        <f t="shared" si="45"/>
        <v>73.069000000000003</v>
      </c>
      <c r="L213">
        <f t="shared" si="46"/>
        <v>1</v>
      </c>
      <c r="M213">
        <f t="shared" si="47"/>
        <v>0</v>
      </c>
      <c r="O213">
        <f t="shared" si="48"/>
        <v>0.71999999999999886</v>
      </c>
      <c r="P213">
        <f t="shared" si="49"/>
        <v>0</v>
      </c>
      <c r="R213">
        <f t="shared" si="50"/>
        <v>0.57999999999999652</v>
      </c>
      <c r="S213">
        <f t="shared" si="51"/>
        <v>0.58000000000000063</v>
      </c>
      <c r="U213">
        <f t="shared" si="52"/>
        <v>49.999999999999822</v>
      </c>
      <c r="V213">
        <v>86</v>
      </c>
      <c r="W213">
        <v>5</v>
      </c>
      <c r="AH213">
        <f t="shared" si="53"/>
        <v>4.6921333561637688</v>
      </c>
      <c r="AI213">
        <f t="shared" si="54"/>
        <v>68.08099901697706</v>
      </c>
      <c r="AJ213">
        <f t="shared" si="55"/>
        <v>80.844000983022923</v>
      </c>
      <c r="AL213">
        <f t="shared" si="56"/>
        <v>83.846766712327536</v>
      </c>
      <c r="AM213">
        <f t="shared" si="57"/>
        <v>65.078233287672447</v>
      </c>
    </row>
    <row r="214" spans="1:39" ht="16.5" x14ac:dyDescent="0.25">
      <c r="A214" s="1">
        <v>45394</v>
      </c>
      <c r="B214" s="5">
        <v>75.37</v>
      </c>
      <c r="C214" s="4">
        <v>76.37</v>
      </c>
      <c r="D214" s="4">
        <v>76.569999999999993</v>
      </c>
      <c r="E214" s="4">
        <v>74.84</v>
      </c>
      <c r="F214" s="4" t="s">
        <v>1509</v>
      </c>
      <c r="G214" s="2" t="s">
        <v>354</v>
      </c>
      <c r="I214">
        <f t="shared" si="44"/>
        <v>74.277499999999989</v>
      </c>
      <c r="J214">
        <f t="shared" si="45"/>
        <v>72.834249999999997</v>
      </c>
      <c r="L214">
        <f t="shared" si="46"/>
        <v>0</v>
      </c>
      <c r="M214">
        <f t="shared" si="47"/>
        <v>1</v>
      </c>
      <c r="O214">
        <f t="shared" si="48"/>
        <v>0</v>
      </c>
      <c r="P214">
        <f t="shared" si="49"/>
        <v>1</v>
      </c>
      <c r="R214">
        <f t="shared" si="50"/>
        <v>0.50999999999999623</v>
      </c>
      <c r="S214">
        <f t="shared" si="51"/>
        <v>0.58000000000000063</v>
      </c>
      <c r="U214">
        <f t="shared" si="52"/>
        <v>46.788990825687861</v>
      </c>
      <c r="V214">
        <v>86</v>
      </c>
      <c r="W214">
        <v>5</v>
      </c>
      <c r="AH214">
        <f t="shared" si="53"/>
        <v>4.6843819772721034</v>
      </c>
      <c r="AI214">
        <f t="shared" si="54"/>
        <v>67.895999016977058</v>
      </c>
      <c r="AJ214">
        <f t="shared" si="55"/>
        <v>80.659000983022921</v>
      </c>
      <c r="AL214">
        <f t="shared" si="56"/>
        <v>83.646263954544196</v>
      </c>
      <c r="AM214">
        <f t="shared" si="57"/>
        <v>64.908736045455782</v>
      </c>
    </row>
    <row r="215" spans="1:39" ht="16.5" x14ac:dyDescent="0.25">
      <c r="A215" s="1">
        <v>45393</v>
      </c>
      <c r="B215" s="5">
        <v>75.739999999999995</v>
      </c>
      <c r="C215" s="4">
        <v>76.05</v>
      </c>
      <c r="D215" s="4">
        <v>76.239999999999995</v>
      </c>
      <c r="E215" s="4">
        <v>75.11</v>
      </c>
      <c r="F215" s="4" t="s">
        <v>1510</v>
      </c>
      <c r="G215" s="2" t="s">
        <v>471</v>
      </c>
      <c r="I215">
        <f t="shared" si="44"/>
        <v>74.133499999999998</v>
      </c>
      <c r="J215">
        <f t="shared" si="45"/>
        <v>72.588250000000002</v>
      </c>
      <c r="L215">
        <f t="shared" si="46"/>
        <v>0</v>
      </c>
      <c r="M215">
        <f t="shared" si="47"/>
        <v>1</v>
      </c>
      <c r="O215">
        <f t="shared" si="48"/>
        <v>0</v>
      </c>
      <c r="P215">
        <f t="shared" si="49"/>
        <v>0.31000000000000227</v>
      </c>
      <c r="R215">
        <f t="shared" si="50"/>
        <v>0.50999999999999623</v>
      </c>
      <c r="S215">
        <f t="shared" si="51"/>
        <v>0.60166666666666657</v>
      </c>
      <c r="U215">
        <f t="shared" si="52"/>
        <v>45.877061469265186</v>
      </c>
      <c r="V215">
        <v>86</v>
      </c>
      <c r="W215">
        <v>5</v>
      </c>
      <c r="AH215">
        <f t="shared" si="53"/>
        <v>4.6773049895125034</v>
      </c>
      <c r="AI215">
        <f t="shared" si="54"/>
        <v>67.751999016977067</v>
      </c>
      <c r="AJ215">
        <f t="shared" si="55"/>
        <v>80.515000983022929</v>
      </c>
      <c r="AL215">
        <f t="shared" si="56"/>
        <v>83.488109979025012</v>
      </c>
      <c r="AM215">
        <f t="shared" si="57"/>
        <v>64.778890020974984</v>
      </c>
    </row>
    <row r="216" spans="1:39" ht="16.5" x14ac:dyDescent="0.25">
      <c r="A216" s="1">
        <v>45392</v>
      </c>
      <c r="B216" s="5">
        <v>76</v>
      </c>
      <c r="C216" s="4">
        <v>76.900000000000006</v>
      </c>
      <c r="D216" s="4">
        <v>77.36</v>
      </c>
      <c r="E216" s="4">
        <v>75.36</v>
      </c>
      <c r="F216" s="4" t="s">
        <v>1399</v>
      </c>
      <c r="G216" s="2" t="s">
        <v>406</v>
      </c>
      <c r="I216">
        <f t="shared" si="44"/>
        <v>74.012500000000003</v>
      </c>
      <c r="J216">
        <f t="shared" si="45"/>
        <v>72.330750000000009</v>
      </c>
      <c r="L216">
        <f t="shared" si="46"/>
        <v>0</v>
      </c>
      <c r="M216">
        <f t="shared" si="47"/>
        <v>1</v>
      </c>
      <c r="O216">
        <f t="shared" si="48"/>
        <v>0</v>
      </c>
      <c r="P216">
        <f t="shared" si="49"/>
        <v>0.90000000000000568</v>
      </c>
      <c r="R216">
        <f t="shared" si="50"/>
        <v>0.50999999999999623</v>
      </c>
      <c r="S216">
        <f t="shared" si="51"/>
        <v>0.59166666666666623</v>
      </c>
      <c r="U216">
        <f t="shared" si="52"/>
        <v>46.293494704992277</v>
      </c>
      <c r="V216">
        <v>86</v>
      </c>
      <c r="W216">
        <v>5</v>
      </c>
      <c r="AH216">
        <f t="shared" si="53"/>
        <v>4.6707169197360381</v>
      </c>
      <c r="AI216">
        <f t="shared" si="54"/>
        <v>67.630999016977071</v>
      </c>
      <c r="AJ216">
        <f t="shared" si="55"/>
        <v>80.394000983022934</v>
      </c>
      <c r="AL216">
        <f t="shared" si="56"/>
        <v>83.353933839472077</v>
      </c>
      <c r="AM216">
        <f t="shared" si="57"/>
        <v>64.671066160527928</v>
      </c>
    </row>
    <row r="217" spans="1:39" ht="16.5" x14ac:dyDescent="0.25">
      <c r="A217" s="1">
        <v>45391</v>
      </c>
      <c r="B217" s="5">
        <v>76.180000000000007</v>
      </c>
      <c r="C217" s="4">
        <v>76.400000000000006</v>
      </c>
      <c r="D217" s="4">
        <v>76.7</v>
      </c>
      <c r="E217" s="4">
        <v>75.95</v>
      </c>
      <c r="F217" s="4" t="s">
        <v>343</v>
      </c>
      <c r="G217" s="2" t="s">
        <v>1210</v>
      </c>
      <c r="I217">
        <f t="shared" si="44"/>
        <v>73.832499999999996</v>
      </c>
      <c r="J217">
        <f t="shared" si="45"/>
        <v>72.072000000000017</v>
      </c>
      <c r="L217">
        <f t="shared" si="46"/>
        <v>0</v>
      </c>
      <c r="M217">
        <f t="shared" si="47"/>
        <v>1</v>
      </c>
      <c r="O217">
        <f t="shared" si="48"/>
        <v>0</v>
      </c>
      <c r="P217">
        <f t="shared" si="49"/>
        <v>0.21999999999999886</v>
      </c>
      <c r="R217">
        <f t="shared" si="50"/>
        <v>0.50999999999999723</v>
      </c>
      <c r="S217">
        <f t="shared" si="51"/>
        <v>0.52999999999999825</v>
      </c>
      <c r="U217">
        <f t="shared" si="52"/>
        <v>49.038461538461483</v>
      </c>
      <c r="V217">
        <v>86</v>
      </c>
      <c r="W217">
        <v>5</v>
      </c>
      <c r="AH217">
        <f t="shared" si="53"/>
        <v>4.6645163240329151</v>
      </c>
      <c r="AI217">
        <f t="shared" si="54"/>
        <v>67.450999016977065</v>
      </c>
      <c r="AJ217">
        <f t="shared" si="55"/>
        <v>80.214000983022927</v>
      </c>
      <c r="AL217">
        <f t="shared" si="56"/>
        <v>83.16153264806583</v>
      </c>
      <c r="AM217">
        <f t="shared" si="57"/>
        <v>64.503467351934162</v>
      </c>
    </row>
    <row r="218" spans="1:39" ht="16.5" x14ac:dyDescent="0.25">
      <c r="A218" s="1">
        <v>45390</v>
      </c>
      <c r="B218" s="5">
        <v>76.61</v>
      </c>
      <c r="C218" s="4">
        <v>75.05</v>
      </c>
      <c r="D218" s="4">
        <v>77.45</v>
      </c>
      <c r="E218" s="4">
        <v>75.040000000000006</v>
      </c>
      <c r="F218" s="4" t="s">
        <v>973</v>
      </c>
      <c r="G218" s="2" t="s">
        <v>106</v>
      </c>
      <c r="I218">
        <f t="shared" si="44"/>
        <v>73.650999999999996</v>
      </c>
      <c r="J218">
        <f t="shared" si="45"/>
        <v>71.790500000000023</v>
      </c>
      <c r="L218">
        <f t="shared" si="46"/>
        <v>1</v>
      </c>
      <c r="M218">
        <f t="shared" si="47"/>
        <v>0</v>
      </c>
      <c r="O218">
        <f t="shared" si="48"/>
        <v>1.5600000000000023</v>
      </c>
      <c r="P218">
        <f t="shared" si="49"/>
        <v>0</v>
      </c>
      <c r="R218">
        <f t="shared" si="50"/>
        <v>0.50999999999999723</v>
      </c>
      <c r="S218">
        <f t="shared" si="51"/>
        <v>0.48999999999999772</v>
      </c>
      <c r="U218">
        <f t="shared" si="52"/>
        <v>50.999999999999979</v>
      </c>
      <c r="V218">
        <v>86</v>
      </c>
      <c r="W218">
        <v>5</v>
      </c>
      <c r="AH218">
        <f t="shared" si="53"/>
        <v>4.658953659190237</v>
      </c>
      <c r="AI218">
        <f t="shared" si="54"/>
        <v>67.269499016977065</v>
      </c>
      <c r="AJ218">
        <f t="shared" si="55"/>
        <v>80.032500983022928</v>
      </c>
      <c r="AL218">
        <f t="shared" si="56"/>
        <v>82.968907318380474</v>
      </c>
      <c r="AM218">
        <f t="shared" si="57"/>
        <v>64.333092681619519</v>
      </c>
    </row>
    <row r="219" spans="1:39" ht="16.5" x14ac:dyDescent="0.25">
      <c r="A219" s="1">
        <v>45387</v>
      </c>
      <c r="B219" s="5">
        <v>74.709999999999994</v>
      </c>
      <c r="C219" s="4">
        <v>74.290000000000006</v>
      </c>
      <c r="D219" s="4">
        <v>74.78</v>
      </c>
      <c r="E219" s="4">
        <v>74</v>
      </c>
      <c r="F219" s="4" t="s">
        <v>1511</v>
      </c>
      <c r="G219" s="2" t="s">
        <v>969</v>
      </c>
      <c r="I219">
        <f t="shared" si="44"/>
        <v>73.4405</v>
      </c>
      <c r="J219">
        <f t="shared" si="45"/>
        <v>71.501250000000013</v>
      </c>
      <c r="L219">
        <f t="shared" si="46"/>
        <v>1</v>
      </c>
      <c r="M219">
        <f t="shared" si="47"/>
        <v>0</v>
      </c>
      <c r="O219">
        <f t="shared" si="48"/>
        <v>0.41999999999998749</v>
      </c>
      <c r="P219">
        <f t="shared" si="49"/>
        <v>0</v>
      </c>
      <c r="R219">
        <f t="shared" si="50"/>
        <v>0.36111111111110794</v>
      </c>
      <c r="S219">
        <f t="shared" si="51"/>
        <v>0.48999999999999772</v>
      </c>
      <c r="U219">
        <f t="shared" si="52"/>
        <v>42.428198433420263</v>
      </c>
      <c r="V219">
        <v>86</v>
      </c>
      <c r="W219">
        <v>5</v>
      </c>
      <c r="AH219">
        <f t="shared" si="53"/>
        <v>4.6540278239019557</v>
      </c>
      <c r="AI219">
        <f t="shared" si="54"/>
        <v>67.058999016977069</v>
      </c>
      <c r="AJ219">
        <f t="shared" si="55"/>
        <v>79.822000983022932</v>
      </c>
      <c r="AL219">
        <f t="shared" si="56"/>
        <v>82.748555647803911</v>
      </c>
      <c r="AM219">
        <f t="shared" si="57"/>
        <v>64.132444352196089</v>
      </c>
    </row>
    <row r="220" spans="1:39" ht="16.5" x14ac:dyDescent="0.25">
      <c r="A220" s="1">
        <v>45386</v>
      </c>
      <c r="B220" s="5">
        <v>75.27</v>
      </c>
      <c r="C220" s="4">
        <v>73.95</v>
      </c>
      <c r="D220" s="4">
        <v>75.63</v>
      </c>
      <c r="E220" s="4">
        <v>73.78</v>
      </c>
      <c r="F220" s="4" t="s">
        <v>1389</v>
      </c>
      <c r="G220" s="2" t="s">
        <v>1512</v>
      </c>
      <c r="I220">
        <f t="shared" si="44"/>
        <v>73.347499999999997</v>
      </c>
      <c r="J220">
        <f t="shared" si="45"/>
        <v>71.233000000000033</v>
      </c>
      <c r="L220">
        <f t="shared" si="46"/>
        <v>1</v>
      </c>
      <c r="M220">
        <f t="shared" si="47"/>
        <v>0</v>
      </c>
      <c r="O220">
        <f t="shared" si="48"/>
        <v>1.3199999999999932</v>
      </c>
      <c r="P220">
        <f t="shared" si="49"/>
        <v>0</v>
      </c>
      <c r="R220">
        <f t="shared" si="50"/>
        <v>0.31888888888888783</v>
      </c>
      <c r="S220">
        <f t="shared" si="51"/>
        <v>0.48999999999999772</v>
      </c>
      <c r="U220">
        <f t="shared" si="52"/>
        <v>39.423076923076955</v>
      </c>
      <c r="V220">
        <v>86</v>
      </c>
      <c r="W220">
        <v>5</v>
      </c>
      <c r="AH220">
        <f t="shared" si="53"/>
        <v>4.6498477131304083</v>
      </c>
      <c r="AI220">
        <f t="shared" si="54"/>
        <v>66.965999016977065</v>
      </c>
      <c r="AJ220">
        <f t="shared" si="55"/>
        <v>79.729000983022928</v>
      </c>
      <c r="AL220">
        <f t="shared" si="56"/>
        <v>82.647195426260808</v>
      </c>
      <c r="AM220">
        <f t="shared" si="57"/>
        <v>64.047804573739185</v>
      </c>
    </row>
    <row r="221" spans="1:39" ht="16.5" x14ac:dyDescent="0.25">
      <c r="A221" s="1">
        <v>45385</v>
      </c>
      <c r="B221" s="5">
        <v>73.91</v>
      </c>
      <c r="C221" s="4">
        <v>73.69</v>
      </c>
      <c r="D221" s="4">
        <v>74.02</v>
      </c>
      <c r="E221" s="4">
        <v>73.19</v>
      </c>
      <c r="F221" s="4" t="s">
        <v>1507</v>
      </c>
      <c r="G221" s="2" t="s">
        <v>706</v>
      </c>
      <c r="I221">
        <f t="shared" si="44"/>
        <v>73.271999999999991</v>
      </c>
      <c r="J221">
        <f t="shared" si="45"/>
        <v>70.950250000000011</v>
      </c>
      <c r="L221">
        <f t="shared" si="46"/>
        <v>1</v>
      </c>
      <c r="M221">
        <f t="shared" si="47"/>
        <v>0</v>
      </c>
      <c r="O221">
        <f t="shared" si="48"/>
        <v>0.21999999999999886</v>
      </c>
      <c r="P221">
        <f t="shared" si="49"/>
        <v>0</v>
      </c>
      <c r="R221">
        <f t="shared" si="50"/>
        <v>0.19374999999999964</v>
      </c>
      <c r="S221">
        <f t="shared" si="51"/>
        <v>0.49166666666666475</v>
      </c>
      <c r="U221">
        <f t="shared" si="52"/>
        <v>28.267477203647459</v>
      </c>
      <c r="V221">
        <v>86</v>
      </c>
      <c r="W221">
        <v>5</v>
      </c>
      <c r="AH221">
        <f t="shared" si="53"/>
        <v>4.6459354431654889</v>
      </c>
      <c r="AI221">
        <f t="shared" si="54"/>
        <v>66.89049901697706</v>
      </c>
      <c r="AJ221">
        <f t="shared" si="55"/>
        <v>79.653500983022923</v>
      </c>
      <c r="AL221">
        <f t="shared" si="56"/>
        <v>82.563870886330974</v>
      </c>
      <c r="AM221">
        <f t="shared" si="57"/>
        <v>63.980129113669015</v>
      </c>
    </row>
    <row r="222" spans="1:39" ht="16.5" x14ac:dyDescent="0.25">
      <c r="A222" s="1">
        <v>45384</v>
      </c>
      <c r="B222" s="5">
        <v>73.47</v>
      </c>
      <c r="C222" s="4">
        <v>74.2</v>
      </c>
      <c r="D222" s="4">
        <v>74.23</v>
      </c>
      <c r="E222" s="4">
        <v>73.349999999999994</v>
      </c>
      <c r="F222" s="4" t="s">
        <v>1420</v>
      </c>
      <c r="G222" s="2" t="s">
        <v>93</v>
      </c>
      <c r="I222">
        <f t="shared" si="44"/>
        <v>73.263499999999993</v>
      </c>
      <c r="J222">
        <f t="shared" si="45"/>
        <v>70.682000000000016</v>
      </c>
      <c r="L222">
        <f t="shared" si="46"/>
        <v>0</v>
      </c>
      <c r="M222">
        <f t="shared" si="47"/>
        <v>1</v>
      </c>
      <c r="O222">
        <f t="shared" si="48"/>
        <v>0</v>
      </c>
      <c r="P222">
        <f t="shared" si="49"/>
        <v>0.73000000000000398</v>
      </c>
      <c r="R222">
        <f t="shared" si="50"/>
        <v>0.26999999999999957</v>
      </c>
      <c r="S222">
        <f t="shared" si="51"/>
        <v>0.49166666666666475</v>
      </c>
      <c r="U222">
        <f t="shared" si="52"/>
        <v>35.448577680525204</v>
      </c>
      <c r="V222">
        <v>86</v>
      </c>
      <c r="W222">
        <v>5</v>
      </c>
      <c r="AH222">
        <f t="shared" si="53"/>
        <v>4.6422218948246439</v>
      </c>
      <c r="AI222">
        <f t="shared" si="54"/>
        <v>66.881999016977062</v>
      </c>
      <c r="AJ222">
        <f t="shared" si="55"/>
        <v>79.645000983022925</v>
      </c>
      <c r="AL222">
        <f t="shared" si="56"/>
        <v>82.547943789649281</v>
      </c>
      <c r="AM222">
        <f t="shared" si="57"/>
        <v>63.979056210350706</v>
      </c>
    </row>
    <row r="223" spans="1:39" ht="16.5" x14ac:dyDescent="0.25">
      <c r="A223" s="1">
        <v>45379</v>
      </c>
      <c r="B223" s="5">
        <v>73.81</v>
      </c>
      <c r="C223" s="4">
        <v>73.62</v>
      </c>
      <c r="D223" s="4">
        <v>74.099999999999994</v>
      </c>
      <c r="E223" s="4">
        <v>73.36</v>
      </c>
      <c r="F223" s="4" t="s">
        <v>1437</v>
      </c>
      <c r="G223" s="2" t="s">
        <v>90</v>
      </c>
      <c r="I223">
        <f t="shared" si="44"/>
        <v>73.294499999999999</v>
      </c>
      <c r="J223">
        <f t="shared" si="45"/>
        <v>70.453750000000014</v>
      </c>
      <c r="L223">
        <f t="shared" si="46"/>
        <v>1</v>
      </c>
      <c r="M223">
        <f t="shared" si="47"/>
        <v>0</v>
      </c>
      <c r="O223">
        <f t="shared" si="48"/>
        <v>0.18999999999999773</v>
      </c>
      <c r="P223">
        <f t="shared" si="49"/>
        <v>0</v>
      </c>
      <c r="R223">
        <f t="shared" si="50"/>
        <v>0.24222222222222298</v>
      </c>
      <c r="S223">
        <f t="shared" si="51"/>
        <v>0.44399999999999695</v>
      </c>
      <c r="U223">
        <f t="shared" si="52"/>
        <v>35.297927461140134</v>
      </c>
      <c r="V223">
        <v>86</v>
      </c>
      <c r="W223">
        <v>5</v>
      </c>
      <c r="AH223">
        <f t="shared" si="53"/>
        <v>4.638442114981312</v>
      </c>
      <c r="AI223">
        <f t="shared" si="54"/>
        <v>66.912999016977068</v>
      </c>
      <c r="AJ223">
        <f t="shared" si="55"/>
        <v>79.676000983022931</v>
      </c>
      <c r="AL223">
        <f t="shared" si="56"/>
        <v>82.571384229962618</v>
      </c>
      <c r="AM223">
        <f t="shared" si="57"/>
        <v>64.017615770037381</v>
      </c>
    </row>
    <row r="224" spans="1:39" ht="16.5" x14ac:dyDescent="0.25">
      <c r="A224" s="1">
        <v>45378</v>
      </c>
      <c r="B224" s="5">
        <v>73.52</v>
      </c>
      <c r="C224" s="4">
        <v>73.45</v>
      </c>
      <c r="D224" s="4">
        <v>73.819999999999993</v>
      </c>
      <c r="E224" s="4">
        <v>72.84</v>
      </c>
      <c r="F224" s="4" t="s">
        <v>1423</v>
      </c>
      <c r="G224" s="2" t="s">
        <v>180</v>
      </c>
      <c r="I224">
        <f t="shared" si="44"/>
        <v>73.286000000000001</v>
      </c>
      <c r="J224">
        <f t="shared" si="45"/>
        <v>70.185500000000019</v>
      </c>
      <c r="L224">
        <f t="shared" si="46"/>
        <v>1</v>
      </c>
      <c r="M224">
        <f t="shared" si="47"/>
        <v>0</v>
      </c>
      <c r="O224">
        <f t="shared" si="48"/>
        <v>6.9999999999993179E-2</v>
      </c>
      <c r="P224">
        <f t="shared" si="49"/>
        <v>0</v>
      </c>
      <c r="R224">
        <f t="shared" si="50"/>
        <v>0.23777777777777784</v>
      </c>
      <c r="S224">
        <f t="shared" si="51"/>
        <v>0.44399999999999695</v>
      </c>
      <c r="U224">
        <f t="shared" si="52"/>
        <v>34.87614080834436</v>
      </c>
      <c r="V224">
        <v>86</v>
      </c>
      <c r="W224">
        <v>5</v>
      </c>
      <c r="AH224">
        <f t="shared" si="53"/>
        <v>4.634435892695036</v>
      </c>
      <c r="AI224">
        <f t="shared" si="54"/>
        <v>66.90449901697707</v>
      </c>
      <c r="AJ224">
        <f t="shared" si="55"/>
        <v>79.667500983022933</v>
      </c>
      <c r="AL224">
        <f t="shared" si="56"/>
        <v>82.554871785390077</v>
      </c>
      <c r="AM224">
        <f t="shared" si="57"/>
        <v>64.017128214609926</v>
      </c>
    </row>
    <row r="225" spans="1:39" ht="16.5" x14ac:dyDescent="0.25">
      <c r="A225" s="1">
        <v>45377</v>
      </c>
      <c r="B225" s="5">
        <v>73.45</v>
      </c>
      <c r="C225" s="4">
        <v>73.77</v>
      </c>
      <c r="D225" s="4">
        <v>74.040000000000006</v>
      </c>
      <c r="E225" s="4">
        <v>73.319999999999993</v>
      </c>
      <c r="F225" s="4" t="s">
        <v>683</v>
      </c>
      <c r="G225" s="2" t="s">
        <v>632</v>
      </c>
      <c r="I225">
        <f t="shared" si="44"/>
        <v>73.28</v>
      </c>
      <c r="J225">
        <f t="shared" si="45"/>
        <v>69.918750000000003</v>
      </c>
      <c r="L225">
        <f t="shared" si="46"/>
        <v>0</v>
      </c>
      <c r="M225">
        <f t="shared" si="47"/>
        <v>1</v>
      </c>
      <c r="O225">
        <f t="shared" si="48"/>
        <v>0</v>
      </c>
      <c r="P225">
        <f t="shared" si="49"/>
        <v>0.31999999999999318</v>
      </c>
      <c r="R225">
        <f t="shared" si="50"/>
        <v>0.24666666666666812</v>
      </c>
      <c r="S225">
        <f t="shared" si="51"/>
        <v>0.44399999999999695</v>
      </c>
      <c r="U225">
        <f t="shared" si="52"/>
        <v>35.714285714286007</v>
      </c>
      <c r="V225">
        <v>86</v>
      </c>
      <c r="W225">
        <v>5</v>
      </c>
      <c r="AH225">
        <f t="shared" si="53"/>
        <v>4.6303588679386936</v>
      </c>
      <c r="AI225">
        <f t="shared" si="54"/>
        <v>66.89849901697707</v>
      </c>
      <c r="AJ225">
        <f t="shared" si="55"/>
        <v>79.661500983022933</v>
      </c>
      <c r="AL225">
        <f t="shared" si="56"/>
        <v>82.540717735877394</v>
      </c>
      <c r="AM225">
        <f t="shared" si="57"/>
        <v>64.019282264122609</v>
      </c>
    </row>
    <row r="226" spans="1:39" ht="16.5" x14ac:dyDescent="0.25">
      <c r="A226" s="1">
        <v>45376</v>
      </c>
      <c r="B226" s="5">
        <v>73.72</v>
      </c>
      <c r="C226" s="4">
        <v>73.58</v>
      </c>
      <c r="D226" s="4">
        <v>73.77</v>
      </c>
      <c r="E226" s="4">
        <v>73.349999999999994</v>
      </c>
      <c r="F226" s="4" t="s">
        <v>417</v>
      </c>
      <c r="G226" s="2" t="s">
        <v>390</v>
      </c>
      <c r="I226">
        <f t="shared" si="44"/>
        <v>73.215500000000006</v>
      </c>
      <c r="J226">
        <f t="shared" si="45"/>
        <v>69.63900000000001</v>
      </c>
      <c r="L226">
        <f t="shared" si="46"/>
        <v>1</v>
      </c>
      <c r="M226">
        <f t="shared" si="47"/>
        <v>0</v>
      </c>
      <c r="O226">
        <f t="shared" si="48"/>
        <v>0.14000000000000057</v>
      </c>
      <c r="P226">
        <f t="shared" si="49"/>
        <v>0</v>
      </c>
      <c r="R226">
        <f t="shared" si="50"/>
        <v>0.24666666666666812</v>
      </c>
      <c r="S226">
        <f t="shared" si="51"/>
        <v>0.54600000000000082</v>
      </c>
      <c r="U226">
        <f t="shared" si="52"/>
        <v>31.118587047939542</v>
      </c>
      <c r="V226">
        <v>86</v>
      </c>
      <c r="W226">
        <v>5</v>
      </c>
      <c r="AH226">
        <f t="shared" si="53"/>
        <v>4.6261995134656928</v>
      </c>
      <c r="AI226">
        <f t="shared" si="54"/>
        <v>66.833999016977074</v>
      </c>
      <c r="AJ226">
        <f t="shared" si="55"/>
        <v>79.597000983022937</v>
      </c>
      <c r="AL226">
        <f t="shared" si="56"/>
        <v>82.467899026931391</v>
      </c>
      <c r="AM226">
        <f t="shared" si="57"/>
        <v>63.96310097306862</v>
      </c>
    </row>
    <row r="227" spans="1:39" ht="16.5" x14ac:dyDescent="0.25">
      <c r="A227" s="1">
        <v>45373</v>
      </c>
      <c r="B227" s="5">
        <v>73.5</v>
      </c>
      <c r="C227" s="4">
        <v>73.34</v>
      </c>
      <c r="D227" s="4">
        <v>73.64</v>
      </c>
      <c r="E227" s="4">
        <v>72.959999999999994</v>
      </c>
      <c r="F227" s="4" t="s">
        <v>193</v>
      </c>
      <c r="G227" s="2" t="s">
        <v>988</v>
      </c>
      <c r="I227">
        <f t="shared" si="44"/>
        <v>73.097499999999997</v>
      </c>
      <c r="J227">
        <f t="shared" si="45"/>
        <v>69.342999999999989</v>
      </c>
      <c r="L227">
        <f t="shared" si="46"/>
        <v>1</v>
      </c>
      <c r="M227">
        <f t="shared" si="47"/>
        <v>0</v>
      </c>
      <c r="O227">
        <f t="shared" si="48"/>
        <v>0.15999999999999659</v>
      </c>
      <c r="P227">
        <f t="shared" si="49"/>
        <v>0</v>
      </c>
      <c r="R227">
        <f t="shared" si="50"/>
        <v>0.26000000000000156</v>
      </c>
      <c r="S227">
        <f t="shared" si="51"/>
        <v>0.461666666666666</v>
      </c>
      <c r="U227">
        <f t="shared" si="52"/>
        <v>36.027713625866227</v>
      </c>
      <c r="V227">
        <v>86</v>
      </c>
      <c r="W227">
        <v>5</v>
      </c>
      <c r="AH227">
        <f t="shared" si="53"/>
        <v>4.6221958271725567</v>
      </c>
      <c r="AI227">
        <f t="shared" si="54"/>
        <v>66.715999016977065</v>
      </c>
      <c r="AJ227">
        <f t="shared" si="55"/>
        <v>79.479000983022928</v>
      </c>
      <c r="AL227">
        <f t="shared" si="56"/>
        <v>82.341891654345105</v>
      </c>
      <c r="AM227">
        <f t="shared" si="57"/>
        <v>63.853108345654881</v>
      </c>
    </row>
    <row r="228" spans="1:39" ht="16.5" x14ac:dyDescent="0.25">
      <c r="A228" s="1">
        <v>45372</v>
      </c>
      <c r="B228" s="5">
        <v>73.34</v>
      </c>
      <c r="C228" s="4">
        <v>74.47</v>
      </c>
      <c r="D228" s="4">
        <v>74.52</v>
      </c>
      <c r="E228" s="4">
        <v>73.040000000000006</v>
      </c>
      <c r="F228" s="4" t="s">
        <v>1379</v>
      </c>
      <c r="G228" s="2" t="s">
        <v>1026</v>
      </c>
      <c r="I228">
        <f t="shared" si="44"/>
        <v>73.006500000000003</v>
      </c>
      <c r="J228">
        <f t="shared" si="45"/>
        <v>69.037000000000006</v>
      </c>
      <c r="L228">
        <f t="shared" si="46"/>
        <v>0</v>
      </c>
      <c r="M228">
        <f t="shared" si="47"/>
        <v>1</v>
      </c>
      <c r="O228">
        <f t="shared" si="48"/>
        <v>0</v>
      </c>
      <c r="P228">
        <f t="shared" si="49"/>
        <v>1.1299999999999955</v>
      </c>
      <c r="R228">
        <f t="shared" si="50"/>
        <v>0.27428571428571658</v>
      </c>
      <c r="S228">
        <f t="shared" si="51"/>
        <v>0.40714285714285631</v>
      </c>
      <c r="U228">
        <f t="shared" si="52"/>
        <v>40.251572327044272</v>
      </c>
      <c r="V228">
        <v>86</v>
      </c>
      <c r="W228">
        <v>5</v>
      </c>
      <c r="AH228">
        <f t="shared" si="53"/>
        <v>4.6185647138395556</v>
      </c>
      <c r="AI228">
        <f t="shared" si="54"/>
        <v>66.624999016977071</v>
      </c>
      <c r="AJ228">
        <f t="shared" si="55"/>
        <v>79.388000983022934</v>
      </c>
      <c r="AL228">
        <f t="shared" si="56"/>
        <v>82.24362942767911</v>
      </c>
      <c r="AM228">
        <f t="shared" si="57"/>
        <v>63.769370572320895</v>
      </c>
    </row>
    <row r="229" spans="1:39" ht="16.5" x14ac:dyDescent="0.25">
      <c r="A229" s="1">
        <v>45371</v>
      </c>
      <c r="B229" s="5">
        <v>73.8</v>
      </c>
      <c r="C229" s="4">
        <v>74.05</v>
      </c>
      <c r="D229" s="4">
        <v>74.05</v>
      </c>
      <c r="E229" s="4">
        <v>73.42</v>
      </c>
      <c r="F229" s="4" t="s">
        <v>1513</v>
      </c>
      <c r="G229" s="2" t="s">
        <v>370</v>
      </c>
      <c r="I229">
        <f t="shared" si="44"/>
        <v>72.903000000000006</v>
      </c>
      <c r="J229">
        <f t="shared" si="45"/>
        <v>68.697250000000011</v>
      </c>
      <c r="L229">
        <f t="shared" si="46"/>
        <v>0</v>
      </c>
      <c r="M229">
        <f t="shared" si="47"/>
        <v>1</v>
      </c>
      <c r="O229">
        <f t="shared" si="48"/>
        <v>0</v>
      </c>
      <c r="P229">
        <f t="shared" si="49"/>
        <v>0.25</v>
      </c>
      <c r="R229">
        <f t="shared" si="50"/>
        <v>0.27428571428571658</v>
      </c>
      <c r="S229">
        <f t="shared" si="51"/>
        <v>0.25714285714285673</v>
      </c>
      <c r="U229">
        <f t="shared" si="52"/>
        <v>51.612903225806697</v>
      </c>
      <c r="V229">
        <v>86</v>
      </c>
      <c r="W229">
        <v>5</v>
      </c>
      <c r="AH229">
        <f t="shared" si="53"/>
        <v>4.6151974688929318</v>
      </c>
      <c r="AI229">
        <f t="shared" si="54"/>
        <v>66.521499016977074</v>
      </c>
      <c r="AJ229">
        <f t="shared" si="55"/>
        <v>79.284500983022937</v>
      </c>
      <c r="AL229">
        <f t="shared" si="56"/>
        <v>82.133394937785866</v>
      </c>
      <c r="AM229">
        <f t="shared" si="57"/>
        <v>63.672605062214146</v>
      </c>
    </row>
    <row r="230" spans="1:39" ht="16.5" x14ac:dyDescent="0.25">
      <c r="A230" s="1">
        <v>45370</v>
      </c>
      <c r="B230" s="5">
        <v>74.150000000000006</v>
      </c>
      <c r="C230" s="4">
        <v>73.64</v>
      </c>
      <c r="D230" s="4">
        <v>74.23</v>
      </c>
      <c r="E230" s="4">
        <v>73.290000000000006</v>
      </c>
      <c r="F230" s="4" t="s">
        <v>1437</v>
      </c>
      <c r="G230" s="2" t="s">
        <v>257</v>
      </c>
      <c r="I230">
        <f t="shared" si="44"/>
        <v>72.616500000000002</v>
      </c>
      <c r="J230">
        <f t="shared" si="45"/>
        <v>68.370500000000021</v>
      </c>
      <c r="L230">
        <f t="shared" si="46"/>
        <v>1</v>
      </c>
      <c r="M230">
        <f t="shared" si="47"/>
        <v>0</v>
      </c>
      <c r="O230">
        <f t="shared" si="48"/>
        <v>0.51000000000000512</v>
      </c>
      <c r="P230">
        <f t="shared" si="49"/>
        <v>0</v>
      </c>
      <c r="R230">
        <f t="shared" si="50"/>
        <v>0.25375000000000192</v>
      </c>
      <c r="S230">
        <f t="shared" si="51"/>
        <v>0.25833333333333286</v>
      </c>
      <c r="U230">
        <f t="shared" si="52"/>
        <v>49.552481692433105</v>
      </c>
      <c r="V230">
        <v>86</v>
      </c>
      <c r="W230">
        <v>5</v>
      </c>
      <c r="AH230">
        <f t="shared" si="53"/>
        <v>4.6121435120484433</v>
      </c>
      <c r="AI230">
        <f t="shared" si="54"/>
        <v>66.234999016977071</v>
      </c>
      <c r="AJ230">
        <f t="shared" si="55"/>
        <v>78.998000983022933</v>
      </c>
      <c r="AL230">
        <f t="shared" si="56"/>
        <v>81.840787024096883</v>
      </c>
      <c r="AM230">
        <f t="shared" si="57"/>
        <v>63.392212975903114</v>
      </c>
    </row>
    <row r="231" spans="1:39" ht="16.5" x14ac:dyDescent="0.25">
      <c r="A231" s="1">
        <v>45369</v>
      </c>
      <c r="B231" s="5">
        <v>73.36</v>
      </c>
      <c r="C231" s="4">
        <v>73.38</v>
      </c>
      <c r="D231" s="4">
        <v>73.94</v>
      </c>
      <c r="E231" s="4">
        <v>73.11</v>
      </c>
      <c r="F231" s="4" t="s">
        <v>77</v>
      </c>
      <c r="G231" s="2" t="s">
        <v>375</v>
      </c>
      <c r="I231">
        <f t="shared" si="44"/>
        <v>72.248000000000005</v>
      </c>
      <c r="J231">
        <f t="shared" si="45"/>
        <v>68.022250000000014</v>
      </c>
      <c r="L231">
        <f t="shared" si="46"/>
        <v>0</v>
      </c>
      <c r="M231">
        <f t="shared" si="47"/>
        <v>1</v>
      </c>
      <c r="O231">
        <f t="shared" si="48"/>
        <v>0</v>
      </c>
      <c r="P231">
        <f t="shared" si="49"/>
        <v>1.9999999999996021E-2</v>
      </c>
      <c r="R231">
        <f t="shared" si="50"/>
        <v>0.2587500000000027</v>
      </c>
      <c r="S231">
        <f t="shared" si="51"/>
        <v>0.25833333333333286</v>
      </c>
      <c r="U231">
        <f t="shared" si="52"/>
        <v>50.0402900886385</v>
      </c>
      <c r="V231">
        <v>86</v>
      </c>
      <c r="W231">
        <v>5</v>
      </c>
      <c r="AH231">
        <f t="shared" si="53"/>
        <v>4.6101020867335958</v>
      </c>
      <c r="AI231">
        <f t="shared" si="54"/>
        <v>65.866499016977073</v>
      </c>
      <c r="AJ231">
        <f t="shared" si="55"/>
        <v>78.629500983022936</v>
      </c>
      <c r="AL231">
        <f t="shared" si="56"/>
        <v>81.4682041734672</v>
      </c>
      <c r="AM231">
        <f t="shared" si="57"/>
        <v>63.02779582653281</v>
      </c>
    </row>
    <row r="232" spans="1:39" ht="16.5" x14ac:dyDescent="0.25">
      <c r="A232" s="1">
        <v>45366</v>
      </c>
      <c r="B232" s="5">
        <v>73.099999999999994</v>
      </c>
      <c r="C232" s="4">
        <v>72.88</v>
      </c>
      <c r="D232" s="4">
        <v>73.98</v>
      </c>
      <c r="E232" s="4">
        <v>72.69</v>
      </c>
      <c r="F232" s="4" t="s">
        <v>1514</v>
      </c>
      <c r="G232" s="2" t="s">
        <v>861</v>
      </c>
      <c r="I232">
        <f t="shared" si="44"/>
        <v>71.961500000000001</v>
      </c>
      <c r="J232">
        <f t="shared" si="45"/>
        <v>67.670500000000018</v>
      </c>
      <c r="L232">
        <f t="shared" si="46"/>
        <v>1</v>
      </c>
      <c r="M232">
        <f t="shared" si="47"/>
        <v>0</v>
      </c>
      <c r="O232">
        <f t="shared" si="48"/>
        <v>0.21999999999999886</v>
      </c>
      <c r="P232">
        <f t="shared" si="49"/>
        <v>0</v>
      </c>
      <c r="R232">
        <f t="shared" si="50"/>
        <v>0.32555555555555787</v>
      </c>
      <c r="S232">
        <f t="shared" si="51"/>
        <v>0.30600000000000022</v>
      </c>
      <c r="U232">
        <f t="shared" si="52"/>
        <v>51.548205489092354</v>
      </c>
      <c r="V232">
        <v>86</v>
      </c>
      <c r="W232">
        <v>5</v>
      </c>
      <c r="AH232">
        <f t="shared" si="53"/>
        <v>4.6093259497365064</v>
      </c>
      <c r="AI232">
        <f t="shared" si="54"/>
        <v>65.579999016977069</v>
      </c>
      <c r="AJ232">
        <f t="shared" si="55"/>
        <v>78.343000983022932</v>
      </c>
      <c r="AL232">
        <f t="shared" si="56"/>
        <v>81.180151899473017</v>
      </c>
      <c r="AM232">
        <f t="shared" si="57"/>
        <v>62.742848100526984</v>
      </c>
    </row>
    <row r="233" spans="1:39" ht="16.5" x14ac:dyDescent="0.25">
      <c r="A233" s="1">
        <v>45365</v>
      </c>
      <c r="B233" s="5">
        <v>72.540000000000006</v>
      </c>
      <c r="C233" s="4">
        <v>72.5</v>
      </c>
      <c r="D233" s="4">
        <v>73.45</v>
      </c>
      <c r="E233" s="4">
        <v>72.180000000000007</v>
      </c>
      <c r="F233" s="4" t="s">
        <v>1515</v>
      </c>
      <c r="G233" s="2" t="s">
        <v>1508</v>
      </c>
      <c r="I233">
        <f t="shared" si="44"/>
        <v>71.675500000000014</v>
      </c>
      <c r="J233">
        <f t="shared" si="45"/>
        <v>67.320750000000018</v>
      </c>
      <c r="L233">
        <f t="shared" si="46"/>
        <v>1</v>
      </c>
      <c r="M233">
        <f t="shared" si="47"/>
        <v>0</v>
      </c>
      <c r="O233">
        <f t="shared" si="48"/>
        <v>4.0000000000006253E-2</v>
      </c>
      <c r="P233">
        <f t="shared" si="49"/>
        <v>0</v>
      </c>
      <c r="R233">
        <f t="shared" si="50"/>
        <v>0.33875000000000277</v>
      </c>
      <c r="S233">
        <f t="shared" si="51"/>
        <v>0.25500000000000017</v>
      </c>
      <c r="U233">
        <f t="shared" si="52"/>
        <v>57.052631578947555</v>
      </c>
      <c r="V233">
        <v>86</v>
      </c>
      <c r="W233">
        <v>5</v>
      </c>
      <c r="AH233">
        <f t="shared" si="53"/>
        <v>4.6094714693332994</v>
      </c>
      <c r="AI233">
        <f t="shared" si="54"/>
        <v>65.293999016977082</v>
      </c>
      <c r="AJ233">
        <f t="shared" si="55"/>
        <v>78.057000983022945</v>
      </c>
      <c r="AL233">
        <f t="shared" si="56"/>
        <v>80.894442938666614</v>
      </c>
      <c r="AM233">
        <f t="shared" si="57"/>
        <v>62.456557061333413</v>
      </c>
    </row>
    <row r="234" spans="1:39" ht="16.5" x14ac:dyDescent="0.25">
      <c r="A234" s="1">
        <v>45364</v>
      </c>
      <c r="B234" s="5">
        <v>72.489999999999995</v>
      </c>
      <c r="C234" s="4">
        <v>72.989999999999995</v>
      </c>
      <c r="D234" s="4">
        <v>73.13</v>
      </c>
      <c r="E234" s="4">
        <v>72.239999999999995</v>
      </c>
      <c r="F234" s="4" t="s">
        <v>1516</v>
      </c>
      <c r="G234" s="2" t="s">
        <v>1517</v>
      </c>
      <c r="I234">
        <f t="shared" si="44"/>
        <v>71.390999999999991</v>
      </c>
      <c r="J234">
        <f t="shared" si="45"/>
        <v>67.003250000000008</v>
      </c>
      <c r="L234">
        <f t="shared" si="46"/>
        <v>0</v>
      </c>
      <c r="M234">
        <f t="shared" si="47"/>
        <v>1</v>
      </c>
      <c r="O234">
        <f t="shared" si="48"/>
        <v>0</v>
      </c>
      <c r="P234">
        <f t="shared" si="49"/>
        <v>0.5</v>
      </c>
      <c r="R234">
        <f t="shared" si="50"/>
        <v>0.38142857142857373</v>
      </c>
      <c r="S234">
        <f t="shared" si="51"/>
        <v>0.21857142857142872</v>
      </c>
      <c r="U234">
        <f t="shared" si="52"/>
        <v>63.571428571428697</v>
      </c>
      <c r="V234">
        <v>86</v>
      </c>
      <c r="W234">
        <v>5</v>
      </c>
      <c r="AH234">
        <f t="shared" si="53"/>
        <v>4.6104954106909828</v>
      </c>
      <c r="AI234">
        <f t="shared" si="54"/>
        <v>65.00949901697706</v>
      </c>
      <c r="AJ234">
        <f t="shared" si="55"/>
        <v>77.772500983022923</v>
      </c>
      <c r="AL234">
        <f t="shared" si="56"/>
        <v>80.611990821381951</v>
      </c>
      <c r="AM234">
        <f t="shared" si="57"/>
        <v>62.170009178618024</v>
      </c>
    </row>
    <row r="235" spans="1:39" ht="16.5" x14ac:dyDescent="0.25">
      <c r="A235" s="1">
        <v>45363</v>
      </c>
      <c r="B235" s="5">
        <v>73.319999999999993</v>
      </c>
      <c r="C235" s="4">
        <v>72.489999999999995</v>
      </c>
      <c r="D235" s="4">
        <v>73.489999999999995</v>
      </c>
      <c r="E235" s="4">
        <v>72.180000000000007</v>
      </c>
      <c r="F235" s="4" t="s">
        <v>1518</v>
      </c>
      <c r="G235" s="2" t="s">
        <v>847</v>
      </c>
      <c r="I235">
        <f t="shared" si="44"/>
        <v>71.042999999999992</v>
      </c>
      <c r="J235">
        <f t="shared" si="45"/>
        <v>66.674000000000021</v>
      </c>
      <c r="L235">
        <f t="shared" si="46"/>
        <v>1</v>
      </c>
      <c r="M235">
        <f t="shared" si="47"/>
        <v>0</v>
      </c>
      <c r="O235">
        <f t="shared" si="48"/>
        <v>0.82999999999999829</v>
      </c>
      <c r="P235">
        <f t="shared" si="49"/>
        <v>0</v>
      </c>
      <c r="R235">
        <f t="shared" si="50"/>
        <v>0.37375000000000114</v>
      </c>
      <c r="S235">
        <f t="shared" si="51"/>
        <v>0.17166666666666686</v>
      </c>
      <c r="U235">
        <f t="shared" si="52"/>
        <v>68.52559205500387</v>
      </c>
      <c r="V235">
        <v>86</v>
      </c>
      <c r="W235">
        <v>5</v>
      </c>
      <c r="AH235">
        <f t="shared" si="53"/>
        <v>4.6123503332170985</v>
      </c>
      <c r="AI235">
        <f t="shared" si="54"/>
        <v>64.661499016977061</v>
      </c>
      <c r="AJ235">
        <f t="shared" si="55"/>
        <v>77.424500983022924</v>
      </c>
      <c r="AL235">
        <f t="shared" si="56"/>
        <v>80.267700666434195</v>
      </c>
      <c r="AM235">
        <f t="shared" si="57"/>
        <v>61.818299333565797</v>
      </c>
    </row>
    <row r="236" spans="1:39" ht="16.5" x14ac:dyDescent="0.25">
      <c r="A236" s="1">
        <v>45362</v>
      </c>
      <c r="B236" s="5">
        <v>72.400000000000006</v>
      </c>
      <c r="C236" s="4">
        <v>72.38</v>
      </c>
      <c r="D236" s="4">
        <v>72.5</v>
      </c>
      <c r="E236" s="4">
        <v>72.010000000000005</v>
      </c>
      <c r="F236" s="4" t="s">
        <v>1466</v>
      </c>
      <c r="G236" s="2" t="s">
        <v>69</v>
      </c>
      <c r="I236">
        <f t="shared" si="44"/>
        <v>70.648999999999987</v>
      </c>
      <c r="J236">
        <f t="shared" si="45"/>
        <v>66.373000000000019</v>
      </c>
      <c r="L236">
        <f t="shared" si="46"/>
        <v>1</v>
      </c>
      <c r="M236">
        <f t="shared" si="47"/>
        <v>0</v>
      </c>
      <c r="O236">
        <f t="shared" si="48"/>
        <v>2.0000000000010232E-2</v>
      </c>
      <c r="P236">
        <f t="shared" si="49"/>
        <v>0</v>
      </c>
      <c r="R236">
        <f t="shared" si="50"/>
        <v>0.33250000000000135</v>
      </c>
      <c r="S236">
        <f t="shared" si="51"/>
        <v>0.17166666666666686</v>
      </c>
      <c r="U236">
        <f t="shared" si="52"/>
        <v>65.950413223140558</v>
      </c>
      <c r="V236">
        <v>86</v>
      </c>
      <c r="W236">
        <v>5</v>
      </c>
      <c r="AH236">
        <f t="shared" si="53"/>
        <v>4.6151661429482456</v>
      </c>
      <c r="AI236">
        <f t="shared" si="54"/>
        <v>64.267499016977055</v>
      </c>
      <c r="AJ236">
        <f t="shared" si="55"/>
        <v>77.030500983022918</v>
      </c>
      <c r="AL236">
        <f t="shared" si="56"/>
        <v>79.879332285896481</v>
      </c>
      <c r="AM236">
        <f t="shared" si="57"/>
        <v>61.418667714103492</v>
      </c>
    </row>
    <row r="237" spans="1:39" ht="16.5" x14ac:dyDescent="0.25">
      <c r="A237" s="1">
        <v>45359</v>
      </c>
      <c r="B237" s="5">
        <v>72.55</v>
      </c>
      <c r="C237" s="4">
        <v>72.400000000000006</v>
      </c>
      <c r="D237" s="4">
        <v>73.010000000000005</v>
      </c>
      <c r="E237" s="4">
        <v>72.040000000000006</v>
      </c>
      <c r="F237" s="4" t="s">
        <v>1381</v>
      </c>
      <c r="G237" s="2" t="s">
        <v>266</v>
      </c>
      <c r="I237">
        <f t="shared" si="44"/>
        <v>70.311499999999995</v>
      </c>
      <c r="J237">
        <f t="shared" si="45"/>
        <v>66.098500000000016</v>
      </c>
      <c r="L237">
        <f t="shared" si="46"/>
        <v>1</v>
      </c>
      <c r="M237">
        <f t="shared" si="47"/>
        <v>0</v>
      </c>
      <c r="O237">
        <f t="shared" si="48"/>
        <v>0.14999999999999147</v>
      </c>
      <c r="P237">
        <f t="shared" si="49"/>
        <v>0</v>
      </c>
      <c r="R237">
        <f t="shared" si="50"/>
        <v>0.37714285714285722</v>
      </c>
      <c r="S237">
        <f t="shared" si="51"/>
        <v>0.22285714285714317</v>
      </c>
      <c r="U237">
        <f t="shared" si="52"/>
        <v>62.857142857142833</v>
      </c>
      <c r="V237">
        <v>86</v>
      </c>
      <c r="W237">
        <v>5</v>
      </c>
      <c r="AH237">
        <f t="shared" si="53"/>
        <v>4.6189839149749954</v>
      </c>
      <c r="AI237">
        <f t="shared" si="54"/>
        <v>63.929999016977064</v>
      </c>
      <c r="AJ237">
        <f t="shared" si="55"/>
        <v>76.693000983022927</v>
      </c>
      <c r="AL237">
        <f t="shared" si="56"/>
        <v>79.54946782994999</v>
      </c>
      <c r="AM237">
        <f t="shared" si="57"/>
        <v>61.073532170050001</v>
      </c>
    </row>
    <row r="238" spans="1:39" ht="16.5" x14ac:dyDescent="0.25">
      <c r="A238" s="1">
        <v>45358</v>
      </c>
      <c r="B238" s="5">
        <v>72.400000000000006</v>
      </c>
      <c r="C238" s="4">
        <v>72.25</v>
      </c>
      <c r="D238" s="4">
        <v>72.55</v>
      </c>
      <c r="E238" s="4">
        <v>71.06</v>
      </c>
      <c r="F238" s="4" t="s">
        <v>1519</v>
      </c>
      <c r="G238" s="2" t="s">
        <v>1026</v>
      </c>
      <c r="I238">
        <f t="shared" si="44"/>
        <v>69.929999999999993</v>
      </c>
      <c r="J238">
        <f t="shared" si="45"/>
        <v>65.818750000000009</v>
      </c>
      <c r="L238">
        <f t="shared" si="46"/>
        <v>1</v>
      </c>
      <c r="M238">
        <f t="shared" si="47"/>
        <v>0</v>
      </c>
      <c r="O238">
        <f t="shared" si="48"/>
        <v>0.15000000000000568</v>
      </c>
      <c r="P238">
        <f t="shared" si="49"/>
        <v>0</v>
      </c>
      <c r="R238">
        <f t="shared" si="50"/>
        <v>0.39285714285714285</v>
      </c>
      <c r="S238">
        <f t="shared" si="51"/>
        <v>0.22285714285714317</v>
      </c>
      <c r="U238">
        <f t="shared" si="52"/>
        <v>63.805104408352634</v>
      </c>
      <c r="V238">
        <v>86</v>
      </c>
      <c r="W238">
        <v>5</v>
      </c>
      <c r="AH238">
        <f t="shared" si="53"/>
        <v>4.6235830195921981</v>
      </c>
      <c r="AI238">
        <f t="shared" si="54"/>
        <v>63.548499016977061</v>
      </c>
      <c r="AJ238">
        <f t="shared" si="55"/>
        <v>76.311500983022924</v>
      </c>
      <c r="AL238">
        <f t="shared" si="56"/>
        <v>79.177166039184385</v>
      </c>
      <c r="AM238">
        <f t="shared" si="57"/>
        <v>60.6828339608156</v>
      </c>
    </row>
    <row r="239" spans="1:39" ht="16.5" x14ac:dyDescent="0.25">
      <c r="A239" s="1">
        <v>45357</v>
      </c>
      <c r="B239" s="5">
        <v>72.849999999999994</v>
      </c>
      <c r="C239" s="4">
        <v>73.680000000000007</v>
      </c>
      <c r="D239" s="4">
        <v>73.84</v>
      </c>
      <c r="E239" s="4">
        <v>72.790000000000006</v>
      </c>
      <c r="F239" s="4" t="s">
        <v>1520</v>
      </c>
      <c r="G239" s="2" t="s">
        <v>431</v>
      </c>
      <c r="I239">
        <f t="shared" si="44"/>
        <v>69.561999999999998</v>
      </c>
      <c r="J239">
        <f t="shared" si="45"/>
        <v>65.564250000000001</v>
      </c>
      <c r="L239">
        <f t="shared" si="46"/>
        <v>0</v>
      </c>
      <c r="M239">
        <f t="shared" si="47"/>
        <v>1</v>
      </c>
      <c r="O239">
        <f t="shared" si="48"/>
        <v>0</v>
      </c>
      <c r="P239">
        <f t="shared" si="49"/>
        <v>0.83000000000001251</v>
      </c>
      <c r="R239">
        <f t="shared" si="50"/>
        <v>0.37428571428571289</v>
      </c>
      <c r="S239">
        <f t="shared" si="51"/>
        <v>0.22285714285714317</v>
      </c>
      <c r="U239">
        <f t="shared" si="52"/>
        <v>62.679425837320451</v>
      </c>
      <c r="V239">
        <v>86</v>
      </c>
      <c r="W239">
        <v>5</v>
      </c>
      <c r="AH239">
        <f t="shared" si="53"/>
        <v>4.6289780175298691</v>
      </c>
      <c r="AI239">
        <f t="shared" si="54"/>
        <v>63.180499016977066</v>
      </c>
      <c r="AJ239">
        <f t="shared" si="55"/>
        <v>75.943500983022929</v>
      </c>
      <c r="AL239">
        <f t="shared" si="56"/>
        <v>78.819956035059732</v>
      </c>
      <c r="AM239">
        <f t="shared" si="57"/>
        <v>60.304043964940263</v>
      </c>
    </row>
    <row r="240" spans="1:39" ht="16.5" x14ac:dyDescent="0.25">
      <c r="A240" s="1">
        <v>45356</v>
      </c>
      <c r="B240" s="5">
        <v>73.760000000000005</v>
      </c>
      <c r="C240" s="4">
        <v>73.8</v>
      </c>
      <c r="D240" s="4">
        <v>73.8</v>
      </c>
      <c r="E240" s="4">
        <v>72.67</v>
      </c>
      <c r="F240" s="4" t="s">
        <v>107</v>
      </c>
      <c r="G240" s="2" t="s">
        <v>166</v>
      </c>
      <c r="I240">
        <f t="shared" si="44"/>
        <v>69.118500000000012</v>
      </c>
      <c r="J240">
        <f t="shared" si="45"/>
        <v>65.317000000000021</v>
      </c>
      <c r="L240">
        <f t="shared" si="46"/>
        <v>0</v>
      </c>
      <c r="M240">
        <f t="shared" si="47"/>
        <v>1</v>
      </c>
      <c r="O240">
        <f t="shared" si="48"/>
        <v>0</v>
      </c>
      <c r="P240">
        <f t="shared" si="49"/>
        <v>3.9999999999992042E-2</v>
      </c>
      <c r="R240">
        <f t="shared" si="50"/>
        <v>0.41499999999999737</v>
      </c>
      <c r="S240">
        <f t="shared" si="51"/>
        <v>0.12166666666666497</v>
      </c>
      <c r="U240">
        <f t="shared" si="52"/>
        <v>77.329192546583982</v>
      </c>
      <c r="V240">
        <v>86</v>
      </c>
      <c r="W240">
        <v>5</v>
      </c>
      <c r="AH240">
        <f t="shared" si="53"/>
        <v>4.6350513559424318</v>
      </c>
      <c r="AI240">
        <f t="shared" si="54"/>
        <v>62.73699901697708</v>
      </c>
      <c r="AJ240">
        <f t="shared" si="55"/>
        <v>75.500000983022943</v>
      </c>
      <c r="AL240">
        <f t="shared" si="56"/>
        <v>78.388602711884872</v>
      </c>
      <c r="AM240">
        <f t="shared" si="57"/>
        <v>59.848397288115152</v>
      </c>
    </row>
    <row r="241" spans="1:39" ht="16.5" x14ac:dyDescent="0.25">
      <c r="A241" s="1">
        <v>45355</v>
      </c>
      <c r="B241" s="5">
        <v>73.739999999999995</v>
      </c>
      <c r="C241" s="4">
        <v>73.819999999999993</v>
      </c>
      <c r="D241" s="4">
        <v>74.25</v>
      </c>
      <c r="E241" s="4">
        <v>73.53</v>
      </c>
      <c r="F241" s="4" t="s">
        <v>1466</v>
      </c>
      <c r="G241" s="2" t="s">
        <v>370</v>
      </c>
      <c r="I241">
        <f t="shared" si="44"/>
        <v>68.628500000000003</v>
      </c>
      <c r="J241">
        <f t="shared" si="45"/>
        <v>65.068000000000026</v>
      </c>
      <c r="L241">
        <f t="shared" si="46"/>
        <v>0</v>
      </c>
      <c r="M241">
        <f t="shared" si="47"/>
        <v>1</v>
      </c>
      <c r="O241">
        <f t="shared" si="48"/>
        <v>0</v>
      </c>
      <c r="P241">
        <f t="shared" si="49"/>
        <v>7.9999999999998295E-2</v>
      </c>
      <c r="R241">
        <f t="shared" si="50"/>
        <v>0.41444444444444173</v>
      </c>
      <c r="S241">
        <f t="shared" si="51"/>
        <v>0.13799999999999954</v>
      </c>
      <c r="U241">
        <f t="shared" si="52"/>
        <v>75.020112630732044</v>
      </c>
      <c r="V241">
        <v>86</v>
      </c>
      <c r="W241">
        <v>5</v>
      </c>
      <c r="AH241">
        <f t="shared" si="53"/>
        <v>4.6418169244780234</v>
      </c>
      <c r="AI241">
        <f t="shared" si="54"/>
        <v>62.246999016977071</v>
      </c>
      <c r="AJ241">
        <f t="shared" si="55"/>
        <v>75.010000983022934</v>
      </c>
      <c r="AL241">
        <f t="shared" si="56"/>
        <v>77.912133848956046</v>
      </c>
      <c r="AM241">
        <f t="shared" si="57"/>
        <v>59.344866151043959</v>
      </c>
    </row>
    <row r="242" spans="1:39" ht="16.5" x14ac:dyDescent="0.25">
      <c r="A242" s="1">
        <v>45352</v>
      </c>
      <c r="B242" s="5">
        <v>74.09</v>
      </c>
      <c r="C242" s="4">
        <v>74.17</v>
      </c>
      <c r="D242" s="4">
        <v>75.069999999999993</v>
      </c>
      <c r="E242" s="4">
        <v>73.87</v>
      </c>
      <c r="F242" s="4" t="s">
        <v>878</v>
      </c>
      <c r="G242" s="2" t="s">
        <v>104</v>
      </c>
      <c r="I242">
        <f t="shared" si="44"/>
        <v>68.100500000000011</v>
      </c>
      <c r="J242">
        <f t="shared" si="45"/>
        <v>64.813500000000005</v>
      </c>
      <c r="L242">
        <f t="shared" si="46"/>
        <v>0</v>
      </c>
      <c r="M242">
        <f t="shared" si="47"/>
        <v>1</v>
      </c>
      <c r="O242">
        <f t="shared" si="48"/>
        <v>0</v>
      </c>
      <c r="P242">
        <f t="shared" si="49"/>
        <v>7.9999999999998295E-2</v>
      </c>
      <c r="R242">
        <f t="shared" si="50"/>
        <v>0.41444444444444173</v>
      </c>
      <c r="S242">
        <f t="shared" si="51"/>
        <v>0.17199999999999988</v>
      </c>
      <c r="U242">
        <f t="shared" si="52"/>
        <v>70.670708601742959</v>
      </c>
      <c r="V242">
        <v>86</v>
      </c>
      <c r="W242">
        <v>5</v>
      </c>
      <c r="AH242">
        <f t="shared" si="53"/>
        <v>4.6491854492292237</v>
      </c>
      <c r="AI242">
        <f t="shared" si="54"/>
        <v>61.718999016977079</v>
      </c>
      <c r="AJ242">
        <f t="shared" si="55"/>
        <v>74.482000983022942</v>
      </c>
      <c r="AL242">
        <f t="shared" si="56"/>
        <v>77.398870898458455</v>
      </c>
      <c r="AM242">
        <f t="shared" si="57"/>
        <v>58.802129101541567</v>
      </c>
    </row>
    <row r="243" spans="1:39" ht="16.5" x14ac:dyDescent="0.25">
      <c r="A243" s="1">
        <v>45351</v>
      </c>
      <c r="B243" s="5">
        <v>73.64</v>
      </c>
      <c r="C243" s="4">
        <v>73.53</v>
      </c>
      <c r="D243" s="4">
        <v>74.27</v>
      </c>
      <c r="E243" s="4">
        <v>73.22</v>
      </c>
      <c r="F243" s="4" t="s">
        <v>1521</v>
      </c>
      <c r="G243" s="2" t="s">
        <v>821</v>
      </c>
      <c r="I243">
        <f t="shared" si="44"/>
        <v>67.613</v>
      </c>
      <c r="J243">
        <f t="shared" si="45"/>
        <v>64.525000000000006</v>
      </c>
      <c r="L243">
        <f t="shared" si="46"/>
        <v>1</v>
      </c>
      <c r="M243">
        <f t="shared" si="47"/>
        <v>0</v>
      </c>
      <c r="O243">
        <f t="shared" si="48"/>
        <v>0.10999999999999943</v>
      </c>
      <c r="P243">
        <f t="shared" si="49"/>
        <v>0</v>
      </c>
      <c r="R243">
        <f t="shared" si="50"/>
        <v>0.41399999999999865</v>
      </c>
      <c r="S243">
        <f t="shared" si="51"/>
        <v>0.19500000000000028</v>
      </c>
      <c r="U243">
        <f t="shared" si="52"/>
        <v>67.980295566502349</v>
      </c>
      <c r="V243">
        <v>86</v>
      </c>
      <c r="W243">
        <v>5</v>
      </c>
      <c r="AH243">
        <f t="shared" si="53"/>
        <v>4.6570097081558384</v>
      </c>
      <c r="AI243">
        <f t="shared" si="54"/>
        <v>61.231499016977068</v>
      </c>
      <c r="AJ243">
        <f t="shared" si="55"/>
        <v>73.994500983022931</v>
      </c>
      <c r="AL243">
        <f t="shared" si="56"/>
        <v>76.92701941631168</v>
      </c>
      <c r="AM243">
        <f t="shared" si="57"/>
        <v>58.298980583688319</v>
      </c>
    </row>
    <row r="244" spans="1:39" ht="16.5" x14ac:dyDescent="0.25">
      <c r="A244" s="1">
        <v>45350</v>
      </c>
      <c r="B244" s="5">
        <v>73.400000000000006</v>
      </c>
      <c r="C244" s="4">
        <v>72.849999999999994</v>
      </c>
      <c r="D244" s="4">
        <v>73.489999999999995</v>
      </c>
      <c r="E244" s="4">
        <v>72.39</v>
      </c>
      <c r="F244" s="4" t="s">
        <v>931</v>
      </c>
      <c r="G244" s="2" t="s">
        <v>1522</v>
      </c>
      <c r="I244">
        <f t="shared" si="44"/>
        <v>67.084999999999994</v>
      </c>
      <c r="J244">
        <f t="shared" si="45"/>
        <v>64.242000000000004</v>
      </c>
      <c r="L244">
        <f t="shared" si="46"/>
        <v>1</v>
      </c>
      <c r="M244">
        <f t="shared" si="47"/>
        <v>0</v>
      </c>
      <c r="O244">
        <f t="shared" si="48"/>
        <v>0.55000000000001137</v>
      </c>
      <c r="P244">
        <f t="shared" si="49"/>
        <v>0</v>
      </c>
      <c r="R244">
        <f t="shared" si="50"/>
        <v>0.44777777777777633</v>
      </c>
      <c r="S244">
        <f t="shared" si="51"/>
        <v>0.19199999999999875</v>
      </c>
      <c r="U244">
        <f t="shared" si="52"/>
        <v>69.989579715178948</v>
      </c>
      <c r="V244">
        <v>86</v>
      </c>
      <c r="W244">
        <v>5</v>
      </c>
      <c r="AH244">
        <f t="shared" si="53"/>
        <v>4.6650783297666756</v>
      </c>
      <c r="AI244">
        <f t="shared" si="54"/>
        <v>60.703499016977062</v>
      </c>
      <c r="AJ244">
        <f t="shared" si="55"/>
        <v>73.466500983022925</v>
      </c>
      <c r="AL244">
        <f t="shared" si="56"/>
        <v>76.415156659533352</v>
      </c>
      <c r="AM244">
        <f t="shared" si="57"/>
        <v>57.754843340466643</v>
      </c>
    </row>
    <row r="245" spans="1:39" ht="16.5" x14ac:dyDescent="0.25">
      <c r="A245" s="1">
        <v>45349</v>
      </c>
      <c r="B245" s="5">
        <v>72.16</v>
      </c>
      <c r="C245" s="4">
        <v>71.3</v>
      </c>
      <c r="D245" s="4">
        <v>72.52</v>
      </c>
      <c r="E245" s="4">
        <v>71.150000000000006</v>
      </c>
      <c r="F245" s="4" t="s">
        <v>1406</v>
      </c>
      <c r="G245" s="2" t="s">
        <v>351</v>
      </c>
      <c r="I245">
        <f t="shared" si="44"/>
        <v>66.557499999999976</v>
      </c>
      <c r="J245">
        <f t="shared" si="45"/>
        <v>63.961999999999989</v>
      </c>
      <c r="L245">
        <f t="shared" si="46"/>
        <v>1</v>
      </c>
      <c r="M245">
        <f t="shared" si="47"/>
        <v>0</v>
      </c>
      <c r="O245">
        <f t="shared" si="48"/>
        <v>0.85999999999999943</v>
      </c>
      <c r="P245">
        <f t="shared" si="49"/>
        <v>0</v>
      </c>
      <c r="R245">
        <f t="shared" si="50"/>
        <v>0.46333333333333193</v>
      </c>
      <c r="S245">
        <f t="shared" si="51"/>
        <v>0.19199999999999875</v>
      </c>
      <c r="U245">
        <f t="shared" si="52"/>
        <v>70.701932858596209</v>
      </c>
      <c r="V245">
        <v>86</v>
      </c>
      <c r="W245">
        <v>5</v>
      </c>
      <c r="AH245">
        <f t="shared" si="53"/>
        <v>4.6732103538176304</v>
      </c>
      <c r="AI245">
        <f t="shared" si="54"/>
        <v>60.175999016977045</v>
      </c>
      <c r="AJ245">
        <f t="shared" si="55"/>
        <v>72.939000983022908</v>
      </c>
      <c r="AL245">
        <f t="shared" si="56"/>
        <v>75.903920707635237</v>
      </c>
      <c r="AM245">
        <f t="shared" si="57"/>
        <v>57.211079292364715</v>
      </c>
    </row>
    <row r="246" spans="1:39" ht="16.5" x14ac:dyDescent="0.25">
      <c r="A246" s="1">
        <v>45348</v>
      </c>
      <c r="B246" s="5">
        <v>71.36</v>
      </c>
      <c r="C246" s="4">
        <v>71.36</v>
      </c>
      <c r="D246" s="4">
        <v>71.900000000000006</v>
      </c>
      <c r="E246" s="4">
        <v>70.77</v>
      </c>
      <c r="F246" s="4" t="s">
        <v>1523</v>
      </c>
      <c r="G246" s="2" t="s">
        <v>652</v>
      </c>
      <c r="I246">
        <f t="shared" si="44"/>
        <v>66.062499999999986</v>
      </c>
      <c r="J246">
        <f t="shared" si="45"/>
        <v>63.741249999999994</v>
      </c>
      <c r="L246">
        <f t="shared" si="46"/>
        <v>0</v>
      </c>
      <c r="M246">
        <f t="shared" si="47"/>
        <v>1</v>
      </c>
      <c r="O246">
        <f t="shared" si="48"/>
        <v>0</v>
      </c>
      <c r="P246">
        <f t="shared" si="49"/>
        <v>0</v>
      </c>
      <c r="R246">
        <f t="shared" si="50"/>
        <v>0.41374999999999851</v>
      </c>
      <c r="S246">
        <f t="shared" si="51"/>
        <v>0.18666666666666623</v>
      </c>
      <c r="U246">
        <f t="shared" si="52"/>
        <v>68.910478834142936</v>
      </c>
      <c r="V246">
        <v>86</v>
      </c>
      <c r="W246">
        <v>5</v>
      </c>
      <c r="AH246">
        <f t="shared" si="53"/>
        <v>4.6811967089145838</v>
      </c>
      <c r="AI246">
        <f t="shared" si="54"/>
        <v>59.680999016977054</v>
      </c>
      <c r="AJ246">
        <f t="shared" si="55"/>
        <v>72.444000983022917</v>
      </c>
      <c r="AL246">
        <f t="shared" si="56"/>
        <v>75.424893417829153</v>
      </c>
      <c r="AM246">
        <f t="shared" si="57"/>
        <v>56.700106582170818</v>
      </c>
    </row>
    <row r="247" spans="1:39" ht="16.5" x14ac:dyDescent="0.25">
      <c r="A247" s="1">
        <v>45345</v>
      </c>
      <c r="B247" s="5">
        <v>71.680000000000007</v>
      </c>
      <c r="C247" s="4">
        <v>71.680000000000007</v>
      </c>
      <c r="D247" s="4">
        <v>72.92</v>
      </c>
      <c r="E247" s="4">
        <v>71.36</v>
      </c>
      <c r="F247" s="4" t="s">
        <v>1524</v>
      </c>
      <c r="G247" s="2" t="s">
        <v>697</v>
      </c>
      <c r="I247">
        <f t="shared" si="44"/>
        <v>65.588499999999982</v>
      </c>
      <c r="J247">
        <f t="shared" si="45"/>
        <v>63.520999999999994</v>
      </c>
      <c r="L247">
        <f t="shared" si="46"/>
        <v>0</v>
      </c>
      <c r="M247">
        <f t="shared" si="47"/>
        <v>1</v>
      </c>
      <c r="O247">
        <f t="shared" si="48"/>
        <v>0</v>
      </c>
      <c r="P247">
        <f t="shared" si="49"/>
        <v>0</v>
      </c>
      <c r="R247">
        <f t="shared" si="50"/>
        <v>0.39111111111110985</v>
      </c>
      <c r="S247">
        <f t="shared" si="51"/>
        <v>0.22399999999999948</v>
      </c>
      <c r="U247">
        <f t="shared" si="52"/>
        <v>63.583815028901711</v>
      </c>
      <c r="V247">
        <v>86</v>
      </c>
      <c r="W247">
        <v>5</v>
      </c>
      <c r="AH247">
        <f t="shared" si="53"/>
        <v>4.6888553806306028</v>
      </c>
      <c r="AI247">
        <f t="shared" si="54"/>
        <v>59.206999016977051</v>
      </c>
      <c r="AJ247">
        <f t="shared" si="55"/>
        <v>71.970000983022913</v>
      </c>
      <c r="AL247">
        <f t="shared" si="56"/>
        <v>74.966210761261181</v>
      </c>
      <c r="AM247">
        <f t="shared" si="57"/>
        <v>56.210789238738776</v>
      </c>
    </row>
    <row r="248" spans="1:39" ht="16.5" x14ac:dyDescent="0.25">
      <c r="A248" s="1">
        <v>45344</v>
      </c>
      <c r="B248" s="5">
        <v>71.27</v>
      </c>
      <c r="C248" s="4">
        <v>70.95</v>
      </c>
      <c r="D248" s="4">
        <v>72.239999999999995</v>
      </c>
      <c r="E248" s="4">
        <v>70.36</v>
      </c>
      <c r="F248" s="4" t="s">
        <v>1525</v>
      </c>
      <c r="G248" s="2" t="s">
        <v>1526</v>
      </c>
      <c r="I248">
        <f t="shared" si="44"/>
        <v>65.067499999999995</v>
      </c>
      <c r="J248">
        <f t="shared" si="45"/>
        <v>63.285499999999999</v>
      </c>
      <c r="L248">
        <f t="shared" si="46"/>
        <v>1</v>
      </c>
      <c r="M248">
        <f t="shared" si="47"/>
        <v>0</v>
      </c>
      <c r="O248">
        <f t="shared" si="48"/>
        <v>0.31999999999999318</v>
      </c>
      <c r="P248">
        <f t="shared" si="49"/>
        <v>0</v>
      </c>
      <c r="R248">
        <f t="shared" si="50"/>
        <v>0.39111111111110985</v>
      </c>
      <c r="S248">
        <f t="shared" si="51"/>
        <v>0.497999999999999</v>
      </c>
      <c r="U248">
        <f t="shared" si="52"/>
        <v>43.98900274931264</v>
      </c>
      <c r="V248">
        <v>86</v>
      </c>
      <c r="W248">
        <v>5</v>
      </c>
      <c r="AH248">
        <f t="shared" si="53"/>
        <v>4.6960227387877875</v>
      </c>
      <c r="AI248">
        <f t="shared" si="54"/>
        <v>58.685999016977064</v>
      </c>
      <c r="AJ248">
        <f t="shared" si="55"/>
        <v>71.449000983022927</v>
      </c>
      <c r="AL248">
        <f t="shared" si="56"/>
        <v>74.459545477575574</v>
      </c>
      <c r="AM248">
        <f t="shared" si="57"/>
        <v>55.675454522424417</v>
      </c>
    </row>
    <row r="249" spans="1:39" ht="16.5" x14ac:dyDescent="0.25">
      <c r="A249" s="1">
        <v>45343</v>
      </c>
      <c r="B249" s="5">
        <v>68.069999999999993</v>
      </c>
      <c r="C249" s="4">
        <v>67.569999999999993</v>
      </c>
      <c r="D249" s="4">
        <v>68.66</v>
      </c>
      <c r="E249" s="4">
        <v>67.37</v>
      </c>
      <c r="F249" s="4" t="s">
        <v>1527</v>
      </c>
      <c r="G249" s="2" t="s">
        <v>1528</v>
      </c>
      <c r="I249">
        <f t="shared" si="44"/>
        <v>64.491500000000002</v>
      </c>
      <c r="J249">
        <f t="shared" si="45"/>
        <v>63.070500000000017</v>
      </c>
      <c r="L249">
        <f t="shared" si="46"/>
        <v>1</v>
      </c>
      <c r="M249">
        <f t="shared" si="47"/>
        <v>0</v>
      </c>
      <c r="O249">
        <f t="shared" si="48"/>
        <v>0.5</v>
      </c>
      <c r="P249">
        <f t="shared" si="49"/>
        <v>0</v>
      </c>
      <c r="R249">
        <f t="shared" si="50"/>
        <v>0.39333333333333326</v>
      </c>
      <c r="S249">
        <f t="shared" si="51"/>
        <v>0.497999999999999</v>
      </c>
      <c r="U249">
        <f t="shared" si="52"/>
        <v>44.128646222887106</v>
      </c>
      <c r="V249">
        <v>86</v>
      </c>
      <c r="W249">
        <v>5</v>
      </c>
      <c r="AH249">
        <f t="shared" si="53"/>
        <v>4.7024410770230451</v>
      </c>
      <c r="AI249">
        <f t="shared" si="54"/>
        <v>58.109999016977071</v>
      </c>
      <c r="AJ249">
        <f t="shared" si="55"/>
        <v>70.873000983022933</v>
      </c>
      <c r="AL249">
        <f t="shared" si="56"/>
        <v>73.896382154046094</v>
      </c>
      <c r="AM249">
        <f t="shared" si="57"/>
        <v>55.08661784595391</v>
      </c>
    </row>
    <row r="250" spans="1:39" ht="16.5" x14ac:dyDescent="0.25">
      <c r="A250" s="1">
        <v>45342</v>
      </c>
      <c r="B250" s="5">
        <v>66.78</v>
      </c>
      <c r="C250" s="4">
        <v>67.31</v>
      </c>
      <c r="D250" s="4">
        <v>67.430000000000007</v>
      </c>
      <c r="E250" s="4">
        <v>66.45</v>
      </c>
      <c r="F250" s="4" t="s">
        <v>1529</v>
      </c>
      <c r="G250" s="2" t="s">
        <v>170</v>
      </c>
      <c r="I250">
        <f t="shared" si="44"/>
        <v>64.124500000000012</v>
      </c>
      <c r="J250">
        <f t="shared" si="45"/>
        <v>62.940000000000012</v>
      </c>
      <c r="L250">
        <f t="shared" si="46"/>
        <v>0</v>
      </c>
      <c r="M250">
        <f t="shared" si="47"/>
        <v>1</v>
      </c>
      <c r="O250">
        <f t="shared" si="48"/>
        <v>0</v>
      </c>
      <c r="P250">
        <f t="shared" si="49"/>
        <v>0.53000000000000114</v>
      </c>
      <c r="R250">
        <f t="shared" si="50"/>
        <v>0.3611111111111111</v>
      </c>
      <c r="S250">
        <f t="shared" si="51"/>
        <v>0.497999999999999</v>
      </c>
      <c r="U250">
        <f t="shared" si="52"/>
        <v>42.033109156751209</v>
      </c>
      <c r="V250">
        <v>86</v>
      </c>
      <c r="W250">
        <v>5</v>
      </c>
      <c r="AH250">
        <f t="shared" si="53"/>
        <v>4.7077741716893868</v>
      </c>
      <c r="AI250">
        <f t="shared" si="54"/>
        <v>57.74299901697708</v>
      </c>
      <c r="AJ250">
        <f t="shared" si="55"/>
        <v>70.506000983022943</v>
      </c>
      <c r="AL250">
        <f t="shared" si="56"/>
        <v>73.540048343378785</v>
      </c>
      <c r="AM250">
        <f t="shared" si="57"/>
        <v>54.708951656621238</v>
      </c>
    </row>
    <row r="251" spans="1:39" ht="16.5" x14ac:dyDescent="0.25">
      <c r="A251" s="1">
        <v>45341</v>
      </c>
      <c r="B251" s="5">
        <v>67.63</v>
      </c>
      <c r="C251" s="4">
        <v>67.37</v>
      </c>
      <c r="D251" s="4">
        <v>67.69</v>
      </c>
      <c r="E251" s="4">
        <v>67.17</v>
      </c>
      <c r="F251" s="4" t="s">
        <v>1398</v>
      </c>
      <c r="G251" s="2" t="s">
        <v>1530</v>
      </c>
      <c r="I251">
        <f t="shared" si="44"/>
        <v>63.796500000000016</v>
      </c>
      <c r="J251">
        <f t="shared" si="45"/>
        <v>62.838250000000002</v>
      </c>
      <c r="L251">
        <f t="shared" si="46"/>
        <v>1</v>
      </c>
      <c r="M251">
        <f t="shared" si="47"/>
        <v>0</v>
      </c>
      <c r="O251">
        <f t="shared" si="48"/>
        <v>0.25999999999999091</v>
      </c>
      <c r="P251">
        <f t="shared" si="49"/>
        <v>0</v>
      </c>
      <c r="R251">
        <f t="shared" si="50"/>
        <v>0.39600000000000007</v>
      </c>
      <c r="S251">
        <f t="shared" si="51"/>
        <v>0.48999999999999844</v>
      </c>
      <c r="U251">
        <f t="shared" si="52"/>
        <v>44.695259593679538</v>
      </c>
      <c r="V251">
        <v>86</v>
      </c>
      <c r="W251">
        <v>5</v>
      </c>
      <c r="AH251">
        <f t="shared" si="53"/>
        <v>4.7122750550201618</v>
      </c>
      <c r="AI251">
        <f t="shared" si="54"/>
        <v>57.414999016977085</v>
      </c>
      <c r="AJ251">
        <f t="shared" si="55"/>
        <v>70.17800098302294</v>
      </c>
      <c r="AL251">
        <f t="shared" si="56"/>
        <v>73.221050110040338</v>
      </c>
      <c r="AM251">
        <f t="shared" si="57"/>
        <v>54.371949889959694</v>
      </c>
    </row>
    <row r="252" spans="1:39" ht="16.5" x14ac:dyDescent="0.25">
      <c r="A252" s="1">
        <v>45338</v>
      </c>
      <c r="B252" s="5">
        <v>67.38</v>
      </c>
      <c r="C252" s="4">
        <v>67.36</v>
      </c>
      <c r="D252" s="4">
        <v>68.03</v>
      </c>
      <c r="E252" s="4">
        <v>67.33</v>
      </c>
      <c r="F252" s="4" t="s">
        <v>1531</v>
      </c>
      <c r="G252" s="2" t="s">
        <v>690</v>
      </c>
      <c r="I252">
        <f t="shared" si="44"/>
        <v>63.379500000000007</v>
      </c>
      <c r="J252">
        <f t="shared" si="45"/>
        <v>62.725999999999999</v>
      </c>
      <c r="L252">
        <f t="shared" si="46"/>
        <v>1</v>
      </c>
      <c r="M252">
        <f t="shared" si="47"/>
        <v>0</v>
      </c>
      <c r="O252">
        <f t="shared" si="48"/>
        <v>1.9999999999996021E-2</v>
      </c>
      <c r="P252">
        <f t="shared" si="49"/>
        <v>0</v>
      </c>
      <c r="R252">
        <f t="shared" si="50"/>
        <v>0.38000000000000111</v>
      </c>
      <c r="S252">
        <f t="shared" si="51"/>
        <v>0.48999999999999844</v>
      </c>
      <c r="U252">
        <f t="shared" si="52"/>
        <v>43.678160919540382</v>
      </c>
      <c r="V252">
        <v>86</v>
      </c>
      <c r="W252">
        <v>5</v>
      </c>
      <c r="AH252">
        <f t="shared" si="53"/>
        <v>4.7159309665619924</v>
      </c>
      <c r="AI252">
        <f t="shared" si="54"/>
        <v>56.997999016977076</v>
      </c>
      <c r="AJ252">
        <f t="shared" si="55"/>
        <v>69.761000983022939</v>
      </c>
      <c r="AL252">
        <f t="shared" si="56"/>
        <v>72.81136193312399</v>
      </c>
      <c r="AM252">
        <f t="shared" si="57"/>
        <v>53.947638066876024</v>
      </c>
    </row>
    <row r="253" spans="1:39" ht="16.5" x14ac:dyDescent="0.25">
      <c r="A253" s="1">
        <v>45337</v>
      </c>
      <c r="B253" s="5">
        <v>66.849999999999994</v>
      </c>
      <c r="C253" s="4">
        <v>66.150000000000006</v>
      </c>
      <c r="D253" s="4">
        <v>67.17</v>
      </c>
      <c r="E253" s="4">
        <v>66.099999999999994</v>
      </c>
      <c r="F253" s="4" t="s">
        <v>1439</v>
      </c>
      <c r="G253" s="2" t="s">
        <v>1532</v>
      </c>
      <c r="I253">
        <f t="shared" si="44"/>
        <v>62.965999999999994</v>
      </c>
      <c r="J253">
        <f t="shared" si="45"/>
        <v>62.621749999999999</v>
      </c>
      <c r="L253">
        <f t="shared" si="46"/>
        <v>1</v>
      </c>
      <c r="M253">
        <f t="shared" si="47"/>
        <v>0</v>
      </c>
      <c r="O253">
        <f t="shared" si="48"/>
        <v>0.69999999999998863</v>
      </c>
      <c r="P253">
        <f t="shared" si="49"/>
        <v>0</v>
      </c>
      <c r="R253">
        <f t="shared" si="50"/>
        <v>0.43200000000000144</v>
      </c>
      <c r="S253">
        <f t="shared" si="51"/>
        <v>0.48999999999999844</v>
      </c>
      <c r="U253">
        <f t="shared" si="52"/>
        <v>46.854663774403633</v>
      </c>
      <c r="V253">
        <v>86</v>
      </c>
      <c r="W253">
        <v>5</v>
      </c>
      <c r="AH253">
        <f t="shared" si="53"/>
        <v>4.7183755449353413</v>
      </c>
      <c r="AI253">
        <f t="shared" si="54"/>
        <v>56.584499016977063</v>
      </c>
      <c r="AJ253">
        <f t="shared" si="55"/>
        <v>69.347500983022925</v>
      </c>
      <c r="AL253">
        <f t="shared" si="56"/>
        <v>72.402751089870677</v>
      </c>
      <c r="AM253">
        <f t="shared" si="57"/>
        <v>53.529248910129311</v>
      </c>
    </row>
    <row r="254" spans="1:39" ht="16.5" x14ac:dyDescent="0.25">
      <c r="A254" s="1">
        <v>45336</v>
      </c>
      <c r="B254" s="5">
        <v>65.53</v>
      </c>
      <c r="C254" s="4">
        <v>65.12</v>
      </c>
      <c r="D254" s="4">
        <v>65.790000000000006</v>
      </c>
      <c r="E254" s="4">
        <v>64.98</v>
      </c>
      <c r="F254" s="4" t="s">
        <v>376</v>
      </c>
      <c r="G254" s="2" t="s">
        <v>438</v>
      </c>
      <c r="I254">
        <f t="shared" si="44"/>
        <v>62.615499999999997</v>
      </c>
      <c r="J254">
        <f t="shared" si="45"/>
        <v>62.539000000000001</v>
      </c>
      <c r="L254">
        <f t="shared" si="46"/>
        <v>1</v>
      </c>
      <c r="M254">
        <f t="shared" si="47"/>
        <v>0</v>
      </c>
      <c r="O254">
        <f t="shared" si="48"/>
        <v>0.40999999999999659</v>
      </c>
      <c r="P254">
        <f t="shared" si="49"/>
        <v>0</v>
      </c>
      <c r="R254">
        <f t="shared" si="50"/>
        <v>0.51200000000000256</v>
      </c>
      <c r="S254">
        <f t="shared" si="51"/>
        <v>0.48999999999999844</v>
      </c>
      <c r="U254">
        <f t="shared" si="52"/>
        <v>51.097804391217771</v>
      </c>
      <c r="V254">
        <v>86</v>
      </c>
      <c r="W254">
        <v>5</v>
      </c>
      <c r="AH254">
        <f t="shared" si="53"/>
        <v>4.7194623083352472</v>
      </c>
      <c r="AI254">
        <f t="shared" si="54"/>
        <v>56.233999016977066</v>
      </c>
      <c r="AJ254">
        <f t="shared" si="55"/>
        <v>68.997000983022929</v>
      </c>
      <c r="AL254">
        <f t="shared" si="56"/>
        <v>72.054424616670488</v>
      </c>
      <c r="AM254">
        <f t="shared" si="57"/>
        <v>53.176575383329507</v>
      </c>
    </row>
    <row r="255" spans="1:39" ht="16.5" x14ac:dyDescent="0.25">
      <c r="A255" s="1">
        <v>45335</v>
      </c>
      <c r="B255" s="5">
        <v>65.44</v>
      </c>
      <c r="C255" s="4">
        <v>65.69</v>
      </c>
      <c r="D255" s="4">
        <v>66.39</v>
      </c>
      <c r="E255" s="4">
        <v>65.27</v>
      </c>
      <c r="F255" s="4" t="s">
        <v>1468</v>
      </c>
      <c r="G255" s="2" t="s">
        <v>296</v>
      </c>
      <c r="I255">
        <f t="shared" si="44"/>
        <v>62.304999999999993</v>
      </c>
      <c r="J255">
        <f t="shared" si="45"/>
        <v>62.509999999999991</v>
      </c>
      <c r="L255">
        <f t="shared" si="46"/>
        <v>0</v>
      </c>
      <c r="M255">
        <f t="shared" si="47"/>
        <v>1</v>
      </c>
      <c r="O255">
        <f t="shared" si="48"/>
        <v>0</v>
      </c>
      <c r="P255">
        <f t="shared" si="49"/>
        <v>0.25</v>
      </c>
      <c r="R255">
        <f t="shared" si="50"/>
        <v>0.52333333333333654</v>
      </c>
      <c r="S255">
        <f t="shared" si="51"/>
        <v>0.56199999999999906</v>
      </c>
      <c r="U255">
        <f t="shared" si="52"/>
        <v>48.218673218673409</v>
      </c>
      <c r="V255">
        <v>86</v>
      </c>
      <c r="W255">
        <v>5</v>
      </c>
      <c r="AH255">
        <f t="shared" si="53"/>
        <v>4.7192633826328612</v>
      </c>
      <c r="AI255">
        <f t="shared" si="54"/>
        <v>55.923499016977061</v>
      </c>
      <c r="AJ255">
        <f t="shared" si="55"/>
        <v>68.686500983022924</v>
      </c>
      <c r="AL255">
        <f t="shared" si="56"/>
        <v>71.743526765265713</v>
      </c>
      <c r="AM255">
        <f t="shared" si="57"/>
        <v>52.866473234734272</v>
      </c>
    </row>
    <row r="256" spans="1:39" ht="16.5" x14ac:dyDescent="0.25">
      <c r="A256" s="1">
        <v>45334</v>
      </c>
      <c r="B256" s="5">
        <v>65.650000000000006</v>
      </c>
      <c r="C256" s="4">
        <v>65.239999999999995</v>
      </c>
      <c r="D256" s="4">
        <v>66.010000000000005</v>
      </c>
      <c r="E256" s="4">
        <v>65.17</v>
      </c>
      <c r="F256" s="4" t="s">
        <v>113</v>
      </c>
      <c r="G256" s="2" t="s">
        <v>351</v>
      </c>
      <c r="I256">
        <f t="shared" si="44"/>
        <v>62.096999999999994</v>
      </c>
      <c r="J256">
        <f t="shared" si="45"/>
        <v>62.46149999999998</v>
      </c>
      <c r="L256">
        <f t="shared" si="46"/>
        <v>1</v>
      </c>
      <c r="M256">
        <f t="shared" si="47"/>
        <v>0</v>
      </c>
      <c r="O256">
        <f t="shared" si="48"/>
        <v>0.4100000000000108</v>
      </c>
      <c r="P256">
        <f t="shared" si="49"/>
        <v>0</v>
      </c>
      <c r="R256">
        <f t="shared" si="50"/>
        <v>0.48400000000000248</v>
      </c>
      <c r="S256">
        <f t="shared" si="51"/>
        <v>0.63999999999999879</v>
      </c>
      <c r="U256">
        <f t="shared" si="52"/>
        <v>43.060498220640746</v>
      </c>
      <c r="V256">
        <v>86</v>
      </c>
      <c r="W256">
        <v>5</v>
      </c>
      <c r="AH256">
        <f t="shared" si="53"/>
        <v>4.7178134713024873</v>
      </c>
      <c r="AI256">
        <f t="shared" si="54"/>
        <v>55.715499016977063</v>
      </c>
      <c r="AJ256">
        <f t="shared" si="55"/>
        <v>68.478500983022926</v>
      </c>
      <c r="AL256">
        <f t="shared" si="56"/>
        <v>71.532626942604963</v>
      </c>
      <c r="AM256">
        <f t="shared" si="57"/>
        <v>52.661373057395018</v>
      </c>
    </row>
    <row r="257" spans="1:39" ht="16.5" x14ac:dyDescent="0.25">
      <c r="A257" s="1">
        <v>45331</v>
      </c>
      <c r="B257" s="5">
        <v>64.92</v>
      </c>
      <c r="C257" s="4">
        <v>65.099999999999994</v>
      </c>
      <c r="D257" s="4">
        <v>65.459999999999994</v>
      </c>
      <c r="E257" s="4">
        <v>64.599999999999994</v>
      </c>
      <c r="F257" s="4" t="s">
        <v>537</v>
      </c>
      <c r="G257" s="2" t="s">
        <v>310</v>
      </c>
      <c r="I257">
        <f t="shared" si="44"/>
        <v>61.8855</v>
      </c>
      <c r="J257">
        <f t="shared" si="45"/>
        <v>62.363749999999982</v>
      </c>
      <c r="L257">
        <f t="shared" si="46"/>
        <v>0</v>
      </c>
      <c r="M257">
        <f t="shared" si="47"/>
        <v>1</v>
      </c>
      <c r="O257">
        <f t="shared" si="48"/>
        <v>0</v>
      </c>
      <c r="P257">
        <f t="shared" si="49"/>
        <v>0.17999999999999261</v>
      </c>
      <c r="R257">
        <f t="shared" si="50"/>
        <v>0.52100000000000146</v>
      </c>
      <c r="S257">
        <f t="shared" si="51"/>
        <v>0.63999999999999879</v>
      </c>
      <c r="U257">
        <f t="shared" si="52"/>
        <v>44.875107665805459</v>
      </c>
      <c r="V257">
        <v>86</v>
      </c>
      <c r="W257">
        <v>5</v>
      </c>
      <c r="AH257">
        <f t="shared" si="53"/>
        <v>4.7154366435817447</v>
      </c>
      <c r="AI257">
        <f t="shared" si="54"/>
        <v>55.503999016977069</v>
      </c>
      <c r="AJ257">
        <f t="shared" si="55"/>
        <v>68.267000983022925</v>
      </c>
      <c r="AL257">
        <f t="shared" si="56"/>
        <v>71.316373287163486</v>
      </c>
      <c r="AM257">
        <f t="shared" si="57"/>
        <v>52.454626712836514</v>
      </c>
    </row>
    <row r="258" spans="1:39" ht="16.5" x14ac:dyDescent="0.25">
      <c r="A258" s="1">
        <v>45330</v>
      </c>
      <c r="B258" s="5">
        <v>65.040000000000006</v>
      </c>
      <c r="C258" s="4">
        <v>64.349999999999994</v>
      </c>
      <c r="D258" s="4">
        <v>65.27</v>
      </c>
      <c r="E258" s="4">
        <v>63.94</v>
      </c>
      <c r="F258" s="4" t="s">
        <v>259</v>
      </c>
      <c r="G258" s="2" t="s">
        <v>579</v>
      </c>
      <c r="I258">
        <f t="shared" ref="I258:I321" si="58">AVERAGE(B258:B277)</f>
        <v>61.707500000000003</v>
      </c>
      <c r="J258">
        <f t="shared" ref="J258:J321" si="59">AVERAGE(B258:B297)</f>
        <v>62.308749999999975</v>
      </c>
      <c r="L258">
        <f t="shared" ref="L258:L321" si="60">IF($C258&lt;$B258,1,0)</f>
        <v>1</v>
      </c>
      <c r="M258">
        <f t="shared" ref="M258:M321" si="61">IF($C258&lt;$B258,0,1)</f>
        <v>0</v>
      </c>
      <c r="O258">
        <f t="shared" ref="O258:O321" si="62">IF($C258&lt;$B258,B258-C258,0)</f>
        <v>0.69000000000001194</v>
      </c>
      <c r="P258">
        <f t="shared" ref="P258:P321" si="63">IF($B258&lt;$C258,C258-B258,0)</f>
        <v>0</v>
      </c>
      <c r="R258">
        <f t="shared" ref="R258:R321" si="64">SUM(O258:O271)/SUM(L258:L271)</f>
        <v>0.52100000000000146</v>
      </c>
      <c r="S258">
        <f t="shared" ref="S258:S321" si="65">SUM(P258:P271)/SUM(M258:M271)</f>
        <v>0.625</v>
      </c>
      <c r="U258">
        <f t="shared" ref="U258:U321" si="66">100-(100/(1+(R258/S258)))</f>
        <v>45.46247818499134</v>
      </c>
      <c r="V258">
        <v>86</v>
      </c>
      <c r="W258">
        <v>5</v>
      </c>
      <c r="AH258">
        <f t="shared" si="53"/>
        <v>4.7120622671562886</v>
      </c>
      <c r="AI258">
        <f t="shared" si="54"/>
        <v>55.325999016977072</v>
      </c>
      <c r="AJ258">
        <f t="shared" si="55"/>
        <v>68.089000983022927</v>
      </c>
      <c r="AL258">
        <f t="shared" si="56"/>
        <v>71.131624534312579</v>
      </c>
      <c r="AM258">
        <f t="shared" si="57"/>
        <v>52.283375465687428</v>
      </c>
    </row>
    <row r="259" spans="1:39" ht="16.5" x14ac:dyDescent="0.25">
      <c r="A259" s="1">
        <v>45329</v>
      </c>
      <c r="B259" s="5">
        <v>63.98</v>
      </c>
      <c r="C259" s="4">
        <v>64.14</v>
      </c>
      <c r="D259" s="4">
        <v>65.16</v>
      </c>
      <c r="E259" s="4">
        <v>63.98</v>
      </c>
      <c r="F259" s="4" t="s">
        <v>1533</v>
      </c>
      <c r="G259" s="2" t="s">
        <v>166</v>
      </c>
      <c r="I259">
        <f t="shared" si="58"/>
        <v>61.566500000000005</v>
      </c>
      <c r="J259">
        <f t="shared" si="59"/>
        <v>62.258999999999993</v>
      </c>
      <c r="L259">
        <f t="shared" si="60"/>
        <v>0</v>
      </c>
      <c r="M259">
        <f t="shared" si="61"/>
        <v>1</v>
      </c>
      <c r="O259">
        <f t="shared" si="62"/>
        <v>0</v>
      </c>
      <c r="P259">
        <f t="shared" si="63"/>
        <v>0.16000000000000369</v>
      </c>
      <c r="R259">
        <f t="shared" si="64"/>
        <v>0.50222222222222257</v>
      </c>
      <c r="S259">
        <f t="shared" si="65"/>
        <v>0.6980000000000004</v>
      </c>
      <c r="U259">
        <f t="shared" si="66"/>
        <v>41.84410294389928</v>
      </c>
      <c r="V259">
        <v>86</v>
      </c>
      <c r="W259">
        <v>5</v>
      </c>
      <c r="AH259">
        <f t="shared" ref="AH259:AH322" si="67">_xlfn.STDEV.S(I259:I789)</f>
        <v>4.7077826493736268</v>
      </c>
      <c r="AI259">
        <f t="shared" ref="AI259:AI322" si="68">I259-$AH$2</f>
        <v>55.184999016977073</v>
      </c>
      <c r="AJ259">
        <f t="shared" ref="AJ259:AJ322" si="69">I259+$AH$2</f>
        <v>67.948000983022936</v>
      </c>
      <c r="AL259">
        <f t="shared" ref="AL259:AL322" si="70">I259+(AH259*2)</f>
        <v>70.982065298747258</v>
      </c>
      <c r="AM259">
        <f t="shared" ref="AM259:AM322" si="71">I259-(AH259*2)</f>
        <v>52.150934701252751</v>
      </c>
    </row>
    <row r="260" spans="1:39" ht="16.5" x14ac:dyDescent="0.25">
      <c r="A260" s="1">
        <v>45328</v>
      </c>
      <c r="B260" s="5">
        <v>63.96</v>
      </c>
      <c r="C260" s="4">
        <v>63.75</v>
      </c>
      <c r="D260" s="4">
        <v>64.14</v>
      </c>
      <c r="E260" s="4">
        <v>63.33</v>
      </c>
      <c r="F260" s="4" t="s">
        <v>259</v>
      </c>
      <c r="G260" s="2" t="s">
        <v>176</v>
      </c>
      <c r="I260">
        <f t="shared" si="58"/>
        <v>61.515499999999996</v>
      </c>
      <c r="J260">
        <f t="shared" si="59"/>
        <v>62.231249999999989</v>
      </c>
      <c r="L260">
        <f t="shared" si="60"/>
        <v>1</v>
      </c>
      <c r="M260">
        <f t="shared" si="61"/>
        <v>0</v>
      </c>
      <c r="O260">
        <f t="shared" si="62"/>
        <v>0.21000000000000085</v>
      </c>
      <c r="P260">
        <f t="shared" si="63"/>
        <v>0</v>
      </c>
      <c r="R260">
        <f t="shared" si="64"/>
        <v>0.52400000000000091</v>
      </c>
      <c r="S260">
        <f t="shared" si="65"/>
        <v>0.83249999999999957</v>
      </c>
      <c r="U260">
        <f t="shared" si="66"/>
        <v>38.628824179874726</v>
      </c>
      <c r="V260">
        <v>86</v>
      </c>
      <c r="W260">
        <v>5</v>
      </c>
      <c r="AH260">
        <f t="shared" si="67"/>
        <v>4.7027233593062627</v>
      </c>
      <c r="AI260">
        <f t="shared" si="68"/>
        <v>55.133999016977064</v>
      </c>
      <c r="AJ260">
        <f t="shared" si="69"/>
        <v>67.89700098302292</v>
      </c>
      <c r="AL260">
        <f t="shared" si="70"/>
        <v>70.920946718612527</v>
      </c>
      <c r="AM260">
        <f t="shared" si="71"/>
        <v>52.110053281387472</v>
      </c>
    </row>
    <row r="261" spans="1:39" ht="16.5" x14ac:dyDescent="0.25">
      <c r="A261" s="1">
        <v>45327</v>
      </c>
      <c r="B261" s="5">
        <v>63.18</v>
      </c>
      <c r="C261" s="4">
        <v>64.55</v>
      </c>
      <c r="D261" s="4">
        <v>64.61</v>
      </c>
      <c r="E261" s="4">
        <v>63.15</v>
      </c>
      <c r="F261" s="4" t="s">
        <v>1400</v>
      </c>
      <c r="G261" s="2" t="s">
        <v>674</v>
      </c>
      <c r="I261">
        <f t="shared" si="58"/>
        <v>61.507500000000007</v>
      </c>
      <c r="J261">
        <f t="shared" si="59"/>
        <v>62.190749999999994</v>
      </c>
      <c r="L261">
        <f t="shared" si="60"/>
        <v>0</v>
      </c>
      <c r="M261">
        <f t="shared" si="61"/>
        <v>1</v>
      </c>
      <c r="O261">
        <f t="shared" si="62"/>
        <v>0</v>
      </c>
      <c r="P261">
        <f t="shared" si="63"/>
        <v>1.3699999999999974</v>
      </c>
      <c r="R261">
        <f t="shared" si="64"/>
        <v>0.55888888888888977</v>
      </c>
      <c r="S261">
        <f t="shared" si="65"/>
        <v>0.85199999999999965</v>
      </c>
      <c r="U261">
        <f t="shared" si="66"/>
        <v>39.612537407465794</v>
      </c>
      <c r="V261">
        <v>86</v>
      </c>
      <c r="W261">
        <v>5</v>
      </c>
      <c r="AH261">
        <f t="shared" si="67"/>
        <v>4.6972786022691153</v>
      </c>
      <c r="AI261">
        <f t="shared" si="68"/>
        <v>55.125999016977076</v>
      </c>
      <c r="AJ261">
        <f t="shared" si="69"/>
        <v>67.889000983022939</v>
      </c>
      <c r="AL261">
        <f t="shared" si="70"/>
        <v>70.902057204538238</v>
      </c>
      <c r="AM261">
        <f t="shared" si="71"/>
        <v>52.112942795461777</v>
      </c>
    </row>
    <row r="262" spans="1:39" ht="16.5" x14ac:dyDescent="0.25">
      <c r="A262" s="1">
        <v>45324</v>
      </c>
      <c r="B262" s="5">
        <v>64.34</v>
      </c>
      <c r="C262" s="4">
        <v>64</v>
      </c>
      <c r="D262" s="4">
        <v>65.13</v>
      </c>
      <c r="E262" s="4">
        <v>63.7</v>
      </c>
      <c r="F262" s="4" t="s">
        <v>1534</v>
      </c>
      <c r="G262" s="2" t="s">
        <v>381</v>
      </c>
      <c r="I262">
        <f t="shared" si="58"/>
        <v>61.526499999999999</v>
      </c>
      <c r="J262">
        <f t="shared" si="59"/>
        <v>62.17049999999999</v>
      </c>
      <c r="L262">
        <f t="shared" si="60"/>
        <v>1</v>
      </c>
      <c r="M262">
        <f t="shared" si="61"/>
        <v>0</v>
      </c>
      <c r="O262">
        <f t="shared" si="62"/>
        <v>0.34000000000000341</v>
      </c>
      <c r="P262">
        <f t="shared" si="63"/>
        <v>0</v>
      </c>
      <c r="R262">
        <f t="shared" si="64"/>
        <v>0.51300000000000101</v>
      </c>
      <c r="S262">
        <f t="shared" si="65"/>
        <v>0.72250000000000014</v>
      </c>
      <c r="U262">
        <f t="shared" si="66"/>
        <v>41.521651153379239</v>
      </c>
      <c r="V262">
        <v>86</v>
      </c>
      <c r="W262">
        <v>5</v>
      </c>
      <c r="AH262">
        <f t="shared" si="67"/>
        <v>4.6916432861005033</v>
      </c>
      <c r="AI262">
        <f t="shared" si="68"/>
        <v>55.144999016977067</v>
      </c>
      <c r="AJ262">
        <f t="shared" si="69"/>
        <v>67.90800098302293</v>
      </c>
      <c r="AL262">
        <f t="shared" si="70"/>
        <v>70.909786572201</v>
      </c>
      <c r="AM262">
        <f t="shared" si="71"/>
        <v>52.14321342779899</v>
      </c>
    </row>
    <row r="263" spans="1:39" ht="16.5" x14ac:dyDescent="0.25">
      <c r="A263" s="1">
        <v>45323</v>
      </c>
      <c r="B263" s="5">
        <v>63.08</v>
      </c>
      <c r="C263" s="4">
        <v>62.87</v>
      </c>
      <c r="D263" s="4">
        <v>63.55</v>
      </c>
      <c r="E263" s="4">
        <v>62.75</v>
      </c>
      <c r="F263" s="4" t="s">
        <v>1379</v>
      </c>
      <c r="G263" s="2" t="s">
        <v>1530</v>
      </c>
      <c r="I263">
        <f t="shared" si="58"/>
        <v>61.436999999999991</v>
      </c>
      <c r="J263">
        <f t="shared" si="59"/>
        <v>62.098249999999986</v>
      </c>
      <c r="L263">
        <f t="shared" si="60"/>
        <v>1</v>
      </c>
      <c r="M263">
        <f t="shared" si="61"/>
        <v>0</v>
      </c>
      <c r="O263">
        <f t="shared" si="62"/>
        <v>0.21000000000000085</v>
      </c>
      <c r="P263">
        <f t="shared" si="63"/>
        <v>0</v>
      </c>
      <c r="R263">
        <f t="shared" si="64"/>
        <v>0.49900000000000089</v>
      </c>
      <c r="S263">
        <f t="shared" si="65"/>
        <v>0.72250000000000014</v>
      </c>
      <c r="U263">
        <f t="shared" si="66"/>
        <v>40.85141219811711</v>
      </c>
      <c r="V263">
        <v>86</v>
      </c>
      <c r="W263">
        <v>5</v>
      </c>
      <c r="AH263">
        <f t="shared" si="67"/>
        <v>4.6859431309934916</v>
      </c>
      <c r="AI263">
        <f t="shared" si="68"/>
        <v>55.055499016977059</v>
      </c>
      <c r="AJ263">
        <f t="shared" si="69"/>
        <v>67.818500983022915</v>
      </c>
      <c r="AL263">
        <f t="shared" si="70"/>
        <v>70.80888626198697</v>
      </c>
      <c r="AM263">
        <f t="shared" si="71"/>
        <v>52.065113738013011</v>
      </c>
    </row>
    <row r="264" spans="1:39" ht="16.5" x14ac:dyDescent="0.25">
      <c r="A264" s="1">
        <v>45322</v>
      </c>
      <c r="B264" s="5">
        <v>62.85</v>
      </c>
      <c r="C264" s="4">
        <v>62.14</v>
      </c>
      <c r="D264" s="4">
        <v>63.02</v>
      </c>
      <c r="E264" s="4">
        <v>62.04</v>
      </c>
      <c r="F264" s="4" t="s">
        <v>1535</v>
      </c>
      <c r="G264" s="2" t="s">
        <v>94</v>
      </c>
      <c r="I264">
        <f t="shared" si="58"/>
        <v>61.399000000000001</v>
      </c>
      <c r="J264">
        <f t="shared" si="59"/>
        <v>62.03425</v>
      </c>
      <c r="L264">
        <f t="shared" si="60"/>
        <v>1</v>
      </c>
      <c r="M264">
        <f t="shared" si="61"/>
        <v>0</v>
      </c>
      <c r="O264">
        <f t="shared" si="62"/>
        <v>0.71000000000000085</v>
      </c>
      <c r="P264">
        <f t="shared" si="63"/>
        <v>0</v>
      </c>
      <c r="R264">
        <f t="shared" si="64"/>
        <v>0.53111111111111198</v>
      </c>
      <c r="S264">
        <f t="shared" si="65"/>
        <v>0.79000000000000059</v>
      </c>
      <c r="U264">
        <f t="shared" si="66"/>
        <v>40.20185029436503</v>
      </c>
      <c r="V264">
        <v>86</v>
      </c>
      <c r="W264">
        <v>5</v>
      </c>
      <c r="AH264">
        <f t="shared" si="67"/>
        <v>4.6796473493326403</v>
      </c>
      <c r="AI264">
        <f t="shared" si="68"/>
        <v>55.017499016977069</v>
      </c>
      <c r="AJ264">
        <f t="shared" si="69"/>
        <v>67.780500983022932</v>
      </c>
      <c r="AL264">
        <f t="shared" si="70"/>
        <v>70.758294698665281</v>
      </c>
      <c r="AM264">
        <f t="shared" si="71"/>
        <v>52.03970530133472</v>
      </c>
    </row>
    <row r="265" spans="1:39" ht="16.5" x14ac:dyDescent="0.25">
      <c r="A265" s="1">
        <v>45321</v>
      </c>
      <c r="B265" s="5">
        <v>62.26</v>
      </c>
      <c r="C265" s="4">
        <v>62.16</v>
      </c>
      <c r="D265" s="4">
        <v>62.81</v>
      </c>
      <c r="E265" s="4">
        <v>61.54</v>
      </c>
      <c r="F265" s="4" t="s">
        <v>1423</v>
      </c>
      <c r="G265" s="2" t="s">
        <v>104</v>
      </c>
      <c r="I265">
        <f t="shared" si="58"/>
        <v>61.366499999999995</v>
      </c>
      <c r="J265">
        <f t="shared" si="59"/>
        <v>61.966499999999996</v>
      </c>
      <c r="L265">
        <f t="shared" si="60"/>
        <v>1</v>
      </c>
      <c r="M265">
        <f t="shared" si="61"/>
        <v>0</v>
      </c>
      <c r="O265">
        <f t="shared" si="62"/>
        <v>0.10000000000000142</v>
      </c>
      <c r="P265">
        <f t="shared" si="63"/>
        <v>0</v>
      </c>
      <c r="R265">
        <f t="shared" si="64"/>
        <v>0.50875000000000092</v>
      </c>
      <c r="S265">
        <f t="shared" si="65"/>
        <v>0.87500000000000122</v>
      </c>
      <c r="U265">
        <f t="shared" si="66"/>
        <v>36.766034327009947</v>
      </c>
      <c r="V265">
        <v>86</v>
      </c>
      <c r="W265">
        <v>5</v>
      </c>
      <c r="AH265">
        <f t="shared" si="67"/>
        <v>4.6729927193348813</v>
      </c>
      <c r="AI265">
        <f t="shared" si="68"/>
        <v>54.984999016977063</v>
      </c>
      <c r="AJ265">
        <f t="shared" si="69"/>
        <v>67.748000983022919</v>
      </c>
      <c r="AL265">
        <f t="shared" si="70"/>
        <v>70.712485438669759</v>
      </c>
      <c r="AM265">
        <f t="shared" si="71"/>
        <v>52.020514561330231</v>
      </c>
    </row>
    <row r="266" spans="1:39" ht="16.5" x14ac:dyDescent="0.25">
      <c r="A266" s="1">
        <v>45320</v>
      </c>
      <c r="B266" s="5">
        <v>61.88</v>
      </c>
      <c r="C266" s="4">
        <v>61.34</v>
      </c>
      <c r="D266" s="4">
        <v>61.88</v>
      </c>
      <c r="E266" s="4">
        <v>60.76</v>
      </c>
      <c r="F266" s="4" t="s">
        <v>1536</v>
      </c>
      <c r="G266" s="2" t="s">
        <v>524</v>
      </c>
      <c r="I266">
        <f t="shared" si="58"/>
        <v>61.419999999999995</v>
      </c>
      <c r="J266">
        <f t="shared" si="59"/>
        <v>61.899499999999989</v>
      </c>
      <c r="L266">
        <f t="shared" si="60"/>
        <v>1</v>
      </c>
      <c r="M266">
        <f t="shared" si="61"/>
        <v>0</v>
      </c>
      <c r="O266">
        <f t="shared" si="62"/>
        <v>0.53999999999999915</v>
      </c>
      <c r="P266">
        <f t="shared" si="63"/>
        <v>0</v>
      </c>
      <c r="R266">
        <f t="shared" si="64"/>
        <v>0.56714285714285795</v>
      </c>
      <c r="S266">
        <f t="shared" si="65"/>
        <v>0.86142857142857265</v>
      </c>
      <c r="U266">
        <f t="shared" si="66"/>
        <v>39.700000000000003</v>
      </c>
      <c r="V266">
        <v>86</v>
      </c>
      <c r="W266">
        <v>5</v>
      </c>
      <c r="AH266">
        <f t="shared" si="67"/>
        <v>4.6659970202151433</v>
      </c>
      <c r="AI266">
        <f t="shared" si="68"/>
        <v>55.038499016977063</v>
      </c>
      <c r="AJ266">
        <f t="shared" si="69"/>
        <v>67.801500983022919</v>
      </c>
      <c r="AL266">
        <f t="shared" si="70"/>
        <v>70.751994040430276</v>
      </c>
      <c r="AM266">
        <f t="shared" si="71"/>
        <v>52.088005959569706</v>
      </c>
    </row>
    <row r="267" spans="1:39" ht="16.5" x14ac:dyDescent="0.25">
      <c r="A267" s="1">
        <v>45317</v>
      </c>
      <c r="B267" s="5">
        <v>61.26</v>
      </c>
      <c r="C267" s="4">
        <v>59.76</v>
      </c>
      <c r="D267" s="4">
        <v>61.3</v>
      </c>
      <c r="E267" s="4">
        <v>59.76</v>
      </c>
      <c r="F267" s="4" t="s">
        <v>1455</v>
      </c>
      <c r="G267" s="2" t="s">
        <v>1537</v>
      </c>
      <c r="I267">
        <f t="shared" si="58"/>
        <v>61.453499999999998</v>
      </c>
      <c r="J267">
        <f t="shared" si="59"/>
        <v>61.834749999999985</v>
      </c>
      <c r="L267">
        <f t="shared" si="60"/>
        <v>1</v>
      </c>
      <c r="M267">
        <f t="shared" si="61"/>
        <v>0</v>
      </c>
      <c r="O267">
        <f t="shared" si="62"/>
        <v>1.5</v>
      </c>
      <c r="P267">
        <f t="shared" si="63"/>
        <v>0</v>
      </c>
      <c r="R267">
        <f t="shared" si="64"/>
        <v>0.52571428571428669</v>
      </c>
      <c r="S267">
        <f t="shared" si="65"/>
        <v>0.86142857142857265</v>
      </c>
      <c r="U267">
        <f t="shared" si="66"/>
        <v>37.89907312049435</v>
      </c>
      <c r="V267">
        <v>86</v>
      </c>
      <c r="W267">
        <v>5</v>
      </c>
      <c r="AH267">
        <f t="shared" si="67"/>
        <v>4.6590901173081001</v>
      </c>
      <c r="AI267">
        <f t="shared" si="68"/>
        <v>55.071999016977067</v>
      </c>
      <c r="AJ267">
        <f t="shared" si="69"/>
        <v>67.835000983022923</v>
      </c>
      <c r="AL267">
        <f t="shared" si="70"/>
        <v>70.771680234616198</v>
      </c>
      <c r="AM267">
        <f t="shared" si="71"/>
        <v>52.135319765383798</v>
      </c>
    </row>
    <row r="268" spans="1:39" ht="16.5" x14ac:dyDescent="0.25">
      <c r="A268" s="1">
        <v>45316</v>
      </c>
      <c r="B268" s="5">
        <v>59.75</v>
      </c>
      <c r="C268" s="4">
        <v>60.6</v>
      </c>
      <c r="D268" s="4">
        <v>60.65</v>
      </c>
      <c r="E268" s="4">
        <v>59.4</v>
      </c>
      <c r="F268" s="4" t="s">
        <v>1531</v>
      </c>
      <c r="G268" s="2" t="s">
        <v>926</v>
      </c>
      <c r="I268">
        <f t="shared" si="58"/>
        <v>61.503499999999988</v>
      </c>
      <c r="J268">
        <f t="shared" si="59"/>
        <v>61.752249999999982</v>
      </c>
      <c r="L268">
        <f t="shared" si="60"/>
        <v>0</v>
      </c>
      <c r="M268">
        <f t="shared" si="61"/>
        <v>1</v>
      </c>
      <c r="O268">
        <f t="shared" si="62"/>
        <v>0</v>
      </c>
      <c r="P268">
        <f t="shared" si="63"/>
        <v>0.85000000000000142</v>
      </c>
      <c r="R268">
        <f t="shared" si="64"/>
        <v>0.46285714285714413</v>
      </c>
      <c r="S268">
        <f t="shared" si="65"/>
        <v>0.86142857142857265</v>
      </c>
      <c r="U268">
        <f t="shared" si="66"/>
        <v>34.951456310679646</v>
      </c>
      <c r="V268">
        <v>86</v>
      </c>
      <c r="W268">
        <v>5</v>
      </c>
      <c r="AH268">
        <f t="shared" si="67"/>
        <v>4.6521712780650253</v>
      </c>
      <c r="AI268">
        <f t="shared" si="68"/>
        <v>55.121999016977057</v>
      </c>
      <c r="AJ268">
        <f t="shared" si="69"/>
        <v>67.88500098302292</v>
      </c>
      <c r="AL268">
        <f t="shared" si="70"/>
        <v>70.807842556130041</v>
      </c>
      <c r="AM268">
        <f t="shared" si="71"/>
        <v>52.199157443869936</v>
      </c>
    </row>
    <row r="269" spans="1:39" ht="16.5" x14ac:dyDescent="0.25">
      <c r="A269" s="1">
        <v>45315</v>
      </c>
      <c r="B269" s="5">
        <v>60.73</v>
      </c>
      <c r="C269" s="4">
        <v>60.6</v>
      </c>
      <c r="D269" s="4">
        <v>61.03</v>
      </c>
      <c r="E269" s="4">
        <v>60.09</v>
      </c>
      <c r="F269" s="4" t="s">
        <v>1483</v>
      </c>
      <c r="G269" s="2" t="s">
        <v>333</v>
      </c>
      <c r="I269">
        <f t="shared" si="58"/>
        <v>61.649500000000003</v>
      </c>
      <c r="J269">
        <f t="shared" si="59"/>
        <v>61.717499999999987</v>
      </c>
      <c r="L269">
        <f t="shared" si="60"/>
        <v>1</v>
      </c>
      <c r="M269">
        <f t="shared" si="61"/>
        <v>0</v>
      </c>
      <c r="O269">
        <f t="shared" si="62"/>
        <v>0.12999999999999545</v>
      </c>
      <c r="P269">
        <f t="shared" si="63"/>
        <v>0</v>
      </c>
      <c r="R269">
        <f t="shared" si="64"/>
        <v>0.47375000000000078</v>
      </c>
      <c r="S269">
        <f t="shared" si="65"/>
        <v>0.86333333333333451</v>
      </c>
      <c r="U269">
        <f t="shared" si="66"/>
        <v>35.431598628856349</v>
      </c>
      <c r="V269">
        <v>86</v>
      </c>
      <c r="W269">
        <v>5</v>
      </c>
      <c r="AH269">
        <f t="shared" si="67"/>
        <v>4.6453242837332409</v>
      </c>
      <c r="AI269">
        <f t="shared" si="68"/>
        <v>55.267999016977072</v>
      </c>
      <c r="AJ269">
        <f t="shared" si="69"/>
        <v>68.031000983022935</v>
      </c>
      <c r="AL269">
        <f t="shared" si="70"/>
        <v>70.94014856746648</v>
      </c>
      <c r="AM269">
        <f t="shared" si="71"/>
        <v>52.35885143253352</v>
      </c>
    </row>
    <row r="270" spans="1:39" ht="16.5" x14ac:dyDescent="0.25">
      <c r="A270" s="1">
        <v>45314</v>
      </c>
      <c r="B270" s="5">
        <v>60.22</v>
      </c>
      <c r="C270" s="4">
        <v>59.44</v>
      </c>
      <c r="D270" s="4">
        <v>60.92</v>
      </c>
      <c r="E270" s="4">
        <v>59.33</v>
      </c>
      <c r="F270" s="4" t="s">
        <v>1457</v>
      </c>
      <c r="G270" s="2" t="s">
        <v>769</v>
      </c>
      <c r="I270">
        <f t="shared" si="58"/>
        <v>61.755500000000005</v>
      </c>
      <c r="J270">
        <f t="shared" si="59"/>
        <v>61.663249999999991</v>
      </c>
      <c r="L270">
        <f t="shared" si="60"/>
        <v>1</v>
      </c>
      <c r="M270">
        <f t="shared" si="61"/>
        <v>0</v>
      </c>
      <c r="O270">
        <f t="shared" si="62"/>
        <v>0.78000000000000114</v>
      </c>
      <c r="P270">
        <f t="shared" si="63"/>
        <v>0</v>
      </c>
      <c r="R270">
        <f t="shared" si="64"/>
        <v>0.52285714285714435</v>
      </c>
      <c r="S270">
        <f t="shared" si="65"/>
        <v>0.75428571428571545</v>
      </c>
      <c r="U270">
        <f t="shared" si="66"/>
        <v>40.939597315436281</v>
      </c>
      <c r="V270">
        <v>86</v>
      </c>
      <c r="W270">
        <v>5</v>
      </c>
      <c r="AH270">
        <f t="shared" si="67"/>
        <v>4.6390357338765131</v>
      </c>
      <c r="AI270">
        <f t="shared" si="68"/>
        <v>55.373999016977073</v>
      </c>
      <c r="AJ270">
        <f t="shared" si="69"/>
        <v>68.137000983022929</v>
      </c>
      <c r="AL270">
        <f t="shared" si="70"/>
        <v>71.033571467753035</v>
      </c>
      <c r="AM270">
        <f t="shared" si="71"/>
        <v>52.477428532246975</v>
      </c>
    </row>
    <row r="271" spans="1:39" ht="16.5" x14ac:dyDescent="0.25">
      <c r="A271" s="1">
        <v>45313</v>
      </c>
      <c r="B271" s="5">
        <v>59.29</v>
      </c>
      <c r="C271" s="4">
        <v>59.41</v>
      </c>
      <c r="D271" s="4">
        <v>60.05</v>
      </c>
      <c r="E271" s="4">
        <v>59.14</v>
      </c>
      <c r="F271" s="4" t="s">
        <v>1378</v>
      </c>
      <c r="G271" s="2" t="s">
        <v>390</v>
      </c>
      <c r="I271">
        <f t="shared" si="58"/>
        <v>61.88000000000001</v>
      </c>
      <c r="J271">
        <f t="shared" si="59"/>
        <v>61.613749999999996</v>
      </c>
      <c r="L271">
        <f t="shared" si="60"/>
        <v>0</v>
      </c>
      <c r="M271">
        <f t="shared" si="61"/>
        <v>1</v>
      </c>
      <c r="O271">
        <f t="shared" si="62"/>
        <v>0</v>
      </c>
      <c r="P271">
        <f t="shared" si="63"/>
        <v>0.11999999999999744</v>
      </c>
      <c r="R271">
        <f t="shared" si="64"/>
        <v>0.48000000000000159</v>
      </c>
      <c r="S271">
        <f t="shared" si="65"/>
        <v>0.80750000000000099</v>
      </c>
      <c r="U271">
        <f t="shared" si="66"/>
        <v>37.281553398058293</v>
      </c>
      <c r="V271">
        <v>86</v>
      </c>
      <c r="W271">
        <v>5</v>
      </c>
      <c r="AH271">
        <f t="shared" si="67"/>
        <v>4.6331054112343741</v>
      </c>
      <c r="AI271">
        <f t="shared" si="68"/>
        <v>55.498499016977078</v>
      </c>
      <c r="AJ271">
        <f t="shared" si="69"/>
        <v>68.261500983022941</v>
      </c>
      <c r="AL271">
        <f t="shared" si="70"/>
        <v>71.14621082246876</v>
      </c>
      <c r="AM271">
        <f t="shared" si="71"/>
        <v>52.61378917753126</v>
      </c>
    </row>
    <row r="272" spans="1:39" ht="16.5" x14ac:dyDescent="0.25">
      <c r="A272" s="1">
        <v>45310</v>
      </c>
      <c r="B272" s="5">
        <v>59.11</v>
      </c>
      <c r="C272" s="4">
        <v>60.1</v>
      </c>
      <c r="D272" s="4">
        <v>60.15</v>
      </c>
      <c r="E272" s="4">
        <v>59.02</v>
      </c>
      <c r="F272" s="4" t="s">
        <v>1538</v>
      </c>
      <c r="G272" s="2" t="s">
        <v>540</v>
      </c>
      <c r="I272">
        <f t="shared" si="58"/>
        <v>62.072500000000012</v>
      </c>
      <c r="J272">
        <f t="shared" si="59"/>
        <v>61.588499999999996</v>
      </c>
      <c r="L272">
        <f t="shared" si="60"/>
        <v>0</v>
      </c>
      <c r="M272">
        <f t="shared" si="61"/>
        <v>1</v>
      </c>
      <c r="O272">
        <f t="shared" si="62"/>
        <v>0</v>
      </c>
      <c r="P272">
        <f t="shared" si="63"/>
        <v>0.99000000000000199</v>
      </c>
      <c r="R272">
        <f t="shared" si="64"/>
        <v>0.49428571428571544</v>
      </c>
      <c r="S272">
        <f t="shared" si="65"/>
        <v>0.90571428571428725</v>
      </c>
      <c r="U272">
        <f t="shared" si="66"/>
        <v>35.306122448979607</v>
      </c>
      <c r="V272">
        <v>86</v>
      </c>
      <c r="W272">
        <v>5</v>
      </c>
      <c r="AH272">
        <f t="shared" si="67"/>
        <v>4.6276254566009571</v>
      </c>
      <c r="AI272">
        <f t="shared" si="68"/>
        <v>55.690999016977081</v>
      </c>
      <c r="AJ272">
        <f t="shared" si="69"/>
        <v>68.454000983022937</v>
      </c>
      <c r="AL272">
        <f t="shared" si="70"/>
        <v>71.327750913201925</v>
      </c>
      <c r="AM272">
        <f t="shared" si="71"/>
        <v>52.8172490867981</v>
      </c>
    </row>
    <row r="273" spans="1:39" ht="16.5" x14ac:dyDescent="0.25">
      <c r="A273" s="1">
        <v>45309</v>
      </c>
      <c r="B273" s="5">
        <v>59.84</v>
      </c>
      <c r="C273" s="4">
        <v>59.12</v>
      </c>
      <c r="D273" s="4">
        <v>60.33</v>
      </c>
      <c r="E273" s="4">
        <v>58.84</v>
      </c>
      <c r="F273" s="4" t="s">
        <v>1539</v>
      </c>
      <c r="G273" s="2" t="s">
        <v>715</v>
      </c>
      <c r="I273">
        <f t="shared" si="58"/>
        <v>62.277500000000011</v>
      </c>
      <c r="J273">
        <f t="shared" si="59"/>
        <v>61.564749999999989</v>
      </c>
      <c r="L273">
        <f t="shared" si="60"/>
        <v>1</v>
      </c>
      <c r="M273">
        <f t="shared" si="61"/>
        <v>0</v>
      </c>
      <c r="O273">
        <f t="shared" si="62"/>
        <v>0.72000000000000597</v>
      </c>
      <c r="P273">
        <f t="shared" si="63"/>
        <v>0</v>
      </c>
      <c r="R273">
        <f t="shared" si="64"/>
        <v>0.46375000000000099</v>
      </c>
      <c r="S273">
        <f t="shared" si="65"/>
        <v>0.89166666666666805</v>
      </c>
      <c r="U273">
        <f t="shared" si="66"/>
        <v>34.214571165078411</v>
      </c>
      <c r="V273">
        <v>86</v>
      </c>
      <c r="W273">
        <v>5</v>
      </c>
      <c r="AH273">
        <f t="shared" si="67"/>
        <v>4.6229238827958374</v>
      </c>
      <c r="AI273">
        <f t="shared" si="68"/>
        <v>55.895999016977079</v>
      </c>
      <c r="AJ273">
        <f t="shared" si="69"/>
        <v>68.659000983022935</v>
      </c>
      <c r="AL273">
        <f t="shared" si="70"/>
        <v>71.52334776559168</v>
      </c>
      <c r="AM273">
        <f t="shared" si="71"/>
        <v>53.031652234408334</v>
      </c>
    </row>
    <row r="274" spans="1:39" ht="16.5" x14ac:dyDescent="0.25">
      <c r="A274" s="1">
        <v>45308</v>
      </c>
      <c r="B274" s="5">
        <v>59.32</v>
      </c>
      <c r="C274" s="4">
        <v>60.25</v>
      </c>
      <c r="D274" s="4">
        <v>60.51</v>
      </c>
      <c r="E274" s="4">
        <v>59.21</v>
      </c>
      <c r="F274" s="4" t="s">
        <v>307</v>
      </c>
      <c r="G274" s="2" t="s">
        <v>1180</v>
      </c>
      <c r="I274">
        <f t="shared" si="58"/>
        <v>62.462500000000013</v>
      </c>
      <c r="J274">
        <f t="shared" si="59"/>
        <v>61.541999999999994</v>
      </c>
      <c r="L274">
        <f t="shared" si="60"/>
        <v>0</v>
      </c>
      <c r="M274">
        <f t="shared" si="61"/>
        <v>1</v>
      </c>
      <c r="O274">
        <f t="shared" si="62"/>
        <v>0</v>
      </c>
      <c r="P274">
        <f t="shared" si="63"/>
        <v>0.92999999999999972</v>
      </c>
      <c r="R274">
        <f t="shared" si="64"/>
        <v>0.42714285714285744</v>
      </c>
      <c r="S274">
        <f t="shared" si="65"/>
        <v>0.84000000000000141</v>
      </c>
      <c r="U274">
        <f t="shared" si="66"/>
        <v>33.709131905298733</v>
      </c>
      <c r="V274">
        <v>86</v>
      </c>
      <c r="W274">
        <v>5</v>
      </c>
      <c r="AH274">
        <f t="shared" si="67"/>
        <v>4.6190489081969144</v>
      </c>
      <c r="AI274">
        <f t="shared" si="68"/>
        <v>56.080999016977081</v>
      </c>
      <c r="AJ274">
        <f t="shared" si="69"/>
        <v>68.844000983022937</v>
      </c>
      <c r="AL274">
        <f t="shared" si="70"/>
        <v>71.700597816393838</v>
      </c>
      <c r="AM274">
        <f t="shared" si="71"/>
        <v>53.224402183606188</v>
      </c>
    </row>
    <row r="275" spans="1:39" ht="16.5" x14ac:dyDescent="0.25">
      <c r="A275" s="1">
        <v>45307</v>
      </c>
      <c r="B275" s="5">
        <v>61.28</v>
      </c>
      <c r="C275" s="4">
        <v>61.18</v>
      </c>
      <c r="D275" s="4">
        <v>61.42</v>
      </c>
      <c r="E275" s="4">
        <v>60.71</v>
      </c>
      <c r="F275" s="4" t="s">
        <v>1540</v>
      </c>
      <c r="G275" s="2" t="s">
        <v>816</v>
      </c>
      <c r="I275">
        <f t="shared" si="58"/>
        <v>62.715000000000011</v>
      </c>
      <c r="J275">
        <f t="shared" si="59"/>
        <v>61.523999999999987</v>
      </c>
      <c r="L275">
        <f t="shared" si="60"/>
        <v>1</v>
      </c>
      <c r="M275">
        <f t="shared" si="61"/>
        <v>0</v>
      </c>
      <c r="O275">
        <f t="shared" si="62"/>
        <v>0.10000000000000142</v>
      </c>
      <c r="P275">
        <f t="shared" si="63"/>
        <v>0</v>
      </c>
      <c r="R275">
        <f t="shared" si="64"/>
        <v>0.42714285714285744</v>
      </c>
      <c r="S275">
        <f t="shared" si="65"/>
        <v>0.70714285714285852</v>
      </c>
      <c r="U275">
        <f t="shared" si="66"/>
        <v>37.657430730478559</v>
      </c>
      <c r="V275">
        <v>86</v>
      </c>
      <c r="W275">
        <v>5</v>
      </c>
      <c r="AH275">
        <f t="shared" si="67"/>
        <v>4.6158959503710211</v>
      </c>
      <c r="AI275">
        <f t="shared" si="68"/>
        <v>56.333499016977079</v>
      </c>
      <c r="AJ275">
        <f t="shared" si="69"/>
        <v>69.096500983022935</v>
      </c>
      <c r="AL275">
        <f t="shared" si="70"/>
        <v>71.946791900742056</v>
      </c>
      <c r="AM275">
        <f t="shared" si="71"/>
        <v>53.483208099257965</v>
      </c>
    </row>
    <row r="276" spans="1:39" ht="16.5" x14ac:dyDescent="0.25">
      <c r="A276" s="1">
        <v>45306</v>
      </c>
      <c r="B276" s="5">
        <v>61.42</v>
      </c>
      <c r="C276" s="4">
        <v>61.22</v>
      </c>
      <c r="D276" s="4">
        <v>61.67</v>
      </c>
      <c r="E276" s="4">
        <v>60.7</v>
      </c>
      <c r="F276" s="4" t="s">
        <v>141</v>
      </c>
      <c r="G276" s="2" t="s">
        <v>180</v>
      </c>
      <c r="I276">
        <f t="shared" si="58"/>
        <v>62.826000000000001</v>
      </c>
      <c r="J276">
        <f t="shared" si="59"/>
        <v>61.44074999999998</v>
      </c>
      <c r="L276">
        <f t="shared" si="60"/>
        <v>1</v>
      </c>
      <c r="M276">
        <f t="shared" si="61"/>
        <v>0</v>
      </c>
      <c r="O276">
        <f t="shared" si="62"/>
        <v>0.20000000000000284</v>
      </c>
      <c r="P276">
        <f t="shared" si="63"/>
        <v>0</v>
      </c>
      <c r="R276">
        <f t="shared" si="64"/>
        <v>0.44714285714285751</v>
      </c>
      <c r="S276">
        <f t="shared" si="65"/>
        <v>0.70714285714285852</v>
      </c>
      <c r="U276">
        <f t="shared" si="66"/>
        <v>38.737623762376217</v>
      </c>
      <c r="V276">
        <v>86</v>
      </c>
      <c r="W276">
        <v>5</v>
      </c>
      <c r="AH276">
        <f t="shared" si="67"/>
        <v>4.6137517117648299</v>
      </c>
      <c r="AI276">
        <f t="shared" si="68"/>
        <v>56.444499016977069</v>
      </c>
      <c r="AJ276">
        <f t="shared" si="69"/>
        <v>69.207500983022925</v>
      </c>
      <c r="AL276">
        <f t="shared" si="70"/>
        <v>72.053503423529662</v>
      </c>
      <c r="AM276">
        <f t="shared" si="71"/>
        <v>53.598496576470339</v>
      </c>
    </row>
    <row r="277" spans="1:39" ht="16.5" x14ac:dyDescent="0.25">
      <c r="A277" s="1">
        <v>45303</v>
      </c>
      <c r="B277" s="5">
        <v>61.36</v>
      </c>
      <c r="C277" s="4">
        <v>62.42</v>
      </c>
      <c r="D277" s="4">
        <v>62.53</v>
      </c>
      <c r="E277" s="4">
        <v>61.18</v>
      </c>
      <c r="F277" s="4" t="s">
        <v>1541</v>
      </c>
      <c r="G277" s="2" t="s">
        <v>1542</v>
      </c>
      <c r="I277">
        <f t="shared" si="58"/>
        <v>62.841999999999999</v>
      </c>
      <c r="J277">
        <f t="shared" si="59"/>
        <v>61.372499999999981</v>
      </c>
      <c r="L277">
        <f t="shared" si="60"/>
        <v>0</v>
      </c>
      <c r="M277">
        <f t="shared" si="61"/>
        <v>1</v>
      </c>
      <c r="O277">
        <f t="shared" si="62"/>
        <v>0</v>
      </c>
      <c r="P277">
        <f t="shared" si="63"/>
        <v>1.0600000000000023</v>
      </c>
      <c r="R277">
        <f t="shared" si="64"/>
        <v>0.46285714285714313</v>
      </c>
      <c r="S277">
        <f t="shared" si="65"/>
        <v>0.70714285714285852</v>
      </c>
      <c r="U277">
        <f t="shared" si="66"/>
        <v>39.560439560439526</v>
      </c>
      <c r="V277">
        <v>86</v>
      </c>
      <c r="W277">
        <v>5</v>
      </c>
      <c r="AH277">
        <f t="shared" si="67"/>
        <v>4.6119853842817102</v>
      </c>
      <c r="AI277">
        <f t="shared" si="68"/>
        <v>56.460499016977067</v>
      </c>
      <c r="AJ277">
        <f t="shared" si="69"/>
        <v>69.22350098302293</v>
      </c>
      <c r="AL277">
        <f t="shared" si="70"/>
        <v>72.065970768563417</v>
      </c>
      <c r="AM277">
        <f t="shared" si="71"/>
        <v>53.61802923143658</v>
      </c>
    </row>
    <row r="278" spans="1:39" ht="16.5" x14ac:dyDescent="0.25">
      <c r="A278" s="1">
        <v>45302</v>
      </c>
      <c r="B278" s="5">
        <v>62.22</v>
      </c>
      <c r="C278" s="4">
        <v>63.52</v>
      </c>
      <c r="D278" s="4">
        <v>64.03</v>
      </c>
      <c r="E278" s="4">
        <v>62.22</v>
      </c>
      <c r="F278" s="4" t="s">
        <v>1539</v>
      </c>
      <c r="G278" s="2" t="s">
        <v>76</v>
      </c>
      <c r="I278">
        <f t="shared" si="58"/>
        <v>62.910000000000004</v>
      </c>
      <c r="J278">
        <f t="shared" si="59"/>
        <v>61.288249999999969</v>
      </c>
      <c r="L278">
        <f t="shared" si="60"/>
        <v>0</v>
      </c>
      <c r="M278">
        <f t="shared" si="61"/>
        <v>1</v>
      </c>
      <c r="O278">
        <f t="shared" si="62"/>
        <v>0</v>
      </c>
      <c r="P278">
        <f t="shared" si="63"/>
        <v>1.3000000000000043</v>
      </c>
      <c r="R278">
        <f t="shared" si="64"/>
        <v>0.46285714285714313</v>
      </c>
      <c r="S278">
        <f t="shared" si="65"/>
        <v>0.58857142857142919</v>
      </c>
      <c r="U278">
        <f t="shared" si="66"/>
        <v>44.021739130434774</v>
      </c>
      <c r="V278">
        <v>86</v>
      </c>
      <c r="W278">
        <v>5</v>
      </c>
      <c r="AH278">
        <f t="shared" si="67"/>
        <v>4.6101880545854854</v>
      </c>
      <c r="AI278">
        <f t="shared" si="68"/>
        <v>56.528499016977072</v>
      </c>
      <c r="AJ278">
        <f t="shared" si="69"/>
        <v>69.291500983022928</v>
      </c>
      <c r="AL278">
        <f t="shared" si="70"/>
        <v>72.130376109170982</v>
      </c>
      <c r="AM278">
        <f t="shared" si="71"/>
        <v>53.689623890829033</v>
      </c>
    </row>
    <row r="279" spans="1:39" ht="16.5" x14ac:dyDescent="0.25">
      <c r="A279" s="1">
        <v>45301</v>
      </c>
      <c r="B279" s="5">
        <v>62.96</v>
      </c>
      <c r="C279" s="4">
        <v>63.74</v>
      </c>
      <c r="D279" s="4">
        <v>64.06</v>
      </c>
      <c r="E279" s="4">
        <v>62.96</v>
      </c>
      <c r="F279" s="4" t="s">
        <v>1395</v>
      </c>
      <c r="G279" s="2" t="s">
        <v>585</v>
      </c>
      <c r="I279">
        <f t="shared" si="58"/>
        <v>62.951499999999996</v>
      </c>
      <c r="J279">
        <f t="shared" si="59"/>
        <v>61.147749999999974</v>
      </c>
      <c r="L279">
        <f t="shared" si="60"/>
        <v>0</v>
      </c>
      <c r="M279">
        <f t="shared" si="61"/>
        <v>1</v>
      </c>
      <c r="O279">
        <f t="shared" si="62"/>
        <v>0</v>
      </c>
      <c r="P279">
        <f t="shared" si="63"/>
        <v>0.78000000000000114</v>
      </c>
      <c r="R279">
        <f t="shared" si="64"/>
        <v>0.46285714285714313</v>
      </c>
      <c r="S279">
        <f t="shared" si="65"/>
        <v>0.40857142857142847</v>
      </c>
      <c r="U279">
        <f t="shared" si="66"/>
        <v>53.114754098360677</v>
      </c>
      <c r="V279">
        <v>86</v>
      </c>
      <c r="W279">
        <v>5</v>
      </c>
      <c r="AH279">
        <f t="shared" si="67"/>
        <v>4.608584308037206</v>
      </c>
      <c r="AI279">
        <f t="shared" si="68"/>
        <v>56.569999016977064</v>
      </c>
      <c r="AJ279">
        <f t="shared" si="69"/>
        <v>69.333000983022927</v>
      </c>
      <c r="AL279">
        <f t="shared" si="70"/>
        <v>72.168668616074413</v>
      </c>
      <c r="AM279">
        <f t="shared" si="71"/>
        <v>53.734331383925586</v>
      </c>
    </row>
    <row r="280" spans="1:39" ht="16.5" x14ac:dyDescent="0.25">
      <c r="A280" s="1">
        <v>45300</v>
      </c>
      <c r="B280" s="5">
        <v>63.8</v>
      </c>
      <c r="C280" s="4">
        <v>63.55</v>
      </c>
      <c r="D280" s="4">
        <v>63.84</v>
      </c>
      <c r="E280" s="4">
        <v>63.23</v>
      </c>
      <c r="F280" s="4" t="s">
        <v>1462</v>
      </c>
      <c r="G280" s="2" t="s">
        <v>138</v>
      </c>
      <c r="I280">
        <f t="shared" si="58"/>
        <v>62.946999999999989</v>
      </c>
      <c r="J280">
        <f t="shared" si="59"/>
        <v>60.985999999999969</v>
      </c>
      <c r="L280">
        <f t="shared" si="60"/>
        <v>1</v>
      </c>
      <c r="M280">
        <f t="shared" si="61"/>
        <v>0</v>
      </c>
      <c r="O280">
        <f t="shared" si="62"/>
        <v>0.25</v>
      </c>
      <c r="P280">
        <f t="shared" si="63"/>
        <v>0</v>
      </c>
      <c r="R280">
        <f t="shared" si="64"/>
        <v>0.46285714285714313</v>
      </c>
      <c r="S280">
        <f t="shared" si="65"/>
        <v>0.32428571428571373</v>
      </c>
      <c r="U280">
        <f t="shared" si="66"/>
        <v>58.802177858439251</v>
      </c>
      <c r="V280">
        <v>86</v>
      </c>
      <c r="W280">
        <v>5</v>
      </c>
      <c r="AH280">
        <f t="shared" si="67"/>
        <v>4.6070611845251355</v>
      </c>
      <c r="AI280">
        <f t="shared" si="68"/>
        <v>56.565499016977057</v>
      </c>
      <c r="AJ280">
        <f t="shared" si="69"/>
        <v>69.32850098302292</v>
      </c>
      <c r="AL280">
        <f t="shared" si="70"/>
        <v>72.161122369050261</v>
      </c>
      <c r="AM280">
        <f t="shared" si="71"/>
        <v>53.732877630949716</v>
      </c>
    </row>
    <row r="281" spans="1:39" ht="16.5" x14ac:dyDescent="0.25">
      <c r="A281" s="1">
        <v>45299</v>
      </c>
      <c r="B281" s="5">
        <v>63.56</v>
      </c>
      <c r="C281" s="4">
        <v>62.5</v>
      </c>
      <c r="D281" s="4">
        <v>63.61</v>
      </c>
      <c r="E281" s="4">
        <v>62.14</v>
      </c>
      <c r="F281" s="4" t="s">
        <v>1543</v>
      </c>
      <c r="G281" s="2" t="s">
        <v>276</v>
      </c>
      <c r="I281">
        <f t="shared" si="58"/>
        <v>62.873999999999988</v>
      </c>
      <c r="J281">
        <f t="shared" si="59"/>
        <v>60.823249999999973</v>
      </c>
      <c r="L281">
        <f t="shared" si="60"/>
        <v>1</v>
      </c>
      <c r="M281">
        <f t="shared" si="61"/>
        <v>0</v>
      </c>
      <c r="O281">
        <f t="shared" si="62"/>
        <v>1.0600000000000023</v>
      </c>
      <c r="P281">
        <f t="shared" si="63"/>
        <v>0</v>
      </c>
      <c r="R281">
        <f t="shared" si="64"/>
        <v>0.47857142857142876</v>
      </c>
      <c r="S281">
        <f t="shared" si="65"/>
        <v>0.32428571428571373</v>
      </c>
      <c r="U281">
        <f t="shared" si="66"/>
        <v>59.608540925266951</v>
      </c>
      <c r="V281">
        <v>86</v>
      </c>
      <c r="W281">
        <v>5</v>
      </c>
      <c r="AH281">
        <f t="shared" si="67"/>
        <v>4.6054201080079871</v>
      </c>
      <c r="AI281">
        <f t="shared" si="68"/>
        <v>56.492499016977057</v>
      </c>
      <c r="AJ281">
        <f t="shared" si="69"/>
        <v>69.255500983022912</v>
      </c>
      <c r="AL281">
        <f t="shared" si="70"/>
        <v>72.084840216015962</v>
      </c>
      <c r="AM281">
        <f t="shared" si="71"/>
        <v>53.663159783984014</v>
      </c>
    </row>
    <row r="282" spans="1:39" ht="16.5" x14ac:dyDescent="0.25">
      <c r="A282" s="1">
        <v>45296</v>
      </c>
      <c r="B282" s="5">
        <v>62.55</v>
      </c>
      <c r="C282" s="4">
        <v>62</v>
      </c>
      <c r="D282" s="4">
        <v>63.3</v>
      </c>
      <c r="E282" s="4">
        <v>61.51</v>
      </c>
      <c r="F282" s="4" t="s">
        <v>1544</v>
      </c>
      <c r="G282" s="2" t="s">
        <v>1530</v>
      </c>
      <c r="I282">
        <f t="shared" si="58"/>
        <v>62.814499999999988</v>
      </c>
      <c r="J282">
        <f t="shared" si="59"/>
        <v>60.670499999999969</v>
      </c>
      <c r="L282">
        <f t="shared" si="60"/>
        <v>1</v>
      </c>
      <c r="M282">
        <f t="shared" si="61"/>
        <v>0</v>
      </c>
      <c r="O282">
        <f t="shared" si="62"/>
        <v>0.54999999999999716</v>
      </c>
      <c r="P282">
        <f t="shared" si="63"/>
        <v>0</v>
      </c>
      <c r="R282">
        <f t="shared" si="64"/>
        <v>0.34142857142857153</v>
      </c>
      <c r="S282">
        <f t="shared" si="65"/>
        <v>0.32428571428571373</v>
      </c>
      <c r="U282">
        <f t="shared" si="66"/>
        <v>51.287553648068723</v>
      </c>
      <c r="V282">
        <v>86</v>
      </c>
      <c r="W282">
        <v>5</v>
      </c>
      <c r="AH282">
        <f t="shared" si="67"/>
        <v>4.6033553110992322</v>
      </c>
      <c r="AI282">
        <f t="shared" si="68"/>
        <v>56.432999016977057</v>
      </c>
      <c r="AJ282">
        <f t="shared" si="69"/>
        <v>69.196000983022913</v>
      </c>
      <c r="AL282">
        <f t="shared" si="70"/>
        <v>72.021210622198453</v>
      </c>
      <c r="AM282">
        <f t="shared" si="71"/>
        <v>53.607789377801524</v>
      </c>
    </row>
    <row r="283" spans="1:39" ht="16.5" x14ac:dyDescent="0.25">
      <c r="A283" s="1">
        <v>45295</v>
      </c>
      <c r="B283" s="5">
        <v>62.32</v>
      </c>
      <c r="C283" s="4">
        <v>62.42</v>
      </c>
      <c r="D283" s="4">
        <v>62.86</v>
      </c>
      <c r="E283" s="4">
        <v>62.24</v>
      </c>
      <c r="F283" s="4" t="s">
        <v>1545</v>
      </c>
      <c r="G283" s="2" t="s">
        <v>422</v>
      </c>
      <c r="I283">
        <f t="shared" si="58"/>
        <v>62.759499999999989</v>
      </c>
      <c r="J283">
        <f t="shared" si="59"/>
        <v>60.528499999999973</v>
      </c>
      <c r="L283">
        <f t="shared" si="60"/>
        <v>0</v>
      </c>
      <c r="M283">
        <f t="shared" si="61"/>
        <v>1</v>
      </c>
      <c r="O283">
        <f t="shared" si="62"/>
        <v>0</v>
      </c>
      <c r="P283">
        <f t="shared" si="63"/>
        <v>0.10000000000000142</v>
      </c>
      <c r="R283">
        <f t="shared" si="64"/>
        <v>0.30666666666666725</v>
      </c>
      <c r="S283">
        <f t="shared" si="65"/>
        <v>0.30874999999999897</v>
      </c>
      <c r="U283">
        <f t="shared" si="66"/>
        <v>49.830737982396883</v>
      </c>
      <c r="V283">
        <v>86</v>
      </c>
      <c r="W283">
        <v>5</v>
      </c>
      <c r="AH283">
        <f t="shared" si="67"/>
        <v>4.6009128558690096</v>
      </c>
      <c r="AI283">
        <f t="shared" si="68"/>
        <v>56.377999016977057</v>
      </c>
      <c r="AJ283">
        <f t="shared" si="69"/>
        <v>69.14100098302292</v>
      </c>
      <c r="AL283">
        <f t="shared" si="70"/>
        <v>71.961325711738013</v>
      </c>
      <c r="AM283">
        <f t="shared" si="71"/>
        <v>53.557674288261971</v>
      </c>
    </row>
    <row r="284" spans="1:39" ht="16.5" x14ac:dyDescent="0.25">
      <c r="A284" s="1">
        <v>45294</v>
      </c>
      <c r="B284" s="5">
        <v>62.2</v>
      </c>
      <c r="C284" s="4">
        <v>63.38</v>
      </c>
      <c r="D284" s="4">
        <v>63.61</v>
      </c>
      <c r="E284" s="4">
        <v>61.89</v>
      </c>
      <c r="F284" s="4" t="s">
        <v>1408</v>
      </c>
      <c r="G284" s="2" t="s">
        <v>859</v>
      </c>
      <c r="I284">
        <f t="shared" si="58"/>
        <v>62.669499999999992</v>
      </c>
      <c r="J284">
        <f t="shared" si="59"/>
        <v>60.408749999999984</v>
      </c>
      <c r="L284">
        <f t="shared" si="60"/>
        <v>0</v>
      </c>
      <c r="M284">
        <f t="shared" si="61"/>
        <v>1</v>
      </c>
      <c r="O284">
        <f t="shared" si="62"/>
        <v>0</v>
      </c>
      <c r="P284">
        <f t="shared" si="63"/>
        <v>1.1799999999999997</v>
      </c>
      <c r="R284">
        <f t="shared" si="64"/>
        <v>0.30666666666666725</v>
      </c>
      <c r="S284">
        <f t="shared" si="65"/>
        <v>0.36499999999999932</v>
      </c>
      <c r="U284">
        <f t="shared" si="66"/>
        <v>45.657568238213493</v>
      </c>
      <c r="V284">
        <v>86</v>
      </c>
      <c r="W284">
        <v>5</v>
      </c>
      <c r="AH284">
        <f t="shared" si="67"/>
        <v>4.5981009002425006</v>
      </c>
      <c r="AI284">
        <f t="shared" si="68"/>
        <v>56.287999016977061</v>
      </c>
      <c r="AJ284">
        <f t="shared" si="69"/>
        <v>69.051000983022917</v>
      </c>
      <c r="AL284">
        <f t="shared" si="70"/>
        <v>71.865701800484999</v>
      </c>
      <c r="AM284">
        <f t="shared" si="71"/>
        <v>53.473298199514993</v>
      </c>
    </row>
    <row r="285" spans="1:39" ht="16.5" x14ac:dyDescent="0.25">
      <c r="A285" s="1">
        <v>45293</v>
      </c>
      <c r="B285" s="5">
        <v>63.33</v>
      </c>
      <c r="C285" s="4">
        <v>62.75</v>
      </c>
      <c r="D285" s="4">
        <v>63.78</v>
      </c>
      <c r="E285" s="4">
        <v>62.26</v>
      </c>
      <c r="F285" s="4" t="s">
        <v>722</v>
      </c>
      <c r="G285" s="2" t="s">
        <v>1546</v>
      </c>
      <c r="I285">
        <f t="shared" si="58"/>
        <v>62.566500000000005</v>
      </c>
      <c r="J285">
        <f t="shared" si="59"/>
        <v>60.301249999999996</v>
      </c>
      <c r="L285">
        <f t="shared" si="60"/>
        <v>1</v>
      </c>
      <c r="M285">
        <f t="shared" si="61"/>
        <v>0</v>
      </c>
      <c r="O285">
        <f t="shared" si="62"/>
        <v>0.57999999999999829</v>
      </c>
      <c r="P285">
        <f t="shared" si="63"/>
        <v>0</v>
      </c>
      <c r="R285">
        <f t="shared" si="64"/>
        <v>0.27571428571428569</v>
      </c>
      <c r="S285">
        <f t="shared" si="65"/>
        <v>0.24857142857142783</v>
      </c>
      <c r="U285">
        <f t="shared" si="66"/>
        <v>52.588555858310691</v>
      </c>
      <c r="V285">
        <v>86</v>
      </c>
      <c r="W285">
        <v>5</v>
      </c>
      <c r="AH285">
        <f t="shared" si="67"/>
        <v>4.5947415378560601</v>
      </c>
      <c r="AI285">
        <f t="shared" si="68"/>
        <v>56.184999016977073</v>
      </c>
      <c r="AJ285">
        <f t="shared" si="69"/>
        <v>68.948000983022936</v>
      </c>
      <c r="AL285">
        <f t="shared" si="70"/>
        <v>71.755983075712123</v>
      </c>
      <c r="AM285">
        <f t="shared" si="71"/>
        <v>53.377016924287886</v>
      </c>
    </row>
    <row r="286" spans="1:39" ht="16.5" x14ac:dyDescent="0.25">
      <c r="A286" s="1">
        <v>45289</v>
      </c>
      <c r="B286" s="5">
        <v>62.55</v>
      </c>
      <c r="C286" s="4">
        <v>62.3</v>
      </c>
      <c r="D286" s="4">
        <v>62.76</v>
      </c>
      <c r="E286" s="4">
        <v>62.26</v>
      </c>
      <c r="F286" s="4" t="s">
        <v>1547</v>
      </c>
      <c r="G286" s="2" t="s">
        <v>1273</v>
      </c>
      <c r="I286">
        <f t="shared" si="58"/>
        <v>62.378999999999998</v>
      </c>
      <c r="J286">
        <f t="shared" si="59"/>
        <v>60.155999999999992</v>
      </c>
      <c r="L286">
        <f t="shared" si="60"/>
        <v>1</v>
      </c>
      <c r="M286">
        <f t="shared" si="61"/>
        <v>0</v>
      </c>
      <c r="O286">
        <f t="shared" si="62"/>
        <v>0.25</v>
      </c>
      <c r="P286">
        <f t="shared" si="63"/>
        <v>0</v>
      </c>
      <c r="R286">
        <f t="shared" si="64"/>
        <v>0.25428571428571445</v>
      </c>
      <c r="S286">
        <f t="shared" si="65"/>
        <v>0.24857142857142783</v>
      </c>
      <c r="U286">
        <f t="shared" si="66"/>
        <v>50.568181818181912</v>
      </c>
      <c r="V286">
        <v>86</v>
      </c>
      <c r="W286">
        <v>5</v>
      </c>
      <c r="AH286">
        <f t="shared" si="67"/>
        <v>4.5907497657203375</v>
      </c>
      <c r="AI286">
        <f t="shared" si="68"/>
        <v>55.997499016977066</v>
      </c>
      <c r="AJ286">
        <f t="shared" si="69"/>
        <v>68.760500983022922</v>
      </c>
      <c r="AL286">
        <f t="shared" si="70"/>
        <v>71.560499531440669</v>
      </c>
      <c r="AM286">
        <f t="shared" si="71"/>
        <v>53.197500468559326</v>
      </c>
    </row>
    <row r="287" spans="1:39" ht="16.5" x14ac:dyDescent="0.25">
      <c r="A287" s="1">
        <v>45288</v>
      </c>
      <c r="B287" s="5">
        <v>62.26</v>
      </c>
      <c r="C287" s="4">
        <v>62.79</v>
      </c>
      <c r="D287" s="4">
        <v>62.83</v>
      </c>
      <c r="E287" s="4">
        <v>62.22</v>
      </c>
      <c r="F287" s="4" t="s">
        <v>456</v>
      </c>
      <c r="G287" s="2" t="s">
        <v>392</v>
      </c>
      <c r="I287">
        <f t="shared" si="58"/>
        <v>62.216000000000008</v>
      </c>
      <c r="J287">
        <f t="shared" si="59"/>
        <v>59.991499999999995</v>
      </c>
      <c r="L287">
        <f t="shared" si="60"/>
        <v>0</v>
      </c>
      <c r="M287">
        <f t="shared" si="61"/>
        <v>1</v>
      </c>
      <c r="O287">
        <f t="shared" si="62"/>
        <v>0</v>
      </c>
      <c r="P287">
        <f t="shared" si="63"/>
        <v>0.53000000000000114</v>
      </c>
      <c r="R287">
        <f t="shared" si="64"/>
        <v>0.25571428571428662</v>
      </c>
      <c r="S287">
        <f t="shared" si="65"/>
        <v>0.24857142857142783</v>
      </c>
      <c r="U287">
        <f t="shared" si="66"/>
        <v>50.708215297450586</v>
      </c>
      <c r="V287">
        <v>86</v>
      </c>
      <c r="W287">
        <v>5</v>
      </c>
      <c r="AH287">
        <f t="shared" si="67"/>
        <v>4.585671398753866</v>
      </c>
      <c r="AI287">
        <f t="shared" si="68"/>
        <v>55.834499016977077</v>
      </c>
      <c r="AJ287">
        <f t="shared" si="69"/>
        <v>68.59750098302294</v>
      </c>
      <c r="AL287">
        <f t="shared" si="70"/>
        <v>71.387342797507742</v>
      </c>
      <c r="AM287">
        <f t="shared" si="71"/>
        <v>53.044657202492274</v>
      </c>
    </row>
    <row r="288" spans="1:39" ht="16.5" x14ac:dyDescent="0.25">
      <c r="A288" s="1">
        <v>45287</v>
      </c>
      <c r="B288" s="5">
        <v>62.67</v>
      </c>
      <c r="C288" s="4">
        <v>62.67</v>
      </c>
      <c r="D288" s="4">
        <v>63.02</v>
      </c>
      <c r="E288" s="4">
        <v>62.38</v>
      </c>
      <c r="F288" s="4" t="s">
        <v>136</v>
      </c>
      <c r="G288" s="2" t="s">
        <v>163</v>
      </c>
      <c r="I288">
        <f t="shared" si="58"/>
        <v>62.000999999999998</v>
      </c>
      <c r="J288">
        <f t="shared" si="59"/>
        <v>59.82074999999999</v>
      </c>
      <c r="L288">
        <f t="shared" si="60"/>
        <v>0</v>
      </c>
      <c r="M288">
        <f t="shared" si="61"/>
        <v>1</v>
      </c>
      <c r="O288">
        <f t="shared" si="62"/>
        <v>0</v>
      </c>
      <c r="P288">
        <f t="shared" si="63"/>
        <v>0</v>
      </c>
      <c r="R288">
        <f t="shared" si="64"/>
        <v>0.30750000000000011</v>
      </c>
      <c r="S288">
        <f t="shared" si="65"/>
        <v>0.20166666666666563</v>
      </c>
      <c r="U288">
        <f t="shared" si="66"/>
        <v>60.392798690671157</v>
      </c>
      <c r="V288">
        <v>86</v>
      </c>
      <c r="W288">
        <v>5</v>
      </c>
      <c r="AH288">
        <f t="shared" si="67"/>
        <v>4.5795747087308705</v>
      </c>
      <c r="AI288">
        <f t="shared" si="68"/>
        <v>55.619499016977066</v>
      </c>
      <c r="AJ288">
        <f t="shared" si="69"/>
        <v>68.382500983022922</v>
      </c>
      <c r="AL288">
        <f t="shared" si="70"/>
        <v>71.160149417461739</v>
      </c>
      <c r="AM288">
        <f t="shared" si="71"/>
        <v>52.841850582538257</v>
      </c>
    </row>
    <row r="289" spans="1:39" ht="16.5" x14ac:dyDescent="0.25">
      <c r="A289" s="1">
        <v>45282</v>
      </c>
      <c r="B289" s="5">
        <v>62.85</v>
      </c>
      <c r="C289" s="4">
        <v>62.61</v>
      </c>
      <c r="D289" s="4">
        <v>63.25</v>
      </c>
      <c r="E289" s="4">
        <v>62.53</v>
      </c>
      <c r="F289" s="4" t="s">
        <v>210</v>
      </c>
      <c r="G289" s="2" t="s">
        <v>988</v>
      </c>
      <c r="I289">
        <f t="shared" si="58"/>
        <v>61.785499999999992</v>
      </c>
      <c r="J289">
        <f t="shared" si="59"/>
        <v>59.643499999999982</v>
      </c>
      <c r="L289">
        <f t="shared" si="60"/>
        <v>1</v>
      </c>
      <c r="M289">
        <f t="shared" si="61"/>
        <v>0</v>
      </c>
      <c r="O289">
        <f t="shared" si="62"/>
        <v>0.24000000000000199</v>
      </c>
      <c r="P289">
        <f t="shared" si="63"/>
        <v>0</v>
      </c>
      <c r="R289">
        <f t="shared" si="64"/>
        <v>0.40111111111111186</v>
      </c>
      <c r="S289">
        <f t="shared" si="65"/>
        <v>0.24199999999999874</v>
      </c>
      <c r="U289">
        <f t="shared" si="66"/>
        <v>62.370421561852275</v>
      </c>
      <c r="V289">
        <v>86</v>
      </c>
      <c r="W289">
        <v>5</v>
      </c>
      <c r="AH289">
        <f t="shared" si="67"/>
        <v>4.5721197454017473</v>
      </c>
      <c r="AI289">
        <f t="shared" si="68"/>
        <v>55.40399901697706</v>
      </c>
      <c r="AJ289">
        <f t="shared" si="69"/>
        <v>68.167000983022916</v>
      </c>
      <c r="AL289">
        <f t="shared" si="70"/>
        <v>70.929739490803485</v>
      </c>
      <c r="AM289">
        <f t="shared" si="71"/>
        <v>52.641260509196499</v>
      </c>
    </row>
    <row r="290" spans="1:39" ht="16.5" x14ac:dyDescent="0.25">
      <c r="A290" s="1">
        <v>45281</v>
      </c>
      <c r="B290" s="5">
        <v>62.71</v>
      </c>
      <c r="C290" s="4">
        <v>62.4</v>
      </c>
      <c r="D290" s="4">
        <v>62.78</v>
      </c>
      <c r="E290" s="4">
        <v>62.08</v>
      </c>
      <c r="F290" s="4" t="s">
        <v>759</v>
      </c>
      <c r="G290" s="2" t="s">
        <v>794</v>
      </c>
      <c r="I290">
        <f t="shared" si="58"/>
        <v>61.571000000000005</v>
      </c>
      <c r="J290">
        <f t="shared" si="59"/>
        <v>59.477499999999985</v>
      </c>
      <c r="L290">
        <f t="shared" si="60"/>
        <v>1</v>
      </c>
      <c r="M290">
        <f t="shared" si="61"/>
        <v>0</v>
      </c>
      <c r="O290">
        <f t="shared" si="62"/>
        <v>0.31000000000000227</v>
      </c>
      <c r="P290">
        <f t="shared" si="63"/>
        <v>0</v>
      </c>
      <c r="R290">
        <f t="shared" si="64"/>
        <v>0.42111111111111182</v>
      </c>
      <c r="S290">
        <f t="shared" si="65"/>
        <v>0.24199999999999874</v>
      </c>
      <c r="U290">
        <f t="shared" si="66"/>
        <v>63.505361930295066</v>
      </c>
      <c r="V290">
        <v>86</v>
      </c>
      <c r="W290">
        <v>5</v>
      </c>
      <c r="AH290">
        <f t="shared" si="67"/>
        <v>4.5632216058608082</v>
      </c>
      <c r="AI290">
        <f t="shared" si="68"/>
        <v>55.189499016977074</v>
      </c>
      <c r="AJ290">
        <f t="shared" si="69"/>
        <v>67.952500983022929</v>
      </c>
      <c r="AL290">
        <f t="shared" si="70"/>
        <v>70.69744321172162</v>
      </c>
      <c r="AM290">
        <f t="shared" si="71"/>
        <v>52.444556788278391</v>
      </c>
    </row>
    <row r="291" spans="1:39" ht="16.5" x14ac:dyDescent="0.25">
      <c r="A291" s="1">
        <v>45280</v>
      </c>
      <c r="B291" s="5">
        <v>63.14</v>
      </c>
      <c r="C291" s="4">
        <v>63.37</v>
      </c>
      <c r="D291" s="4">
        <v>63.92</v>
      </c>
      <c r="E291" s="4">
        <v>62.91</v>
      </c>
      <c r="F291" s="4" t="s">
        <v>343</v>
      </c>
      <c r="G291" s="2" t="s">
        <v>114</v>
      </c>
      <c r="I291">
        <f t="shared" si="58"/>
        <v>61.347499999999989</v>
      </c>
      <c r="J291">
        <f t="shared" si="59"/>
        <v>59.355749999999986</v>
      </c>
      <c r="L291">
        <f t="shared" si="60"/>
        <v>0</v>
      </c>
      <c r="M291">
        <f t="shared" si="61"/>
        <v>1</v>
      </c>
      <c r="O291">
        <f t="shared" si="62"/>
        <v>0</v>
      </c>
      <c r="P291">
        <f t="shared" si="63"/>
        <v>0.22999999999999687</v>
      </c>
      <c r="R291">
        <f t="shared" si="64"/>
        <v>0.43888888888888922</v>
      </c>
      <c r="S291">
        <f t="shared" si="65"/>
        <v>0.24199999999999874</v>
      </c>
      <c r="U291">
        <f t="shared" si="66"/>
        <v>64.458224543081073</v>
      </c>
      <c r="V291">
        <v>86</v>
      </c>
      <c r="W291">
        <v>5</v>
      </c>
      <c r="AH291">
        <f t="shared" si="67"/>
        <v>4.5528000353297839</v>
      </c>
      <c r="AI291">
        <f t="shared" si="68"/>
        <v>54.965999016977058</v>
      </c>
      <c r="AJ291">
        <f t="shared" si="69"/>
        <v>67.729000983022914</v>
      </c>
      <c r="AL291">
        <f t="shared" si="70"/>
        <v>70.453100070659559</v>
      </c>
      <c r="AM291">
        <f t="shared" si="71"/>
        <v>52.24189992934042</v>
      </c>
    </row>
    <row r="292" spans="1:39" ht="16.5" x14ac:dyDescent="0.25">
      <c r="A292" s="1">
        <v>45279</v>
      </c>
      <c r="B292" s="5">
        <v>63.21</v>
      </c>
      <c r="C292" s="4">
        <v>63.25</v>
      </c>
      <c r="D292" s="4">
        <v>63.66</v>
      </c>
      <c r="E292" s="4">
        <v>63.15</v>
      </c>
      <c r="F292" s="4" t="s">
        <v>191</v>
      </c>
      <c r="G292" s="2" t="s">
        <v>294</v>
      </c>
      <c r="I292">
        <f t="shared" si="58"/>
        <v>61.104499999999994</v>
      </c>
      <c r="J292">
        <f t="shared" si="59"/>
        <v>59.311749999999996</v>
      </c>
      <c r="L292">
        <f t="shared" si="60"/>
        <v>0</v>
      </c>
      <c r="M292">
        <f t="shared" si="61"/>
        <v>1</v>
      </c>
      <c r="O292">
        <f t="shared" si="62"/>
        <v>0</v>
      </c>
      <c r="P292">
        <f t="shared" si="63"/>
        <v>3.9999999999999147E-2</v>
      </c>
      <c r="R292">
        <f t="shared" si="64"/>
        <v>0.43888888888888922</v>
      </c>
      <c r="S292">
        <f t="shared" si="65"/>
        <v>0.19599999999999937</v>
      </c>
      <c r="U292">
        <f t="shared" si="66"/>
        <v>69.128456422821216</v>
      </c>
      <c r="V292">
        <v>86</v>
      </c>
      <c r="W292">
        <v>5</v>
      </c>
      <c r="AH292">
        <f t="shared" si="67"/>
        <v>4.5407079645535511</v>
      </c>
      <c r="AI292">
        <f t="shared" si="68"/>
        <v>54.722999016977063</v>
      </c>
      <c r="AJ292">
        <f t="shared" si="69"/>
        <v>67.486000983022919</v>
      </c>
      <c r="AL292">
        <f t="shared" si="70"/>
        <v>70.185915929107097</v>
      </c>
      <c r="AM292">
        <f t="shared" si="71"/>
        <v>52.023084070892892</v>
      </c>
    </row>
    <row r="293" spans="1:39" ht="16.5" x14ac:dyDescent="0.25">
      <c r="A293" s="1">
        <v>45278</v>
      </c>
      <c r="B293" s="5">
        <v>63.54</v>
      </c>
      <c r="C293" s="4">
        <v>63.73</v>
      </c>
      <c r="D293" s="4">
        <v>63.81</v>
      </c>
      <c r="E293" s="4">
        <v>63.29</v>
      </c>
      <c r="F293" s="4" t="s">
        <v>1399</v>
      </c>
      <c r="G293" s="2" t="s">
        <v>1315</v>
      </c>
      <c r="I293">
        <f t="shared" si="58"/>
        <v>60.852000000000011</v>
      </c>
      <c r="J293">
        <f t="shared" si="59"/>
        <v>59.269750000000009</v>
      </c>
      <c r="L293">
        <f t="shared" si="60"/>
        <v>0</v>
      </c>
      <c r="M293">
        <f t="shared" si="61"/>
        <v>1</v>
      </c>
      <c r="O293">
        <f t="shared" si="62"/>
        <v>0</v>
      </c>
      <c r="P293">
        <f t="shared" si="63"/>
        <v>0.18999999999999773</v>
      </c>
      <c r="R293">
        <f t="shared" si="64"/>
        <v>0.52400000000000024</v>
      </c>
      <c r="S293">
        <f t="shared" si="65"/>
        <v>0.23499999999999943</v>
      </c>
      <c r="U293">
        <f t="shared" si="66"/>
        <v>69.03820816864301</v>
      </c>
      <c r="V293">
        <v>86</v>
      </c>
      <c r="W293">
        <v>5</v>
      </c>
      <c r="AH293">
        <f t="shared" si="67"/>
        <v>4.5267157010442638</v>
      </c>
      <c r="AI293">
        <f t="shared" si="68"/>
        <v>54.47049901697708</v>
      </c>
      <c r="AJ293">
        <f t="shared" si="69"/>
        <v>67.233500983022935</v>
      </c>
      <c r="AL293">
        <f t="shared" si="70"/>
        <v>69.905431402088539</v>
      </c>
      <c r="AM293">
        <f t="shared" si="71"/>
        <v>51.798568597911483</v>
      </c>
    </row>
    <row r="294" spans="1:39" ht="16.5" x14ac:dyDescent="0.25">
      <c r="A294" s="1">
        <v>45275</v>
      </c>
      <c r="B294" s="5">
        <v>64.37</v>
      </c>
      <c r="C294" s="4">
        <v>64.010000000000005</v>
      </c>
      <c r="D294" s="4">
        <v>65.319999999999993</v>
      </c>
      <c r="E294" s="4">
        <v>63.97</v>
      </c>
      <c r="F294" s="4" t="s">
        <v>1548</v>
      </c>
      <c r="G294" s="2" t="s">
        <v>420</v>
      </c>
      <c r="I294">
        <f t="shared" si="58"/>
        <v>60.621500000000012</v>
      </c>
      <c r="J294">
        <f t="shared" si="59"/>
        <v>59.223750000000017</v>
      </c>
      <c r="L294">
        <f t="shared" si="60"/>
        <v>1</v>
      </c>
      <c r="M294">
        <f t="shared" si="61"/>
        <v>0</v>
      </c>
      <c r="O294">
        <f t="shared" si="62"/>
        <v>0.35999999999999943</v>
      </c>
      <c r="P294">
        <f t="shared" si="63"/>
        <v>0</v>
      </c>
      <c r="R294">
        <f t="shared" si="64"/>
        <v>0.52400000000000024</v>
      </c>
      <c r="S294">
        <f t="shared" si="65"/>
        <v>0.19749999999999979</v>
      </c>
      <c r="U294">
        <f t="shared" si="66"/>
        <v>72.626472626472662</v>
      </c>
      <c r="V294">
        <v>86</v>
      </c>
      <c r="W294">
        <v>5</v>
      </c>
      <c r="AH294">
        <f t="shared" si="67"/>
        <v>4.510637852466882</v>
      </c>
      <c r="AI294">
        <f t="shared" si="68"/>
        <v>54.23999901697708</v>
      </c>
      <c r="AJ294">
        <f t="shared" si="69"/>
        <v>67.003000983022943</v>
      </c>
      <c r="AL294">
        <f t="shared" si="70"/>
        <v>69.642775704933769</v>
      </c>
      <c r="AM294">
        <f t="shared" si="71"/>
        <v>51.600224295066248</v>
      </c>
    </row>
    <row r="295" spans="1:39" ht="16.5" x14ac:dyDescent="0.25">
      <c r="A295" s="1">
        <v>45274</v>
      </c>
      <c r="B295" s="5">
        <v>63.5</v>
      </c>
      <c r="C295" s="4">
        <v>63.4</v>
      </c>
      <c r="D295" s="4">
        <v>64.19</v>
      </c>
      <c r="E295" s="4">
        <v>63.05</v>
      </c>
      <c r="F295" s="4" t="s">
        <v>927</v>
      </c>
      <c r="G295" s="2" t="s">
        <v>1193</v>
      </c>
      <c r="I295">
        <f t="shared" si="58"/>
        <v>60.333000000000006</v>
      </c>
      <c r="J295">
        <f t="shared" si="59"/>
        <v>59.164750000000012</v>
      </c>
      <c r="L295">
        <f t="shared" si="60"/>
        <v>1</v>
      </c>
      <c r="M295">
        <f t="shared" si="61"/>
        <v>0</v>
      </c>
      <c r="O295">
        <f t="shared" si="62"/>
        <v>0.10000000000000142</v>
      </c>
      <c r="P295">
        <f t="shared" si="63"/>
        <v>0</v>
      </c>
      <c r="R295">
        <f t="shared" si="64"/>
        <v>0.54222222222222249</v>
      </c>
      <c r="S295">
        <f t="shared" si="65"/>
        <v>0.18599999999999994</v>
      </c>
      <c r="U295">
        <f t="shared" si="66"/>
        <v>74.45834604821485</v>
      </c>
      <c r="V295">
        <v>86</v>
      </c>
      <c r="W295">
        <v>5</v>
      </c>
      <c r="AH295">
        <f t="shared" si="67"/>
        <v>4.4925006767568201</v>
      </c>
      <c r="AI295">
        <f t="shared" si="68"/>
        <v>53.951499016977074</v>
      </c>
      <c r="AJ295">
        <f t="shared" si="69"/>
        <v>66.71450098302293</v>
      </c>
      <c r="AL295">
        <f t="shared" si="70"/>
        <v>69.318001353513651</v>
      </c>
      <c r="AM295">
        <f t="shared" si="71"/>
        <v>51.347998646486367</v>
      </c>
    </row>
    <row r="296" spans="1:39" ht="16.5" x14ac:dyDescent="0.25">
      <c r="A296" s="1">
        <v>45273</v>
      </c>
      <c r="B296" s="5">
        <v>61.74</v>
      </c>
      <c r="C296" s="4">
        <v>61.94</v>
      </c>
      <c r="D296" s="4">
        <v>62.61</v>
      </c>
      <c r="E296" s="4">
        <v>61.67</v>
      </c>
      <c r="F296" s="4" t="s">
        <v>1416</v>
      </c>
      <c r="G296" s="2" t="s">
        <v>1549</v>
      </c>
      <c r="I296">
        <f t="shared" si="58"/>
        <v>60.055500000000009</v>
      </c>
      <c r="J296">
        <f t="shared" si="59"/>
        <v>59.163500000000013</v>
      </c>
      <c r="L296">
        <f t="shared" si="60"/>
        <v>0</v>
      </c>
      <c r="M296">
        <f t="shared" si="61"/>
        <v>1</v>
      </c>
      <c r="O296">
        <f t="shared" si="62"/>
        <v>0</v>
      </c>
      <c r="P296">
        <f t="shared" si="63"/>
        <v>0.19999999999999574</v>
      </c>
      <c r="R296">
        <f t="shared" si="64"/>
        <v>0.59333333333333371</v>
      </c>
      <c r="S296">
        <f t="shared" si="65"/>
        <v>0.18599999999999994</v>
      </c>
      <c r="U296">
        <f t="shared" si="66"/>
        <v>76.133447390932432</v>
      </c>
      <c r="V296">
        <v>86</v>
      </c>
      <c r="W296">
        <v>5</v>
      </c>
      <c r="AH296">
        <f t="shared" si="67"/>
        <v>4.4717380730107896</v>
      </c>
      <c r="AI296">
        <f t="shared" si="68"/>
        <v>53.673999016977078</v>
      </c>
      <c r="AJ296">
        <f t="shared" si="69"/>
        <v>66.437000983022941</v>
      </c>
      <c r="AL296">
        <f t="shared" si="70"/>
        <v>68.99897614602159</v>
      </c>
      <c r="AM296">
        <f t="shared" si="71"/>
        <v>51.112023853978428</v>
      </c>
    </row>
    <row r="297" spans="1:39" ht="16.5" x14ac:dyDescent="0.25">
      <c r="A297" s="1">
        <v>45272</v>
      </c>
      <c r="B297" s="5">
        <v>62.72</v>
      </c>
      <c r="C297" s="4">
        <v>63.27</v>
      </c>
      <c r="D297" s="4">
        <v>63.61</v>
      </c>
      <c r="E297" s="4">
        <v>62.72</v>
      </c>
      <c r="F297" s="4" t="s">
        <v>1536</v>
      </c>
      <c r="G297" s="2" t="s">
        <v>294</v>
      </c>
      <c r="I297">
        <f t="shared" si="58"/>
        <v>59.902999999999999</v>
      </c>
      <c r="J297">
        <f t="shared" si="59"/>
        <v>59.224499999999992</v>
      </c>
      <c r="L297">
        <f t="shared" si="60"/>
        <v>0</v>
      </c>
      <c r="M297">
        <f t="shared" si="61"/>
        <v>1</v>
      </c>
      <c r="O297">
        <f t="shared" si="62"/>
        <v>0</v>
      </c>
      <c r="P297">
        <f t="shared" si="63"/>
        <v>0.55000000000000426</v>
      </c>
      <c r="R297">
        <f t="shared" si="64"/>
        <v>0.59333333333333371</v>
      </c>
      <c r="S297">
        <f t="shared" si="65"/>
        <v>0.1780000000000001</v>
      </c>
      <c r="U297">
        <f t="shared" si="66"/>
        <v>76.923076923076934</v>
      </c>
      <c r="V297">
        <v>86</v>
      </c>
      <c r="W297">
        <v>5</v>
      </c>
      <c r="AH297">
        <f t="shared" si="67"/>
        <v>4.4482570443758584</v>
      </c>
      <c r="AI297">
        <f t="shared" si="68"/>
        <v>53.521499016977067</v>
      </c>
      <c r="AJ297">
        <f t="shared" si="69"/>
        <v>66.284500983022923</v>
      </c>
      <c r="AL297">
        <f t="shared" si="70"/>
        <v>68.799514088751721</v>
      </c>
      <c r="AM297">
        <f t="shared" si="71"/>
        <v>51.006485911248284</v>
      </c>
    </row>
    <row r="298" spans="1:39" ht="16.5" x14ac:dyDescent="0.25">
      <c r="A298" s="1">
        <v>45271</v>
      </c>
      <c r="B298" s="5">
        <v>63.05</v>
      </c>
      <c r="C298" s="4">
        <v>62.96</v>
      </c>
      <c r="D298" s="4">
        <v>63.25</v>
      </c>
      <c r="E298" s="4">
        <v>62.47</v>
      </c>
      <c r="F298" s="4" t="s">
        <v>1417</v>
      </c>
      <c r="G298" s="2" t="s">
        <v>1076</v>
      </c>
      <c r="I298">
        <f t="shared" si="58"/>
        <v>59.666499999999999</v>
      </c>
      <c r="J298">
        <f t="shared" si="59"/>
        <v>59.278249999999993</v>
      </c>
      <c r="L298">
        <f t="shared" si="60"/>
        <v>1</v>
      </c>
      <c r="M298">
        <f t="shared" si="61"/>
        <v>0</v>
      </c>
      <c r="O298">
        <f t="shared" si="62"/>
        <v>8.9999999999996305E-2</v>
      </c>
      <c r="P298">
        <f t="shared" si="63"/>
        <v>0</v>
      </c>
      <c r="R298">
        <f t="shared" si="64"/>
        <v>0.59333333333333371</v>
      </c>
      <c r="S298">
        <f t="shared" si="65"/>
        <v>0.1019999999999996</v>
      </c>
      <c r="U298">
        <f t="shared" si="66"/>
        <v>85.33077660594445</v>
      </c>
      <c r="V298">
        <v>86</v>
      </c>
      <c r="W298">
        <v>5</v>
      </c>
      <c r="AH298">
        <f t="shared" si="67"/>
        <v>4.422913837584554</v>
      </c>
      <c r="AI298">
        <f t="shared" si="68"/>
        <v>53.284999016977068</v>
      </c>
      <c r="AJ298">
        <f t="shared" si="69"/>
        <v>66.048000983022931</v>
      </c>
      <c r="AL298">
        <f t="shared" si="70"/>
        <v>68.512327675169104</v>
      </c>
      <c r="AM298">
        <f t="shared" si="71"/>
        <v>50.820672324830895</v>
      </c>
    </row>
    <row r="299" spans="1:39" ht="16.5" x14ac:dyDescent="0.25">
      <c r="A299" s="1">
        <v>45268</v>
      </c>
      <c r="B299" s="5">
        <v>62.87</v>
      </c>
      <c r="C299" s="4">
        <v>62.44</v>
      </c>
      <c r="D299" s="4">
        <v>63.11</v>
      </c>
      <c r="E299" s="4">
        <v>62.11</v>
      </c>
      <c r="F299" s="4" t="s">
        <v>1516</v>
      </c>
      <c r="G299" s="2" t="s">
        <v>333</v>
      </c>
      <c r="I299">
        <f t="shared" si="58"/>
        <v>59.343999999999994</v>
      </c>
      <c r="J299">
        <f t="shared" si="59"/>
        <v>59.319499999999984</v>
      </c>
      <c r="L299">
        <f t="shared" si="60"/>
        <v>1</v>
      </c>
      <c r="M299">
        <f t="shared" si="61"/>
        <v>0</v>
      </c>
      <c r="O299">
        <f t="shared" si="62"/>
        <v>0.42999999999999972</v>
      </c>
      <c r="P299">
        <f t="shared" si="63"/>
        <v>0</v>
      </c>
      <c r="R299">
        <f t="shared" si="64"/>
        <v>0.65625000000000089</v>
      </c>
      <c r="S299">
        <f t="shared" si="65"/>
        <v>0.18499999999999991</v>
      </c>
      <c r="U299">
        <f t="shared" si="66"/>
        <v>78.008915304606276</v>
      </c>
      <c r="V299">
        <v>86</v>
      </c>
      <c r="W299">
        <v>5</v>
      </c>
      <c r="AH299">
        <f t="shared" si="67"/>
        <v>4.3948902925530273</v>
      </c>
      <c r="AI299">
        <f t="shared" si="68"/>
        <v>52.962499016977063</v>
      </c>
      <c r="AJ299">
        <f t="shared" si="69"/>
        <v>65.725500983022926</v>
      </c>
      <c r="AL299">
        <f t="shared" si="70"/>
        <v>68.133780585106052</v>
      </c>
      <c r="AM299">
        <f t="shared" si="71"/>
        <v>50.554219414893936</v>
      </c>
    </row>
    <row r="300" spans="1:39" ht="16.5" x14ac:dyDescent="0.25">
      <c r="A300" s="1">
        <v>45267</v>
      </c>
      <c r="B300" s="5">
        <v>62.34</v>
      </c>
      <c r="C300" s="4">
        <v>62.08</v>
      </c>
      <c r="D300" s="4">
        <v>62.56</v>
      </c>
      <c r="E300" s="4">
        <v>61.96</v>
      </c>
      <c r="F300" s="4" t="s">
        <v>1435</v>
      </c>
      <c r="G300" s="2" t="s">
        <v>226</v>
      </c>
      <c r="I300">
        <f t="shared" si="58"/>
        <v>59.024999999999991</v>
      </c>
      <c r="J300">
        <f t="shared" si="59"/>
        <v>59.355749999999986</v>
      </c>
      <c r="L300">
        <f t="shared" si="60"/>
        <v>1</v>
      </c>
      <c r="M300">
        <f t="shared" si="61"/>
        <v>0</v>
      </c>
      <c r="O300">
        <f t="shared" si="62"/>
        <v>0.26000000000000512</v>
      </c>
      <c r="P300">
        <f t="shared" si="63"/>
        <v>0</v>
      </c>
      <c r="R300">
        <f t="shared" si="64"/>
        <v>0.68857142857142961</v>
      </c>
      <c r="S300">
        <f t="shared" si="65"/>
        <v>0.1671428571428574</v>
      </c>
      <c r="U300">
        <f t="shared" si="66"/>
        <v>80.467445742904843</v>
      </c>
      <c r="V300">
        <v>86</v>
      </c>
      <c r="W300">
        <v>5</v>
      </c>
      <c r="AH300">
        <f t="shared" si="67"/>
        <v>4.3632385959561049</v>
      </c>
      <c r="AI300">
        <f t="shared" si="68"/>
        <v>52.64349901697706</v>
      </c>
      <c r="AJ300">
        <f t="shared" si="69"/>
        <v>65.406500983022923</v>
      </c>
      <c r="AL300">
        <f t="shared" si="70"/>
        <v>67.751477191912201</v>
      </c>
      <c r="AM300">
        <f t="shared" si="71"/>
        <v>50.298522808087782</v>
      </c>
    </row>
    <row r="301" spans="1:39" ht="16.5" x14ac:dyDescent="0.25">
      <c r="A301" s="1">
        <v>45266</v>
      </c>
      <c r="B301" s="5">
        <v>62.37</v>
      </c>
      <c r="C301" s="4">
        <v>61.7</v>
      </c>
      <c r="D301" s="4">
        <v>62.98</v>
      </c>
      <c r="E301" s="4">
        <v>61.43</v>
      </c>
      <c r="F301" s="4" t="s">
        <v>654</v>
      </c>
      <c r="G301" s="2" t="s">
        <v>473</v>
      </c>
      <c r="I301">
        <f t="shared" si="58"/>
        <v>58.772499999999994</v>
      </c>
      <c r="J301">
        <f t="shared" si="59"/>
        <v>59.426999999999985</v>
      </c>
      <c r="L301">
        <f t="shared" si="60"/>
        <v>1</v>
      </c>
      <c r="M301">
        <f t="shared" si="61"/>
        <v>0</v>
      </c>
      <c r="O301">
        <f t="shared" si="62"/>
        <v>0.6699999999999946</v>
      </c>
      <c r="P301">
        <f t="shared" si="63"/>
        <v>0</v>
      </c>
      <c r="R301">
        <f t="shared" si="64"/>
        <v>0.7228571428571432</v>
      </c>
      <c r="S301">
        <f t="shared" si="65"/>
        <v>0.1671428571428574</v>
      </c>
      <c r="U301">
        <f t="shared" si="66"/>
        <v>81.219903691813784</v>
      </c>
      <c r="V301">
        <v>86</v>
      </c>
      <c r="W301">
        <v>5</v>
      </c>
      <c r="AH301">
        <f t="shared" si="67"/>
        <v>4.3277199179758821</v>
      </c>
      <c r="AI301">
        <f t="shared" si="68"/>
        <v>52.390999016977062</v>
      </c>
      <c r="AJ301">
        <f t="shared" si="69"/>
        <v>65.154000983022925</v>
      </c>
      <c r="AL301">
        <f t="shared" si="70"/>
        <v>67.427939835951761</v>
      </c>
      <c r="AM301">
        <f t="shared" si="71"/>
        <v>50.117060164048226</v>
      </c>
    </row>
    <row r="302" spans="1:39" ht="16.5" x14ac:dyDescent="0.25">
      <c r="A302" s="1">
        <v>45265</v>
      </c>
      <c r="B302" s="5">
        <v>61.45</v>
      </c>
      <c r="C302" s="4">
        <v>60.3</v>
      </c>
      <c r="D302" s="4">
        <v>61.68</v>
      </c>
      <c r="E302" s="4">
        <v>60.22</v>
      </c>
      <c r="F302" s="4" t="s">
        <v>1389</v>
      </c>
      <c r="G302" s="2" t="s">
        <v>946</v>
      </c>
      <c r="I302">
        <f t="shared" si="58"/>
        <v>58.526499999999999</v>
      </c>
      <c r="J302">
        <f t="shared" si="59"/>
        <v>59.488999999999997</v>
      </c>
      <c r="L302">
        <f t="shared" si="60"/>
        <v>1</v>
      </c>
      <c r="M302">
        <f t="shared" si="61"/>
        <v>0</v>
      </c>
      <c r="O302">
        <f t="shared" si="62"/>
        <v>1.1500000000000057</v>
      </c>
      <c r="P302">
        <f t="shared" si="63"/>
        <v>0</v>
      </c>
      <c r="R302">
        <f t="shared" si="64"/>
        <v>0.73166666666666791</v>
      </c>
      <c r="S302">
        <f t="shared" si="65"/>
        <v>0.19374999999999964</v>
      </c>
      <c r="U302">
        <f t="shared" si="66"/>
        <v>79.063484916704255</v>
      </c>
      <c r="V302">
        <v>86</v>
      </c>
      <c r="W302">
        <v>5</v>
      </c>
      <c r="AH302">
        <f t="shared" si="67"/>
        <v>4.288707539866679</v>
      </c>
      <c r="AI302">
        <f t="shared" si="68"/>
        <v>52.144999016977067</v>
      </c>
      <c r="AJ302">
        <f t="shared" si="69"/>
        <v>64.90800098302293</v>
      </c>
      <c r="AL302">
        <f t="shared" si="70"/>
        <v>67.103915079733355</v>
      </c>
      <c r="AM302">
        <f t="shared" si="71"/>
        <v>49.949084920266642</v>
      </c>
    </row>
    <row r="303" spans="1:39" ht="16.5" x14ac:dyDescent="0.25">
      <c r="A303" s="1">
        <v>45264</v>
      </c>
      <c r="B303" s="5">
        <v>60.52</v>
      </c>
      <c r="C303" s="4">
        <v>60.1</v>
      </c>
      <c r="D303" s="4">
        <v>60.76</v>
      </c>
      <c r="E303" s="4">
        <v>59.82</v>
      </c>
      <c r="F303" s="4" t="s">
        <v>197</v>
      </c>
      <c r="G303" s="2" t="s">
        <v>45</v>
      </c>
      <c r="I303">
        <f t="shared" si="58"/>
        <v>58.297499999999999</v>
      </c>
      <c r="J303">
        <f t="shared" si="59"/>
        <v>59.568000000000005</v>
      </c>
      <c r="L303">
        <f t="shared" si="60"/>
        <v>1</v>
      </c>
      <c r="M303">
        <f t="shared" si="61"/>
        <v>0</v>
      </c>
      <c r="O303">
        <f t="shared" si="62"/>
        <v>0.42000000000000171</v>
      </c>
      <c r="P303">
        <f t="shared" si="63"/>
        <v>0</v>
      </c>
      <c r="R303">
        <f t="shared" si="64"/>
        <v>0.6066666666666668</v>
      </c>
      <c r="S303">
        <f t="shared" si="65"/>
        <v>0.19374999999999964</v>
      </c>
      <c r="U303">
        <f t="shared" si="66"/>
        <v>75.793857365955276</v>
      </c>
      <c r="V303">
        <v>86</v>
      </c>
      <c r="W303">
        <v>5</v>
      </c>
      <c r="AH303">
        <f t="shared" si="67"/>
        <v>4.2460257671190229</v>
      </c>
      <c r="AI303">
        <f t="shared" si="68"/>
        <v>51.915999016977068</v>
      </c>
      <c r="AJ303">
        <f t="shared" si="69"/>
        <v>64.679000983022931</v>
      </c>
      <c r="AL303">
        <f t="shared" si="70"/>
        <v>66.789551534238043</v>
      </c>
      <c r="AM303">
        <f t="shared" si="71"/>
        <v>49.805448465761955</v>
      </c>
    </row>
    <row r="304" spans="1:39" ht="16.5" x14ac:dyDescent="0.25">
      <c r="A304" s="1">
        <v>45261</v>
      </c>
      <c r="B304" s="5">
        <v>60.14</v>
      </c>
      <c r="C304" s="4">
        <v>59.67</v>
      </c>
      <c r="D304" s="4">
        <v>60.16</v>
      </c>
      <c r="E304" s="4">
        <v>59.46</v>
      </c>
      <c r="F304" s="4" t="s">
        <v>1550</v>
      </c>
      <c r="G304" s="2" t="s">
        <v>368</v>
      </c>
      <c r="I304">
        <f t="shared" si="58"/>
        <v>58.147999999999989</v>
      </c>
      <c r="J304">
        <f t="shared" si="59"/>
        <v>59.641249999999999</v>
      </c>
      <c r="L304">
        <f t="shared" si="60"/>
        <v>1</v>
      </c>
      <c r="M304">
        <f t="shared" si="61"/>
        <v>0</v>
      </c>
      <c r="O304">
        <f t="shared" si="62"/>
        <v>0.46999999999999886</v>
      </c>
      <c r="P304">
        <f t="shared" si="63"/>
        <v>0</v>
      </c>
      <c r="R304">
        <f t="shared" si="64"/>
        <v>0.69666666666666666</v>
      </c>
      <c r="S304">
        <f t="shared" si="65"/>
        <v>0.19374999999999964</v>
      </c>
      <c r="U304">
        <f t="shared" si="66"/>
        <v>78.240524099204521</v>
      </c>
      <c r="V304">
        <v>86</v>
      </c>
      <c r="W304">
        <v>5</v>
      </c>
      <c r="AH304">
        <f t="shared" si="67"/>
        <v>4.1995999870701581</v>
      </c>
      <c r="AI304">
        <f t="shared" si="68"/>
        <v>51.766499016977058</v>
      </c>
      <c r="AJ304">
        <f t="shared" si="69"/>
        <v>64.529500983022913</v>
      </c>
      <c r="AL304">
        <f t="shared" si="70"/>
        <v>66.547199974140312</v>
      </c>
      <c r="AM304">
        <f t="shared" si="71"/>
        <v>49.748800025859673</v>
      </c>
    </row>
    <row r="305" spans="1:39" ht="16.5" x14ac:dyDescent="0.25">
      <c r="A305" s="1">
        <v>45260</v>
      </c>
      <c r="B305" s="5">
        <v>59.58</v>
      </c>
      <c r="C305" s="4">
        <v>59.58</v>
      </c>
      <c r="D305" s="4">
        <v>59.78</v>
      </c>
      <c r="E305" s="4">
        <v>58.99</v>
      </c>
      <c r="F305" s="4" t="s">
        <v>1138</v>
      </c>
      <c r="G305" s="2" t="s">
        <v>55</v>
      </c>
      <c r="I305">
        <f t="shared" si="58"/>
        <v>58.036000000000001</v>
      </c>
      <c r="J305">
        <f t="shared" si="59"/>
        <v>59.734000000000002</v>
      </c>
      <c r="L305">
        <f t="shared" si="60"/>
        <v>0</v>
      </c>
      <c r="M305">
        <f t="shared" si="61"/>
        <v>1</v>
      </c>
      <c r="O305">
        <f t="shared" si="62"/>
        <v>0</v>
      </c>
      <c r="P305">
        <f t="shared" si="63"/>
        <v>0</v>
      </c>
      <c r="R305">
        <f t="shared" si="64"/>
        <v>0.74200000000000021</v>
      </c>
      <c r="S305">
        <f t="shared" si="65"/>
        <v>0.20111111111111057</v>
      </c>
      <c r="U305">
        <f t="shared" si="66"/>
        <v>78.67577756833181</v>
      </c>
      <c r="V305">
        <v>86</v>
      </c>
      <c r="W305">
        <v>5</v>
      </c>
      <c r="AH305">
        <f t="shared" si="67"/>
        <v>4.1500633087627223</v>
      </c>
      <c r="AI305">
        <f t="shared" si="68"/>
        <v>51.65449901697707</v>
      </c>
      <c r="AJ305">
        <f t="shared" si="69"/>
        <v>64.417500983022933</v>
      </c>
      <c r="AL305">
        <f t="shared" si="70"/>
        <v>66.336126617525451</v>
      </c>
      <c r="AM305">
        <f t="shared" si="71"/>
        <v>49.735873382474558</v>
      </c>
    </row>
    <row r="306" spans="1:39" ht="16.5" x14ac:dyDescent="0.25">
      <c r="A306" s="1">
        <v>45259</v>
      </c>
      <c r="B306" s="5">
        <v>59.29</v>
      </c>
      <c r="C306" s="4">
        <v>58</v>
      </c>
      <c r="D306" s="4">
        <v>59.54</v>
      </c>
      <c r="E306" s="4">
        <v>57.97</v>
      </c>
      <c r="F306" s="4" t="s">
        <v>1433</v>
      </c>
      <c r="G306" s="2" t="s">
        <v>1551</v>
      </c>
      <c r="I306">
        <f t="shared" si="58"/>
        <v>57.933000000000007</v>
      </c>
      <c r="J306">
        <f t="shared" si="59"/>
        <v>59.855000000000004</v>
      </c>
      <c r="L306">
        <f t="shared" si="60"/>
        <v>1</v>
      </c>
      <c r="M306">
        <f t="shared" si="61"/>
        <v>0</v>
      </c>
      <c r="O306">
        <f t="shared" si="62"/>
        <v>1.2899999999999991</v>
      </c>
      <c r="P306">
        <f t="shared" si="63"/>
        <v>0</v>
      </c>
      <c r="R306">
        <f t="shared" si="64"/>
        <v>0.74200000000000021</v>
      </c>
      <c r="S306">
        <f t="shared" si="65"/>
        <v>0.22999999999999923</v>
      </c>
      <c r="U306">
        <f t="shared" si="66"/>
        <v>76.337448559670847</v>
      </c>
      <c r="V306">
        <v>86</v>
      </c>
      <c r="W306">
        <v>5</v>
      </c>
      <c r="AH306">
        <f t="shared" si="67"/>
        <v>4.0976510643604733</v>
      </c>
      <c r="AI306">
        <f t="shared" si="68"/>
        <v>51.551499016977075</v>
      </c>
      <c r="AJ306">
        <f t="shared" si="69"/>
        <v>64.314500983022938</v>
      </c>
      <c r="AL306">
        <f t="shared" si="70"/>
        <v>66.128302128720946</v>
      </c>
      <c r="AM306">
        <f t="shared" si="71"/>
        <v>49.73769787127906</v>
      </c>
    </row>
    <row r="307" spans="1:39" ht="16.5" x14ac:dyDescent="0.25">
      <c r="A307" s="1">
        <v>45258</v>
      </c>
      <c r="B307" s="5">
        <v>57.96</v>
      </c>
      <c r="C307" s="4">
        <v>58</v>
      </c>
      <c r="D307" s="4">
        <v>58</v>
      </c>
      <c r="E307" s="4">
        <v>57.59</v>
      </c>
      <c r="F307" s="4" t="s">
        <v>1510</v>
      </c>
      <c r="G307" s="2" t="s">
        <v>410</v>
      </c>
      <c r="I307">
        <f t="shared" si="58"/>
        <v>57.76700000000001</v>
      </c>
      <c r="J307">
        <f t="shared" si="59"/>
        <v>59.996000000000002</v>
      </c>
      <c r="L307">
        <f t="shared" si="60"/>
        <v>0</v>
      </c>
      <c r="M307">
        <f t="shared" si="61"/>
        <v>1</v>
      </c>
      <c r="O307">
        <f t="shared" si="62"/>
        <v>0</v>
      </c>
      <c r="P307">
        <f t="shared" si="63"/>
        <v>3.9999999999999147E-2</v>
      </c>
      <c r="R307">
        <f t="shared" si="64"/>
        <v>0.60500000000000043</v>
      </c>
      <c r="S307">
        <f t="shared" si="65"/>
        <v>0.23199999999999932</v>
      </c>
      <c r="U307">
        <f t="shared" si="66"/>
        <v>72.281959378733646</v>
      </c>
      <c r="V307">
        <v>86</v>
      </c>
      <c r="W307">
        <v>5</v>
      </c>
      <c r="AH307">
        <f t="shared" si="67"/>
        <v>4.0422898331483861</v>
      </c>
      <c r="AI307">
        <f t="shared" si="68"/>
        <v>51.385499016977079</v>
      </c>
      <c r="AJ307">
        <f t="shared" si="69"/>
        <v>64.148500983022942</v>
      </c>
      <c r="AL307">
        <f t="shared" si="70"/>
        <v>65.851579666296786</v>
      </c>
      <c r="AM307">
        <f t="shared" si="71"/>
        <v>49.682420333703234</v>
      </c>
    </row>
    <row r="308" spans="1:39" ht="16.5" x14ac:dyDescent="0.25">
      <c r="A308" s="1">
        <v>45257</v>
      </c>
      <c r="B308" s="5">
        <v>58.36</v>
      </c>
      <c r="C308" s="4">
        <v>58.5</v>
      </c>
      <c r="D308" s="4">
        <v>58.65</v>
      </c>
      <c r="E308" s="4">
        <v>58.05</v>
      </c>
      <c r="F308" s="4" t="s">
        <v>757</v>
      </c>
      <c r="G308" s="2" t="s">
        <v>471</v>
      </c>
      <c r="I308">
        <f t="shared" si="58"/>
        <v>57.64050000000001</v>
      </c>
      <c r="J308">
        <f t="shared" si="59"/>
        <v>60.170249999999996</v>
      </c>
      <c r="L308">
        <f t="shared" si="60"/>
        <v>0</v>
      </c>
      <c r="M308">
        <f t="shared" si="61"/>
        <v>1</v>
      </c>
      <c r="O308">
        <f t="shared" si="62"/>
        <v>0</v>
      </c>
      <c r="P308">
        <f t="shared" si="63"/>
        <v>0.14000000000000057</v>
      </c>
      <c r="R308">
        <f t="shared" si="64"/>
        <v>0.65800000000000125</v>
      </c>
      <c r="S308">
        <f t="shared" si="65"/>
        <v>0.25333333333333269</v>
      </c>
      <c r="U308">
        <f t="shared" si="66"/>
        <v>72.201901975128109</v>
      </c>
      <c r="V308">
        <v>86</v>
      </c>
      <c r="W308">
        <v>5</v>
      </c>
      <c r="AH308">
        <f t="shared" si="67"/>
        <v>3.9830049109617001</v>
      </c>
      <c r="AI308">
        <f t="shared" si="68"/>
        <v>51.258999016977079</v>
      </c>
      <c r="AJ308">
        <f t="shared" si="69"/>
        <v>64.022000983022934</v>
      </c>
      <c r="AL308">
        <f t="shared" si="70"/>
        <v>65.60650982192341</v>
      </c>
      <c r="AM308">
        <f t="shared" si="71"/>
        <v>49.67449017807661</v>
      </c>
    </row>
    <row r="309" spans="1:39" ht="16.5" x14ac:dyDescent="0.25">
      <c r="A309" s="1">
        <v>45254</v>
      </c>
      <c r="B309" s="5">
        <v>58.56</v>
      </c>
      <c r="C309" s="4">
        <v>58</v>
      </c>
      <c r="D309" s="4">
        <v>58.64</v>
      </c>
      <c r="E309" s="4">
        <v>57.62</v>
      </c>
      <c r="F309" s="4" t="s">
        <v>738</v>
      </c>
      <c r="G309" s="2" t="s">
        <v>207</v>
      </c>
      <c r="I309">
        <f t="shared" si="58"/>
        <v>57.5015</v>
      </c>
      <c r="J309">
        <f t="shared" si="59"/>
        <v>60.351500000000001</v>
      </c>
      <c r="L309">
        <f t="shared" si="60"/>
        <v>1</v>
      </c>
      <c r="M309">
        <f t="shared" si="61"/>
        <v>0</v>
      </c>
      <c r="O309">
        <f t="shared" si="62"/>
        <v>0.56000000000000227</v>
      </c>
      <c r="P309">
        <f t="shared" si="63"/>
        <v>0</v>
      </c>
      <c r="R309">
        <f t="shared" si="64"/>
        <v>0.65800000000000125</v>
      </c>
      <c r="S309">
        <f t="shared" si="65"/>
        <v>0.27222222222222175</v>
      </c>
      <c r="U309">
        <f t="shared" si="66"/>
        <v>70.735785953177327</v>
      </c>
      <c r="V309">
        <v>86</v>
      </c>
      <c r="W309">
        <v>5</v>
      </c>
      <c r="AH309">
        <f t="shared" si="67"/>
        <v>3.9200189897186042</v>
      </c>
      <c r="AI309">
        <f t="shared" si="68"/>
        <v>51.119999016977069</v>
      </c>
      <c r="AJ309">
        <f t="shared" si="69"/>
        <v>63.883000983022932</v>
      </c>
      <c r="AL309">
        <f t="shared" si="70"/>
        <v>65.341537979437206</v>
      </c>
      <c r="AM309">
        <f t="shared" si="71"/>
        <v>49.661462020562794</v>
      </c>
    </row>
    <row r="310" spans="1:39" ht="16.5" x14ac:dyDescent="0.25">
      <c r="A310" s="1">
        <v>45253</v>
      </c>
      <c r="B310" s="5">
        <v>58.24</v>
      </c>
      <c r="C310" s="4">
        <v>58.4</v>
      </c>
      <c r="D310" s="4">
        <v>58.5</v>
      </c>
      <c r="E310" s="4">
        <v>58.13</v>
      </c>
      <c r="F310" s="4" t="s">
        <v>456</v>
      </c>
      <c r="G310" s="2" t="s">
        <v>241</v>
      </c>
      <c r="I310">
        <f t="shared" si="58"/>
        <v>57.384</v>
      </c>
      <c r="J310">
        <f t="shared" si="59"/>
        <v>60.534749999999995</v>
      </c>
      <c r="L310">
        <f t="shared" si="60"/>
        <v>0</v>
      </c>
      <c r="M310">
        <f t="shared" si="61"/>
        <v>1</v>
      </c>
      <c r="O310">
        <f t="shared" si="62"/>
        <v>0</v>
      </c>
      <c r="P310">
        <f t="shared" si="63"/>
        <v>0.15999999999999659</v>
      </c>
      <c r="R310">
        <f t="shared" si="64"/>
        <v>0.68250000000000099</v>
      </c>
      <c r="S310">
        <f t="shared" si="65"/>
        <v>0.32199999999999918</v>
      </c>
      <c r="U310">
        <f t="shared" si="66"/>
        <v>67.944250871080214</v>
      </c>
      <c r="V310">
        <v>86</v>
      </c>
      <c r="W310">
        <v>5</v>
      </c>
      <c r="AH310">
        <f t="shared" si="67"/>
        <v>3.8528936052121558</v>
      </c>
      <c r="AI310">
        <f t="shared" si="68"/>
        <v>51.002499016977069</v>
      </c>
      <c r="AJ310">
        <f t="shared" si="69"/>
        <v>63.765500983022932</v>
      </c>
      <c r="AL310">
        <f t="shared" si="70"/>
        <v>65.089787210424305</v>
      </c>
      <c r="AM310">
        <f t="shared" si="71"/>
        <v>49.678212789575689</v>
      </c>
    </row>
    <row r="311" spans="1:39" ht="16.5" x14ac:dyDescent="0.25">
      <c r="A311" s="1">
        <v>45252</v>
      </c>
      <c r="B311" s="5">
        <v>58.28</v>
      </c>
      <c r="C311" s="4">
        <v>58.45</v>
      </c>
      <c r="D311" s="4">
        <v>58.6</v>
      </c>
      <c r="E311" s="4">
        <v>58.1</v>
      </c>
      <c r="F311" s="4" t="s">
        <v>1383</v>
      </c>
      <c r="G311" s="2" t="s">
        <v>266</v>
      </c>
      <c r="I311">
        <f t="shared" si="58"/>
        <v>57.363999999999997</v>
      </c>
      <c r="J311">
        <f t="shared" si="59"/>
        <v>60.725999999999985</v>
      </c>
      <c r="L311">
        <f t="shared" si="60"/>
        <v>0</v>
      </c>
      <c r="M311">
        <f t="shared" si="61"/>
        <v>1</v>
      </c>
      <c r="O311">
        <f t="shared" si="62"/>
        <v>0</v>
      </c>
      <c r="P311">
        <f t="shared" si="63"/>
        <v>0.17000000000000171</v>
      </c>
      <c r="R311">
        <f t="shared" si="64"/>
        <v>0.68250000000000099</v>
      </c>
      <c r="S311">
        <f t="shared" si="65"/>
        <v>0.33699999999999974</v>
      </c>
      <c r="U311">
        <f t="shared" si="66"/>
        <v>66.944580676802403</v>
      </c>
      <c r="V311">
        <v>86</v>
      </c>
      <c r="W311">
        <v>5</v>
      </c>
      <c r="AH311">
        <f t="shared" si="67"/>
        <v>3.7816073440683038</v>
      </c>
      <c r="AI311">
        <f t="shared" si="68"/>
        <v>50.982499016977066</v>
      </c>
      <c r="AJ311">
        <f t="shared" si="69"/>
        <v>63.745500983022929</v>
      </c>
      <c r="AL311">
        <f t="shared" si="70"/>
        <v>64.927214688136601</v>
      </c>
      <c r="AM311">
        <f t="shared" si="71"/>
        <v>49.800785311863393</v>
      </c>
    </row>
    <row r="312" spans="1:39" ht="16.5" x14ac:dyDescent="0.25">
      <c r="A312" s="1">
        <v>45251</v>
      </c>
      <c r="B312" s="5">
        <v>58.16</v>
      </c>
      <c r="C312" s="4">
        <v>58.76</v>
      </c>
      <c r="D312" s="4">
        <v>59.11</v>
      </c>
      <c r="E312" s="4">
        <v>58.14</v>
      </c>
      <c r="F312" s="4" t="s">
        <v>1552</v>
      </c>
      <c r="G312" s="2" t="s">
        <v>329</v>
      </c>
      <c r="I312">
        <f t="shared" si="58"/>
        <v>57.519000000000005</v>
      </c>
      <c r="J312">
        <f t="shared" si="59"/>
        <v>60.900500000000001</v>
      </c>
      <c r="L312">
        <f t="shared" si="60"/>
        <v>0</v>
      </c>
      <c r="M312">
        <f t="shared" si="61"/>
        <v>1</v>
      </c>
      <c r="O312">
        <f t="shared" si="62"/>
        <v>0</v>
      </c>
      <c r="P312">
        <f t="shared" si="63"/>
        <v>0.60000000000000142</v>
      </c>
      <c r="R312">
        <f t="shared" si="64"/>
        <v>0.68000000000000116</v>
      </c>
      <c r="S312">
        <f t="shared" si="65"/>
        <v>0.35555555555555507</v>
      </c>
      <c r="U312">
        <f t="shared" si="66"/>
        <v>65.665236051502205</v>
      </c>
      <c r="V312">
        <v>86</v>
      </c>
      <c r="W312">
        <v>5</v>
      </c>
      <c r="AH312">
        <f t="shared" si="67"/>
        <v>3.7072398575070444</v>
      </c>
      <c r="AI312">
        <f t="shared" si="68"/>
        <v>51.137499016977074</v>
      </c>
      <c r="AJ312">
        <f t="shared" si="69"/>
        <v>63.900500983022937</v>
      </c>
      <c r="AL312">
        <f t="shared" si="70"/>
        <v>64.933479715014101</v>
      </c>
      <c r="AM312">
        <f t="shared" si="71"/>
        <v>50.104520284985917</v>
      </c>
    </row>
    <row r="313" spans="1:39" ht="16.5" x14ac:dyDescent="0.25">
      <c r="A313" s="1">
        <v>45250</v>
      </c>
      <c r="B313" s="5">
        <v>58.93</v>
      </c>
      <c r="C313" s="4">
        <v>58.99</v>
      </c>
      <c r="D313" s="4">
        <v>59.08</v>
      </c>
      <c r="E313" s="4">
        <v>58.46</v>
      </c>
      <c r="F313" s="4" t="s">
        <v>1533</v>
      </c>
      <c r="G313" s="2" t="s">
        <v>696</v>
      </c>
      <c r="I313">
        <f t="shared" si="58"/>
        <v>57.687500000000014</v>
      </c>
      <c r="J313">
        <f t="shared" si="59"/>
        <v>61.083000000000006</v>
      </c>
      <c r="L313">
        <f t="shared" si="60"/>
        <v>0</v>
      </c>
      <c r="M313">
        <f t="shared" si="61"/>
        <v>1</v>
      </c>
      <c r="O313">
        <f t="shared" si="62"/>
        <v>0</v>
      </c>
      <c r="P313">
        <f t="shared" si="63"/>
        <v>6.0000000000002274E-2</v>
      </c>
      <c r="R313">
        <f t="shared" si="64"/>
        <v>0.58500000000000085</v>
      </c>
      <c r="S313">
        <f t="shared" si="65"/>
        <v>0.32499999999999929</v>
      </c>
      <c r="U313">
        <f t="shared" si="66"/>
        <v>64.285714285714363</v>
      </c>
      <c r="V313">
        <v>86</v>
      </c>
      <c r="W313">
        <v>5</v>
      </c>
      <c r="AH313">
        <f t="shared" si="67"/>
        <v>3.632146113365526</v>
      </c>
      <c r="AI313">
        <f t="shared" si="68"/>
        <v>51.305999016977083</v>
      </c>
      <c r="AJ313">
        <f t="shared" si="69"/>
        <v>64.069000983022946</v>
      </c>
      <c r="AL313">
        <f t="shared" si="70"/>
        <v>64.951792226731072</v>
      </c>
      <c r="AM313">
        <f t="shared" si="71"/>
        <v>50.423207773268963</v>
      </c>
    </row>
    <row r="314" spans="1:39" ht="16.5" x14ac:dyDescent="0.25">
      <c r="A314" s="1">
        <v>45247</v>
      </c>
      <c r="B314" s="5">
        <v>58.6</v>
      </c>
      <c r="C314" s="4">
        <v>58.1</v>
      </c>
      <c r="D314" s="4">
        <v>58.76</v>
      </c>
      <c r="E314" s="4">
        <v>57.88</v>
      </c>
      <c r="F314" s="4" t="s">
        <v>654</v>
      </c>
      <c r="G314" s="2" t="s">
        <v>351</v>
      </c>
      <c r="I314">
        <f t="shared" si="58"/>
        <v>57.826000000000008</v>
      </c>
      <c r="J314">
        <f t="shared" si="59"/>
        <v>61.269250000000014</v>
      </c>
      <c r="L314">
        <f t="shared" si="60"/>
        <v>1</v>
      </c>
      <c r="M314">
        <f t="shared" si="61"/>
        <v>0</v>
      </c>
      <c r="O314">
        <f t="shared" si="62"/>
        <v>0.5</v>
      </c>
      <c r="P314">
        <f t="shared" si="63"/>
        <v>0</v>
      </c>
      <c r="R314">
        <f t="shared" si="64"/>
        <v>0.58500000000000085</v>
      </c>
      <c r="S314">
        <f t="shared" si="65"/>
        <v>0.32624999999999904</v>
      </c>
      <c r="U314">
        <f t="shared" si="66"/>
        <v>64.197530864197631</v>
      </c>
      <c r="V314">
        <v>86</v>
      </c>
      <c r="W314">
        <v>5</v>
      </c>
      <c r="AH314">
        <f t="shared" si="67"/>
        <v>3.5564821438273264</v>
      </c>
      <c r="AI314">
        <f t="shared" si="68"/>
        <v>51.444499016977076</v>
      </c>
      <c r="AJ314">
        <f t="shared" si="69"/>
        <v>64.207500983022939</v>
      </c>
      <c r="AL314">
        <f t="shared" si="70"/>
        <v>64.938964287654656</v>
      </c>
      <c r="AM314">
        <f t="shared" si="71"/>
        <v>50.713035712345352</v>
      </c>
    </row>
    <row r="315" spans="1:39" ht="16.5" x14ac:dyDescent="0.25">
      <c r="A315" s="1">
        <v>45246</v>
      </c>
      <c r="B315" s="5">
        <v>57.95</v>
      </c>
      <c r="C315" s="4">
        <v>58.33</v>
      </c>
      <c r="D315" s="4">
        <v>58.8</v>
      </c>
      <c r="E315" s="4">
        <v>57.89</v>
      </c>
      <c r="F315" s="4" t="s">
        <v>1417</v>
      </c>
      <c r="G315" s="2" t="s">
        <v>170</v>
      </c>
      <c r="I315">
        <f t="shared" si="58"/>
        <v>57.996500000000005</v>
      </c>
      <c r="J315">
        <f t="shared" si="59"/>
        <v>61.487500000000011</v>
      </c>
      <c r="L315">
        <f t="shared" si="60"/>
        <v>0</v>
      </c>
      <c r="M315">
        <f t="shared" si="61"/>
        <v>1</v>
      </c>
      <c r="O315">
        <f t="shared" si="62"/>
        <v>0</v>
      </c>
      <c r="P315">
        <f t="shared" si="63"/>
        <v>0.37999999999999545</v>
      </c>
      <c r="R315">
        <f t="shared" si="64"/>
        <v>0.60200000000000098</v>
      </c>
      <c r="S315">
        <f t="shared" si="65"/>
        <v>0.3377777777777769</v>
      </c>
      <c r="U315">
        <f t="shared" si="66"/>
        <v>64.057696855048576</v>
      </c>
      <c r="V315">
        <v>86</v>
      </c>
      <c r="W315">
        <v>5</v>
      </c>
      <c r="AH315">
        <f t="shared" si="67"/>
        <v>3.4797574901946837</v>
      </c>
      <c r="AI315">
        <f t="shared" si="68"/>
        <v>51.614999016977073</v>
      </c>
      <c r="AJ315">
        <f t="shared" si="69"/>
        <v>64.378000983022929</v>
      </c>
      <c r="AL315">
        <f t="shared" si="70"/>
        <v>64.956014980389369</v>
      </c>
      <c r="AM315">
        <f t="shared" si="71"/>
        <v>51.03698501961064</v>
      </c>
    </row>
    <row r="316" spans="1:39" ht="16.5" x14ac:dyDescent="0.25">
      <c r="A316" s="1">
        <v>45245</v>
      </c>
      <c r="B316" s="5">
        <v>58.69</v>
      </c>
      <c r="C316" s="4">
        <v>58.29</v>
      </c>
      <c r="D316" s="4">
        <v>58.79</v>
      </c>
      <c r="E316" s="4">
        <v>58.1</v>
      </c>
      <c r="F316" s="4" t="s">
        <v>1520</v>
      </c>
      <c r="G316" s="2" t="s">
        <v>895</v>
      </c>
      <c r="I316">
        <f t="shared" si="58"/>
        <v>58.271500000000003</v>
      </c>
      <c r="J316">
        <f t="shared" si="59"/>
        <v>61.724499999999999</v>
      </c>
      <c r="L316">
        <f t="shared" si="60"/>
        <v>1</v>
      </c>
      <c r="M316">
        <f t="shared" si="61"/>
        <v>0</v>
      </c>
      <c r="O316">
        <f t="shared" si="62"/>
        <v>0.39999999999999858</v>
      </c>
      <c r="P316">
        <f t="shared" si="63"/>
        <v>0</v>
      </c>
      <c r="R316">
        <f t="shared" si="64"/>
        <v>0.60200000000000098</v>
      </c>
      <c r="S316">
        <f t="shared" si="65"/>
        <v>0.38888888888888812</v>
      </c>
      <c r="U316">
        <f t="shared" si="66"/>
        <v>60.75353218210369</v>
      </c>
      <c r="V316">
        <v>86</v>
      </c>
      <c r="W316">
        <v>5</v>
      </c>
      <c r="AH316">
        <f t="shared" si="67"/>
        <v>3.4023950274632409</v>
      </c>
      <c r="AI316">
        <f t="shared" si="68"/>
        <v>51.889999016977072</v>
      </c>
      <c r="AJ316">
        <f t="shared" si="69"/>
        <v>64.653000983022935</v>
      </c>
      <c r="AL316">
        <f t="shared" si="70"/>
        <v>65.076290054926488</v>
      </c>
      <c r="AM316">
        <f t="shared" si="71"/>
        <v>51.466709945073518</v>
      </c>
    </row>
    <row r="317" spans="1:39" ht="16.5" x14ac:dyDescent="0.25">
      <c r="A317" s="1">
        <v>45244</v>
      </c>
      <c r="B317" s="5">
        <v>57.99</v>
      </c>
      <c r="C317" s="4">
        <v>57.03</v>
      </c>
      <c r="D317" s="4">
        <v>58.09</v>
      </c>
      <c r="E317" s="4">
        <v>56.47</v>
      </c>
      <c r="F317" s="4" t="s">
        <v>1499</v>
      </c>
      <c r="G317" s="2" t="s">
        <v>1553</v>
      </c>
      <c r="I317">
        <f t="shared" si="58"/>
        <v>58.546000000000014</v>
      </c>
      <c r="J317">
        <f t="shared" si="59"/>
        <v>61.962500000000013</v>
      </c>
      <c r="L317">
        <f t="shared" si="60"/>
        <v>1</v>
      </c>
      <c r="M317">
        <f t="shared" si="61"/>
        <v>0</v>
      </c>
      <c r="O317">
        <f t="shared" si="62"/>
        <v>0.96000000000000085</v>
      </c>
      <c r="P317">
        <f t="shared" si="63"/>
        <v>0</v>
      </c>
      <c r="R317">
        <f t="shared" si="64"/>
        <v>0.65250000000000163</v>
      </c>
      <c r="S317">
        <f t="shared" si="65"/>
        <v>0.41899999999999904</v>
      </c>
      <c r="U317">
        <f t="shared" si="66"/>
        <v>60.895940270648737</v>
      </c>
      <c r="V317">
        <v>86</v>
      </c>
      <c r="W317">
        <v>5</v>
      </c>
      <c r="AH317">
        <f t="shared" si="67"/>
        <v>3.3259818991918437</v>
      </c>
      <c r="AI317">
        <f t="shared" si="68"/>
        <v>52.164499016977082</v>
      </c>
      <c r="AJ317">
        <f t="shared" si="69"/>
        <v>64.927500983022938</v>
      </c>
      <c r="AL317">
        <f t="shared" si="70"/>
        <v>65.197963798383697</v>
      </c>
      <c r="AM317">
        <f t="shared" si="71"/>
        <v>51.894036201616323</v>
      </c>
    </row>
    <row r="318" spans="1:39" ht="16.5" x14ac:dyDescent="0.25">
      <c r="A318" s="1">
        <v>45243</v>
      </c>
      <c r="B318" s="5">
        <v>56.6</v>
      </c>
      <c r="C318" s="4">
        <v>56.86</v>
      </c>
      <c r="D318" s="4">
        <v>57.03</v>
      </c>
      <c r="E318" s="4">
        <v>56.21</v>
      </c>
      <c r="F318" s="4" t="s">
        <v>1554</v>
      </c>
      <c r="G318" s="2" t="s">
        <v>422</v>
      </c>
      <c r="I318">
        <f t="shared" si="58"/>
        <v>58.890000000000008</v>
      </c>
      <c r="J318">
        <f t="shared" si="59"/>
        <v>62.183750000000011</v>
      </c>
      <c r="L318">
        <f t="shared" si="60"/>
        <v>0</v>
      </c>
      <c r="M318">
        <f t="shared" si="61"/>
        <v>1</v>
      </c>
      <c r="O318">
        <f t="shared" si="62"/>
        <v>0</v>
      </c>
      <c r="P318">
        <f t="shared" si="63"/>
        <v>0.25999999999999801</v>
      </c>
      <c r="R318">
        <f t="shared" si="64"/>
        <v>0.55000000000000193</v>
      </c>
      <c r="S318">
        <f t="shared" si="65"/>
        <v>0.4099999999999992</v>
      </c>
      <c r="U318">
        <f t="shared" si="66"/>
        <v>57.291666666666799</v>
      </c>
      <c r="V318">
        <v>86</v>
      </c>
      <c r="W318">
        <v>5</v>
      </c>
      <c r="AH318">
        <f t="shared" si="67"/>
        <v>3.2505572471805988</v>
      </c>
      <c r="AI318">
        <f t="shared" si="68"/>
        <v>52.508499016977076</v>
      </c>
      <c r="AJ318">
        <f t="shared" si="69"/>
        <v>65.271500983022932</v>
      </c>
      <c r="AL318">
        <f t="shared" si="70"/>
        <v>65.391114494361204</v>
      </c>
      <c r="AM318">
        <f t="shared" si="71"/>
        <v>52.388885505638811</v>
      </c>
    </row>
    <row r="319" spans="1:39" ht="16.5" x14ac:dyDescent="0.25">
      <c r="A319" s="1">
        <v>45240</v>
      </c>
      <c r="B319" s="5">
        <v>56.49</v>
      </c>
      <c r="C319" s="4">
        <v>56.75</v>
      </c>
      <c r="D319" s="4">
        <v>56.86</v>
      </c>
      <c r="E319" s="4">
        <v>56.24</v>
      </c>
      <c r="F319" s="4" t="s">
        <v>942</v>
      </c>
      <c r="G319" s="2" t="s">
        <v>1050</v>
      </c>
      <c r="I319">
        <f t="shared" si="58"/>
        <v>59.295000000000016</v>
      </c>
      <c r="J319">
        <f t="shared" si="59"/>
        <v>62.429750000000013</v>
      </c>
      <c r="L319">
        <f t="shared" si="60"/>
        <v>0</v>
      </c>
      <c r="M319">
        <f t="shared" si="61"/>
        <v>1</v>
      </c>
      <c r="O319">
        <f t="shared" si="62"/>
        <v>0</v>
      </c>
      <c r="P319">
        <f t="shared" si="63"/>
        <v>0.25999999999999801</v>
      </c>
      <c r="R319">
        <f t="shared" si="64"/>
        <v>0.43000000000000149</v>
      </c>
      <c r="S319">
        <f t="shared" si="65"/>
        <v>0.42499999999999927</v>
      </c>
      <c r="U319">
        <f t="shared" si="66"/>
        <v>50.292397660818843</v>
      </c>
      <c r="V319">
        <v>86</v>
      </c>
      <c r="W319">
        <v>5</v>
      </c>
      <c r="AH319">
        <f t="shared" si="67"/>
        <v>3.1772609003635366</v>
      </c>
      <c r="AI319">
        <f t="shared" si="68"/>
        <v>52.913499016977084</v>
      </c>
      <c r="AJ319">
        <f t="shared" si="69"/>
        <v>65.676500983022947</v>
      </c>
      <c r="AL319">
        <f t="shared" si="70"/>
        <v>65.649521800727086</v>
      </c>
      <c r="AM319">
        <f t="shared" si="71"/>
        <v>52.940478199272945</v>
      </c>
    </row>
    <row r="320" spans="1:39" ht="16.5" x14ac:dyDescent="0.25">
      <c r="A320" s="1">
        <v>45239</v>
      </c>
      <c r="B320" s="5">
        <v>57.29</v>
      </c>
      <c r="C320" s="4">
        <v>57.54</v>
      </c>
      <c r="D320" s="4">
        <v>57.92</v>
      </c>
      <c r="E320" s="4">
        <v>57.19</v>
      </c>
      <c r="F320" s="4" t="s">
        <v>683</v>
      </c>
      <c r="G320" s="2" t="s">
        <v>596</v>
      </c>
      <c r="I320">
        <f t="shared" si="58"/>
        <v>59.686500000000002</v>
      </c>
      <c r="J320">
        <f t="shared" si="59"/>
        <v>62.697750000000006</v>
      </c>
      <c r="L320">
        <f t="shared" si="60"/>
        <v>0</v>
      </c>
      <c r="M320">
        <f t="shared" si="61"/>
        <v>1</v>
      </c>
      <c r="O320">
        <f t="shared" si="62"/>
        <v>0</v>
      </c>
      <c r="P320">
        <f t="shared" si="63"/>
        <v>0.25</v>
      </c>
      <c r="R320">
        <f t="shared" si="64"/>
        <v>0.43000000000000149</v>
      </c>
      <c r="S320">
        <f t="shared" si="65"/>
        <v>0.44899999999999951</v>
      </c>
      <c r="U320">
        <f t="shared" si="66"/>
        <v>48.919226393629238</v>
      </c>
      <c r="V320">
        <v>86</v>
      </c>
      <c r="W320">
        <v>5</v>
      </c>
      <c r="AH320">
        <f t="shared" si="67"/>
        <v>3.1071362498741171</v>
      </c>
      <c r="AI320">
        <f t="shared" si="68"/>
        <v>53.304999016977071</v>
      </c>
      <c r="AJ320">
        <f t="shared" si="69"/>
        <v>66.068000983022927</v>
      </c>
      <c r="AL320">
        <f t="shared" si="70"/>
        <v>65.900772499748243</v>
      </c>
      <c r="AM320">
        <f t="shared" si="71"/>
        <v>53.472227500251769</v>
      </c>
    </row>
    <row r="321" spans="1:39" ht="16.5" x14ac:dyDescent="0.25">
      <c r="A321" s="1">
        <v>45238</v>
      </c>
      <c r="B321" s="5">
        <v>57.45</v>
      </c>
      <c r="C321" s="4">
        <v>56.58</v>
      </c>
      <c r="D321" s="4">
        <v>57.81</v>
      </c>
      <c r="E321" s="4">
        <v>56.39</v>
      </c>
      <c r="F321" s="4" t="s">
        <v>1555</v>
      </c>
      <c r="G321" s="2" t="s">
        <v>1156</v>
      </c>
      <c r="I321">
        <f t="shared" si="58"/>
        <v>60.081499999999991</v>
      </c>
      <c r="J321">
        <f t="shared" si="59"/>
        <v>62.927</v>
      </c>
      <c r="L321">
        <f t="shared" si="60"/>
        <v>1</v>
      </c>
      <c r="M321">
        <f t="shared" si="61"/>
        <v>0</v>
      </c>
      <c r="O321">
        <f t="shared" si="62"/>
        <v>0.87000000000000455</v>
      </c>
      <c r="P321">
        <f t="shared" si="63"/>
        <v>0</v>
      </c>
      <c r="R321">
        <f t="shared" si="64"/>
        <v>0.43000000000000149</v>
      </c>
      <c r="S321">
        <f t="shared" si="65"/>
        <v>0.51899999999999979</v>
      </c>
      <c r="U321">
        <f t="shared" si="66"/>
        <v>45.310853530031707</v>
      </c>
      <c r="V321">
        <v>86</v>
      </c>
      <c r="W321">
        <v>5</v>
      </c>
      <c r="AH321">
        <f t="shared" si="67"/>
        <v>3.0400898253053628</v>
      </c>
      <c r="AI321">
        <f t="shared" si="68"/>
        <v>53.69999901697706</v>
      </c>
      <c r="AJ321">
        <f t="shared" si="69"/>
        <v>66.463000983022923</v>
      </c>
      <c r="AL321">
        <f t="shared" si="70"/>
        <v>66.161679650610722</v>
      </c>
      <c r="AM321">
        <f t="shared" si="71"/>
        <v>54.001320349389268</v>
      </c>
    </row>
    <row r="322" spans="1:39" ht="16.5" x14ac:dyDescent="0.25">
      <c r="A322" s="1">
        <v>45237</v>
      </c>
      <c r="B322" s="5">
        <v>56.87</v>
      </c>
      <c r="C322" s="4">
        <v>57.18</v>
      </c>
      <c r="D322" s="4">
        <v>57.59</v>
      </c>
      <c r="E322" s="4">
        <v>56.68</v>
      </c>
      <c r="F322" s="4" t="s">
        <v>1403</v>
      </c>
      <c r="G322" s="2" t="s">
        <v>1556</v>
      </c>
      <c r="I322">
        <f t="shared" ref="I322:I385" si="72">AVERAGE(B322:B341)</f>
        <v>60.45150000000001</v>
      </c>
      <c r="J322">
        <f t="shared" ref="J322:J385" si="73">AVERAGE(B322:B361)</f>
        <v>63.162000000000013</v>
      </c>
      <c r="L322">
        <f t="shared" ref="L322:L385" si="74">IF($C322&lt;$B322,1,0)</f>
        <v>0</v>
      </c>
      <c r="M322">
        <f t="shared" ref="M322:M385" si="75">IF($C322&lt;$B322,0,1)</f>
        <v>1</v>
      </c>
      <c r="O322">
        <f t="shared" ref="O322:O385" si="76">IF($C322&lt;$B322,B322-C322,0)</f>
        <v>0</v>
      </c>
      <c r="P322">
        <f t="shared" ref="P322:P385" si="77">IF($B322&lt;$C322,C322-B322,0)</f>
        <v>0.31000000000000227</v>
      </c>
      <c r="R322">
        <f t="shared" ref="R322:R385" si="78">SUM(O322:O335)/SUM(L322:L335)</f>
        <v>0.28333333333333383</v>
      </c>
      <c r="S322">
        <f t="shared" ref="S322:S385" si="79">SUM(P322:P335)/SUM(M322:M335)</f>
        <v>0.47272727272727233</v>
      </c>
      <c r="U322">
        <f t="shared" ref="U322:U385" si="80">100-(100/(1+(R322/S322)))</f>
        <v>37.474949899799654</v>
      </c>
      <c r="V322">
        <v>86</v>
      </c>
      <c r="W322">
        <v>5</v>
      </c>
      <c r="AH322">
        <f t="shared" si="67"/>
        <v>2.9762826294537996</v>
      </c>
      <c r="AI322">
        <f t="shared" si="68"/>
        <v>54.069999016977079</v>
      </c>
      <c r="AJ322">
        <f t="shared" si="69"/>
        <v>66.833000983022941</v>
      </c>
      <c r="AL322">
        <f t="shared" si="70"/>
        <v>66.404065258907607</v>
      </c>
      <c r="AM322">
        <f t="shared" si="71"/>
        <v>54.498934741092413</v>
      </c>
    </row>
    <row r="323" spans="1:39" ht="16.5" x14ac:dyDescent="0.25">
      <c r="A323" s="1">
        <v>45236</v>
      </c>
      <c r="B323" s="5">
        <v>57.53</v>
      </c>
      <c r="C323" s="4">
        <v>58.3</v>
      </c>
      <c r="D323" s="4">
        <v>58.4</v>
      </c>
      <c r="E323" s="4">
        <v>57.42</v>
      </c>
      <c r="F323" s="4" t="s">
        <v>1412</v>
      </c>
      <c r="G323" s="2" t="s">
        <v>932</v>
      </c>
      <c r="I323">
        <f t="shared" si="72"/>
        <v>60.838499999999996</v>
      </c>
      <c r="J323">
        <f t="shared" si="73"/>
        <v>63.412999999999997</v>
      </c>
      <c r="L323">
        <f t="shared" si="74"/>
        <v>0</v>
      </c>
      <c r="M323">
        <f t="shared" si="75"/>
        <v>1</v>
      </c>
      <c r="O323">
        <f t="shared" si="76"/>
        <v>0</v>
      </c>
      <c r="P323">
        <f t="shared" si="77"/>
        <v>0.76999999999999602</v>
      </c>
      <c r="R323">
        <f t="shared" si="78"/>
        <v>0.28333333333333383</v>
      </c>
      <c r="S323">
        <f t="shared" si="79"/>
        <v>0.51909090909090783</v>
      </c>
      <c r="U323">
        <f t="shared" si="80"/>
        <v>35.309667673716106</v>
      </c>
      <c r="V323">
        <v>86</v>
      </c>
      <c r="W323">
        <v>5</v>
      </c>
      <c r="AH323">
        <f t="shared" ref="AH323:AH386" si="81">_xlfn.STDEV.S(I323:I853)</f>
        <v>2.9154408717723461</v>
      </c>
      <c r="AI323">
        <f t="shared" ref="AI323:AI386" si="82">I323-$AH$2</f>
        <v>54.456999016977065</v>
      </c>
      <c r="AJ323">
        <f t="shared" ref="AJ323:AJ386" si="83">I323+$AH$2</f>
        <v>67.220000983022928</v>
      </c>
      <c r="AL323">
        <f t="shared" ref="AL323:AL386" si="84">I323+(AH323*2)</f>
        <v>66.66938174354469</v>
      </c>
      <c r="AM323">
        <f t="shared" ref="AM323:AM386" si="85">I323-(AH323*2)</f>
        <v>55.007618256455302</v>
      </c>
    </row>
    <row r="324" spans="1:39" ht="16.5" x14ac:dyDescent="0.25">
      <c r="A324" s="1">
        <v>45233</v>
      </c>
      <c r="B324" s="5">
        <v>57.9</v>
      </c>
      <c r="C324" s="4">
        <v>58.21</v>
      </c>
      <c r="D324" s="4">
        <v>58.49</v>
      </c>
      <c r="E324" s="4">
        <v>57.88</v>
      </c>
      <c r="F324" s="4" t="s">
        <v>1080</v>
      </c>
      <c r="G324" s="2" t="s">
        <v>835</v>
      </c>
      <c r="I324">
        <f t="shared" si="72"/>
        <v>61.134500000000003</v>
      </c>
      <c r="J324">
        <f t="shared" si="73"/>
        <v>63.630500000000005</v>
      </c>
      <c r="L324">
        <f t="shared" si="74"/>
        <v>0</v>
      </c>
      <c r="M324">
        <f t="shared" si="75"/>
        <v>1</v>
      </c>
      <c r="O324">
        <f t="shared" si="76"/>
        <v>0</v>
      </c>
      <c r="P324">
        <f t="shared" si="77"/>
        <v>0.31000000000000227</v>
      </c>
      <c r="R324">
        <f t="shared" si="78"/>
        <v>0.31500000000000306</v>
      </c>
      <c r="S324">
        <f t="shared" si="79"/>
        <v>0.49399999999999905</v>
      </c>
      <c r="U324">
        <f t="shared" si="80"/>
        <v>38.936959208900149</v>
      </c>
      <c r="V324">
        <v>86</v>
      </c>
      <c r="W324">
        <v>5</v>
      </c>
      <c r="AH324">
        <f t="shared" si="81"/>
        <v>2.8579125999410202</v>
      </c>
      <c r="AI324">
        <f t="shared" si="82"/>
        <v>54.752999016977071</v>
      </c>
      <c r="AJ324">
        <f t="shared" si="83"/>
        <v>67.516000983022934</v>
      </c>
      <c r="AL324">
        <f t="shared" si="84"/>
        <v>66.850325199882036</v>
      </c>
      <c r="AM324">
        <f t="shared" si="85"/>
        <v>55.418674800117962</v>
      </c>
    </row>
    <row r="325" spans="1:39" ht="16.5" x14ac:dyDescent="0.25">
      <c r="A325" s="1">
        <v>45232</v>
      </c>
      <c r="B325" s="5">
        <v>57.52</v>
      </c>
      <c r="C325" s="4">
        <v>56.85</v>
      </c>
      <c r="D325" s="4">
        <v>57.69</v>
      </c>
      <c r="E325" s="4">
        <v>56.45</v>
      </c>
      <c r="F325" s="4" t="s">
        <v>943</v>
      </c>
      <c r="G325" s="2" t="s">
        <v>1557</v>
      </c>
      <c r="I325">
        <f t="shared" si="72"/>
        <v>61.431999999999995</v>
      </c>
      <c r="J325">
        <f t="shared" si="73"/>
        <v>63.828749999999999</v>
      </c>
      <c r="L325">
        <f t="shared" si="74"/>
        <v>1</v>
      </c>
      <c r="M325">
        <f t="shared" si="75"/>
        <v>0</v>
      </c>
      <c r="O325">
        <f t="shared" si="76"/>
        <v>0.67000000000000171</v>
      </c>
      <c r="P325">
        <f t="shared" si="77"/>
        <v>0</v>
      </c>
      <c r="R325">
        <f t="shared" si="78"/>
        <v>0.31800000000000211</v>
      </c>
      <c r="S325">
        <f t="shared" si="79"/>
        <v>0.51444444444444315</v>
      </c>
      <c r="U325">
        <f t="shared" si="80"/>
        <v>38.200747463961775</v>
      </c>
      <c r="V325">
        <v>86</v>
      </c>
      <c r="W325">
        <v>5</v>
      </c>
      <c r="AH325">
        <f t="shared" si="81"/>
        <v>2.8024452872827919</v>
      </c>
      <c r="AI325">
        <f t="shared" si="82"/>
        <v>55.050499016977064</v>
      </c>
      <c r="AJ325">
        <f t="shared" si="83"/>
        <v>67.813500983022919</v>
      </c>
      <c r="AL325">
        <f t="shared" si="84"/>
        <v>67.036890574565575</v>
      </c>
      <c r="AM325">
        <f t="shared" si="85"/>
        <v>55.827109425434415</v>
      </c>
    </row>
    <row r="326" spans="1:39" ht="16.5" x14ac:dyDescent="0.25">
      <c r="A326" s="1">
        <v>45231</v>
      </c>
      <c r="B326" s="5">
        <v>55.97</v>
      </c>
      <c r="C326" s="4">
        <v>55.86</v>
      </c>
      <c r="D326" s="4">
        <v>56.54</v>
      </c>
      <c r="E326" s="4">
        <v>55.34</v>
      </c>
      <c r="F326" s="4" t="s">
        <v>1419</v>
      </c>
      <c r="G326" s="2" t="s">
        <v>1188</v>
      </c>
      <c r="I326">
        <f t="shared" si="72"/>
        <v>61.777000000000022</v>
      </c>
      <c r="J326">
        <f t="shared" si="73"/>
        <v>64.023250000000019</v>
      </c>
      <c r="L326">
        <f t="shared" si="74"/>
        <v>1</v>
      </c>
      <c r="M326">
        <f t="shared" si="75"/>
        <v>0</v>
      </c>
      <c r="O326">
        <f t="shared" si="76"/>
        <v>0.10999999999999943</v>
      </c>
      <c r="P326">
        <f t="shared" si="77"/>
        <v>0</v>
      </c>
      <c r="R326">
        <f t="shared" si="78"/>
        <v>0.2300000000000022</v>
      </c>
      <c r="S326">
        <f t="shared" si="79"/>
        <v>0.5449999999999996</v>
      </c>
      <c r="U326">
        <f t="shared" si="80"/>
        <v>29.677419354838932</v>
      </c>
      <c r="V326">
        <v>86</v>
      </c>
      <c r="W326">
        <v>5</v>
      </c>
      <c r="AH326">
        <f t="shared" si="81"/>
        <v>2.7491344582022301</v>
      </c>
      <c r="AI326">
        <f t="shared" si="82"/>
        <v>55.395499016977091</v>
      </c>
      <c r="AJ326">
        <f t="shared" si="83"/>
        <v>68.158500983022947</v>
      </c>
      <c r="AL326">
        <f t="shared" si="84"/>
        <v>67.275268916404485</v>
      </c>
      <c r="AM326">
        <f t="shared" si="85"/>
        <v>56.278731083595559</v>
      </c>
    </row>
    <row r="327" spans="1:39" ht="16.5" x14ac:dyDescent="0.25">
      <c r="A327" s="1">
        <v>45230</v>
      </c>
      <c r="B327" s="5">
        <v>55.43</v>
      </c>
      <c r="C327" s="4">
        <v>55.5</v>
      </c>
      <c r="D327" s="4">
        <v>55.87</v>
      </c>
      <c r="E327" s="4">
        <v>55.08</v>
      </c>
      <c r="F327" s="4" t="s">
        <v>1558</v>
      </c>
      <c r="G327" s="2" t="s">
        <v>544</v>
      </c>
      <c r="I327">
        <f t="shared" si="72"/>
        <v>62.225000000000009</v>
      </c>
      <c r="J327">
        <f t="shared" si="73"/>
        <v>64.28</v>
      </c>
      <c r="L327">
        <f t="shared" si="74"/>
        <v>0</v>
      </c>
      <c r="M327">
        <f t="shared" si="75"/>
        <v>1</v>
      </c>
      <c r="O327">
        <f t="shared" si="76"/>
        <v>0</v>
      </c>
      <c r="P327">
        <f t="shared" si="77"/>
        <v>7.0000000000000284E-2</v>
      </c>
      <c r="R327">
        <f t="shared" si="78"/>
        <v>0.27000000000000313</v>
      </c>
      <c r="S327">
        <f t="shared" si="79"/>
        <v>0.50999999999999934</v>
      </c>
      <c r="U327">
        <f t="shared" si="80"/>
        <v>34.615384615384912</v>
      </c>
      <c r="V327">
        <v>86</v>
      </c>
      <c r="W327">
        <v>5</v>
      </c>
      <c r="AH327">
        <f t="shared" si="81"/>
        <v>2.6987441248171478</v>
      </c>
      <c r="AI327">
        <f t="shared" si="82"/>
        <v>55.843499016977077</v>
      </c>
      <c r="AJ327">
        <f t="shared" si="83"/>
        <v>68.60650098302294</v>
      </c>
      <c r="AL327">
        <f t="shared" si="84"/>
        <v>67.622488249634301</v>
      </c>
      <c r="AM327">
        <f t="shared" si="85"/>
        <v>56.827511750365716</v>
      </c>
    </row>
    <row r="328" spans="1:39" ht="16.5" x14ac:dyDescent="0.25">
      <c r="A328" s="1">
        <v>45229</v>
      </c>
      <c r="B328" s="5">
        <v>55.58</v>
      </c>
      <c r="C328" s="4">
        <v>56.01</v>
      </c>
      <c r="D328" s="4">
        <v>56.43</v>
      </c>
      <c r="E328" s="4">
        <v>55.27</v>
      </c>
      <c r="F328" s="4" t="s">
        <v>1492</v>
      </c>
      <c r="G328" s="2" t="s">
        <v>172</v>
      </c>
      <c r="I328">
        <f t="shared" si="72"/>
        <v>62.70000000000001</v>
      </c>
      <c r="J328">
        <f t="shared" si="73"/>
        <v>64.566999999999993</v>
      </c>
      <c r="L328">
        <f t="shared" si="74"/>
        <v>0</v>
      </c>
      <c r="M328">
        <f t="shared" si="75"/>
        <v>1</v>
      </c>
      <c r="O328">
        <f t="shared" si="76"/>
        <v>0</v>
      </c>
      <c r="P328">
        <f t="shared" si="77"/>
        <v>0.42999999999999972</v>
      </c>
      <c r="R328">
        <f t="shared" si="78"/>
        <v>0.32249999999999979</v>
      </c>
      <c r="S328">
        <f t="shared" si="79"/>
        <v>0.55399999999999916</v>
      </c>
      <c r="U328">
        <f t="shared" si="80"/>
        <v>36.794067313177429</v>
      </c>
      <c r="V328">
        <v>86</v>
      </c>
      <c r="W328">
        <v>5</v>
      </c>
      <c r="AH328">
        <f t="shared" si="81"/>
        <v>2.6528058713450942</v>
      </c>
      <c r="AI328">
        <f t="shared" si="82"/>
        <v>56.318499016977078</v>
      </c>
      <c r="AJ328">
        <f t="shared" si="83"/>
        <v>69.081500983022934</v>
      </c>
      <c r="AL328">
        <f t="shared" si="84"/>
        <v>68.005611742690192</v>
      </c>
      <c r="AM328">
        <f t="shared" si="85"/>
        <v>57.394388257309821</v>
      </c>
    </row>
    <row r="329" spans="1:39" ht="16.5" x14ac:dyDescent="0.25">
      <c r="A329" s="1">
        <v>45226</v>
      </c>
      <c r="B329" s="5">
        <v>56.21</v>
      </c>
      <c r="C329" s="4">
        <v>57.05</v>
      </c>
      <c r="D329" s="4">
        <v>57.87</v>
      </c>
      <c r="E329" s="4">
        <v>56.03</v>
      </c>
      <c r="F329" s="4" t="s">
        <v>1104</v>
      </c>
      <c r="G329" s="2" t="s">
        <v>1559</v>
      </c>
      <c r="I329">
        <f t="shared" si="72"/>
        <v>63.20150000000001</v>
      </c>
      <c r="J329">
        <f t="shared" si="73"/>
        <v>64.84</v>
      </c>
      <c r="L329">
        <f t="shared" si="74"/>
        <v>0</v>
      </c>
      <c r="M329">
        <f t="shared" si="75"/>
        <v>1</v>
      </c>
      <c r="O329">
        <f t="shared" si="76"/>
        <v>0</v>
      </c>
      <c r="P329">
        <f t="shared" si="77"/>
        <v>0.83999999999999631</v>
      </c>
      <c r="R329">
        <f t="shared" si="78"/>
        <v>0.39399999999999979</v>
      </c>
      <c r="S329">
        <f t="shared" si="79"/>
        <v>0.56777777777777694</v>
      </c>
      <c r="U329">
        <f t="shared" si="80"/>
        <v>40.965804066543456</v>
      </c>
      <c r="V329">
        <v>86</v>
      </c>
      <c r="W329">
        <v>5</v>
      </c>
      <c r="AH329">
        <f t="shared" si="81"/>
        <v>2.6117083374805534</v>
      </c>
      <c r="AI329">
        <f t="shared" si="82"/>
        <v>56.819999016977079</v>
      </c>
      <c r="AJ329">
        <f t="shared" si="83"/>
        <v>69.583000983022941</v>
      </c>
      <c r="AL329">
        <f t="shared" si="84"/>
        <v>68.424916674961111</v>
      </c>
      <c r="AM329">
        <f t="shared" si="85"/>
        <v>57.978083325038902</v>
      </c>
    </row>
    <row r="330" spans="1:39" ht="16.5" x14ac:dyDescent="0.25">
      <c r="A330" s="1">
        <v>45225</v>
      </c>
      <c r="B330" s="5">
        <v>57.84</v>
      </c>
      <c r="C330" s="4">
        <v>58.53</v>
      </c>
      <c r="D330" s="4">
        <v>58.75</v>
      </c>
      <c r="E330" s="4">
        <v>57.11</v>
      </c>
      <c r="F330" s="4" t="s">
        <v>1108</v>
      </c>
      <c r="G330" s="2" t="s">
        <v>1560</v>
      </c>
      <c r="I330">
        <f t="shared" si="72"/>
        <v>63.685500000000012</v>
      </c>
      <c r="J330">
        <f t="shared" si="73"/>
        <v>65.081249999999997</v>
      </c>
      <c r="L330">
        <f t="shared" si="74"/>
        <v>0</v>
      </c>
      <c r="M330">
        <f t="shared" si="75"/>
        <v>1</v>
      </c>
      <c r="O330">
        <f t="shared" si="76"/>
        <v>0</v>
      </c>
      <c r="P330">
        <f t="shared" si="77"/>
        <v>0.68999999999999773</v>
      </c>
      <c r="R330">
        <f t="shared" si="78"/>
        <v>0.39399999999999979</v>
      </c>
      <c r="S330">
        <f t="shared" si="79"/>
        <v>0.47777777777777669</v>
      </c>
      <c r="U330">
        <f t="shared" si="80"/>
        <v>45.195003823604431</v>
      </c>
      <c r="V330">
        <v>86</v>
      </c>
      <c r="W330">
        <v>5</v>
      </c>
      <c r="AH330">
        <f t="shared" si="81"/>
        <v>2.57576430471005</v>
      </c>
      <c r="AI330">
        <f t="shared" si="82"/>
        <v>57.30399901697708</v>
      </c>
      <c r="AJ330">
        <f t="shared" si="83"/>
        <v>70.067000983022936</v>
      </c>
      <c r="AL330">
        <f t="shared" si="84"/>
        <v>68.837028609420116</v>
      </c>
      <c r="AM330">
        <f t="shared" si="85"/>
        <v>58.533971390579914</v>
      </c>
    </row>
    <row r="331" spans="1:39" ht="16.5" x14ac:dyDescent="0.25">
      <c r="A331" s="1">
        <v>45224</v>
      </c>
      <c r="B331" s="5">
        <v>61.38</v>
      </c>
      <c r="C331" s="4">
        <v>61.7</v>
      </c>
      <c r="D331" s="4">
        <v>61.81</v>
      </c>
      <c r="E331" s="4">
        <v>60.76</v>
      </c>
      <c r="F331" s="4" t="s">
        <v>1416</v>
      </c>
      <c r="G331" s="2" t="s">
        <v>406</v>
      </c>
      <c r="I331">
        <f t="shared" si="72"/>
        <v>64.088000000000008</v>
      </c>
      <c r="J331">
        <f t="shared" si="73"/>
        <v>65.32374999999999</v>
      </c>
      <c r="L331">
        <f t="shared" si="74"/>
        <v>0</v>
      </c>
      <c r="M331">
        <f t="shared" si="75"/>
        <v>1</v>
      </c>
      <c r="O331">
        <f t="shared" si="76"/>
        <v>0</v>
      </c>
      <c r="P331">
        <f t="shared" si="77"/>
        <v>0.32000000000000028</v>
      </c>
      <c r="R331">
        <f t="shared" si="78"/>
        <v>0.39399999999999979</v>
      </c>
      <c r="S331">
        <f t="shared" si="79"/>
        <v>0.4644444444444436</v>
      </c>
      <c r="U331">
        <f t="shared" si="80"/>
        <v>45.896971265855584</v>
      </c>
      <c r="V331">
        <v>86</v>
      </c>
      <c r="W331">
        <v>5</v>
      </c>
      <c r="AH331">
        <f t="shared" si="81"/>
        <v>2.5446633648963655</v>
      </c>
      <c r="AI331">
        <f t="shared" si="82"/>
        <v>57.706499016977077</v>
      </c>
      <c r="AJ331">
        <f t="shared" si="83"/>
        <v>70.46950098302294</v>
      </c>
      <c r="AL331">
        <f t="shared" si="84"/>
        <v>69.177326729792739</v>
      </c>
      <c r="AM331">
        <f t="shared" si="85"/>
        <v>58.998673270207277</v>
      </c>
    </row>
    <row r="332" spans="1:39" ht="16.5" x14ac:dyDescent="0.25">
      <c r="A332" s="1">
        <v>45223</v>
      </c>
      <c r="B332" s="5">
        <v>61.53</v>
      </c>
      <c r="C332" s="4">
        <v>61.46</v>
      </c>
      <c r="D332" s="4">
        <v>61.78</v>
      </c>
      <c r="E332" s="4">
        <v>61.1</v>
      </c>
      <c r="F332" s="4" t="s">
        <v>1561</v>
      </c>
      <c r="G332" s="2" t="s">
        <v>596</v>
      </c>
      <c r="I332">
        <f t="shared" si="72"/>
        <v>64.282000000000011</v>
      </c>
      <c r="J332">
        <f t="shared" si="73"/>
        <v>65.477000000000004</v>
      </c>
      <c r="L332">
        <f t="shared" si="74"/>
        <v>1</v>
      </c>
      <c r="M332">
        <f t="shared" si="75"/>
        <v>0</v>
      </c>
      <c r="O332">
        <f t="shared" si="76"/>
        <v>7.0000000000000284E-2</v>
      </c>
      <c r="P332">
        <f t="shared" si="77"/>
        <v>0</v>
      </c>
      <c r="R332">
        <f t="shared" si="78"/>
        <v>0.39399999999999979</v>
      </c>
      <c r="S332">
        <f t="shared" si="79"/>
        <v>0.48222222222222183</v>
      </c>
      <c r="U332">
        <f t="shared" si="80"/>
        <v>44.965762110068482</v>
      </c>
      <c r="V332">
        <v>86</v>
      </c>
      <c r="W332">
        <v>5</v>
      </c>
      <c r="AH332">
        <f t="shared" si="81"/>
        <v>2.517338282774412</v>
      </c>
      <c r="AI332">
        <f t="shared" si="82"/>
        <v>57.900499016977079</v>
      </c>
      <c r="AJ332">
        <f t="shared" si="83"/>
        <v>70.663500983022942</v>
      </c>
      <c r="AL332">
        <f t="shared" si="84"/>
        <v>69.316676565548832</v>
      </c>
      <c r="AM332">
        <f t="shared" si="85"/>
        <v>59.247323434451189</v>
      </c>
    </row>
    <row r="333" spans="1:39" ht="16.5" x14ac:dyDescent="0.25">
      <c r="A333" s="1">
        <v>45222</v>
      </c>
      <c r="B333" s="5">
        <v>61.7</v>
      </c>
      <c r="C333" s="4">
        <v>62.2</v>
      </c>
      <c r="D333" s="4">
        <v>62.2</v>
      </c>
      <c r="E333" s="4">
        <v>60.75</v>
      </c>
      <c r="F333" s="4" t="s">
        <v>1452</v>
      </c>
      <c r="G333" s="2" t="s">
        <v>508</v>
      </c>
      <c r="I333">
        <f t="shared" si="72"/>
        <v>64.478500000000011</v>
      </c>
      <c r="J333">
        <f t="shared" si="73"/>
        <v>65.634500000000017</v>
      </c>
      <c r="L333">
        <f t="shared" si="74"/>
        <v>0</v>
      </c>
      <c r="M333">
        <f t="shared" si="75"/>
        <v>1</v>
      </c>
      <c r="O333">
        <f t="shared" si="76"/>
        <v>0</v>
      </c>
      <c r="P333">
        <f t="shared" si="77"/>
        <v>0.5</v>
      </c>
      <c r="R333">
        <f t="shared" si="78"/>
        <v>0.46200000000000185</v>
      </c>
      <c r="S333">
        <f t="shared" si="79"/>
        <v>0.48222222222222183</v>
      </c>
      <c r="U333">
        <f t="shared" si="80"/>
        <v>48.929159802306543</v>
      </c>
      <c r="V333">
        <v>86</v>
      </c>
      <c r="W333">
        <v>5</v>
      </c>
      <c r="AH333">
        <f t="shared" si="81"/>
        <v>2.491359252498448</v>
      </c>
      <c r="AI333">
        <f t="shared" si="82"/>
        <v>58.09699901697708</v>
      </c>
      <c r="AJ333">
        <f t="shared" si="83"/>
        <v>70.860000983022942</v>
      </c>
      <c r="AL333">
        <f t="shared" si="84"/>
        <v>69.461218504996907</v>
      </c>
      <c r="AM333">
        <f t="shared" si="85"/>
        <v>59.495781495003115</v>
      </c>
    </row>
    <row r="334" spans="1:39" ht="16.5" x14ac:dyDescent="0.25">
      <c r="A334" s="1">
        <v>45219</v>
      </c>
      <c r="B334" s="5">
        <v>62.01</v>
      </c>
      <c r="C334" s="4">
        <v>62.96</v>
      </c>
      <c r="D334" s="4">
        <v>63.04</v>
      </c>
      <c r="E334" s="4">
        <v>61.76</v>
      </c>
      <c r="F334" s="4" t="s">
        <v>718</v>
      </c>
      <c r="G334" s="2" t="s">
        <v>1163</v>
      </c>
      <c r="I334">
        <f t="shared" si="72"/>
        <v>64.71250000000002</v>
      </c>
      <c r="J334">
        <f t="shared" si="73"/>
        <v>65.777749999999997</v>
      </c>
      <c r="L334">
        <f t="shared" si="74"/>
        <v>0</v>
      </c>
      <c r="M334">
        <f t="shared" si="75"/>
        <v>1</v>
      </c>
      <c r="O334">
        <f t="shared" si="76"/>
        <v>0</v>
      </c>
      <c r="P334">
        <f t="shared" si="77"/>
        <v>0.95000000000000284</v>
      </c>
      <c r="R334">
        <f t="shared" si="78"/>
        <v>0.46200000000000185</v>
      </c>
      <c r="S334">
        <f t="shared" si="79"/>
        <v>0.47999999999999843</v>
      </c>
      <c r="U334">
        <f t="shared" si="80"/>
        <v>49.044585987261328</v>
      </c>
      <c r="V334">
        <v>86</v>
      </c>
      <c r="W334">
        <v>5</v>
      </c>
      <c r="AH334">
        <f t="shared" si="81"/>
        <v>2.4667740526672</v>
      </c>
      <c r="AI334">
        <f t="shared" si="82"/>
        <v>58.330999016977088</v>
      </c>
      <c r="AJ334">
        <f t="shared" si="83"/>
        <v>71.094000983022951</v>
      </c>
      <c r="AL334">
        <f t="shared" si="84"/>
        <v>69.646048105334415</v>
      </c>
      <c r="AM334">
        <f t="shared" si="85"/>
        <v>59.778951894665617</v>
      </c>
    </row>
    <row r="335" spans="1:39" ht="16.5" x14ac:dyDescent="0.25">
      <c r="A335" s="1">
        <v>45218</v>
      </c>
      <c r="B335" s="5">
        <v>63.45</v>
      </c>
      <c r="C335" s="4">
        <v>63.46</v>
      </c>
      <c r="D335" s="4">
        <v>63.81</v>
      </c>
      <c r="E335" s="4">
        <v>62.58</v>
      </c>
      <c r="F335" s="4" t="s">
        <v>507</v>
      </c>
      <c r="G335" s="2" t="s">
        <v>1562</v>
      </c>
      <c r="I335">
        <f t="shared" si="72"/>
        <v>64.978500000000011</v>
      </c>
      <c r="J335">
        <f t="shared" si="73"/>
        <v>65.902500000000003</v>
      </c>
      <c r="L335">
        <f t="shared" si="74"/>
        <v>0</v>
      </c>
      <c r="M335">
        <f t="shared" si="75"/>
        <v>1</v>
      </c>
      <c r="O335">
        <f t="shared" si="76"/>
        <v>0</v>
      </c>
      <c r="P335">
        <f t="shared" si="77"/>
        <v>9.9999999999980105E-3</v>
      </c>
      <c r="R335">
        <f t="shared" si="78"/>
        <v>0.46200000000000185</v>
      </c>
      <c r="S335">
        <f t="shared" si="79"/>
        <v>0.47333333333333155</v>
      </c>
      <c r="U335">
        <f t="shared" si="80"/>
        <v>49.394155381325923</v>
      </c>
      <c r="V335">
        <v>86</v>
      </c>
      <c r="W335">
        <v>5</v>
      </c>
      <c r="AH335">
        <f t="shared" si="81"/>
        <v>2.444015898598515</v>
      </c>
      <c r="AI335">
        <f t="shared" si="82"/>
        <v>58.59699901697708</v>
      </c>
      <c r="AJ335">
        <f t="shared" si="83"/>
        <v>71.360000983022942</v>
      </c>
      <c r="AL335">
        <f t="shared" si="84"/>
        <v>69.866531797197041</v>
      </c>
      <c r="AM335">
        <f t="shared" si="85"/>
        <v>60.090468202802981</v>
      </c>
    </row>
    <row r="336" spans="1:39" ht="16.5" x14ac:dyDescent="0.25">
      <c r="A336" s="1">
        <v>45217</v>
      </c>
      <c r="B336" s="5">
        <v>64.180000000000007</v>
      </c>
      <c r="C336" s="4">
        <v>65</v>
      </c>
      <c r="D336" s="4">
        <v>65.290000000000006</v>
      </c>
      <c r="E336" s="4">
        <v>64.180000000000007</v>
      </c>
      <c r="F336" s="4" t="s">
        <v>195</v>
      </c>
      <c r="G336" s="2" t="s">
        <v>28</v>
      </c>
      <c r="I336">
        <f t="shared" si="72"/>
        <v>65.177500000000023</v>
      </c>
      <c r="J336">
        <f t="shared" si="73"/>
        <v>65.991000000000014</v>
      </c>
      <c r="L336">
        <f t="shared" si="74"/>
        <v>0</v>
      </c>
      <c r="M336">
        <f t="shared" si="75"/>
        <v>1</v>
      </c>
      <c r="O336">
        <f t="shared" si="76"/>
        <v>0</v>
      </c>
      <c r="P336">
        <f t="shared" si="77"/>
        <v>0.81999999999999318</v>
      </c>
      <c r="R336">
        <f t="shared" si="78"/>
        <v>0.46200000000000185</v>
      </c>
      <c r="S336">
        <f t="shared" si="79"/>
        <v>0.48666666666666458</v>
      </c>
      <c r="U336">
        <f t="shared" si="80"/>
        <v>48.699929725931341</v>
      </c>
      <c r="V336">
        <v>86</v>
      </c>
      <c r="W336">
        <v>5</v>
      </c>
      <c r="AH336">
        <f t="shared" si="81"/>
        <v>2.4234318032831079</v>
      </c>
      <c r="AI336">
        <f t="shared" si="82"/>
        <v>58.795999016977092</v>
      </c>
      <c r="AJ336">
        <f t="shared" si="83"/>
        <v>71.559000983022955</v>
      </c>
      <c r="AL336">
        <f t="shared" si="84"/>
        <v>70.02436360656624</v>
      </c>
      <c r="AM336">
        <f t="shared" si="85"/>
        <v>60.330636393433807</v>
      </c>
    </row>
    <row r="337" spans="1:39" ht="16.5" x14ac:dyDescent="0.25">
      <c r="A337" s="1">
        <v>45216</v>
      </c>
      <c r="B337" s="5">
        <v>64.87</v>
      </c>
      <c r="C337" s="4">
        <v>64.459999999999994</v>
      </c>
      <c r="D337" s="4">
        <v>64.88</v>
      </c>
      <c r="E337" s="4">
        <v>63.99</v>
      </c>
      <c r="F337" s="4" t="s">
        <v>1563</v>
      </c>
      <c r="G337" s="2" t="s">
        <v>450</v>
      </c>
      <c r="I337">
        <f t="shared" si="72"/>
        <v>65.378999999999991</v>
      </c>
      <c r="J337">
        <f t="shared" si="73"/>
        <v>66.074999999999989</v>
      </c>
      <c r="L337">
        <f t="shared" si="74"/>
        <v>1</v>
      </c>
      <c r="M337">
        <f t="shared" si="75"/>
        <v>0</v>
      </c>
      <c r="O337">
        <f t="shared" si="76"/>
        <v>0.4100000000000108</v>
      </c>
      <c r="P337">
        <f t="shared" si="77"/>
        <v>0</v>
      </c>
      <c r="R337">
        <f t="shared" si="78"/>
        <v>0.45333333333333431</v>
      </c>
      <c r="S337">
        <f t="shared" si="79"/>
        <v>0.44499999999999851</v>
      </c>
      <c r="U337">
        <f t="shared" si="80"/>
        <v>50.463821892393462</v>
      </c>
      <c r="V337">
        <v>86</v>
      </c>
      <c r="W337">
        <v>5</v>
      </c>
      <c r="AH337">
        <f t="shared" si="81"/>
        <v>2.4043054203469056</v>
      </c>
      <c r="AI337">
        <f t="shared" si="82"/>
        <v>58.997499016977059</v>
      </c>
      <c r="AJ337">
        <f t="shared" si="83"/>
        <v>71.760500983022922</v>
      </c>
      <c r="AL337">
        <f t="shared" si="84"/>
        <v>70.187610840693807</v>
      </c>
      <c r="AM337">
        <f t="shared" si="85"/>
        <v>60.570389159306181</v>
      </c>
    </row>
    <row r="338" spans="1:39" ht="16.5" x14ac:dyDescent="0.25">
      <c r="A338" s="1">
        <v>45215</v>
      </c>
      <c r="B338" s="5">
        <v>64.7</v>
      </c>
      <c r="C338" s="4">
        <v>64.37</v>
      </c>
      <c r="D338" s="4">
        <v>64.849999999999994</v>
      </c>
      <c r="E338" s="4">
        <v>63.71</v>
      </c>
      <c r="F338" s="4" t="s">
        <v>1543</v>
      </c>
      <c r="G338" s="2" t="s">
        <v>1058</v>
      </c>
      <c r="I338">
        <f t="shared" si="72"/>
        <v>65.477499999999992</v>
      </c>
      <c r="J338">
        <f t="shared" si="73"/>
        <v>66.147999999999996</v>
      </c>
      <c r="L338">
        <f t="shared" si="74"/>
        <v>1</v>
      </c>
      <c r="M338">
        <f t="shared" si="75"/>
        <v>0</v>
      </c>
      <c r="O338">
        <f t="shared" si="76"/>
        <v>0.32999999999999829</v>
      </c>
      <c r="P338">
        <f t="shared" si="77"/>
        <v>0</v>
      </c>
      <c r="R338">
        <f t="shared" si="78"/>
        <v>0.46199999999999902</v>
      </c>
      <c r="S338">
        <f t="shared" si="79"/>
        <v>0.40222222222221959</v>
      </c>
      <c r="U338">
        <f t="shared" si="80"/>
        <v>53.458472615068246</v>
      </c>
      <c r="V338">
        <v>86</v>
      </c>
      <c r="W338">
        <v>5</v>
      </c>
      <c r="AH338">
        <f t="shared" si="81"/>
        <v>2.3866652623565887</v>
      </c>
      <c r="AI338">
        <f t="shared" si="82"/>
        <v>59.095999016977061</v>
      </c>
      <c r="AJ338">
        <f t="shared" si="83"/>
        <v>71.859000983022923</v>
      </c>
      <c r="AL338">
        <f t="shared" si="84"/>
        <v>70.250830524713166</v>
      </c>
      <c r="AM338">
        <f t="shared" si="85"/>
        <v>60.704169475286818</v>
      </c>
    </row>
    <row r="339" spans="1:39" ht="16.5" x14ac:dyDescent="0.25">
      <c r="A339" s="1">
        <v>45212</v>
      </c>
      <c r="B339" s="5">
        <v>64.319999999999993</v>
      </c>
      <c r="C339" s="4">
        <v>65.14</v>
      </c>
      <c r="D339" s="4">
        <v>65.430000000000007</v>
      </c>
      <c r="E339" s="4">
        <v>64.260000000000005</v>
      </c>
      <c r="F339" s="4" t="s">
        <v>1384</v>
      </c>
      <c r="G339" s="2" t="s">
        <v>570</v>
      </c>
      <c r="I339">
        <f t="shared" si="72"/>
        <v>65.564499999999995</v>
      </c>
      <c r="J339">
        <f t="shared" si="73"/>
        <v>66.218999999999994</v>
      </c>
      <c r="L339">
        <f t="shared" si="74"/>
        <v>0</v>
      </c>
      <c r="M339">
        <f t="shared" si="75"/>
        <v>1</v>
      </c>
      <c r="O339">
        <f t="shared" si="76"/>
        <v>0</v>
      </c>
      <c r="P339">
        <f t="shared" si="77"/>
        <v>0.82000000000000739</v>
      </c>
      <c r="R339">
        <f t="shared" si="78"/>
        <v>0.49499999999999922</v>
      </c>
      <c r="S339">
        <f t="shared" si="79"/>
        <v>0.45199999999999818</v>
      </c>
      <c r="U339">
        <f t="shared" si="80"/>
        <v>52.270327349524884</v>
      </c>
      <c r="V339">
        <v>86</v>
      </c>
      <c r="W339">
        <v>5</v>
      </c>
      <c r="AH339">
        <f t="shared" si="81"/>
        <v>2.3694712831521851</v>
      </c>
      <c r="AI339">
        <f t="shared" si="82"/>
        <v>59.182999016977064</v>
      </c>
      <c r="AJ339">
        <f t="shared" si="83"/>
        <v>71.946000983022927</v>
      </c>
      <c r="AL339">
        <f t="shared" si="84"/>
        <v>70.303442566304369</v>
      </c>
      <c r="AM339">
        <f t="shared" si="85"/>
        <v>60.825557433695622</v>
      </c>
    </row>
    <row r="340" spans="1:39" ht="16.5" x14ac:dyDescent="0.25">
      <c r="A340" s="1">
        <v>45211</v>
      </c>
      <c r="B340" s="5">
        <v>65.19</v>
      </c>
      <c r="C340" s="4">
        <v>65.349999999999994</v>
      </c>
      <c r="D340" s="4">
        <v>65.63</v>
      </c>
      <c r="E340" s="4">
        <v>64.88</v>
      </c>
      <c r="F340" s="4" t="s">
        <v>113</v>
      </c>
      <c r="G340" s="2" t="s">
        <v>638</v>
      </c>
      <c r="I340">
        <f t="shared" si="72"/>
        <v>65.709000000000003</v>
      </c>
      <c r="J340">
        <f t="shared" si="73"/>
        <v>66.28649999999999</v>
      </c>
      <c r="L340">
        <f t="shared" si="74"/>
        <v>0</v>
      </c>
      <c r="M340">
        <f t="shared" si="75"/>
        <v>1</v>
      </c>
      <c r="O340">
        <f t="shared" si="76"/>
        <v>0</v>
      </c>
      <c r="P340">
        <f t="shared" si="77"/>
        <v>0.15999999999999659</v>
      </c>
      <c r="R340">
        <f t="shared" si="78"/>
        <v>0.49499999999999922</v>
      </c>
      <c r="S340">
        <f t="shared" si="79"/>
        <v>0.42999999999999827</v>
      </c>
      <c r="U340">
        <f t="shared" si="80"/>
        <v>53.51351351351358</v>
      </c>
      <c r="V340">
        <v>86</v>
      </c>
      <c r="W340">
        <v>5</v>
      </c>
      <c r="AH340">
        <f t="shared" si="81"/>
        <v>2.352615793811311</v>
      </c>
      <c r="AI340">
        <f t="shared" si="82"/>
        <v>59.327499016977072</v>
      </c>
      <c r="AJ340">
        <f t="shared" si="83"/>
        <v>72.090500983022935</v>
      </c>
      <c r="AL340">
        <f t="shared" si="84"/>
        <v>70.414231587622623</v>
      </c>
      <c r="AM340">
        <f t="shared" si="85"/>
        <v>61.003768412377383</v>
      </c>
    </row>
    <row r="341" spans="1:39" ht="16.5" x14ac:dyDescent="0.25">
      <c r="A341" s="1">
        <v>45210</v>
      </c>
      <c r="B341" s="5">
        <v>64.849999999999994</v>
      </c>
      <c r="C341" s="4">
        <v>64.37</v>
      </c>
      <c r="D341" s="4">
        <v>65.09</v>
      </c>
      <c r="E341" s="4">
        <v>63.89</v>
      </c>
      <c r="F341" s="4" t="s">
        <v>726</v>
      </c>
      <c r="G341" s="2" t="s">
        <v>1530</v>
      </c>
      <c r="I341">
        <f t="shared" si="72"/>
        <v>65.772500000000008</v>
      </c>
      <c r="J341">
        <f t="shared" si="73"/>
        <v>66.344749999999991</v>
      </c>
      <c r="L341">
        <f t="shared" si="74"/>
        <v>1</v>
      </c>
      <c r="M341">
        <f t="shared" si="75"/>
        <v>0</v>
      </c>
      <c r="O341">
        <f t="shared" si="76"/>
        <v>0.47999999999998977</v>
      </c>
      <c r="P341">
        <f t="shared" si="77"/>
        <v>0</v>
      </c>
      <c r="R341">
        <f t="shared" si="78"/>
        <v>0.44200000000000017</v>
      </c>
      <c r="S341">
        <f t="shared" si="79"/>
        <v>0.45999999999999847</v>
      </c>
      <c r="U341">
        <f t="shared" si="80"/>
        <v>49.002217294900312</v>
      </c>
      <c r="V341">
        <v>86</v>
      </c>
      <c r="W341">
        <v>5</v>
      </c>
      <c r="AH341">
        <f t="shared" si="81"/>
        <v>2.3366871370278202</v>
      </c>
      <c r="AI341">
        <f t="shared" si="82"/>
        <v>59.390999016977077</v>
      </c>
      <c r="AJ341">
        <f t="shared" si="83"/>
        <v>72.154000983022939</v>
      </c>
      <c r="AL341">
        <f t="shared" si="84"/>
        <v>70.445874274055654</v>
      </c>
      <c r="AM341">
        <f t="shared" si="85"/>
        <v>61.099125725944369</v>
      </c>
    </row>
    <row r="342" spans="1:39" ht="16.5" x14ac:dyDescent="0.25">
      <c r="A342" s="1">
        <v>45209</v>
      </c>
      <c r="B342" s="5">
        <v>64.61</v>
      </c>
      <c r="C342" s="4">
        <v>63.93</v>
      </c>
      <c r="D342" s="4">
        <v>65.010000000000005</v>
      </c>
      <c r="E342" s="4">
        <v>63.88</v>
      </c>
      <c r="F342" s="4" t="s">
        <v>1412</v>
      </c>
      <c r="G342" s="2" t="s">
        <v>1144</v>
      </c>
      <c r="I342">
        <f t="shared" si="72"/>
        <v>65.872500000000002</v>
      </c>
      <c r="J342">
        <f t="shared" si="73"/>
        <v>66.430499999999995</v>
      </c>
      <c r="L342">
        <f t="shared" si="74"/>
        <v>1</v>
      </c>
      <c r="M342">
        <f t="shared" si="75"/>
        <v>0</v>
      </c>
      <c r="O342">
        <f t="shared" si="76"/>
        <v>0.67999999999999972</v>
      </c>
      <c r="P342">
        <f t="shared" si="77"/>
        <v>0</v>
      </c>
      <c r="R342">
        <f t="shared" si="78"/>
        <v>0.43250000000000277</v>
      </c>
      <c r="S342">
        <f t="shared" si="79"/>
        <v>0.43099999999999739</v>
      </c>
      <c r="U342">
        <f t="shared" si="80"/>
        <v>50.086855819340208</v>
      </c>
      <c r="V342">
        <v>86</v>
      </c>
      <c r="W342">
        <v>5</v>
      </c>
      <c r="AH342">
        <f t="shared" si="81"/>
        <v>2.3208856019130342</v>
      </c>
      <c r="AI342">
        <f t="shared" si="82"/>
        <v>59.490999016977071</v>
      </c>
      <c r="AJ342">
        <f t="shared" si="83"/>
        <v>72.254000983022934</v>
      </c>
      <c r="AL342">
        <f t="shared" si="84"/>
        <v>70.51427120382607</v>
      </c>
      <c r="AM342">
        <f t="shared" si="85"/>
        <v>61.230728796173935</v>
      </c>
    </row>
    <row r="343" spans="1:39" ht="16.5" x14ac:dyDescent="0.25">
      <c r="A343" s="1">
        <v>45208</v>
      </c>
      <c r="B343" s="5">
        <v>63.45</v>
      </c>
      <c r="C343" s="4">
        <v>63.48</v>
      </c>
      <c r="D343" s="4">
        <v>63.68</v>
      </c>
      <c r="E343" s="4">
        <v>62.83</v>
      </c>
      <c r="F343" s="4" t="s">
        <v>202</v>
      </c>
      <c r="G343" s="2" t="s">
        <v>147</v>
      </c>
      <c r="I343">
        <f t="shared" si="72"/>
        <v>65.987500000000011</v>
      </c>
      <c r="J343">
        <f t="shared" si="73"/>
        <v>66.518499999999989</v>
      </c>
      <c r="L343">
        <f t="shared" si="74"/>
        <v>0</v>
      </c>
      <c r="M343">
        <f t="shared" si="75"/>
        <v>1</v>
      </c>
      <c r="O343">
        <f t="shared" si="76"/>
        <v>0</v>
      </c>
      <c r="P343">
        <f t="shared" si="77"/>
        <v>2.9999999999994031E-2</v>
      </c>
      <c r="R343">
        <f t="shared" si="78"/>
        <v>0.5400000000000027</v>
      </c>
      <c r="S343">
        <f t="shared" si="79"/>
        <v>0.43099999999999739</v>
      </c>
      <c r="U343">
        <f t="shared" si="80"/>
        <v>55.612770339856091</v>
      </c>
      <c r="V343">
        <v>86</v>
      </c>
      <c r="W343">
        <v>5</v>
      </c>
      <c r="AH343">
        <f t="shared" si="81"/>
        <v>2.3055814173203246</v>
      </c>
      <c r="AI343">
        <f t="shared" si="82"/>
        <v>59.60599901697708</v>
      </c>
      <c r="AJ343">
        <f t="shared" si="83"/>
        <v>72.369000983022943</v>
      </c>
      <c r="AL343">
        <f t="shared" si="84"/>
        <v>70.598662834640663</v>
      </c>
      <c r="AM343">
        <f t="shared" si="85"/>
        <v>61.376337165359359</v>
      </c>
    </row>
    <row r="344" spans="1:39" ht="16.5" x14ac:dyDescent="0.25">
      <c r="A344" s="1">
        <v>45205</v>
      </c>
      <c r="B344" s="5">
        <v>63.85</v>
      </c>
      <c r="C344" s="4">
        <v>64.42</v>
      </c>
      <c r="D344" s="4">
        <v>64.84</v>
      </c>
      <c r="E344" s="4">
        <v>62.74</v>
      </c>
      <c r="F344" s="4" t="s">
        <v>1499</v>
      </c>
      <c r="G344" s="2" t="s">
        <v>535</v>
      </c>
      <c r="I344">
        <f t="shared" si="72"/>
        <v>66.126500000000007</v>
      </c>
      <c r="J344">
        <f t="shared" si="73"/>
        <v>66.65325</v>
      </c>
      <c r="L344">
        <f t="shared" si="74"/>
        <v>0</v>
      </c>
      <c r="M344">
        <f t="shared" si="75"/>
        <v>1</v>
      </c>
      <c r="O344">
        <f t="shared" si="76"/>
        <v>0</v>
      </c>
      <c r="P344">
        <f t="shared" si="77"/>
        <v>0.57000000000000028</v>
      </c>
      <c r="R344">
        <f t="shared" si="78"/>
        <v>0.51200000000000334</v>
      </c>
      <c r="S344">
        <f t="shared" si="79"/>
        <v>0.47555555555555329</v>
      </c>
      <c r="U344">
        <f t="shared" si="80"/>
        <v>51.845184518452122</v>
      </c>
      <c r="V344">
        <v>86</v>
      </c>
      <c r="W344">
        <v>5</v>
      </c>
      <c r="AH344">
        <f t="shared" si="81"/>
        <v>2.2909321493670176</v>
      </c>
      <c r="AI344">
        <f t="shared" si="82"/>
        <v>59.744999016977076</v>
      </c>
      <c r="AJ344">
        <f t="shared" si="83"/>
        <v>72.508000983022939</v>
      </c>
      <c r="AL344">
        <f t="shared" si="84"/>
        <v>70.70836429873404</v>
      </c>
      <c r="AM344">
        <f t="shared" si="85"/>
        <v>61.544635701265975</v>
      </c>
    </row>
    <row r="345" spans="1:39" ht="16.5" x14ac:dyDescent="0.25">
      <c r="A345" s="1">
        <v>45204</v>
      </c>
      <c r="B345" s="5">
        <v>64.42</v>
      </c>
      <c r="C345" s="4">
        <v>64.900000000000006</v>
      </c>
      <c r="D345" s="4">
        <v>65.040000000000006</v>
      </c>
      <c r="E345" s="4">
        <v>64.290000000000006</v>
      </c>
      <c r="F345" s="4" t="s">
        <v>1513</v>
      </c>
      <c r="G345" s="2" t="s">
        <v>565</v>
      </c>
      <c r="I345">
        <f t="shared" si="72"/>
        <v>66.225499999999997</v>
      </c>
      <c r="J345">
        <f t="shared" si="73"/>
        <v>66.784750000000003</v>
      </c>
      <c r="L345">
        <f t="shared" si="74"/>
        <v>0</v>
      </c>
      <c r="M345">
        <f t="shared" si="75"/>
        <v>1</v>
      </c>
      <c r="O345">
        <f t="shared" si="76"/>
        <v>0</v>
      </c>
      <c r="P345">
        <f t="shared" si="77"/>
        <v>0.48000000000000398</v>
      </c>
      <c r="R345">
        <f t="shared" si="78"/>
        <v>0.51200000000000334</v>
      </c>
      <c r="S345">
        <f t="shared" si="79"/>
        <v>0.49111111111110972</v>
      </c>
      <c r="U345">
        <f t="shared" si="80"/>
        <v>51.041205139566024</v>
      </c>
      <c r="V345">
        <v>86</v>
      </c>
      <c r="W345">
        <v>5</v>
      </c>
      <c r="AH345">
        <f t="shared" si="81"/>
        <v>2.2771806972247455</v>
      </c>
      <c r="AI345">
        <f t="shared" si="82"/>
        <v>59.843999016977065</v>
      </c>
      <c r="AJ345">
        <f t="shared" si="83"/>
        <v>72.607000983022928</v>
      </c>
      <c r="AL345">
        <f t="shared" si="84"/>
        <v>70.779861394449483</v>
      </c>
      <c r="AM345">
        <f t="shared" si="85"/>
        <v>61.671138605550503</v>
      </c>
    </row>
    <row r="346" spans="1:39" ht="16.5" x14ac:dyDescent="0.25">
      <c r="A346" s="1">
        <v>45203</v>
      </c>
      <c r="B346" s="5">
        <v>64.930000000000007</v>
      </c>
      <c r="C346" s="4">
        <v>64.52</v>
      </c>
      <c r="D346" s="4">
        <v>65.2</v>
      </c>
      <c r="E346" s="4">
        <v>63.52</v>
      </c>
      <c r="F346" s="4" t="s">
        <v>1478</v>
      </c>
      <c r="G346" s="2" t="s">
        <v>365</v>
      </c>
      <c r="I346">
        <f t="shared" si="72"/>
        <v>66.269499999999994</v>
      </c>
      <c r="J346">
        <f t="shared" si="73"/>
        <v>66.932500000000005</v>
      </c>
      <c r="L346">
        <f t="shared" si="74"/>
        <v>1</v>
      </c>
      <c r="M346">
        <f t="shared" si="75"/>
        <v>0</v>
      </c>
      <c r="O346">
        <f t="shared" si="76"/>
        <v>0.4100000000000108</v>
      </c>
      <c r="P346">
        <f t="shared" si="77"/>
        <v>0</v>
      </c>
      <c r="R346">
        <f t="shared" si="78"/>
        <v>0.51200000000000334</v>
      </c>
      <c r="S346">
        <f t="shared" si="79"/>
        <v>0.44444444444444287</v>
      </c>
      <c r="U346">
        <f t="shared" si="80"/>
        <v>53.531598513011403</v>
      </c>
      <c r="V346">
        <v>86</v>
      </c>
      <c r="W346">
        <v>5</v>
      </c>
      <c r="AH346">
        <f t="shared" si="81"/>
        <v>2.2639471669901687</v>
      </c>
      <c r="AI346">
        <f t="shared" si="82"/>
        <v>59.887999016977062</v>
      </c>
      <c r="AJ346">
        <f t="shared" si="83"/>
        <v>72.651000983022925</v>
      </c>
      <c r="AL346">
        <f t="shared" si="84"/>
        <v>70.797394333980336</v>
      </c>
      <c r="AM346">
        <f t="shared" si="85"/>
        <v>61.741605666019659</v>
      </c>
    </row>
    <row r="347" spans="1:39" ht="16.5" x14ac:dyDescent="0.25">
      <c r="A347" s="1">
        <v>45202</v>
      </c>
      <c r="B347" s="5">
        <v>64.930000000000007</v>
      </c>
      <c r="C347" s="4">
        <v>65.41</v>
      </c>
      <c r="D347" s="4">
        <v>65.81</v>
      </c>
      <c r="E347" s="4">
        <v>64.900000000000006</v>
      </c>
      <c r="F347" s="4" t="s">
        <v>1564</v>
      </c>
      <c r="G347" s="2" t="s">
        <v>63</v>
      </c>
      <c r="I347">
        <f t="shared" si="72"/>
        <v>66.335000000000008</v>
      </c>
      <c r="J347">
        <f t="shared" si="73"/>
        <v>67.046750000000003</v>
      </c>
      <c r="L347">
        <f t="shared" si="74"/>
        <v>0</v>
      </c>
      <c r="M347">
        <f t="shared" si="75"/>
        <v>1</v>
      </c>
      <c r="O347">
        <f t="shared" si="76"/>
        <v>0</v>
      </c>
      <c r="P347">
        <f t="shared" si="77"/>
        <v>0.47999999999998977</v>
      </c>
      <c r="R347">
        <f t="shared" si="78"/>
        <v>0.53750000000000142</v>
      </c>
      <c r="S347">
        <f t="shared" si="79"/>
        <v>0.44199999999999873</v>
      </c>
      <c r="U347">
        <f t="shared" si="80"/>
        <v>54.8749361919348</v>
      </c>
      <c r="V347">
        <v>86</v>
      </c>
      <c r="W347">
        <v>5</v>
      </c>
      <c r="AH347">
        <f t="shared" si="81"/>
        <v>2.2507080408827917</v>
      </c>
      <c r="AI347">
        <f t="shared" si="82"/>
        <v>59.953499016977077</v>
      </c>
      <c r="AJ347">
        <f t="shared" si="83"/>
        <v>72.716500983022939</v>
      </c>
      <c r="AL347">
        <f t="shared" si="84"/>
        <v>70.836416081765591</v>
      </c>
      <c r="AM347">
        <f t="shared" si="85"/>
        <v>61.833583918234424</v>
      </c>
    </row>
    <row r="348" spans="1:39" ht="16.5" x14ac:dyDescent="0.25">
      <c r="A348" s="1">
        <v>45201</v>
      </c>
      <c r="B348" s="5">
        <v>65.61</v>
      </c>
      <c r="C348" s="4">
        <v>66.5</v>
      </c>
      <c r="D348" s="4">
        <v>66.53</v>
      </c>
      <c r="E348" s="4">
        <v>65.14</v>
      </c>
      <c r="F348" s="4" t="s">
        <v>757</v>
      </c>
      <c r="G348" s="2" t="s">
        <v>736</v>
      </c>
      <c r="I348">
        <f t="shared" si="72"/>
        <v>66.433999999999997</v>
      </c>
      <c r="J348">
        <f t="shared" si="73"/>
        <v>67.180500000000023</v>
      </c>
      <c r="L348">
        <f t="shared" si="74"/>
        <v>0</v>
      </c>
      <c r="M348">
        <f t="shared" si="75"/>
        <v>1</v>
      </c>
      <c r="O348">
        <f t="shared" si="76"/>
        <v>0</v>
      </c>
      <c r="P348">
        <f t="shared" si="77"/>
        <v>0.89000000000000057</v>
      </c>
      <c r="R348">
        <f t="shared" si="78"/>
        <v>0.43799999999999956</v>
      </c>
      <c r="S348">
        <f t="shared" si="79"/>
        <v>0.43777777777777754</v>
      </c>
      <c r="U348">
        <f t="shared" si="80"/>
        <v>50.012687135244846</v>
      </c>
      <c r="V348">
        <v>86</v>
      </c>
      <c r="W348">
        <v>5</v>
      </c>
      <c r="AH348">
        <f t="shared" si="81"/>
        <v>2.2376728868522862</v>
      </c>
      <c r="AI348">
        <f t="shared" si="82"/>
        <v>60.052499016977066</v>
      </c>
      <c r="AJ348">
        <f t="shared" si="83"/>
        <v>72.815500983022929</v>
      </c>
      <c r="AL348">
        <f t="shared" si="84"/>
        <v>70.909345773704572</v>
      </c>
      <c r="AM348">
        <f t="shared" si="85"/>
        <v>61.958654226295423</v>
      </c>
    </row>
    <row r="349" spans="1:39" ht="16.5" x14ac:dyDescent="0.25">
      <c r="A349" s="1">
        <v>45198</v>
      </c>
      <c r="B349" s="5">
        <v>65.89</v>
      </c>
      <c r="C349" s="4">
        <v>66.02</v>
      </c>
      <c r="D349" s="4">
        <v>66.33</v>
      </c>
      <c r="E349" s="4">
        <v>65.62</v>
      </c>
      <c r="F349" s="4" t="s">
        <v>1552</v>
      </c>
      <c r="G349" s="2" t="s">
        <v>365</v>
      </c>
      <c r="I349">
        <f t="shared" si="72"/>
        <v>66.478500000000011</v>
      </c>
      <c r="J349">
        <f t="shared" si="73"/>
        <v>67.325250000000011</v>
      </c>
      <c r="L349">
        <f t="shared" si="74"/>
        <v>0</v>
      </c>
      <c r="M349">
        <f t="shared" si="75"/>
        <v>1</v>
      </c>
      <c r="O349">
        <f t="shared" si="76"/>
        <v>0</v>
      </c>
      <c r="P349">
        <f t="shared" si="77"/>
        <v>0.12999999999999545</v>
      </c>
      <c r="R349">
        <f t="shared" si="78"/>
        <v>0.40666666666666629</v>
      </c>
      <c r="S349">
        <f t="shared" si="79"/>
        <v>0.38124999999999964</v>
      </c>
      <c r="U349">
        <f t="shared" si="80"/>
        <v>51.612903225806448</v>
      </c>
      <c r="V349">
        <v>86</v>
      </c>
      <c r="W349">
        <v>5</v>
      </c>
      <c r="AH349">
        <f t="shared" si="81"/>
        <v>2.2251707801074305</v>
      </c>
      <c r="AI349">
        <f t="shared" si="82"/>
        <v>60.09699901697708</v>
      </c>
      <c r="AJ349">
        <f t="shared" si="83"/>
        <v>72.860000983022942</v>
      </c>
      <c r="AL349">
        <f t="shared" si="84"/>
        <v>70.928841560214877</v>
      </c>
      <c r="AM349">
        <f t="shared" si="85"/>
        <v>62.028158439785152</v>
      </c>
    </row>
    <row r="350" spans="1:39" ht="16.5" x14ac:dyDescent="0.25">
      <c r="A350" s="1">
        <v>45197</v>
      </c>
      <c r="B350" s="5">
        <v>65.89</v>
      </c>
      <c r="C350" s="4">
        <v>65.48</v>
      </c>
      <c r="D350" s="4">
        <v>66.209999999999994</v>
      </c>
      <c r="E350" s="4">
        <v>64.78</v>
      </c>
      <c r="F350" s="4" t="s">
        <v>197</v>
      </c>
      <c r="G350" s="2" t="s">
        <v>1188</v>
      </c>
      <c r="I350">
        <f t="shared" si="72"/>
        <v>66.477000000000004</v>
      </c>
      <c r="J350">
        <f t="shared" si="73"/>
        <v>67.46550000000002</v>
      </c>
      <c r="L350">
        <f t="shared" si="74"/>
        <v>1</v>
      </c>
      <c r="M350">
        <f t="shared" si="75"/>
        <v>0</v>
      </c>
      <c r="O350">
        <f t="shared" si="76"/>
        <v>0.40999999999999659</v>
      </c>
      <c r="P350">
        <f t="shared" si="77"/>
        <v>0</v>
      </c>
      <c r="R350">
        <f t="shared" si="78"/>
        <v>0.40666666666666629</v>
      </c>
      <c r="S350">
        <f t="shared" si="79"/>
        <v>0.36624999999999908</v>
      </c>
      <c r="U350">
        <f t="shared" si="80"/>
        <v>52.614555256064733</v>
      </c>
      <c r="V350">
        <v>86</v>
      </c>
      <c r="W350">
        <v>5</v>
      </c>
      <c r="AH350">
        <f t="shared" si="81"/>
        <v>2.2126844397750132</v>
      </c>
      <c r="AI350">
        <f t="shared" si="82"/>
        <v>60.095499016977072</v>
      </c>
      <c r="AJ350">
        <f t="shared" si="83"/>
        <v>72.858500983022935</v>
      </c>
      <c r="AL350">
        <f t="shared" si="84"/>
        <v>70.902368879550025</v>
      </c>
      <c r="AM350">
        <f t="shared" si="85"/>
        <v>62.051631120449976</v>
      </c>
    </row>
    <row r="351" spans="1:39" ht="16.5" x14ac:dyDescent="0.25">
      <c r="A351" s="1">
        <v>45196</v>
      </c>
      <c r="B351" s="5">
        <v>65.260000000000005</v>
      </c>
      <c r="C351" s="4">
        <v>65.319999999999993</v>
      </c>
      <c r="D351" s="4">
        <v>66.22</v>
      </c>
      <c r="E351" s="4">
        <v>65.13</v>
      </c>
      <c r="F351" s="4" t="s">
        <v>1398</v>
      </c>
      <c r="G351" s="2" t="s">
        <v>67</v>
      </c>
      <c r="I351">
        <f t="shared" si="72"/>
        <v>66.559499999999986</v>
      </c>
      <c r="J351">
        <f t="shared" si="73"/>
        <v>67.597250000000003</v>
      </c>
      <c r="L351">
        <f t="shared" si="74"/>
        <v>0</v>
      </c>
      <c r="M351">
        <f t="shared" si="75"/>
        <v>1</v>
      </c>
      <c r="O351">
        <f t="shared" si="76"/>
        <v>0</v>
      </c>
      <c r="P351">
        <f t="shared" si="77"/>
        <v>5.9999999999988063E-2</v>
      </c>
      <c r="R351">
        <f t="shared" si="78"/>
        <v>0.40166666666666612</v>
      </c>
      <c r="S351">
        <f t="shared" si="79"/>
        <v>0.36624999999999908</v>
      </c>
      <c r="U351">
        <f t="shared" si="80"/>
        <v>52.306022788931124</v>
      </c>
      <c r="V351">
        <v>86</v>
      </c>
      <c r="W351">
        <v>5</v>
      </c>
      <c r="AH351">
        <f t="shared" si="81"/>
        <v>2.1997635010679146</v>
      </c>
      <c r="AI351">
        <f t="shared" si="82"/>
        <v>60.177999016977054</v>
      </c>
      <c r="AJ351">
        <f t="shared" si="83"/>
        <v>72.941000983022917</v>
      </c>
      <c r="AL351">
        <f t="shared" si="84"/>
        <v>70.959027002135812</v>
      </c>
      <c r="AM351">
        <f t="shared" si="85"/>
        <v>62.159972997864159</v>
      </c>
    </row>
    <row r="352" spans="1:39" ht="16.5" x14ac:dyDescent="0.25">
      <c r="A352" s="1">
        <v>45195</v>
      </c>
      <c r="B352" s="5">
        <v>65.459999999999994</v>
      </c>
      <c r="C352" s="4">
        <v>66.36</v>
      </c>
      <c r="D352" s="4">
        <v>66.36</v>
      </c>
      <c r="E352" s="4">
        <v>65.150000000000006</v>
      </c>
      <c r="F352" s="4" t="s">
        <v>1434</v>
      </c>
      <c r="G352" s="2" t="s">
        <v>1013</v>
      </c>
      <c r="I352">
        <f t="shared" si="72"/>
        <v>66.671999999999997</v>
      </c>
      <c r="J352">
        <f t="shared" si="73"/>
        <v>67.742000000000004</v>
      </c>
      <c r="L352">
        <f t="shared" si="74"/>
        <v>0</v>
      </c>
      <c r="M352">
        <f t="shared" si="75"/>
        <v>1</v>
      </c>
      <c r="O352">
        <f t="shared" si="76"/>
        <v>0</v>
      </c>
      <c r="P352">
        <f t="shared" si="77"/>
        <v>0.90000000000000568</v>
      </c>
      <c r="R352">
        <f t="shared" si="78"/>
        <v>0.40166666666666612</v>
      </c>
      <c r="S352">
        <f t="shared" si="79"/>
        <v>0.45125000000000171</v>
      </c>
      <c r="U352">
        <f t="shared" si="80"/>
        <v>47.093307278944671</v>
      </c>
      <c r="V352">
        <v>86</v>
      </c>
      <c r="W352">
        <v>5</v>
      </c>
      <c r="AH352">
        <f t="shared" si="81"/>
        <v>2.1872240547824462</v>
      </c>
      <c r="AI352">
        <f t="shared" si="82"/>
        <v>60.290499016977066</v>
      </c>
      <c r="AJ352">
        <f t="shared" si="83"/>
        <v>73.053500983022928</v>
      </c>
      <c r="AL352">
        <f t="shared" si="84"/>
        <v>71.046448109564892</v>
      </c>
      <c r="AM352">
        <f t="shared" si="85"/>
        <v>62.297551890435102</v>
      </c>
    </row>
    <row r="353" spans="1:39" ht="16.5" x14ac:dyDescent="0.25">
      <c r="A353" s="1">
        <v>45194</v>
      </c>
      <c r="B353" s="5">
        <v>66.38</v>
      </c>
      <c r="C353" s="4">
        <v>66.98</v>
      </c>
      <c r="D353" s="4">
        <v>67.27</v>
      </c>
      <c r="E353" s="4">
        <v>65.87</v>
      </c>
      <c r="F353" s="4" t="s">
        <v>1529</v>
      </c>
      <c r="G353" s="2" t="s">
        <v>361</v>
      </c>
      <c r="I353">
        <f t="shared" si="72"/>
        <v>66.79049999999998</v>
      </c>
      <c r="J353">
        <f t="shared" si="73"/>
        <v>67.878500000000003</v>
      </c>
      <c r="L353">
        <f t="shared" si="74"/>
        <v>0</v>
      </c>
      <c r="M353">
        <f t="shared" si="75"/>
        <v>1</v>
      </c>
      <c r="O353">
        <f t="shared" si="76"/>
        <v>0</v>
      </c>
      <c r="P353">
        <f t="shared" si="77"/>
        <v>0.60000000000000853</v>
      </c>
      <c r="R353">
        <f t="shared" si="78"/>
        <v>0.40166666666666612</v>
      </c>
      <c r="S353">
        <f t="shared" si="79"/>
        <v>0.37750000000000128</v>
      </c>
      <c r="U353">
        <f t="shared" si="80"/>
        <v>51.550802139037323</v>
      </c>
      <c r="V353">
        <v>86</v>
      </c>
      <c r="W353">
        <v>5</v>
      </c>
      <c r="AH353">
        <f t="shared" si="81"/>
        <v>2.1753647729413821</v>
      </c>
      <c r="AI353">
        <f t="shared" si="82"/>
        <v>60.408999016977049</v>
      </c>
      <c r="AJ353">
        <f t="shared" si="83"/>
        <v>73.172000983022912</v>
      </c>
      <c r="AL353">
        <f t="shared" si="84"/>
        <v>71.141229545882737</v>
      </c>
      <c r="AM353">
        <f t="shared" si="85"/>
        <v>62.439770454117216</v>
      </c>
    </row>
    <row r="354" spans="1:39" ht="16.5" x14ac:dyDescent="0.25">
      <c r="A354" s="1">
        <v>45191</v>
      </c>
      <c r="B354" s="5">
        <v>67.33</v>
      </c>
      <c r="C354" s="4">
        <v>67.099999999999994</v>
      </c>
      <c r="D354" s="4">
        <v>67.44</v>
      </c>
      <c r="E354" s="4">
        <v>66.61</v>
      </c>
      <c r="F354" s="4" t="s">
        <v>1381</v>
      </c>
      <c r="G354" s="2" t="s">
        <v>186</v>
      </c>
      <c r="I354">
        <f t="shared" si="72"/>
        <v>66.842999999999989</v>
      </c>
      <c r="J354">
        <f t="shared" si="73"/>
        <v>68.034999999999997</v>
      </c>
      <c r="L354">
        <f t="shared" si="74"/>
        <v>1</v>
      </c>
      <c r="M354">
        <f t="shared" si="75"/>
        <v>0</v>
      </c>
      <c r="O354">
        <f t="shared" si="76"/>
        <v>0.23000000000000398</v>
      </c>
      <c r="P354">
        <f t="shared" si="77"/>
        <v>0</v>
      </c>
      <c r="R354">
        <f t="shared" si="78"/>
        <v>0.44571428571428434</v>
      </c>
      <c r="S354">
        <f t="shared" si="79"/>
        <v>0.34571428571428597</v>
      </c>
      <c r="U354">
        <f t="shared" si="80"/>
        <v>56.317689530685819</v>
      </c>
      <c r="V354">
        <v>86</v>
      </c>
      <c r="W354">
        <v>5</v>
      </c>
      <c r="AH354">
        <f t="shared" si="81"/>
        <v>2.1642488396660551</v>
      </c>
      <c r="AI354">
        <f t="shared" si="82"/>
        <v>60.461499016977058</v>
      </c>
      <c r="AJ354">
        <f t="shared" si="83"/>
        <v>73.224500983022921</v>
      </c>
      <c r="AL354">
        <f t="shared" si="84"/>
        <v>71.171497679332106</v>
      </c>
      <c r="AM354">
        <f t="shared" si="85"/>
        <v>62.51450232066788</v>
      </c>
    </row>
    <row r="355" spans="1:39" ht="16.5" x14ac:dyDescent="0.25">
      <c r="A355" s="1">
        <v>45190</v>
      </c>
      <c r="B355" s="5">
        <v>67.430000000000007</v>
      </c>
      <c r="C355" s="4">
        <v>67.599999999999994</v>
      </c>
      <c r="D355" s="4">
        <v>67.97</v>
      </c>
      <c r="E355" s="4">
        <v>66.88</v>
      </c>
      <c r="F355" s="4" t="s">
        <v>202</v>
      </c>
      <c r="G355" s="2" t="s">
        <v>1562</v>
      </c>
      <c r="I355">
        <f t="shared" si="72"/>
        <v>66.826499999999996</v>
      </c>
      <c r="J355">
        <f t="shared" si="73"/>
        <v>68.190749999999994</v>
      </c>
      <c r="L355">
        <f t="shared" si="74"/>
        <v>0</v>
      </c>
      <c r="M355">
        <f t="shared" si="75"/>
        <v>1</v>
      </c>
      <c r="O355">
        <f t="shared" si="76"/>
        <v>0</v>
      </c>
      <c r="P355">
        <f t="shared" si="77"/>
        <v>0.16999999999998749</v>
      </c>
      <c r="R355">
        <f t="shared" si="78"/>
        <v>0.48142857142857004</v>
      </c>
      <c r="S355">
        <f t="shared" si="79"/>
        <v>0.34571428571428597</v>
      </c>
      <c r="U355">
        <f t="shared" si="80"/>
        <v>58.203799654576777</v>
      </c>
      <c r="V355">
        <v>86</v>
      </c>
      <c r="W355">
        <v>5</v>
      </c>
      <c r="AH355">
        <f t="shared" si="81"/>
        <v>2.1532556733973003</v>
      </c>
      <c r="AI355">
        <f t="shared" si="82"/>
        <v>60.444999016977064</v>
      </c>
      <c r="AJ355">
        <f t="shared" si="83"/>
        <v>73.208000983022927</v>
      </c>
      <c r="AL355">
        <f t="shared" si="84"/>
        <v>71.133011346794603</v>
      </c>
      <c r="AM355">
        <f t="shared" si="85"/>
        <v>62.519988653205395</v>
      </c>
    </row>
    <row r="356" spans="1:39" ht="16.5" x14ac:dyDescent="0.25">
      <c r="A356" s="1">
        <v>45189</v>
      </c>
      <c r="B356" s="5">
        <v>68.209999999999994</v>
      </c>
      <c r="C356" s="4">
        <v>67.099999999999994</v>
      </c>
      <c r="D356" s="4">
        <v>68.55</v>
      </c>
      <c r="E356" s="4">
        <v>67.09</v>
      </c>
      <c r="F356" s="4" t="s">
        <v>1422</v>
      </c>
      <c r="G356" s="2" t="s">
        <v>289</v>
      </c>
      <c r="I356">
        <f t="shared" si="72"/>
        <v>66.80449999999999</v>
      </c>
      <c r="J356">
        <f t="shared" si="73"/>
        <v>68.322999999999993</v>
      </c>
      <c r="L356">
        <f t="shared" si="74"/>
        <v>1</v>
      </c>
      <c r="M356">
        <f t="shared" si="75"/>
        <v>0</v>
      </c>
      <c r="O356">
        <f t="shared" si="76"/>
        <v>1.1099999999999994</v>
      </c>
      <c r="P356">
        <f t="shared" si="77"/>
        <v>0</v>
      </c>
      <c r="R356">
        <f t="shared" si="78"/>
        <v>0.48142857142857004</v>
      </c>
      <c r="S356">
        <f t="shared" si="79"/>
        <v>0.59000000000000141</v>
      </c>
      <c r="U356">
        <f t="shared" si="80"/>
        <v>44.933333333333209</v>
      </c>
      <c r="V356">
        <v>86</v>
      </c>
      <c r="W356">
        <v>5</v>
      </c>
      <c r="AH356">
        <f t="shared" si="81"/>
        <v>2.1417211953164861</v>
      </c>
      <c r="AI356">
        <f t="shared" si="82"/>
        <v>60.422999016977059</v>
      </c>
      <c r="AJ356">
        <f t="shared" si="83"/>
        <v>73.186000983022922</v>
      </c>
      <c r="AL356">
        <f t="shared" si="84"/>
        <v>71.087942390632961</v>
      </c>
      <c r="AM356">
        <f t="shared" si="85"/>
        <v>62.52105760936702</v>
      </c>
    </row>
    <row r="357" spans="1:39" ht="16.5" x14ac:dyDescent="0.25">
      <c r="A357" s="1">
        <v>45188</v>
      </c>
      <c r="B357" s="5">
        <v>66.84</v>
      </c>
      <c r="C357" s="4">
        <v>66.44</v>
      </c>
      <c r="D357" s="4">
        <v>67.33</v>
      </c>
      <c r="E357" s="4">
        <v>66.349999999999994</v>
      </c>
      <c r="F357" s="4" t="s">
        <v>537</v>
      </c>
      <c r="G357" s="2" t="s">
        <v>706</v>
      </c>
      <c r="I357">
        <f t="shared" si="72"/>
        <v>66.770999999999987</v>
      </c>
      <c r="J357">
        <f t="shared" si="73"/>
        <v>68.366749999999996</v>
      </c>
      <c r="L357">
        <f t="shared" si="74"/>
        <v>1</v>
      </c>
      <c r="M357">
        <f t="shared" si="75"/>
        <v>0</v>
      </c>
      <c r="O357">
        <f t="shared" si="76"/>
        <v>0.40000000000000568</v>
      </c>
      <c r="P357">
        <f t="shared" si="77"/>
        <v>0</v>
      </c>
      <c r="R357">
        <f t="shared" si="78"/>
        <v>0.37666666666666515</v>
      </c>
      <c r="S357">
        <f t="shared" si="79"/>
        <v>0.52374999999999972</v>
      </c>
      <c r="U357">
        <f t="shared" si="80"/>
        <v>41.832484960666278</v>
      </c>
      <c r="V357">
        <v>86</v>
      </c>
      <c r="W357">
        <v>5</v>
      </c>
      <c r="AH357">
        <f t="shared" si="81"/>
        <v>2.1295663530725037</v>
      </c>
      <c r="AI357">
        <f t="shared" si="82"/>
        <v>60.389499016977055</v>
      </c>
      <c r="AJ357">
        <f t="shared" si="83"/>
        <v>73.152500983022918</v>
      </c>
      <c r="AL357">
        <f t="shared" si="84"/>
        <v>71.030132706144997</v>
      </c>
      <c r="AM357">
        <f t="shared" si="85"/>
        <v>62.511867293854976</v>
      </c>
    </row>
    <row r="358" spans="1:39" ht="16.5" x14ac:dyDescent="0.25">
      <c r="A358" s="1">
        <v>45187</v>
      </c>
      <c r="B358" s="5">
        <v>66.44</v>
      </c>
      <c r="C358" s="4">
        <v>67.150000000000006</v>
      </c>
      <c r="D358" s="4">
        <v>67.33</v>
      </c>
      <c r="E358" s="4">
        <v>66.16</v>
      </c>
      <c r="F358" s="4" t="s">
        <v>1406</v>
      </c>
      <c r="G358" s="2" t="s">
        <v>1556</v>
      </c>
      <c r="I358">
        <f t="shared" si="72"/>
        <v>66.8185</v>
      </c>
      <c r="J358">
        <f t="shared" si="73"/>
        <v>68.476249999999965</v>
      </c>
      <c r="L358">
        <f t="shared" si="74"/>
        <v>0</v>
      </c>
      <c r="M358">
        <f t="shared" si="75"/>
        <v>1</v>
      </c>
      <c r="O358">
        <f t="shared" si="76"/>
        <v>0</v>
      </c>
      <c r="P358">
        <f t="shared" si="77"/>
        <v>0.71000000000000796</v>
      </c>
      <c r="R358">
        <f t="shared" si="78"/>
        <v>0.37199999999999706</v>
      </c>
      <c r="S358">
        <f t="shared" si="79"/>
        <v>0.54111111111110999</v>
      </c>
      <c r="U358">
        <f t="shared" si="80"/>
        <v>40.739839376977223</v>
      </c>
      <c r="V358">
        <v>86</v>
      </c>
      <c r="W358">
        <v>5</v>
      </c>
      <c r="AH358">
        <f t="shared" si="81"/>
        <v>2.1166442140926427</v>
      </c>
      <c r="AI358">
        <f t="shared" si="82"/>
        <v>60.436999016977069</v>
      </c>
      <c r="AJ358">
        <f t="shared" si="83"/>
        <v>73.200000983022932</v>
      </c>
      <c r="AL358">
        <f t="shared" si="84"/>
        <v>71.05178842818529</v>
      </c>
      <c r="AM358">
        <f t="shared" si="85"/>
        <v>62.585211571814718</v>
      </c>
    </row>
    <row r="359" spans="1:39" ht="16.5" x14ac:dyDescent="0.25">
      <c r="A359" s="1">
        <v>45184</v>
      </c>
      <c r="B359" s="5">
        <v>67.209999999999994</v>
      </c>
      <c r="C359" s="4">
        <v>67.27</v>
      </c>
      <c r="D359" s="4">
        <v>67.89</v>
      </c>
      <c r="E359" s="4">
        <v>66.739999999999995</v>
      </c>
      <c r="F359" s="4" t="s">
        <v>954</v>
      </c>
      <c r="G359" s="2" t="s">
        <v>61</v>
      </c>
      <c r="I359">
        <f t="shared" si="72"/>
        <v>66.873499999999993</v>
      </c>
      <c r="J359">
        <f t="shared" si="73"/>
        <v>68.600249999999974</v>
      </c>
      <c r="L359">
        <f t="shared" si="74"/>
        <v>0</v>
      </c>
      <c r="M359">
        <f t="shared" si="75"/>
        <v>1</v>
      </c>
      <c r="O359">
        <f t="shared" si="76"/>
        <v>0</v>
      </c>
      <c r="P359">
        <f t="shared" si="77"/>
        <v>6.0000000000002274E-2</v>
      </c>
      <c r="R359">
        <f t="shared" si="78"/>
        <v>0.36333333333332973</v>
      </c>
      <c r="S359">
        <f t="shared" si="79"/>
        <v>0.5199999999999978</v>
      </c>
      <c r="U359">
        <f t="shared" si="80"/>
        <v>41.132075471697981</v>
      </c>
      <c r="V359">
        <v>86</v>
      </c>
      <c r="W359">
        <v>5</v>
      </c>
      <c r="AH359">
        <f t="shared" si="81"/>
        <v>2.1037597587901442</v>
      </c>
      <c r="AI359">
        <f t="shared" si="82"/>
        <v>60.491999016977061</v>
      </c>
      <c r="AJ359">
        <f t="shared" si="83"/>
        <v>73.255000983022924</v>
      </c>
      <c r="AL359">
        <f t="shared" si="84"/>
        <v>71.081019517580287</v>
      </c>
      <c r="AM359">
        <f t="shared" si="85"/>
        <v>62.665980482419705</v>
      </c>
    </row>
    <row r="360" spans="1:39" ht="16.5" x14ac:dyDescent="0.25">
      <c r="A360" s="1">
        <v>45183</v>
      </c>
      <c r="B360" s="5">
        <v>66.459999999999994</v>
      </c>
      <c r="C360" s="4">
        <v>66.88</v>
      </c>
      <c r="D360" s="4">
        <v>66.88</v>
      </c>
      <c r="E360" s="4">
        <v>65.53</v>
      </c>
      <c r="F360" s="4" t="s">
        <v>824</v>
      </c>
      <c r="G360" s="2" t="s">
        <v>1565</v>
      </c>
      <c r="I360">
        <f t="shared" si="72"/>
        <v>66.864000000000004</v>
      </c>
      <c r="J360">
        <f t="shared" si="73"/>
        <v>68.699999999999989</v>
      </c>
      <c r="L360">
        <f t="shared" si="74"/>
        <v>0</v>
      </c>
      <c r="M360">
        <f t="shared" si="75"/>
        <v>1</v>
      </c>
      <c r="O360">
        <f t="shared" si="76"/>
        <v>0</v>
      </c>
      <c r="P360">
        <f t="shared" si="77"/>
        <v>0.42000000000000171</v>
      </c>
      <c r="R360">
        <f t="shared" si="78"/>
        <v>0.36333333333332973</v>
      </c>
      <c r="S360">
        <f t="shared" si="79"/>
        <v>0.53374999999999595</v>
      </c>
      <c r="U360">
        <f t="shared" si="80"/>
        <v>40.501625638643702</v>
      </c>
      <c r="V360">
        <v>86</v>
      </c>
      <c r="W360">
        <v>5</v>
      </c>
      <c r="AH360">
        <f t="shared" si="81"/>
        <v>2.0909917418669912</v>
      </c>
      <c r="AI360">
        <f t="shared" si="82"/>
        <v>60.482499016977073</v>
      </c>
      <c r="AJ360">
        <f t="shared" si="83"/>
        <v>73.245500983022936</v>
      </c>
      <c r="AL360">
        <f t="shared" si="84"/>
        <v>71.045983483733991</v>
      </c>
      <c r="AM360">
        <f t="shared" si="85"/>
        <v>62.682016516266025</v>
      </c>
    </row>
    <row r="361" spans="1:39" ht="16.5" x14ac:dyDescent="0.25">
      <c r="A361" s="1">
        <v>45182</v>
      </c>
      <c r="B361" s="5">
        <v>66.849999999999994</v>
      </c>
      <c r="C361" s="4">
        <v>66.81</v>
      </c>
      <c r="D361" s="4">
        <v>69.5</v>
      </c>
      <c r="E361" s="4">
        <v>66.569999999999993</v>
      </c>
      <c r="F361" s="4" t="s">
        <v>1566</v>
      </c>
      <c r="G361" s="2" t="s">
        <v>533</v>
      </c>
      <c r="I361">
        <f t="shared" si="72"/>
        <v>66.917000000000002</v>
      </c>
      <c r="J361">
        <f t="shared" si="73"/>
        <v>68.827499999999986</v>
      </c>
      <c r="L361">
        <f t="shared" si="74"/>
        <v>1</v>
      </c>
      <c r="M361">
        <f t="shared" si="75"/>
        <v>0</v>
      </c>
      <c r="O361">
        <f t="shared" si="76"/>
        <v>3.9999999999992042E-2</v>
      </c>
      <c r="P361">
        <f t="shared" si="77"/>
        <v>0</v>
      </c>
      <c r="R361">
        <f t="shared" si="78"/>
        <v>0.33857142857142514</v>
      </c>
      <c r="S361">
        <f t="shared" si="79"/>
        <v>0.54999999999999516</v>
      </c>
      <c r="U361">
        <f t="shared" si="80"/>
        <v>38.102893890675212</v>
      </c>
      <c r="V361">
        <v>86</v>
      </c>
      <c r="W361">
        <v>5</v>
      </c>
      <c r="AH361">
        <f t="shared" si="81"/>
        <v>2.0776686534736721</v>
      </c>
      <c r="AI361">
        <f t="shared" si="82"/>
        <v>60.53549901697707</v>
      </c>
      <c r="AJ361">
        <f t="shared" si="83"/>
        <v>73.298500983022933</v>
      </c>
      <c r="AL361">
        <f t="shared" si="84"/>
        <v>71.072337306947347</v>
      </c>
      <c r="AM361">
        <f t="shared" si="85"/>
        <v>62.761662693052656</v>
      </c>
    </row>
    <row r="362" spans="1:39" ht="16.5" x14ac:dyDescent="0.25">
      <c r="A362" s="1">
        <v>45181</v>
      </c>
      <c r="B362" s="5">
        <v>66.91</v>
      </c>
      <c r="C362" s="4">
        <v>66.66</v>
      </c>
      <c r="D362" s="4">
        <v>67.39</v>
      </c>
      <c r="E362" s="4">
        <v>65.900000000000006</v>
      </c>
      <c r="F362" s="4" t="s">
        <v>400</v>
      </c>
      <c r="G362" s="2" t="s">
        <v>444</v>
      </c>
      <c r="I362">
        <f t="shared" si="72"/>
        <v>66.988499999999988</v>
      </c>
      <c r="J362">
        <f t="shared" si="73"/>
        <v>68.953499999999963</v>
      </c>
      <c r="L362">
        <f t="shared" si="74"/>
        <v>1</v>
      </c>
      <c r="M362">
        <f t="shared" si="75"/>
        <v>0</v>
      </c>
      <c r="O362">
        <f t="shared" si="76"/>
        <v>0.25</v>
      </c>
      <c r="P362">
        <f t="shared" si="77"/>
        <v>0</v>
      </c>
      <c r="R362">
        <f t="shared" si="78"/>
        <v>0.3883333333333307</v>
      </c>
      <c r="S362">
        <f t="shared" si="79"/>
        <v>0.61999999999999567</v>
      </c>
      <c r="U362">
        <f t="shared" si="80"/>
        <v>38.512396694214878</v>
      </c>
      <c r="V362">
        <v>86</v>
      </c>
      <c r="W362">
        <v>5</v>
      </c>
      <c r="AH362">
        <f t="shared" si="81"/>
        <v>2.0644330273706264</v>
      </c>
      <c r="AI362">
        <f t="shared" si="82"/>
        <v>60.606999016977056</v>
      </c>
      <c r="AJ362">
        <f t="shared" si="83"/>
        <v>73.370000983022919</v>
      </c>
      <c r="AL362">
        <f t="shared" si="84"/>
        <v>71.11736605474124</v>
      </c>
      <c r="AM362">
        <f t="shared" si="85"/>
        <v>62.859633945258736</v>
      </c>
    </row>
    <row r="363" spans="1:39" ht="16.5" x14ac:dyDescent="0.25">
      <c r="A363" s="1">
        <v>45180</v>
      </c>
      <c r="B363" s="5">
        <v>66.23</v>
      </c>
      <c r="C363" s="4">
        <v>66.239999999999995</v>
      </c>
      <c r="D363" s="4">
        <v>66.61</v>
      </c>
      <c r="E363" s="4">
        <v>65.849999999999994</v>
      </c>
      <c r="F363" s="4" t="s">
        <v>1539</v>
      </c>
      <c r="G363" s="2" t="s">
        <v>104</v>
      </c>
      <c r="I363">
        <f t="shared" si="72"/>
        <v>67.049499999999995</v>
      </c>
      <c r="J363">
        <f t="shared" si="73"/>
        <v>69.092499999999973</v>
      </c>
      <c r="L363">
        <f t="shared" si="74"/>
        <v>0</v>
      </c>
      <c r="M363">
        <f t="shared" si="75"/>
        <v>1</v>
      </c>
      <c r="O363">
        <f t="shared" si="76"/>
        <v>0</v>
      </c>
      <c r="P363">
        <f t="shared" si="77"/>
        <v>9.9999999999909051E-3</v>
      </c>
      <c r="R363">
        <f t="shared" si="78"/>
        <v>0.41599999999999682</v>
      </c>
      <c r="S363">
        <f t="shared" si="79"/>
        <v>0.60222222222221766</v>
      </c>
      <c r="U363">
        <f t="shared" si="80"/>
        <v>40.855521606285464</v>
      </c>
      <c r="V363">
        <v>86</v>
      </c>
      <c r="W363">
        <v>5</v>
      </c>
      <c r="AH363">
        <f t="shared" si="81"/>
        <v>2.0514836528573155</v>
      </c>
      <c r="AI363">
        <f t="shared" si="82"/>
        <v>60.667999016977063</v>
      </c>
      <c r="AJ363">
        <f t="shared" si="83"/>
        <v>73.431000983022926</v>
      </c>
      <c r="AL363">
        <f t="shared" si="84"/>
        <v>71.152467305714623</v>
      </c>
      <c r="AM363">
        <f t="shared" si="85"/>
        <v>62.946532694285366</v>
      </c>
    </row>
    <row r="364" spans="1:39" ht="16.5" x14ac:dyDescent="0.25">
      <c r="A364" s="1">
        <v>45177</v>
      </c>
      <c r="B364" s="5">
        <v>65.83</v>
      </c>
      <c r="C364" s="4">
        <v>65.45</v>
      </c>
      <c r="D364" s="4">
        <v>65.95</v>
      </c>
      <c r="E364" s="4">
        <v>64.680000000000007</v>
      </c>
      <c r="F364" s="4" t="s">
        <v>1555</v>
      </c>
      <c r="G364" s="2" t="s">
        <v>1421</v>
      </c>
      <c r="I364">
        <f t="shared" si="72"/>
        <v>67.179999999999978</v>
      </c>
      <c r="J364">
        <f t="shared" si="73"/>
        <v>69.249749999999977</v>
      </c>
      <c r="L364">
        <f t="shared" si="74"/>
        <v>1</v>
      </c>
      <c r="M364">
        <f t="shared" si="75"/>
        <v>0</v>
      </c>
      <c r="O364">
        <f t="shared" si="76"/>
        <v>0.37999999999999545</v>
      </c>
      <c r="P364">
        <f t="shared" si="77"/>
        <v>0</v>
      </c>
      <c r="R364">
        <f t="shared" si="78"/>
        <v>0.41599999999999682</v>
      </c>
      <c r="S364">
        <f t="shared" si="79"/>
        <v>0.62444444444444025</v>
      </c>
      <c r="U364">
        <f t="shared" si="80"/>
        <v>39.982913284920954</v>
      </c>
      <c r="V364">
        <v>86</v>
      </c>
      <c r="W364">
        <v>5</v>
      </c>
      <c r="AH364">
        <f t="shared" si="81"/>
        <v>2.0387160874786354</v>
      </c>
      <c r="AI364">
        <f t="shared" si="82"/>
        <v>60.798499016977047</v>
      </c>
      <c r="AJ364">
        <f t="shared" si="83"/>
        <v>73.56150098302291</v>
      </c>
      <c r="AL364">
        <f t="shared" si="84"/>
        <v>71.257432174957245</v>
      </c>
      <c r="AM364">
        <f t="shared" si="85"/>
        <v>63.102567825042705</v>
      </c>
    </row>
    <row r="365" spans="1:39" ht="16.5" x14ac:dyDescent="0.25">
      <c r="A365" s="1">
        <v>45176</v>
      </c>
      <c r="B365" s="5">
        <v>65.3</v>
      </c>
      <c r="C365" s="4">
        <v>66.040000000000006</v>
      </c>
      <c r="D365" s="4">
        <v>66.45</v>
      </c>
      <c r="E365" s="4">
        <v>65.3</v>
      </c>
      <c r="F365" s="4" t="s">
        <v>1402</v>
      </c>
      <c r="G365" s="2" t="s">
        <v>727</v>
      </c>
      <c r="I365">
        <f t="shared" si="72"/>
        <v>67.34399999999998</v>
      </c>
      <c r="J365">
        <f t="shared" si="73"/>
        <v>69.41474999999997</v>
      </c>
      <c r="L365">
        <f t="shared" si="74"/>
        <v>0</v>
      </c>
      <c r="M365">
        <f t="shared" si="75"/>
        <v>1</v>
      </c>
      <c r="O365">
        <f t="shared" si="76"/>
        <v>0</v>
      </c>
      <c r="P365">
        <f t="shared" si="77"/>
        <v>0.74000000000000909</v>
      </c>
      <c r="R365">
        <f t="shared" si="78"/>
        <v>0.47800000000000009</v>
      </c>
      <c r="S365">
        <f t="shared" si="79"/>
        <v>0.62444444444444025</v>
      </c>
      <c r="U365">
        <f t="shared" si="80"/>
        <v>43.358193912517812</v>
      </c>
      <c r="V365">
        <v>86</v>
      </c>
      <c r="W365">
        <v>5</v>
      </c>
      <c r="AH365">
        <f t="shared" si="81"/>
        <v>2.0268647126048562</v>
      </c>
      <c r="AI365">
        <f t="shared" si="82"/>
        <v>60.962499016977048</v>
      </c>
      <c r="AJ365">
        <f t="shared" si="83"/>
        <v>73.725500983022911</v>
      </c>
      <c r="AL365">
        <f t="shared" si="84"/>
        <v>71.39772942520969</v>
      </c>
      <c r="AM365">
        <f t="shared" si="85"/>
        <v>63.29027057479027</v>
      </c>
    </row>
    <row r="366" spans="1:39" ht="16.5" x14ac:dyDescent="0.25">
      <c r="A366" s="1">
        <v>45175</v>
      </c>
      <c r="B366" s="5">
        <v>66.239999999999995</v>
      </c>
      <c r="C366" s="4">
        <v>66.55</v>
      </c>
      <c r="D366" s="4">
        <v>66.92</v>
      </c>
      <c r="E366" s="4">
        <v>66.16</v>
      </c>
      <c r="F366" s="4" t="s">
        <v>46</v>
      </c>
      <c r="G366" s="2" t="s">
        <v>1503</v>
      </c>
      <c r="I366">
        <f t="shared" si="72"/>
        <v>67.595499999999973</v>
      </c>
      <c r="J366">
        <f t="shared" si="73"/>
        <v>69.60224999999997</v>
      </c>
      <c r="L366">
        <f t="shared" si="74"/>
        <v>0</v>
      </c>
      <c r="M366">
        <f t="shared" si="75"/>
        <v>1</v>
      </c>
      <c r="O366">
        <f t="shared" si="76"/>
        <v>0</v>
      </c>
      <c r="P366">
        <f t="shared" si="77"/>
        <v>0.31000000000000227</v>
      </c>
      <c r="R366">
        <f t="shared" si="78"/>
        <v>0.47800000000000009</v>
      </c>
      <c r="S366">
        <f t="shared" si="79"/>
        <v>0.5499999999999956</v>
      </c>
      <c r="U366">
        <f t="shared" si="80"/>
        <v>46.498054474708375</v>
      </c>
      <c r="V366">
        <v>86</v>
      </c>
      <c r="W366">
        <v>5</v>
      </c>
      <c r="AH366">
        <f t="shared" si="81"/>
        <v>2.016272636215044</v>
      </c>
      <c r="AI366">
        <f t="shared" si="82"/>
        <v>61.213999016977041</v>
      </c>
      <c r="AJ366">
        <f t="shared" si="83"/>
        <v>73.977000983022904</v>
      </c>
      <c r="AL366">
        <f t="shared" si="84"/>
        <v>71.628045272430057</v>
      </c>
      <c r="AM366">
        <f t="shared" si="85"/>
        <v>63.562954727569888</v>
      </c>
    </row>
    <row r="367" spans="1:39" ht="16.5" x14ac:dyDescent="0.25">
      <c r="A367" s="1">
        <v>45174</v>
      </c>
      <c r="B367" s="5">
        <v>66.91</v>
      </c>
      <c r="C367" s="4">
        <v>66.2</v>
      </c>
      <c r="D367" s="4">
        <v>66.92</v>
      </c>
      <c r="E367" s="4">
        <v>65.91</v>
      </c>
      <c r="F367" s="4" t="s">
        <v>1466</v>
      </c>
      <c r="G367" s="2" t="s">
        <v>583</v>
      </c>
      <c r="I367">
        <f t="shared" si="72"/>
        <v>67.758499999999984</v>
      </c>
      <c r="J367">
        <f t="shared" si="73"/>
        <v>69.761499999999984</v>
      </c>
      <c r="L367">
        <f t="shared" si="74"/>
        <v>1</v>
      </c>
      <c r="M367">
        <f t="shared" si="75"/>
        <v>0</v>
      </c>
      <c r="O367">
        <f t="shared" si="76"/>
        <v>0.70999999999999375</v>
      </c>
      <c r="P367">
        <f t="shared" si="77"/>
        <v>0</v>
      </c>
      <c r="R367">
        <f t="shared" si="78"/>
        <v>0.47800000000000009</v>
      </c>
      <c r="S367">
        <f t="shared" si="79"/>
        <v>0.5811111111111068</v>
      </c>
      <c r="U367">
        <f t="shared" si="80"/>
        <v>45.132186319765196</v>
      </c>
      <c r="V367">
        <v>86</v>
      </c>
      <c r="W367">
        <v>5</v>
      </c>
      <c r="AH367">
        <f t="shared" si="81"/>
        <v>2.0077698410094387</v>
      </c>
      <c r="AI367">
        <f t="shared" si="82"/>
        <v>61.376999016977052</v>
      </c>
      <c r="AJ367">
        <f t="shared" si="83"/>
        <v>74.140000983022915</v>
      </c>
      <c r="AL367">
        <f t="shared" si="84"/>
        <v>71.774039682018866</v>
      </c>
      <c r="AM367">
        <f t="shared" si="85"/>
        <v>63.742960317981108</v>
      </c>
    </row>
    <row r="368" spans="1:39" ht="16.5" x14ac:dyDescent="0.25">
      <c r="A368" s="1">
        <v>45173</v>
      </c>
      <c r="B368" s="5">
        <v>66.5</v>
      </c>
      <c r="C368" s="4">
        <v>66.02</v>
      </c>
      <c r="D368" s="4">
        <v>66.95</v>
      </c>
      <c r="E368" s="4">
        <v>66.010000000000005</v>
      </c>
      <c r="F368" s="4" t="s">
        <v>722</v>
      </c>
      <c r="G368" s="2" t="s">
        <v>1188</v>
      </c>
      <c r="I368">
        <f t="shared" si="72"/>
        <v>67.926999999999978</v>
      </c>
      <c r="J368">
        <f t="shared" si="73"/>
        <v>69.89824999999999</v>
      </c>
      <c r="L368">
        <f t="shared" si="74"/>
        <v>1</v>
      </c>
      <c r="M368">
        <f t="shared" si="75"/>
        <v>0</v>
      </c>
      <c r="O368">
        <f t="shared" si="76"/>
        <v>0.48000000000000398</v>
      </c>
      <c r="P368">
        <f t="shared" si="77"/>
        <v>0</v>
      </c>
      <c r="R368">
        <f t="shared" si="78"/>
        <v>0.39200000000000157</v>
      </c>
      <c r="S368">
        <f t="shared" si="79"/>
        <v>0.5811111111111068</v>
      </c>
      <c r="U368">
        <f t="shared" si="80"/>
        <v>40.283169673441705</v>
      </c>
      <c r="V368">
        <v>86</v>
      </c>
      <c r="W368">
        <v>5</v>
      </c>
      <c r="AH368">
        <f t="shared" si="81"/>
        <v>2.0004736157094762</v>
      </c>
      <c r="AI368">
        <f t="shared" si="82"/>
        <v>61.545499016977047</v>
      </c>
      <c r="AJ368">
        <f t="shared" si="83"/>
        <v>74.30850098302291</v>
      </c>
      <c r="AL368">
        <f t="shared" si="84"/>
        <v>71.927947231418926</v>
      </c>
      <c r="AM368">
        <f t="shared" si="85"/>
        <v>63.926052768581023</v>
      </c>
    </row>
    <row r="369" spans="1:39" ht="16.5" x14ac:dyDescent="0.25">
      <c r="A369" s="1">
        <v>45170</v>
      </c>
      <c r="B369" s="5">
        <v>65.86</v>
      </c>
      <c r="C369" s="4">
        <v>67.739999999999995</v>
      </c>
      <c r="D369" s="4">
        <v>67.8</v>
      </c>
      <c r="E369" s="4">
        <v>65.569999999999993</v>
      </c>
      <c r="F369" s="4" t="s">
        <v>1499</v>
      </c>
      <c r="G369" s="2" t="s">
        <v>1567</v>
      </c>
      <c r="I369">
        <f t="shared" si="72"/>
        <v>68.171999999999997</v>
      </c>
      <c r="J369">
        <f t="shared" si="73"/>
        <v>70.033499999999989</v>
      </c>
      <c r="L369">
        <f t="shared" si="74"/>
        <v>0</v>
      </c>
      <c r="M369">
        <f t="shared" si="75"/>
        <v>1</v>
      </c>
      <c r="O369">
        <f t="shared" si="76"/>
        <v>0</v>
      </c>
      <c r="P369">
        <f t="shared" si="77"/>
        <v>1.8799999999999955</v>
      </c>
      <c r="R369">
        <f t="shared" si="78"/>
        <v>0.37000000000000099</v>
      </c>
      <c r="S369">
        <f t="shared" si="79"/>
        <v>0.59799999999999609</v>
      </c>
      <c r="U369">
        <f t="shared" si="80"/>
        <v>38.22314049586798</v>
      </c>
      <c r="V369">
        <v>86</v>
      </c>
      <c r="W369">
        <v>5</v>
      </c>
      <c r="AH369">
        <f t="shared" si="81"/>
        <v>1.9944104328343704</v>
      </c>
      <c r="AI369">
        <f t="shared" si="82"/>
        <v>61.790499016977066</v>
      </c>
      <c r="AJ369">
        <f t="shared" si="83"/>
        <v>74.553500983022928</v>
      </c>
      <c r="AL369">
        <f t="shared" si="84"/>
        <v>72.16082086566874</v>
      </c>
      <c r="AM369">
        <f t="shared" si="85"/>
        <v>64.183179134331255</v>
      </c>
    </row>
    <row r="370" spans="1:39" ht="16.5" x14ac:dyDescent="0.25">
      <c r="A370" s="1">
        <v>45169</v>
      </c>
      <c r="B370" s="5">
        <v>67.540000000000006</v>
      </c>
      <c r="C370" s="4">
        <v>67.599999999999994</v>
      </c>
      <c r="D370" s="4">
        <v>67.989999999999995</v>
      </c>
      <c r="E370" s="4">
        <v>67.31</v>
      </c>
      <c r="F370" s="4" t="s">
        <v>1267</v>
      </c>
      <c r="G370" s="2" t="s">
        <v>440</v>
      </c>
      <c r="I370">
        <f t="shared" si="72"/>
        <v>68.453999999999994</v>
      </c>
      <c r="J370">
        <f t="shared" si="73"/>
        <v>70.185749999999999</v>
      </c>
      <c r="L370">
        <f t="shared" si="74"/>
        <v>0</v>
      </c>
      <c r="M370">
        <f t="shared" si="75"/>
        <v>1</v>
      </c>
      <c r="O370">
        <f t="shared" si="76"/>
        <v>0</v>
      </c>
      <c r="P370">
        <f t="shared" si="77"/>
        <v>5.9999999999988063E-2</v>
      </c>
      <c r="R370">
        <f t="shared" si="78"/>
        <v>0.37000000000000099</v>
      </c>
      <c r="S370">
        <f t="shared" si="79"/>
        <v>0.42099999999999654</v>
      </c>
      <c r="U370">
        <f t="shared" si="80"/>
        <v>46.776232616940852</v>
      </c>
      <c r="V370">
        <v>86</v>
      </c>
      <c r="W370">
        <v>5</v>
      </c>
      <c r="AH370">
        <f t="shared" si="81"/>
        <v>1.9901796469390944</v>
      </c>
      <c r="AI370">
        <f t="shared" si="82"/>
        <v>62.072499016977062</v>
      </c>
      <c r="AJ370">
        <f t="shared" si="83"/>
        <v>74.835500983022925</v>
      </c>
      <c r="AL370">
        <f t="shared" si="84"/>
        <v>72.434359293878188</v>
      </c>
      <c r="AM370">
        <f t="shared" si="85"/>
        <v>64.473640706121799</v>
      </c>
    </row>
    <row r="371" spans="1:39" ht="16.5" x14ac:dyDescent="0.25">
      <c r="A371" s="1">
        <v>45168</v>
      </c>
      <c r="B371" s="5">
        <v>67.510000000000005</v>
      </c>
      <c r="C371" s="4">
        <v>68.19</v>
      </c>
      <c r="D371" s="4">
        <v>68.22</v>
      </c>
      <c r="E371" s="4">
        <v>67.3</v>
      </c>
      <c r="F371" s="4" t="s">
        <v>1377</v>
      </c>
      <c r="G371" s="2" t="s">
        <v>370</v>
      </c>
      <c r="I371">
        <f t="shared" si="72"/>
        <v>68.635000000000019</v>
      </c>
      <c r="J371">
        <f t="shared" si="73"/>
        <v>70.282750000000007</v>
      </c>
      <c r="L371">
        <f t="shared" si="74"/>
        <v>0</v>
      </c>
      <c r="M371">
        <f t="shared" si="75"/>
        <v>1</v>
      </c>
      <c r="O371">
        <f t="shared" si="76"/>
        <v>0</v>
      </c>
      <c r="P371">
        <f t="shared" si="77"/>
        <v>0.67999999999999261</v>
      </c>
      <c r="R371">
        <f t="shared" si="78"/>
        <v>0.37000000000000099</v>
      </c>
      <c r="S371">
        <f t="shared" si="79"/>
        <v>0.50299999999999723</v>
      </c>
      <c r="U371">
        <f t="shared" si="80"/>
        <v>42.382588774341556</v>
      </c>
      <c r="V371">
        <v>86</v>
      </c>
      <c r="W371">
        <v>5</v>
      </c>
      <c r="AH371">
        <f t="shared" si="81"/>
        <v>1.9879462414406495</v>
      </c>
      <c r="AI371">
        <f t="shared" si="82"/>
        <v>62.253499016977088</v>
      </c>
      <c r="AJ371">
        <f t="shared" si="83"/>
        <v>75.016500983022951</v>
      </c>
      <c r="AL371">
        <f t="shared" si="84"/>
        <v>72.610892482881312</v>
      </c>
      <c r="AM371">
        <f t="shared" si="85"/>
        <v>64.659107517118727</v>
      </c>
    </row>
    <row r="372" spans="1:39" ht="16.5" x14ac:dyDescent="0.25">
      <c r="A372" s="1">
        <v>45167</v>
      </c>
      <c r="B372" s="5">
        <v>67.83</v>
      </c>
      <c r="C372" s="4">
        <v>67.510000000000005</v>
      </c>
      <c r="D372" s="4">
        <v>67.930000000000007</v>
      </c>
      <c r="E372" s="4">
        <v>67.239999999999995</v>
      </c>
      <c r="F372" s="4" t="s">
        <v>1555</v>
      </c>
      <c r="G372" s="2" t="s">
        <v>1058</v>
      </c>
      <c r="I372">
        <f t="shared" si="72"/>
        <v>68.812000000000012</v>
      </c>
      <c r="J372">
        <f t="shared" si="73"/>
        <v>70.434250000000006</v>
      </c>
      <c r="L372">
        <f t="shared" si="74"/>
        <v>1</v>
      </c>
      <c r="M372">
        <f t="shared" si="75"/>
        <v>0</v>
      </c>
      <c r="O372">
        <f t="shared" si="76"/>
        <v>0.31999999999999318</v>
      </c>
      <c r="P372">
        <f t="shared" si="77"/>
        <v>0</v>
      </c>
      <c r="R372">
        <f t="shared" si="78"/>
        <v>0.34800000000000181</v>
      </c>
      <c r="S372">
        <f t="shared" si="79"/>
        <v>0.48333333333333112</v>
      </c>
      <c r="U372">
        <f t="shared" si="80"/>
        <v>41.860465116279308</v>
      </c>
      <c r="V372">
        <v>86</v>
      </c>
      <c r="W372">
        <v>5</v>
      </c>
      <c r="AH372">
        <f t="shared" si="81"/>
        <v>1.986865559816597</v>
      </c>
      <c r="AI372">
        <f t="shared" si="82"/>
        <v>62.43049901697708</v>
      </c>
      <c r="AJ372">
        <f t="shared" si="83"/>
        <v>75.193500983022943</v>
      </c>
      <c r="AL372">
        <f t="shared" si="84"/>
        <v>72.785731119633212</v>
      </c>
      <c r="AM372">
        <f t="shared" si="85"/>
        <v>64.838268880366812</v>
      </c>
    </row>
    <row r="373" spans="1:39" ht="16.5" x14ac:dyDescent="0.25">
      <c r="A373" s="1">
        <v>45166</v>
      </c>
      <c r="B373" s="5">
        <v>67.430000000000007</v>
      </c>
      <c r="C373" s="4">
        <v>67.599999999999994</v>
      </c>
      <c r="D373" s="4">
        <v>67.739999999999995</v>
      </c>
      <c r="E373" s="4">
        <v>66.61</v>
      </c>
      <c r="F373" s="4" t="s">
        <v>39</v>
      </c>
      <c r="G373" s="2" t="s">
        <v>678</v>
      </c>
      <c r="I373">
        <f t="shared" si="72"/>
        <v>68.966500000000011</v>
      </c>
      <c r="J373">
        <f t="shared" si="73"/>
        <v>70.55725000000001</v>
      </c>
      <c r="L373">
        <f t="shared" si="74"/>
        <v>0</v>
      </c>
      <c r="M373">
        <f t="shared" si="75"/>
        <v>1</v>
      </c>
      <c r="O373">
        <f t="shared" si="76"/>
        <v>0</v>
      </c>
      <c r="P373">
        <f t="shared" si="77"/>
        <v>0.16999999999998749</v>
      </c>
      <c r="R373">
        <f t="shared" si="78"/>
        <v>0.35500000000000398</v>
      </c>
      <c r="S373">
        <f t="shared" si="79"/>
        <v>0.4869999999999976</v>
      </c>
      <c r="U373">
        <f t="shared" si="80"/>
        <v>42.161520190024149</v>
      </c>
      <c r="V373">
        <v>86</v>
      </c>
      <c r="W373">
        <v>5</v>
      </c>
      <c r="AH373">
        <f t="shared" si="81"/>
        <v>1.9868531359442556</v>
      </c>
      <c r="AI373">
        <f t="shared" si="82"/>
        <v>62.584999016977079</v>
      </c>
      <c r="AJ373">
        <f t="shared" si="83"/>
        <v>75.348000983022942</v>
      </c>
      <c r="AL373">
        <f t="shared" si="84"/>
        <v>72.940206271888528</v>
      </c>
      <c r="AM373">
        <f t="shared" si="85"/>
        <v>64.992793728111494</v>
      </c>
    </row>
    <row r="374" spans="1:39" ht="16.5" x14ac:dyDescent="0.25">
      <c r="A374" s="1">
        <v>45163</v>
      </c>
      <c r="B374" s="5">
        <v>67</v>
      </c>
      <c r="C374" s="4">
        <v>66.81</v>
      </c>
      <c r="D374" s="4">
        <v>67.319999999999993</v>
      </c>
      <c r="E374" s="4">
        <v>66.61</v>
      </c>
      <c r="F374" s="4" t="s">
        <v>1568</v>
      </c>
      <c r="G374" s="2" t="s">
        <v>734</v>
      </c>
      <c r="I374">
        <f t="shared" si="72"/>
        <v>69.227000000000018</v>
      </c>
      <c r="J374">
        <f t="shared" si="73"/>
        <v>70.712000000000018</v>
      </c>
      <c r="L374">
        <f t="shared" si="74"/>
        <v>1</v>
      </c>
      <c r="M374">
        <f t="shared" si="75"/>
        <v>0</v>
      </c>
      <c r="O374">
        <f t="shared" si="76"/>
        <v>0.18999999999999773</v>
      </c>
      <c r="P374">
        <f t="shared" si="77"/>
        <v>0</v>
      </c>
      <c r="R374">
        <f t="shared" si="78"/>
        <v>0.35500000000000398</v>
      </c>
      <c r="S374">
        <f t="shared" si="79"/>
        <v>0.54599999999999937</v>
      </c>
      <c r="U374">
        <f t="shared" si="80"/>
        <v>39.400665926748346</v>
      </c>
      <c r="V374">
        <v>86</v>
      </c>
      <c r="W374">
        <v>5</v>
      </c>
      <c r="AH374">
        <f t="shared" si="81"/>
        <v>1.987716009086866</v>
      </c>
      <c r="AI374">
        <f t="shared" si="82"/>
        <v>62.845499016977087</v>
      </c>
      <c r="AJ374">
        <f t="shared" si="83"/>
        <v>75.60850098302295</v>
      </c>
      <c r="AL374">
        <f t="shared" si="84"/>
        <v>73.202432018173752</v>
      </c>
      <c r="AM374">
        <f t="shared" si="85"/>
        <v>65.251567981826284</v>
      </c>
    </row>
    <row r="375" spans="1:39" ht="16.5" x14ac:dyDescent="0.25">
      <c r="A375" s="1">
        <v>45162</v>
      </c>
      <c r="B375" s="5">
        <v>66.989999999999995</v>
      </c>
      <c r="C375" s="4">
        <v>68.099999999999994</v>
      </c>
      <c r="D375" s="4">
        <v>68.489999999999995</v>
      </c>
      <c r="E375" s="4">
        <v>66.88</v>
      </c>
      <c r="F375" s="4" t="s">
        <v>1466</v>
      </c>
      <c r="G375" s="2" t="s">
        <v>127</v>
      </c>
      <c r="I375">
        <f t="shared" si="72"/>
        <v>69.555000000000007</v>
      </c>
      <c r="J375">
        <f t="shared" si="73"/>
        <v>70.878750000000011</v>
      </c>
      <c r="L375">
        <f t="shared" si="74"/>
        <v>0</v>
      </c>
      <c r="M375">
        <f t="shared" si="75"/>
        <v>1</v>
      </c>
      <c r="O375">
        <f t="shared" si="76"/>
        <v>0</v>
      </c>
      <c r="P375">
        <f t="shared" si="77"/>
        <v>1.1099999999999994</v>
      </c>
      <c r="R375">
        <f t="shared" si="78"/>
        <v>0.36250000000000426</v>
      </c>
      <c r="S375">
        <f t="shared" si="79"/>
        <v>0.54599999999999937</v>
      </c>
      <c r="U375">
        <f t="shared" si="80"/>
        <v>39.900935608145602</v>
      </c>
      <c r="V375">
        <v>86</v>
      </c>
      <c r="W375">
        <v>5</v>
      </c>
      <c r="AH375">
        <f t="shared" si="81"/>
        <v>1.9899742797286877</v>
      </c>
      <c r="AI375">
        <f t="shared" si="82"/>
        <v>63.173499016977075</v>
      </c>
      <c r="AJ375">
        <f t="shared" si="83"/>
        <v>75.936500983022938</v>
      </c>
      <c r="AL375">
        <f t="shared" si="84"/>
        <v>73.534948559457376</v>
      </c>
      <c r="AM375">
        <f t="shared" si="85"/>
        <v>65.575051440542637</v>
      </c>
    </row>
    <row r="376" spans="1:39" ht="16.5" x14ac:dyDescent="0.25">
      <c r="A376" s="1">
        <v>45161</v>
      </c>
      <c r="B376" s="5">
        <v>67.540000000000006</v>
      </c>
      <c r="C376" s="4">
        <v>68</v>
      </c>
      <c r="D376" s="4">
        <v>68.31</v>
      </c>
      <c r="E376" s="4">
        <v>67.22</v>
      </c>
      <c r="F376" s="4" t="s">
        <v>757</v>
      </c>
      <c r="G376" s="2" t="s">
        <v>632</v>
      </c>
      <c r="I376">
        <f t="shared" si="72"/>
        <v>69.841500000000011</v>
      </c>
      <c r="J376">
        <f t="shared" si="73"/>
        <v>71.028500000000022</v>
      </c>
      <c r="L376">
        <f t="shared" si="74"/>
        <v>0</v>
      </c>
      <c r="M376">
        <f t="shared" si="75"/>
        <v>1</v>
      </c>
      <c r="O376">
        <f t="shared" si="76"/>
        <v>0</v>
      </c>
      <c r="P376">
        <f t="shared" si="77"/>
        <v>0.45999999999999375</v>
      </c>
      <c r="R376">
        <f t="shared" si="78"/>
        <v>0.36250000000000426</v>
      </c>
      <c r="S376">
        <f t="shared" si="79"/>
        <v>0.43499999999999944</v>
      </c>
      <c r="U376">
        <f t="shared" si="80"/>
        <v>45.454545454545773</v>
      </c>
      <c r="V376">
        <v>86</v>
      </c>
      <c r="W376">
        <v>5</v>
      </c>
      <c r="AH376">
        <f t="shared" si="81"/>
        <v>1.9937426483485361</v>
      </c>
      <c r="AI376">
        <f t="shared" si="82"/>
        <v>63.459999016977079</v>
      </c>
      <c r="AJ376">
        <f t="shared" si="83"/>
        <v>76.223000983022942</v>
      </c>
      <c r="AL376">
        <f t="shared" si="84"/>
        <v>73.828985296697084</v>
      </c>
      <c r="AM376">
        <f t="shared" si="85"/>
        <v>65.854014703302937</v>
      </c>
    </row>
    <row r="377" spans="1:39" ht="16.5" x14ac:dyDescent="0.25">
      <c r="A377" s="1">
        <v>45160</v>
      </c>
      <c r="B377" s="5">
        <v>67.790000000000006</v>
      </c>
      <c r="C377" s="4">
        <v>68</v>
      </c>
      <c r="D377" s="4">
        <v>68.260000000000005</v>
      </c>
      <c r="E377" s="4">
        <v>67.61</v>
      </c>
      <c r="F377" s="4" t="s">
        <v>373</v>
      </c>
      <c r="G377" s="2" t="s">
        <v>1530</v>
      </c>
      <c r="I377">
        <f t="shared" si="72"/>
        <v>69.962500000000006</v>
      </c>
      <c r="J377">
        <f t="shared" si="73"/>
        <v>71.153500000000008</v>
      </c>
      <c r="L377">
        <f t="shared" si="74"/>
        <v>0</v>
      </c>
      <c r="M377">
        <f t="shared" si="75"/>
        <v>1</v>
      </c>
      <c r="O377">
        <f t="shared" si="76"/>
        <v>0</v>
      </c>
      <c r="P377">
        <f t="shared" si="77"/>
        <v>0.20999999999999375</v>
      </c>
      <c r="R377">
        <f t="shared" si="78"/>
        <v>0.42200000000000271</v>
      </c>
      <c r="S377">
        <f t="shared" si="79"/>
        <v>0.43222222222222229</v>
      </c>
      <c r="U377">
        <f t="shared" si="80"/>
        <v>49.40166493236228</v>
      </c>
      <c r="V377">
        <v>86</v>
      </c>
      <c r="W377">
        <v>5</v>
      </c>
      <c r="AH377">
        <f t="shared" si="81"/>
        <v>1.9985856141948635</v>
      </c>
      <c r="AI377">
        <f t="shared" si="82"/>
        <v>63.580999016977074</v>
      </c>
      <c r="AJ377">
        <f t="shared" si="83"/>
        <v>76.344000983022937</v>
      </c>
      <c r="AL377">
        <f t="shared" si="84"/>
        <v>73.959671228389738</v>
      </c>
      <c r="AM377">
        <f t="shared" si="85"/>
        <v>65.965328771610274</v>
      </c>
    </row>
    <row r="378" spans="1:39" ht="16.5" x14ac:dyDescent="0.25">
      <c r="A378" s="1">
        <v>45159</v>
      </c>
      <c r="B378" s="5">
        <v>67.540000000000006</v>
      </c>
      <c r="C378" s="4">
        <v>66.849999999999994</v>
      </c>
      <c r="D378" s="4">
        <v>67.83</v>
      </c>
      <c r="E378" s="4">
        <v>66.77</v>
      </c>
      <c r="F378" s="4" t="s">
        <v>288</v>
      </c>
      <c r="G378" s="2" t="s">
        <v>345</v>
      </c>
      <c r="I378">
        <f t="shared" si="72"/>
        <v>70.134</v>
      </c>
      <c r="J378">
        <f t="shared" si="73"/>
        <v>71.254500000000007</v>
      </c>
      <c r="L378">
        <f t="shared" si="74"/>
        <v>1</v>
      </c>
      <c r="M378">
        <f t="shared" si="75"/>
        <v>0</v>
      </c>
      <c r="O378">
        <f t="shared" si="76"/>
        <v>0.69000000000001194</v>
      </c>
      <c r="P378">
        <f t="shared" si="77"/>
        <v>0</v>
      </c>
      <c r="R378">
        <f t="shared" si="78"/>
        <v>0.52000000000000079</v>
      </c>
      <c r="S378">
        <f t="shared" si="79"/>
        <v>0.46000000000000085</v>
      </c>
      <c r="U378">
        <f t="shared" si="80"/>
        <v>53.061224489795912</v>
      </c>
      <c r="V378">
        <v>86</v>
      </c>
      <c r="W378">
        <v>5</v>
      </c>
      <c r="AH378">
        <f t="shared" si="81"/>
        <v>2.0038328268155388</v>
      </c>
      <c r="AI378">
        <f t="shared" si="82"/>
        <v>63.752499016977069</v>
      </c>
      <c r="AJ378">
        <f t="shared" si="83"/>
        <v>76.515500983022932</v>
      </c>
      <c r="AL378">
        <f t="shared" si="84"/>
        <v>74.14166565363108</v>
      </c>
      <c r="AM378">
        <f t="shared" si="85"/>
        <v>66.126334346368921</v>
      </c>
    </row>
    <row r="379" spans="1:39" ht="16.5" x14ac:dyDescent="0.25">
      <c r="A379" s="1">
        <v>45156</v>
      </c>
      <c r="B379" s="5">
        <v>67.02</v>
      </c>
      <c r="C379" s="4">
        <v>67.09</v>
      </c>
      <c r="D379" s="4">
        <v>67.150000000000006</v>
      </c>
      <c r="E379" s="4">
        <v>66.39</v>
      </c>
      <c r="F379" s="4" t="s">
        <v>935</v>
      </c>
      <c r="G379" s="2" t="s">
        <v>969</v>
      </c>
      <c r="I379">
        <f t="shared" si="72"/>
        <v>70.326999999999998</v>
      </c>
      <c r="J379">
        <f t="shared" si="73"/>
        <v>71.365499999999997</v>
      </c>
      <c r="L379">
        <f t="shared" si="74"/>
        <v>0</v>
      </c>
      <c r="M379">
        <f t="shared" si="75"/>
        <v>1</v>
      </c>
      <c r="O379">
        <f t="shared" si="76"/>
        <v>0</v>
      </c>
      <c r="P379">
        <f t="shared" si="77"/>
        <v>7.000000000000739E-2</v>
      </c>
      <c r="R379">
        <f t="shared" si="78"/>
        <v>0.48599999999999854</v>
      </c>
      <c r="S379">
        <f t="shared" si="79"/>
        <v>0.61666666666666792</v>
      </c>
      <c r="U379">
        <f t="shared" si="80"/>
        <v>44.074969770253801</v>
      </c>
      <c r="V379">
        <v>86</v>
      </c>
      <c r="W379">
        <v>5</v>
      </c>
      <c r="AH379">
        <f t="shared" si="81"/>
        <v>2.0095710606796828</v>
      </c>
      <c r="AI379">
        <f t="shared" si="82"/>
        <v>63.945499016977067</v>
      </c>
      <c r="AJ379">
        <f t="shared" si="83"/>
        <v>76.70850098302293</v>
      </c>
      <c r="AL379">
        <f t="shared" si="84"/>
        <v>74.346142121359364</v>
      </c>
      <c r="AM379">
        <f t="shared" si="85"/>
        <v>66.307857878640633</v>
      </c>
    </row>
    <row r="380" spans="1:39" ht="16.5" x14ac:dyDescent="0.25">
      <c r="A380" s="1">
        <v>45155</v>
      </c>
      <c r="B380" s="5">
        <v>67.52</v>
      </c>
      <c r="C380" s="4">
        <v>68.11</v>
      </c>
      <c r="D380" s="4">
        <v>68.16</v>
      </c>
      <c r="E380" s="4">
        <v>67.319999999999993</v>
      </c>
      <c r="F380" s="4" t="s">
        <v>1377</v>
      </c>
      <c r="G380" s="2" t="s">
        <v>82</v>
      </c>
      <c r="I380">
        <f t="shared" si="72"/>
        <v>70.536000000000001</v>
      </c>
      <c r="J380">
        <f t="shared" si="73"/>
        <v>71.490750000000006</v>
      </c>
      <c r="L380">
        <f t="shared" si="74"/>
        <v>0</v>
      </c>
      <c r="M380">
        <f t="shared" si="75"/>
        <v>1</v>
      </c>
      <c r="O380">
        <f t="shared" si="76"/>
        <v>0</v>
      </c>
      <c r="P380">
        <f t="shared" si="77"/>
        <v>0.59000000000000341</v>
      </c>
      <c r="R380">
        <f t="shared" si="78"/>
        <v>0.48599999999999854</v>
      </c>
      <c r="S380">
        <f t="shared" si="79"/>
        <v>0.71555555555555528</v>
      </c>
      <c r="U380">
        <f t="shared" si="80"/>
        <v>40.447567967449544</v>
      </c>
      <c r="V380">
        <v>86</v>
      </c>
      <c r="W380">
        <v>5</v>
      </c>
      <c r="AH380">
        <f t="shared" si="81"/>
        <v>2.0157553915038662</v>
      </c>
      <c r="AI380">
        <f t="shared" si="82"/>
        <v>64.15449901697707</v>
      </c>
      <c r="AJ380">
        <f t="shared" si="83"/>
        <v>76.917500983022933</v>
      </c>
      <c r="AL380">
        <f t="shared" si="84"/>
        <v>74.567510783007734</v>
      </c>
      <c r="AM380">
        <f t="shared" si="85"/>
        <v>66.504489216992269</v>
      </c>
    </row>
    <row r="381" spans="1:39" ht="16.5" x14ac:dyDescent="0.25">
      <c r="A381" s="1">
        <v>45154</v>
      </c>
      <c r="B381" s="5">
        <v>68.28</v>
      </c>
      <c r="C381" s="4">
        <v>68</v>
      </c>
      <c r="D381" s="4">
        <v>68.95</v>
      </c>
      <c r="E381" s="4">
        <v>67.84</v>
      </c>
      <c r="F381" s="4" t="s">
        <v>1563</v>
      </c>
      <c r="G381" s="2" t="s">
        <v>988</v>
      </c>
      <c r="I381">
        <f t="shared" si="72"/>
        <v>70.738</v>
      </c>
      <c r="J381">
        <f t="shared" si="73"/>
        <v>71.611500000000007</v>
      </c>
      <c r="L381">
        <f t="shared" si="74"/>
        <v>1</v>
      </c>
      <c r="M381">
        <f t="shared" si="75"/>
        <v>0</v>
      </c>
      <c r="O381">
        <f t="shared" si="76"/>
        <v>0.28000000000000114</v>
      </c>
      <c r="P381">
        <f t="shared" si="77"/>
        <v>0</v>
      </c>
      <c r="R381">
        <f t="shared" si="78"/>
        <v>0.50166666666666515</v>
      </c>
      <c r="S381">
        <f t="shared" si="79"/>
        <v>0.73124999999999929</v>
      </c>
      <c r="U381">
        <f t="shared" si="80"/>
        <v>40.689422102061457</v>
      </c>
      <c r="V381">
        <v>86</v>
      </c>
      <c r="W381">
        <v>5</v>
      </c>
      <c r="AH381">
        <f t="shared" si="81"/>
        <v>2.0222921261276388</v>
      </c>
      <c r="AI381">
        <f t="shared" si="82"/>
        <v>64.356499016977068</v>
      </c>
      <c r="AJ381">
        <f t="shared" si="83"/>
        <v>77.119500983022931</v>
      </c>
      <c r="AL381">
        <f t="shared" si="84"/>
        <v>74.782584252255276</v>
      </c>
      <c r="AM381">
        <f t="shared" si="85"/>
        <v>66.693415747744723</v>
      </c>
    </row>
    <row r="382" spans="1:39" ht="16.5" x14ac:dyDescent="0.25">
      <c r="A382" s="1">
        <v>45153</v>
      </c>
      <c r="B382" s="5">
        <v>68.13</v>
      </c>
      <c r="C382" s="4">
        <v>68.88</v>
      </c>
      <c r="D382" s="4">
        <v>68.97</v>
      </c>
      <c r="E382" s="4">
        <v>68.09</v>
      </c>
      <c r="F382" s="4" t="s">
        <v>724</v>
      </c>
      <c r="G382" s="2" t="s">
        <v>366</v>
      </c>
      <c r="I382">
        <f t="shared" si="72"/>
        <v>70.918500000000009</v>
      </c>
      <c r="J382">
        <f t="shared" si="73"/>
        <v>71.755750000000006</v>
      </c>
      <c r="L382">
        <f t="shared" si="74"/>
        <v>0</v>
      </c>
      <c r="M382">
        <f t="shared" si="75"/>
        <v>1</v>
      </c>
      <c r="O382">
        <f t="shared" si="76"/>
        <v>0</v>
      </c>
      <c r="P382">
        <f t="shared" si="77"/>
        <v>0.75</v>
      </c>
      <c r="R382">
        <f t="shared" si="78"/>
        <v>0.92333333333333201</v>
      </c>
      <c r="S382">
        <f t="shared" si="79"/>
        <v>0.73124999999999929</v>
      </c>
      <c r="U382">
        <f t="shared" si="80"/>
        <v>55.804583228405932</v>
      </c>
      <c r="V382">
        <v>86</v>
      </c>
      <c r="W382">
        <v>5</v>
      </c>
      <c r="AH382">
        <f t="shared" si="81"/>
        <v>2.0290424417504118</v>
      </c>
      <c r="AI382">
        <f t="shared" si="82"/>
        <v>64.536999016977077</v>
      </c>
      <c r="AJ382">
        <f t="shared" si="83"/>
        <v>77.30000098302294</v>
      </c>
      <c r="AL382">
        <f t="shared" si="84"/>
        <v>74.976584883500834</v>
      </c>
      <c r="AM382">
        <f t="shared" si="85"/>
        <v>66.860415116499183</v>
      </c>
    </row>
    <row r="383" spans="1:39" ht="16.5" x14ac:dyDescent="0.25">
      <c r="A383" s="1">
        <v>45152</v>
      </c>
      <c r="B383" s="5">
        <v>68.84</v>
      </c>
      <c r="C383" s="4">
        <v>68.95</v>
      </c>
      <c r="D383" s="4">
        <v>69.27</v>
      </c>
      <c r="E383" s="4">
        <v>68.56</v>
      </c>
      <c r="F383" s="4" t="s">
        <v>1550</v>
      </c>
      <c r="G383" s="2" t="s">
        <v>548</v>
      </c>
      <c r="I383">
        <f t="shared" si="72"/>
        <v>71.135500000000008</v>
      </c>
      <c r="J383">
        <f t="shared" si="73"/>
        <v>71.928750000000008</v>
      </c>
      <c r="L383">
        <f t="shared" si="74"/>
        <v>0</v>
      </c>
      <c r="M383">
        <f t="shared" si="75"/>
        <v>1</v>
      </c>
      <c r="O383">
        <f t="shared" si="76"/>
        <v>0</v>
      </c>
      <c r="P383">
        <f t="shared" si="77"/>
        <v>0.10999999999999943</v>
      </c>
      <c r="R383">
        <f t="shared" si="78"/>
        <v>0.92333333333333201</v>
      </c>
      <c r="S383">
        <f t="shared" si="79"/>
        <v>0.74249999999999972</v>
      </c>
      <c r="U383">
        <f t="shared" si="80"/>
        <v>55.427713856928442</v>
      </c>
      <c r="V383">
        <v>86</v>
      </c>
      <c r="W383">
        <v>5</v>
      </c>
      <c r="AH383">
        <f t="shared" si="81"/>
        <v>2.0358801056167835</v>
      </c>
      <c r="AI383">
        <f t="shared" si="82"/>
        <v>64.753999016977076</v>
      </c>
      <c r="AJ383">
        <f t="shared" si="83"/>
        <v>77.517000983022939</v>
      </c>
      <c r="AL383">
        <f t="shared" si="84"/>
        <v>75.207260211233574</v>
      </c>
      <c r="AM383">
        <f t="shared" si="85"/>
        <v>67.063739788766441</v>
      </c>
    </row>
    <row r="384" spans="1:39" ht="16.5" x14ac:dyDescent="0.25">
      <c r="A384" s="1">
        <v>45149</v>
      </c>
      <c r="B384" s="5">
        <v>69.11</v>
      </c>
      <c r="C384" s="4">
        <v>69.989999999999995</v>
      </c>
      <c r="D384" s="4">
        <v>70.11</v>
      </c>
      <c r="E384" s="4">
        <v>69.11</v>
      </c>
      <c r="F384" s="4" t="s">
        <v>1379</v>
      </c>
      <c r="G384" s="2" t="s">
        <v>1569</v>
      </c>
      <c r="I384">
        <f t="shared" si="72"/>
        <v>71.319500000000005</v>
      </c>
      <c r="J384">
        <f t="shared" si="73"/>
        <v>72.096250000000012</v>
      </c>
      <c r="L384">
        <f t="shared" si="74"/>
        <v>0</v>
      </c>
      <c r="M384">
        <f t="shared" si="75"/>
        <v>1</v>
      </c>
      <c r="O384">
        <f t="shared" si="76"/>
        <v>0</v>
      </c>
      <c r="P384">
        <f t="shared" si="77"/>
        <v>0.87999999999999545</v>
      </c>
      <c r="R384">
        <f t="shared" si="78"/>
        <v>0.92333333333333201</v>
      </c>
      <c r="S384">
        <f t="shared" si="79"/>
        <v>0.81375000000000064</v>
      </c>
      <c r="U384">
        <f t="shared" si="80"/>
        <v>53.154233629167607</v>
      </c>
      <c r="V384">
        <v>86</v>
      </c>
      <c r="W384">
        <v>5</v>
      </c>
      <c r="AH384">
        <f t="shared" si="81"/>
        <v>2.0426657613778727</v>
      </c>
      <c r="AI384">
        <f t="shared" si="82"/>
        <v>64.937999016977074</v>
      </c>
      <c r="AJ384">
        <f t="shared" si="83"/>
        <v>77.701000983022936</v>
      </c>
      <c r="AL384">
        <f t="shared" si="84"/>
        <v>75.404831522755757</v>
      </c>
      <c r="AM384">
        <f t="shared" si="85"/>
        <v>67.234168477244253</v>
      </c>
    </row>
    <row r="385" spans="1:39" ht="16.5" x14ac:dyDescent="0.25">
      <c r="A385" s="1">
        <v>45148</v>
      </c>
      <c r="B385" s="5">
        <v>70.33</v>
      </c>
      <c r="C385" s="4">
        <v>70.069999999999993</v>
      </c>
      <c r="D385" s="4">
        <v>70.739999999999995</v>
      </c>
      <c r="E385" s="4">
        <v>69.92</v>
      </c>
      <c r="F385" s="4" t="s">
        <v>1484</v>
      </c>
      <c r="G385" s="2" t="s">
        <v>1072</v>
      </c>
      <c r="I385">
        <f t="shared" si="72"/>
        <v>71.485500000000002</v>
      </c>
      <c r="J385">
        <f t="shared" si="73"/>
        <v>72.271000000000015</v>
      </c>
      <c r="L385">
        <f t="shared" si="74"/>
        <v>1</v>
      </c>
      <c r="M385">
        <f t="shared" si="75"/>
        <v>0</v>
      </c>
      <c r="O385">
        <f t="shared" si="76"/>
        <v>0.26000000000000512</v>
      </c>
      <c r="P385">
        <f t="shared" si="77"/>
        <v>0</v>
      </c>
      <c r="R385">
        <f t="shared" si="78"/>
        <v>0.83428571428571474</v>
      </c>
      <c r="S385">
        <f t="shared" si="79"/>
        <v>0.80428571428571571</v>
      </c>
      <c r="U385">
        <f t="shared" si="80"/>
        <v>50.915431560592822</v>
      </c>
      <c r="V385">
        <v>86</v>
      </c>
      <c r="W385">
        <v>5</v>
      </c>
      <c r="AH385">
        <f t="shared" si="81"/>
        <v>2.0492909296294739</v>
      </c>
      <c r="AI385">
        <f t="shared" si="82"/>
        <v>65.10399901697707</v>
      </c>
      <c r="AJ385">
        <f t="shared" si="83"/>
        <v>77.867000983022933</v>
      </c>
      <c r="AL385">
        <f t="shared" si="84"/>
        <v>75.584081859258944</v>
      </c>
      <c r="AM385">
        <f t="shared" si="85"/>
        <v>67.386918140741059</v>
      </c>
    </row>
    <row r="386" spans="1:39" ht="16.5" x14ac:dyDescent="0.25">
      <c r="A386" s="1">
        <v>45147</v>
      </c>
      <c r="B386" s="5">
        <v>69.5</v>
      </c>
      <c r="C386" s="4">
        <v>70.02</v>
      </c>
      <c r="D386" s="4">
        <v>70.63</v>
      </c>
      <c r="E386" s="4">
        <v>69.5</v>
      </c>
      <c r="F386" s="4" t="s">
        <v>288</v>
      </c>
      <c r="G386" s="2" t="s">
        <v>82</v>
      </c>
      <c r="I386">
        <f t="shared" ref="I386:I449" si="86">AVERAGE(B386:B405)</f>
        <v>71.609000000000009</v>
      </c>
      <c r="J386">
        <f t="shared" ref="J386:J449" si="87">AVERAGE(B386:B425)</f>
        <v>72.392250000000018</v>
      </c>
      <c r="L386">
        <f t="shared" ref="L386:L449" si="88">IF($C386&lt;$B386,1,0)</f>
        <v>0</v>
      </c>
      <c r="M386">
        <f t="shared" ref="M386:M449" si="89">IF($C386&lt;$B386,0,1)</f>
        <v>1</v>
      </c>
      <c r="O386">
        <f t="shared" ref="O386:O449" si="90">IF($C386&lt;$B386,B386-C386,0)</f>
        <v>0</v>
      </c>
      <c r="P386">
        <f t="shared" ref="P386:P449" si="91">IF($B386&lt;$C386,C386-B386,0)</f>
        <v>0.51999999999999602</v>
      </c>
      <c r="R386">
        <f t="shared" ref="R386:R449" si="92">SUM(O386:O399)/SUM(L386:L399)</f>
        <v>0.88857142857142846</v>
      </c>
      <c r="S386">
        <f t="shared" ref="S386:S449" si="93">SUM(P386:P399)/SUM(M386:M399)</f>
        <v>0.80428571428571571</v>
      </c>
      <c r="U386">
        <f t="shared" ref="U386:U449" si="94">100-(100/(1+(R386/S386)))</f>
        <v>52.489451476793199</v>
      </c>
      <c r="V386">
        <v>86</v>
      </c>
      <c r="W386">
        <v>5</v>
      </c>
      <c r="AH386">
        <f t="shared" si="81"/>
        <v>2.0556737037439698</v>
      </c>
      <c r="AI386">
        <f t="shared" si="82"/>
        <v>65.227499016977077</v>
      </c>
      <c r="AJ386">
        <f t="shared" si="83"/>
        <v>77.99050098302294</v>
      </c>
      <c r="AL386">
        <f t="shared" si="84"/>
        <v>75.720347407487949</v>
      </c>
      <c r="AM386">
        <f t="shared" si="85"/>
        <v>67.497652592512068</v>
      </c>
    </row>
    <row r="387" spans="1:39" ht="16.5" x14ac:dyDescent="0.25">
      <c r="A387" s="1">
        <v>45146</v>
      </c>
      <c r="B387" s="5">
        <v>70.28</v>
      </c>
      <c r="C387" s="4">
        <v>71.040000000000006</v>
      </c>
      <c r="D387" s="4">
        <v>71.709999999999994</v>
      </c>
      <c r="E387" s="4">
        <v>69.58</v>
      </c>
      <c r="F387" s="4" t="s">
        <v>1400</v>
      </c>
      <c r="G387" s="2" t="s">
        <v>760</v>
      </c>
      <c r="I387">
        <f t="shared" si="86"/>
        <v>71.764500000000012</v>
      </c>
      <c r="J387">
        <f t="shared" si="87"/>
        <v>72.538500000000013</v>
      </c>
      <c r="L387">
        <f t="shared" si="88"/>
        <v>0</v>
      </c>
      <c r="M387">
        <f t="shared" si="89"/>
        <v>1</v>
      </c>
      <c r="O387">
        <f t="shared" si="90"/>
        <v>0</v>
      </c>
      <c r="P387">
        <f t="shared" si="91"/>
        <v>0.76000000000000512</v>
      </c>
      <c r="R387">
        <f t="shared" si="92"/>
        <v>0.78500000000000014</v>
      </c>
      <c r="S387">
        <f t="shared" si="93"/>
        <v>0.8516666666666689</v>
      </c>
      <c r="U387">
        <f t="shared" si="94"/>
        <v>47.963340122199533</v>
      </c>
      <c r="V387">
        <v>86</v>
      </c>
      <c r="W387">
        <v>5</v>
      </c>
      <c r="AH387">
        <f t="shared" ref="AH387:AH450" si="95">_xlfn.STDEV.S(I387:I917)</f>
        <v>2.0618238727035454</v>
      </c>
      <c r="AI387">
        <f t="shared" ref="AI387:AI450" si="96">I387-$AH$2</f>
        <v>65.382999016977081</v>
      </c>
      <c r="AJ387">
        <f t="shared" ref="AJ387:AJ450" si="97">I387+$AH$2</f>
        <v>78.146000983022944</v>
      </c>
      <c r="AL387">
        <f t="shared" ref="AL387:AL450" si="98">I387+(AH387*2)</f>
        <v>75.88814774540711</v>
      </c>
      <c r="AM387">
        <f t="shared" ref="AM387:AM450" si="99">I387-(AH387*2)</f>
        <v>67.640852254592915</v>
      </c>
    </row>
    <row r="388" spans="1:39" ht="16.5" x14ac:dyDescent="0.25">
      <c r="A388" s="1">
        <v>45145</v>
      </c>
      <c r="B388" s="5">
        <v>71.400000000000006</v>
      </c>
      <c r="C388" s="4">
        <v>71.180000000000007</v>
      </c>
      <c r="D388" s="4">
        <v>71.680000000000007</v>
      </c>
      <c r="E388" s="4">
        <v>70.709999999999994</v>
      </c>
      <c r="F388" s="4" t="s">
        <v>152</v>
      </c>
      <c r="G388" s="2" t="s">
        <v>487</v>
      </c>
      <c r="I388">
        <f t="shared" si="86"/>
        <v>71.869499999999988</v>
      </c>
      <c r="J388">
        <f t="shared" si="87"/>
        <v>72.641000000000005</v>
      </c>
      <c r="L388">
        <f t="shared" si="88"/>
        <v>1</v>
      </c>
      <c r="M388">
        <f t="shared" si="89"/>
        <v>0</v>
      </c>
      <c r="O388">
        <f t="shared" si="90"/>
        <v>0.21999999999999886</v>
      </c>
      <c r="P388">
        <f t="shared" si="91"/>
        <v>0</v>
      </c>
      <c r="R388">
        <f t="shared" si="92"/>
        <v>0.78500000000000014</v>
      </c>
      <c r="S388">
        <f t="shared" si="93"/>
        <v>0.85833333333333428</v>
      </c>
      <c r="U388">
        <f t="shared" si="94"/>
        <v>47.768762677484766</v>
      </c>
      <c r="V388">
        <v>86</v>
      </c>
      <c r="W388">
        <v>5</v>
      </c>
      <c r="AH388">
        <f t="shared" si="95"/>
        <v>2.0675822094747902</v>
      </c>
      <c r="AI388">
        <f t="shared" si="96"/>
        <v>65.487999016977056</v>
      </c>
      <c r="AJ388">
        <f t="shared" si="97"/>
        <v>78.251000983022919</v>
      </c>
      <c r="AL388">
        <f t="shared" si="98"/>
        <v>76.004664418949574</v>
      </c>
      <c r="AM388">
        <f t="shared" si="99"/>
        <v>67.734335581050402</v>
      </c>
    </row>
    <row r="389" spans="1:39" ht="16.5" x14ac:dyDescent="0.25">
      <c r="A389" s="1">
        <v>45142</v>
      </c>
      <c r="B389" s="5">
        <v>71.5</v>
      </c>
      <c r="C389" s="4">
        <v>71.5</v>
      </c>
      <c r="D389" s="4">
        <v>71.78</v>
      </c>
      <c r="E389" s="4">
        <v>70.86</v>
      </c>
      <c r="F389" s="4" t="s">
        <v>1464</v>
      </c>
      <c r="G389" s="2" t="s">
        <v>298</v>
      </c>
      <c r="I389">
        <f t="shared" si="86"/>
        <v>71.89500000000001</v>
      </c>
      <c r="J389">
        <f t="shared" si="87"/>
        <v>72.696000000000012</v>
      </c>
      <c r="L389">
        <f t="shared" si="88"/>
        <v>0</v>
      </c>
      <c r="M389">
        <f t="shared" si="89"/>
        <v>1</v>
      </c>
      <c r="O389">
        <f t="shared" si="90"/>
        <v>0</v>
      </c>
      <c r="P389">
        <f t="shared" si="91"/>
        <v>0</v>
      </c>
      <c r="R389">
        <f t="shared" si="92"/>
        <v>0.86571428571428599</v>
      </c>
      <c r="S389">
        <f t="shared" si="93"/>
        <v>0.74857142857142989</v>
      </c>
      <c r="U389">
        <f t="shared" si="94"/>
        <v>53.628318584070769</v>
      </c>
      <c r="V389">
        <v>86</v>
      </c>
      <c r="W389">
        <v>5</v>
      </c>
      <c r="AH389">
        <f t="shared" si="95"/>
        <v>2.0730338259644214</v>
      </c>
      <c r="AI389">
        <f t="shared" si="96"/>
        <v>65.513499016977079</v>
      </c>
      <c r="AJ389">
        <f t="shared" si="97"/>
        <v>78.276500983022942</v>
      </c>
      <c r="AL389">
        <f t="shared" si="98"/>
        <v>76.041067651928856</v>
      </c>
      <c r="AM389">
        <f t="shared" si="99"/>
        <v>67.748932348071165</v>
      </c>
    </row>
    <row r="390" spans="1:39" ht="16.5" x14ac:dyDescent="0.25">
      <c r="A390" s="1">
        <v>45141</v>
      </c>
      <c r="B390" s="5">
        <v>71.16</v>
      </c>
      <c r="C390" s="4">
        <v>70.5</v>
      </c>
      <c r="D390" s="4">
        <v>71.34</v>
      </c>
      <c r="E390" s="4">
        <v>70.069999999999993</v>
      </c>
      <c r="F390" s="4" t="s">
        <v>683</v>
      </c>
      <c r="G390" s="2" t="s">
        <v>454</v>
      </c>
      <c r="I390">
        <f t="shared" si="86"/>
        <v>71.91749999999999</v>
      </c>
      <c r="J390">
        <f t="shared" si="87"/>
        <v>72.723500000000001</v>
      </c>
      <c r="L390">
        <f t="shared" si="88"/>
        <v>1</v>
      </c>
      <c r="M390">
        <f t="shared" si="89"/>
        <v>0</v>
      </c>
      <c r="O390">
        <f t="shared" si="90"/>
        <v>0.65999999999999659</v>
      </c>
      <c r="P390">
        <f t="shared" si="91"/>
        <v>0</v>
      </c>
      <c r="R390">
        <f t="shared" si="92"/>
        <v>0.81874999999999964</v>
      </c>
      <c r="S390">
        <f t="shared" si="93"/>
        <v>0.87333333333333485</v>
      </c>
      <c r="U390">
        <f t="shared" si="94"/>
        <v>48.387096774193495</v>
      </c>
      <c r="V390">
        <v>86</v>
      </c>
      <c r="W390">
        <v>5</v>
      </c>
      <c r="AH390">
        <f t="shared" si="95"/>
        <v>2.0784304143107297</v>
      </c>
      <c r="AI390">
        <f t="shared" si="96"/>
        <v>65.535999016977058</v>
      </c>
      <c r="AJ390">
        <f t="shared" si="97"/>
        <v>78.299000983022921</v>
      </c>
      <c r="AL390">
        <f t="shared" si="98"/>
        <v>76.074360828621451</v>
      </c>
      <c r="AM390">
        <f t="shared" si="99"/>
        <v>67.760639171378529</v>
      </c>
    </row>
    <row r="391" spans="1:39" ht="16.5" x14ac:dyDescent="0.25">
      <c r="A391" s="1">
        <v>45140</v>
      </c>
      <c r="B391" s="5">
        <v>71.05</v>
      </c>
      <c r="C391" s="4">
        <v>70.040000000000006</v>
      </c>
      <c r="D391" s="4">
        <v>71.25</v>
      </c>
      <c r="E391" s="4">
        <v>69.66</v>
      </c>
      <c r="F391" s="4" t="s">
        <v>89</v>
      </c>
      <c r="G391" s="2" t="s">
        <v>372</v>
      </c>
      <c r="I391">
        <f t="shared" si="86"/>
        <v>71.930500000000009</v>
      </c>
      <c r="J391">
        <f t="shared" si="87"/>
        <v>72.769500000000008</v>
      </c>
      <c r="L391">
        <f t="shared" si="88"/>
        <v>1</v>
      </c>
      <c r="M391">
        <f t="shared" si="89"/>
        <v>0</v>
      </c>
      <c r="O391">
        <f t="shared" si="90"/>
        <v>1.0099999999999909</v>
      </c>
      <c r="P391">
        <f t="shared" si="91"/>
        <v>0</v>
      </c>
      <c r="R391">
        <f t="shared" si="92"/>
        <v>0.84142857142857153</v>
      </c>
      <c r="S391">
        <f t="shared" si="93"/>
        <v>0.78428571428571558</v>
      </c>
      <c r="U391">
        <f t="shared" si="94"/>
        <v>51.757469244288188</v>
      </c>
      <c r="V391">
        <v>86</v>
      </c>
      <c r="W391">
        <v>5</v>
      </c>
      <c r="AH391">
        <f t="shared" si="95"/>
        <v>2.0837780999925064</v>
      </c>
      <c r="AI391">
        <f t="shared" si="96"/>
        <v>65.548999016977078</v>
      </c>
      <c r="AJ391">
        <f t="shared" si="97"/>
        <v>78.312000983022941</v>
      </c>
      <c r="AL391">
        <f t="shared" si="98"/>
        <v>76.098056199985024</v>
      </c>
      <c r="AM391">
        <f t="shared" si="99"/>
        <v>67.762943800014995</v>
      </c>
    </row>
    <row r="392" spans="1:39" ht="16.5" x14ac:dyDescent="0.25">
      <c r="A392" s="1">
        <v>45139</v>
      </c>
      <c r="B392" s="5">
        <v>70.92</v>
      </c>
      <c r="C392" s="4">
        <v>72.790000000000006</v>
      </c>
      <c r="D392" s="4">
        <v>72.84</v>
      </c>
      <c r="E392" s="4">
        <v>70.66</v>
      </c>
      <c r="F392" s="4" t="s">
        <v>1570</v>
      </c>
      <c r="G392" s="2" t="s">
        <v>1473</v>
      </c>
      <c r="I392">
        <f t="shared" si="86"/>
        <v>72.0565</v>
      </c>
      <c r="J392">
        <f t="shared" si="87"/>
        <v>72.804999999999993</v>
      </c>
      <c r="L392">
        <f t="shared" si="88"/>
        <v>0</v>
      </c>
      <c r="M392">
        <f t="shared" si="89"/>
        <v>1</v>
      </c>
      <c r="O392">
        <f t="shared" si="90"/>
        <v>0</v>
      </c>
      <c r="P392">
        <f t="shared" si="91"/>
        <v>1.8700000000000045</v>
      </c>
      <c r="R392">
        <f t="shared" si="92"/>
        <v>0.74857142857142989</v>
      </c>
      <c r="S392">
        <f t="shared" si="93"/>
        <v>0.78428571428571558</v>
      </c>
      <c r="U392">
        <f t="shared" si="94"/>
        <v>48.835041938490214</v>
      </c>
      <c r="V392">
        <v>86</v>
      </c>
      <c r="W392">
        <v>5</v>
      </c>
      <c r="AH392">
        <f t="shared" si="95"/>
        <v>2.0891092020561306</v>
      </c>
      <c r="AI392">
        <f t="shared" si="96"/>
        <v>65.674999016977068</v>
      </c>
      <c r="AJ392">
        <f t="shared" si="97"/>
        <v>78.438000983022931</v>
      </c>
      <c r="AL392">
        <f t="shared" si="98"/>
        <v>76.234718404112257</v>
      </c>
      <c r="AM392">
        <f t="shared" si="99"/>
        <v>67.878281595887742</v>
      </c>
    </row>
    <row r="393" spans="1:39" ht="16.5" x14ac:dyDescent="0.25">
      <c r="A393" s="1">
        <v>45138</v>
      </c>
      <c r="B393" s="5">
        <v>72.64</v>
      </c>
      <c r="C393" s="4">
        <v>73.599999999999994</v>
      </c>
      <c r="D393" s="4">
        <v>73.7</v>
      </c>
      <c r="E393" s="4">
        <v>72.55</v>
      </c>
      <c r="F393" s="4" t="s">
        <v>105</v>
      </c>
      <c r="G393" s="2" t="s">
        <v>221</v>
      </c>
      <c r="I393">
        <f t="shared" si="86"/>
        <v>72.147999999999996</v>
      </c>
      <c r="J393">
        <f t="shared" si="87"/>
        <v>72.83274999999999</v>
      </c>
      <c r="L393">
        <f t="shared" si="88"/>
        <v>0</v>
      </c>
      <c r="M393">
        <f t="shared" si="89"/>
        <v>1</v>
      </c>
      <c r="O393">
        <f t="shared" si="90"/>
        <v>0</v>
      </c>
      <c r="P393">
        <f t="shared" si="91"/>
        <v>0.95999999999999375</v>
      </c>
      <c r="R393">
        <f t="shared" si="92"/>
        <v>0.66375000000000028</v>
      </c>
      <c r="S393">
        <f t="shared" si="93"/>
        <v>0.60333333333333405</v>
      </c>
      <c r="U393">
        <f t="shared" si="94"/>
        <v>52.38408418283457</v>
      </c>
      <c r="V393">
        <v>86</v>
      </c>
      <c r="W393">
        <v>5</v>
      </c>
      <c r="AH393">
        <f t="shared" si="95"/>
        <v>2.0939522380622302</v>
      </c>
      <c r="AI393">
        <f t="shared" si="96"/>
        <v>65.766499016977065</v>
      </c>
      <c r="AJ393">
        <f t="shared" si="97"/>
        <v>78.529500983022928</v>
      </c>
      <c r="AL393">
        <f t="shared" si="98"/>
        <v>76.335904476124455</v>
      </c>
      <c r="AM393">
        <f t="shared" si="99"/>
        <v>67.960095523875538</v>
      </c>
    </row>
    <row r="394" spans="1:39" ht="16.5" x14ac:dyDescent="0.25">
      <c r="A394" s="1">
        <v>45135</v>
      </c>
      <c r="B394" s="5">
        <v>73.56</v>
      </c>
      <c r="C394" s="4">
        <v>72.98</v>
      </c>
      <c r="D394" s="4">
        <v>73.56</v>
      </c>
      <c r="E394" s="4">
        <v>71.78</v>
      </c>
      <c r="F394" s="4" t="s">
        <v>1437</v>
      </c>
      <c r="G394" s="2" t="s">
        <v>149</v>
      </c>
      <c r="I394">
        <f t="shared" si="86"/>
        <v>72.197000000000003</v>
      </c>
      <c r="J394">
        <f t="shared" si="87"/>
        <v>72.81774999999999</v>
      </c>
      <c r="L394">
        <f t="shared" si="88"/>
        <v>1</v>
      </c>
      <c r="M394">
        <f t="shared" si="89"/>
        <v>0</v>
      </c>
      <c r="O394">
        <f t="shared" si="90"/>
        <v>0.57999999999999829</v>
      </c>
      <c r="P394">
        <f t="shared" si="91"/>
        <v>0</v>
      </c>
      <c r="R394">
        <f t="shared" si="92"/>
        <v>0.59999999999999909</v>
      </c>
      <c r="S394">
        <f t="shared" si="93"/>
        <v>0.53200000000000214</v>
      </c>
      <c r="U394">
        <f t="shared" si="94"/>
        <v>53.003533568904452</v>
      </c>
      <c r="V394">
        <v>86</v>
      </c>
      <c r="W394">
        <v>5</v>
      </c>
      <c r="AH394">
        <f t="shared" si="95"/>
        <v>2.0983974274918391</v>
      </c>
      <c r="AI394">
        <f t="shared" si="96"/>
        <v>65.815499016977071</v>
      </c>
      <c r="AJ394">
        <f t="shared" si="97"/>
        <v>78.578500983022934</v>
      </c>
      <c r="AL394">
        <f t="shared" si="98"/>
        <v>76.393794854983682</v>
      </c>
      <c r="AM394">
        <f t="shared" si="99"/>
        <v>68.000205145016324</v>
      </c>
    </row>
    <row r="395" spans="1:39" ht="16.5" x14ac:dyDescent="0.25">
      <c r="A395" s="1">
        <v>45134</v>
      </c>
      <c r="B395" s="5">
        <v>72.72</v>
      </c>
      <c r="C395" s="4">
        <v>69.91</v>
      </c>
      <c r="D395" s="4">
        <v>72.959999999999994</v>
      </c>
      <c r="E395" s="4">
        <v>68.77</v>
      </c>
      <c r="F395" s="4" t="s">
        <v>954</v>
      </c>
      <c r="G395" s="2" t="s">
        <v>1571</v>
      </c>
      <c r="I395">
        <f t="shared" si="86"/>
        <v>72.202499999999986</v>
      </c>
      <c r="J395">
        <f t="shared" si="87"/>
        <v>72.784749999999974</v>
      </c>
      <c r="L395">
        <f t="shared" si="88"/>
        <v>1</v>
      </c>
      <c r="M395">
        <f t="shared" si="89"/>
        <v>0</v>
      </c>
      <c r="O395">
        <f t="shared" si="90"/>
        <v>2.8100000000000023</v>
      </c>
      <c r="P395">
        <f t="shared" si="91"/>
        <v>0</v>
      </c>
      <c r="R395">
        <f t="shared" si="92"/>
        <v>0.54111111111110999</v>
      </c>
      <c r="S395">
        <f t="shared" si="93"/>
        <v>0.53200000000000214</v>
      </c>
      <c r="U395">
        <f t="shared" si="94"/>
        <v>50.424518533857785</v>
      </c>
      <c r="V395">
        <v>86</v>
      </c>
      <c r="W395">
        <v>5</v>
      </c>
      <c r="AH395">
        <f t="shared" si="95"/>
        <v>2.1026129817216352</v>
      </c>
      <c r="AI395">
        <f t="shared" si="96"/>
        <v>65.820999016977055</v>
      </c>
      <c r="AJ395">
        <f t="shared" si="97"/>
        <v>78.584000983022918</v>
      </c>
      <c r="AL395">
        <f t="shared" si="98"/>
        <v>76.407725963443255</v>
      </c>
      <c r="AM395">
        <f t="shared" si="99"/>
        <v>67.997274036556718</v>
      </c>
    </row>
    <row r="396" spans="1:39" ht="16.5" x14ac:dyDescent="0.25">
      <c r="A396" s="1">
        <v>45133</v>
      </c>
      <c r="B396" s="5">
        <v>69.959999999999994</v>
      </c>
      <c r="C396" s="4">
        <v>70.8</v>
      </c>
      <c r="D396" s="4">
        <v>71.06</v>
      </c>
      <c r="E396" s="4">
        <v>69.12</v>
      </c>
      <c r="F396" s="4" t="s">
        <v>1572</v>
      </c>
      <c r="G396" s="2" t="s">
        <v>1573</v>
      </c>
      <c r="I396">
        <f t="shared" si="86"/>
        <v>72.215499999999992</v>
      </c>
      <c r="J396">
        <f t="shared" si="87"/>
        <v>72.730749999999972</v>
      </c>
      <c r="L396">
        <f t="shared" si="88"/>
        <v>0</v>
      </c>
      <c r="M396">
        <f t="shared" si="89"/>
        <v>1</v>
      </c>
      <c r="O396">
        <f t="shared" si="90"/>
        <v>0</v>
      </c>
      <c r="P396">
        <f t="shared" si="91"/>
        <v>0.84000000000000341</v>
      </c>
      <c r="R396">
        <f t="shared" si="92"/>
        <v>0.29555555555555518</v>
      </c>
      <c r="S396">
        <f t="shared" si="93"/>
        <v>0.53200000000000214</v>
      </c>
      <c r="U396">
        <f t="shared" si="94"/>
        <v>35.714285714285595</v>
      </c>
      <c r="V396">
        <v>86</v>
      </c>
      <c r="W396">
        <v>5</v>
      </c>
      <c r="AH396">
        <f t="shared" si="95"/>
        <v>2.1068031307545021</v>
      </c>
      <c r="AI396">
        <f t="shared" si="96"/>
        <v>65.83399901697706</v>
      </c>
      <c r="AJ396">
        <f t="shared" si="97"/>
        <v>78.597000983022923</v>
      </c>
      <c r="AL396">
        <f t="shared" si="98"/>
        <v>76.429106261508991</v>
      </c>
      <c r="AM396">
        <f t="shared" si="99"/>
        <v>68.001893738490992</v>
      </c>
    </row>
    <row r="397" spans="1:39" ht="16.5" x14ac:dyDescent="0.25">
      <c r="A397" s="1">
        <v>45132</v>
      </c>
      <c r="B397" s="5">
        <v>71.22</v>
      </c>
      <c r="C397" s="4">
        <v>71.900000000000006</v>
      </c>
      <c r="D397" s="4">
        <v>71.900000000000006</v>
      </c>
      <c r="E397" s="4">
        <v>71.010000000000005</v>
      </c>
      <c r="F397" s="4" t="s">
        <v>48</v>
      </c>
      <c r="G397" s="2" t="s">
        <v>924</v>
      </c>
      <c r="I397">
        <f t="shared" si="86"/>
        <v>72.344499999999996</v>
      </c>
      <c r="J397">
        <f t="shared" si="87"/>
        <v>72.725999999999971</v>
      </c>
      <c r="L397">
        <f t="shared" si="88"/>
        <v>0</v>
      </c>
      <c r="M397">
        <f t="shared" si="89"/>
        <v>1</v>
      </c>
      <c r="O397">
        <f t="shared" si="90"/>
        <v>0</v>
      </c>
      <c r="P397">
        <f t="shared" si="91"/>
        <v>0.68000000000000682</v>
      </c>
      <c r="R397">
        <f t="shared" si="92"/>
        <v>0.29555555555555518</v>
      </c>
      <c r="S397">
        <f t="shared" si="93"/>
        <v>0.73800000000000243</v>
      </c>
      <c r="U397">
        <f t="shared" si="94"/>
        <v>28.596000860030017</v>
      </c>
      <c r="V397">
        <v>86</v>
      </c>
      <c r="W397">
        <v>5</v>
      </c>
      <c r="AH397">
        <f t="shared" si="95"/>
        <v>2.1109272321039931</v>
      </c>
      <c r="AI397">
        <f t="shared" si="96"/>
        <v>65.962999016977065</v>
      </c>
      <c r="AJ397">
        <f t="shared" si="97"/>
        <v>78.726000983022928</v>
      </c>
      <c r="AL397">
        <f t="shared" si="98"/>
        <v>76.56635446420799</v>
      </c>
      <c r="AM397">
        <f t="shared" si="99"/>
        <v>68.122645535792003</v>
      </c>
    </row>
    <row r="398" spans="1:39" ht="16.5" x14ac:dyDescent="0.25">
      <c r="A398" s="1">
        <v>45131</v>
      </c>
      <c r="B398" s="5">
        <v>71.400000000000006</v>
      </c>
      <c r="C398" s="4">
        <v>71.099999999999994</v>
      </c>
      <c r="D398" s="4">
        <v>71.489999999999995</v>
      </c>
      <c r="E398" s="4">
        <v>70.69</v>
      </c>
      <c r="F398" s="4" t="s">
        <v>383</v>
      </c>
      <c r="G398" s="2" t="s">
        <v>399</v>
      </c>
      <c r="I398">
        <f t="shared" si="86"/>
        <v>72.375</v>
      </c>
      <c r="J398">
        <f t="shared" si="87"/>
        <v>72.725499999999982</v>
      </c>
      <c r="L398">
        <f t="shared" si="88"/>
        <v>1</v>
      </c>
      <c r="M398">
        <f t="shared" si="89"/>
        <v>0</v>
      </c>
      <c r="O398">
        <f t="shared" si="90"/>
        <v>0.30000000000001137</v>
      </c>
      <c r="P398">
        <f t="shared" si="91"/>
        <v>0</v>
      </c>
      <c r="R398">
        <f t="shared" si="92"/>
        <v>0.40299999999999869</v>
      </c>
      <c r="S398">
        <f t="shared" si="93"/>
        <v>0.75250000000000128</v>
      </c>
      <c r="U398">
        <f t="shared" si="94"/>
        <v>34.876676763305824</v>
      </c>
      <c r="V398">
        <v>86</v>
      </c>
      <c r="W398">
        <v>5</v>
      </c>
      <c r="AH398">
        <f t="shared" si="95"/>
        <v>2.1143460665960117</v>
      </c>
      <c r="AI398">
        <f t="shared" si="96"/>
        <v>65.993499016977069</v>
      </c>
      <c r="AJ398">
        <f t="shared" si="97"/>
        <v>78.756500983022931</v>
      </c>
      <c r="AL398">
        <f t="shared" si="98"/>
        <v>76.603692133192027</v>
      </c>
      <c r="AM398">
        <f t="shared" si="99"/>
        <v>68.146307866807973</v>
      </c>
    </row>
    <row r="399" spans="1:39" ht="16.5" x14ac:dyDescent="0.25">
      <c r="A399" s="1">
        <v>45128</v>
      </c>
      <c r="B399" s="5">
        <v>71.2</v>
      </c>
      <c r="C399" s="4">
        <v>70.56</v>
      </c>
      <c r="D399" s="4">
        <v>71.72</v>
      </c>
      <c r="E399" s="4">
        <v>70.45</v>
      </c>
      <c r="F399" s="4" t="s">
        <v>400</v>
      </c>
      <c r="G399" s="2" t="s">
        <v>508</v>
      </c>
      <c r="I399">
        <f t="shared" si="86"/>
        <v>72.403999999999996</v>
      </c>
      <c r="J399">
        <f t="shared" si="87"/>
        <v>72.719499999999968</v>
      </c>
      <c r="L399">
        <f t="shared" si="88"/>
        <v>1</v>
      </c>
      <c r="M399">
        <f t="shared" si="89"/>
        <v>0</v>
      </c>
      <c r="O399">
        <f t="shared" si="90"/>
        <v>0.64000000000000057</v>
      </c>
      <c r="P399">
        <f t="shared" si="91"/>
        <v>0</v>
      </c>
      <c r="R399">
        <f t="shared" si="92"/>
        <v>0.41444444444444173</v>
      </c>
      <c r="S399">
        <f t="shared" si="93"/>
        <v>0.85200000000000098</v>
      </c>
      <c r="U399">
        <f t="shared" si="94"/>
        <v>32.725039480610462</v>
      </c>
      <c r="V399">
        <v>86</v>
      </c>
      <c r="W399">
        <v>5</v>
      </c>
      <c r="AH399">
        <f t="shared" si="95"/>
        <v>2.117565530221754</v>
      </c>
      <c r="AI399">
        <f t="shared" si="96"/>
        <v>66.022499016977065</v>
      </c>
      <c r="AJ399">
        <f t="shared" si="97"/>
        <v>78.785500983022928</v>
      </c>
      <c r="AL399">
        <f t="shared" si="98"/>
        <v>76.639131060443503</v>
      </c>
      <c r="AM399">
        <f t="shared" si="99"/>
        <v>68.168868939556489</v>
      </c>
    </row>
    <row r="400" spans="1:39" ht="16.5" x14ac:dyDescent="0.25">
      <c r="A400" s="1">
        <v>45127</v>
      </c>
      <c r="B400" s="5">
        <v>71.56</v>
      </c>
      <c r="C400" s="4">
        <v>71.5</v>
      </c>
      <c r="D400" s="4">
        <v>71.84</v>
      </c>
      <c r="E400" s="4">
        <v>71.27</v>
      </c>
      <c r="F400" s="4" t="s">
        <v>1377</v>
      </c>
      <c r="G400" s="2" t="s">
        <v>93</v>
      </c>
      <c r="I400">
        <f t="shared" si="86"/>
        <v>72.445499999999996</v>
      </c>
      <c r="J400">
        <f t="shared" si="87"/>
        <v>72.725499999999968</v>
      </c>
      <c r="L400">
        <f t="shared" si="88"/>
        <v>1</v>
      </c>
      <c r="M400">
        <f t="shared" si="89"/>
        <v>0</v>
      </c>
      <c r="O400">
        <f t="shared" si="90"/>
        <v>6.0000000000002274E-2</v>
      </c>
      <c r="P400">
        <f t="shared" si="91"/>
        <v>0</v>
      </c>
      <c r="R400">
        <f t="shared" si="92"/>
        <v>0.38624999999999687</v>
      </c>
      <c r="S400">
        <f t="shared" si="93"/>
        <v>0.76500000000000057</v>
      </c>
      <c r="U400">
        <f t="shared" si="94"/>
        <v>33.550488599348341</v>
      </c>
      <c r="V400">
        <v>86</v>
      </c>
      <c r="W400">
        <v>5</v>
      </c>
      <c r="AH400">
        <f t="shared" si="95"/>
        <v>2.1205821845327781</v>
      </c>
      <c r="AI400">
        <f t="shared" si="96"/>
        <v>66.063999016977064</v>
      </c>
      <c r="AJ400">
        <f t="shared" si="97"/>
        <v>78.827000983022927</v>
      </c>
      <c r="AL400">
        <f t="shared" si="98"/>
        <v>76.686664369065554</v>
      </c>
      <c r="AM400">
        <f t="shared" si="99"/>
        <v>68.204335630934438</v>
      </c>
    </row>
    <row r="401" spans="1:39" ht="16.5" x14ac:dyDescent="0.25">
      <c r="A401" s="1">
        <v>45126</v>
      </c>
      <c r="B401" s="5">
        <v>71.89</v>
      </c>
      <c r="C401" s="4">
        <v>72.69</v>
      </c>
      <c r="D401" s="4">
        <v>72.790000000000006</v>
      </c>
      <c r="E401" s="4">
        <v>71.38</v>
      </c>
      <c r="F401" s="4" t="s">
        <v>193</v>
      </c>
      <c r="G401" s="2" t="s">
        <v>792</v>
      </c>
      <c r="I401">
        <f t="shared" si="86"/>
        <v>72.484999999999985</v>
      </c>
      <c r="J401">
        <f t="shared" si="87"/>
        <v>72.692749999999961</v>
      </c>
      <c r="L401">
        <f t="shared" si="88"/>
        <v>0</v>
      </c>
      <c r="M401">
        <f t="shared" si="89"/>
        <v>1</v>
      </c>
      <c r="O401">
        <f t="shared" si="90"/>
        <v>0</v>
      </c>
      <c r="P401">
        <f t="shared" si="91"/>
        <v>0.79999999999999716</v>
      </c>
      <c r="R401">
        <f t="shared" si="92"/>
        <v>0.3999999999999968</v>
      </c>
      <c r="S401">
        <f t="shared" si="93"/>
        <v>0.76500000000000057</v>
      </c>
      <c r="U401">
        <f t="shared" si="94"/>
        <v>34.334763948497653</v>
      </c>
      <c r="V401">
        <v>86</v>
      </c>
      <c r="W401">
        <v>5</v>
      </c>
      <c r="AH401">
        <f t="shared" si="95"/>
        <v>2.1233051819929623</v>
      </c>
      <c r="AI401">
        <f t="shared" si="96"/>
        <v>66.103499016977054</v>
      </c>
      <c r="AJ401">
        <f t="shared" si="97"/>
        <v>78.866500983022917</v>
      </c>
      <c r="AL401">
        <f t="shared" si="98"/>
        <v>76.731610363985908</v>
      </c>
      <c r="AM401">
        <f t="shared" si="99"/>
        <v>68.238389636014062</v>
      </c>
    </row>
    <row r="402" spans="1:39" ht="16.5" x14ac:dyDescent="0.25">
      <c r="A402" s="1">
        <v>45125</v>
      </c>
      <c r="B402" s="5">
        <v>72.47</v>
      </c>
      <c r="C402" s="4">
        <v>72.56</v>
      </c>
      <c r="D402" s="4">
        <v>72.900000000000006</v>
      </c>
      <c r="E402" s="4">
        <v>71.900000000000006</v>
      </c>
      <c r="F402" s="4" t="s">
        <v>134</v>
      </c>
      <c r="G402" s="2" t="s">
        <v>241</v>
      </c>
      <c r="I402">
        <f t="shared" si="86"/>
        <v>72.592999999999989</v>
      </c>
      <c r="J402">
        <f t="shared" si="87"/>
        <v>72.643499999999975</v>
      </c>
      <c r="L402">
        <f t="shared" si="88"/>
        <v>0</v>
      </c>
      <c r="M402">
        <f t="shared" si="89"/>
        <v>1</v>
      </c>
      <c r="O402">
        <f t="shared" si="90"/>
        <v>0</v>
      </c>
      <c r="P402">
        <f t="shared" si="91"/>
        <v>9.0000000000003411E-2</v>
      </c>
      <c r="R402">
        <f t="shared" si="92"/>
        <v>0.36444444444444141</v>
      </c>
      <c r="S402">
        <f t="shared" si="93"/>
        <v>0.75800000000000123</v>
      </c>
      <c r="U402">
        <f t="shared" si="94"/>
        <v>32.468818055830297</v>
      </c>
      <c r="V402">
        <v>86</v>
      </c>
      <c r="W402">
        <v>5</v>
      </c>
      <c r="AH402">
        <f t="shared" si="95"/>
        <v>2.1257278418156744</v>
      </c>
      <c r="AI402">
        <f t="shared" si="96"/>
        <v>66.211499016977058</v>
      </c>
      <c r="AJ402">
        <f t="shared" si="97"/>
        <v>78.974500983022921</v>
      </c>
      <c r="AL402">
        <f t="shared" si="98"/>
        <v>76.844455683631338</v>
      </c>
      <c r="AM402">
        <f t="shared" si="99"/>
        <v>68.34154431636864</v>
      </c>
    </row>
    <row r="403" spans="1:39" ht="16.5" x14ac:dyDescent="0.25">
      <c r="A403" s="1">
        <v>45124</v>
      </c>
      <c r="B403" s="5">
        <v>72.52</v>
      </c>
      <c r="C403" s="4">
        <v>72.03</v>
      </c>
      <c r="D403" s="4">
        <v>72.59</v>
      </c>
      <c r="E403" s="4">
        <v>71.84</v>
      </c>
      <c r="F403" s="4" t="s">
        <v>456</v>
      </c>
      <c r="G403" s="2" t="s">
        <v>944</v>
      </c>
      <c r="I403">
        <f t="shared" si="86"/>
        <v>72.72199999999998</v>
      </c>
      <c r="J403">
        <f t="shared" si="87"/>
        <v>72.613249999999965</v>
      </c>
      <c r="L403">
        <f t="shared" si="88"/>
        <v>1</v>
      </c>
      <c r="M403">
        <f t="shared" si="89"/>
        <v>0</v>
      </c>
      <c r="O403">
        <f t="shared" si="90"/>
        <v>0.48999999999999488</v>
      </c>
      <c r="P403">
        <f t="shared" si="91"/>
        <v>0</v>
      </c>
      <c r="R403">
        <f t="shared" si="92"/>
        <v>0.35399999999999776</v>
      </c>
      <c r="S403">
        <f t="shared" si="93"/>
        <v>0.92500000000000071</v>
      </c>
      <c r="U403">
        <f t="shared" si="94"/>
        <v>27.677873338545609</v>
      </c>
      <c r="V403">
        <v>86</v>
      </c>
      <c r="W403">
        <v>5</v>
      </c>
      <c r="AH403">
        <f t="shared" si="95"/>
        <v>2.1273580191824379</v>
      </c>
      <c r="AI403">
        <f t="shared" si="96"/>
        <v>66.340499016977049</v>
      </c>
      <c r="AJ403">
        <f t="shared" si="97"/>
        <v>79.103500983022911</v>
      </c>
      <c r="AL403">
        <f t="shared" si="98"/>
        <v>76.976716038364856</v>
      </c>
      <c r="AM403">
        <f t="shared" si="99"/>
        <v>68.467283961635104</v>
      </c>
    </row>
    <row r="404" spans="1:39" ht="16.5" x14ac:dyDescent="0.25">
      <c r="A404" s="1">
        <v>45121</v>
      </c>
      <c r="B404" s="5">
        <v>72.430000000000007</v>
      </c>
      <c r="C404" s="4">
        <v>72.680000000000007</v>
      </c>
      <c r="D404" s="4">
        <v>72.739999999999995</v>
      </c>
      <c r="E404" s="4">
        <v>72.22</v>
      </c>
      <c r="F404" s="4" t="s">
        <v>216</v>
      </c>
      <c r="G404" s="2" t="s">
        <v>682</v>
      </c>
      <c r="I404">
        <f t="shared" si="86"/>
        <v>72.872999999999976</v>
      </c>
      <c r="J404">
        <f t="shared" si="87"/>
        <v>72.585249999999974</v>
      </c>
      <c r="L404">
        <f t="shared" si="88"/>
        <v>0</v>
      </c>
      <c r="M404">
        <f t="shared" si="89"/>
        <v>1</v>
      </c>
      <c r="O404">
        <f t="shared" si="90"/>
        <v>0</v>
      </c>
      <c r="P404">
        <f t="shared" si="91"/>
        <v>0.25</v>
      </c>
      <c r="R404">
        <f t="shared" si="92"/>
        <v>0.33888888888888702</v>
      </c>
      <c r="S404">
        <f t="shared" si="93"/>
        <v>0.81000000000000227</v>
      </c>
      <c r="U404">
        <f t="shared" si="94"/>
        <v>29.497098646034644</v>
      </c>
      <c r="V404">
        <v>86</v>
      </c>
      <c r="W404">
        <v>5</v>
      </c>
      <c r="AH404">
        <f t="shared" si="95"/>
        <v>2.1279565950228703</v>
      </c>
      <c r="AI404">
        <f t="shared" si="96"/>
        <v>66.491499016977045</v>
      </c>
      <c r="AJ404">
        <f t="shared" si="97"/>
        <v>79.254500983022908</v>
      </c>
      <c r="AL404">
        <f t="shared" si="98"/>
        <v>77.128913190045722</v>
      </c>
      <c r="AM404">
        <f t="shared" si="99"/>
        <v>68.61708680995423</v>
      </c>
    </row>
    <row r="405" spans="1:39" ht="16.5" x14ac:dyDescent="0.25">
      <c r="A405" s="1">
        <v>45120</v>
      </c>
      <c r="B405" s="5">
        <v>72.8</v>
      </c>
      <c r="C405" s="4">
        <v>72.44</v>
      </c>
      <c r="D405" s="4">
        <v>73.05</v>
      </c>
      <c r="E405" s="4">
        <v>71.94</v>
      </c>
      <c r="F405" s="4" t="s">
        <v>349</v>
      </c>
      <c r="G405" s="2" t="s">
        <v>450</v>
      </c>
      <c r="I405">
        <f t="shared" si="86"/>
        <v>73.056499999999986</v>
      </c>
      <c r="J405">
        <f t="shared" si="87"/>
        <v>72.553999999999974</v>
      </c>
      <c r="L405">
        <f t="shared" si="88"/>
        <v>1</v>
      </c>
      <c r="M405">
        <f t="shared" si="89"/>
        <v>0</v>
      </c>
      <c r="O405">
        <f t="shared" si="90"/>
        <v>0.35999999999999943</v>
      </c>
      <c r="P405">
        <f t="shared" si="91"/>
        <v>0</v>
      </c>
      <c r="R405">
        <f t="shared" si="92"/>
        <v>0.33888888888888702</v>
      </c>
      <c r="S405">
        <f t="shared" si="93"/>
        <v>0.8120000000000005</v>
      </c>
      <c r="U405">
        <f t="shared" si="94"/>
        <v>29.445838965051038</v>
      </c>
      <c r="V405">
        <v>86</v>
      </c>
      <c r="W405">
        <v>5</v>
      </c>
      <c r="AH405">
        <f t="shared" si="95"/>
        <v>2.1272301117436663</v>
      </c>
      <c r="AI405">
        <f t="shared" si="96"/>
        <v>66.674999016977054</v>
      </c>
      <c r="AJ405">
        <f t="shared" si="97"/>
        <v>79.438000983022917</v>
      </c>
      <c r="AL405">
        <f t="shared" si="98"/>
        <v>77.310960223487314</v>
      </c>
      <c r="AM405">
        <f t="shared" si="99"/>
        <v>68.802039776512657</v>
      </c>
    </row>
    <row r="406" spans="1:39" ht="16.5" x14ac:dyDescent="0.25">
      <c r="A406" s="1">
        <v>45119</v>
      </c>
      <c r="B406" s="5">
        <v>72.61</v>
      </c>
      <c r="C406" s="4">
        <v>72.540000000000006</v>
      </c>
      <c r="D406" s="4">
        <v>72.739999999999995</v>
      </c>
      <c r="E406" s="4">
        <v>71.94</v>
      </c>
      <c r="F406" s="4" t="s">
        <v>1510</v>
      </c>
      <c r="G406" s="2" t="s">
        <v>245</v>
      </c>
      <c r="I406">
        <f t="shared" si="86"/>
        <v>73.175499999999985</v>
      </c>
      <c r="J406">
        <f t="shared" si="87"/>
        <v>72.496499999999983</v>
      </c>
      <c r="L406">
        <f t="shared" si="88"/>
        <v>1</v>
      </c>
      <c r="M406">
        <f t="shared" si="89"/>
        <v>0</v>
      </c>
      <c r="O406">
        <f t="shared" si="90"/>
        <v>6.9999999999993179E-2</v>
      </c>
      <c r="P406">
        <f t="shared" si="91"/>
        <v>0</v>
      </c>
      <c r="R406">
        <f t="shared" si="92"/>
        <v>0.33624999999999794</v>
      </c>
      <c r="S406">
        <f t="shared" si="93"/>
        <v>0.77333333333333343</v>
      </c>
      <c r="U406">
        <f t="shared" si="94"/>
        <v>30.304168231317931</v>
      </c>
      <c r="V406">
        <v>86</v>
      </c>
      <c r="W406">
        <v>5</v>
      </c>
      <c r="AH406">
        <f t="shared" si="95"/>
        <v>2.1247312476500988</v>
      </c>
      <c r="AI406">
        <f t="shared" si="96"/>
        <v>66.793999016977054</v>
      </c>
      <c r="AJ406">
        <f t="shared" si="97"/>
        <v>79.557000983022917</v>
      </c>
      <c r="AL406">
        <f t="shared" si="98"/>
        <v>77.424962495300178</v>
      </c>
      <c r="AM406">
        <f t="shared" si="99"/>
        <v>68.926037504699792</v>
      </c>
    </row>
    <row r="407" spans="1:39" ht="16.5" x14ac:dyDescent="0.25">
      <c r="A407" s="1">
        <v>45118</v>
      </c>
      <c r="B407" s="5">
        <v>72.38</v>
      </c>
      <c r="C407" s="4">
        <v>72.290000000000006</v>
      </c>
      <c r="D407" s="4">
        <v>72.42</v>
      </c>
      <c r="E407" s="4">
        <v>71.45</v>
      </c>
      <c r="F407" s="4" t="s">
        <v>132</v>
      </c>
      <c r="G407" s="2" t="s">
        <v>825</v>
      </c>
      <c r="I407">
        <f t="shared" si="86"/>
        <v>73.312499999999986</v>
      </c>
      <c r="J407">
        <f t="shared" si="87"/>
        <v>72.390749999999983</v>
      </c>
      <c r="L407">
        <f t="shared" si="88"/>
        <v>1</v>
      </c>
      <c r="M407">
        <f t="shared" si="89"/>
        <v>0</v>
      </c>
      <c r="O407">
        <f t="shared" si="90"/>
        <v>8.99999999999892E-2</v>
      </c>
      <c r="P407">
        <f t="shared" si="91"/>
        <v>0</v>
      </c>
      <c r="R407">
        <f t="shared" si="92"/>
        <v>0.37428571428571289</v>
      </c>
      <c r="S407">
        <f t="shared" si="93"/>
        <v>0.74714285714285766</v>
      </c>
      <c r="U407">
        <f t="shared" si="94"/>
        <v>33.375796178343847</v>
      </c>
      <c r="V407">
        <v>86</v>
      </c>
      <c r="W407">
        <v>5</v>
      </c>
      <c r="AH407">
        <f t="shared" si="95"/>
        <v>2.1208764188787756</v>
      </c>
      <c r="AI407">
        <f t="shared" si="96"/>
        <v>66.930999016977054</v>
      </c>
      <c r="AJ407">
        <f t="shared" si="97"/>
        <v>79.694000983022917</v>
      </c>
      <c r="AL407">
        <f t="shared" si="98"/>
        <v>77.554252837757531</v>
      </c>
      <c r="AM407">
        <f t="shared" si="99"/>
        <v>69.070747162242441</v>
      </c>
    </row>
    <row r="408" spans="1:39" ht="16.5" x14ac:dyDescent="0.25">
      <c r="A408" s="1">
        <v>45117</v>
      </c>
      <c r="B408" s="5">
        <v>71.91</v>
      </c>
      <c r="C408" s="4">
        <v>71.86</v>
      </c>
      <c r="D408" s="4">
        <v>72.430000000000007</v>
      </c>
      <c r="E408" s="4">
        <v>71.06</v>
      </c>
      <c r="F408" s="4" t="s">
        <v>521</v>
      </c>
      <c r="G408" s="2" t="s">
        <v>553</v>
      </c>
      <c r="I408">
        <f t="shared" si="86"/>
        <v>73.412499999999994</v>
      </c>
      <c r="J408">
        <f t="shared" si="87"/>
        <v>72.266249999999999</v>
      </c>
      <c r="L408">
        <f t="shared" si="88"/>
        <v>1</v>
      </c>
      <c r="M408">
        <f t="shared" si="89"/>
        <v>0</v>
      </c>
      <c r="O408">
        <f t="shared" si="90"/>
        <v>4.9999999999997158E-2</v>
      </c>
      <c r="P408">
        <f t="shared" si="91"/>
        <v>0</v>
      </c>
      <c r="R408">
        <f t="shared" si="92"/>
        <v>0.42166666666666686</v>
      </c>
      <c r="S408">
        <f t="shared" si="93"/>
        <v>0.81125000000000114</v>
      </c>
      <c r="U408">
        <f t="shared" si="94"/>
        <v>34.200743494423776</v>
      </c>
      <c r="V408">
        <v>86</v>
      </c>
      <c r="W408">
        <v>5</v>
      </c>
      <c r="AH408">
        <f t="shared" si="95"/>
        <v>2.115349907773687</v>
      </c>
      <c r="AI408">
        <f t="shared" si="96"/>
        <v>67.030999016977063</v>
      </c>
      <c r="AJ408">
        <f t="shared" si="97"/>
        <v>79.794000983022926</v>
      </c>
      <c r="AL408">
        <f t="shared" si="98"/>
        <v>77.643199815547362</v>
      </c>
      <c r="AM408">
        <f t="shared" si="99"/>
        <v>69.181800184452626</v>
      </c>
    </row>
    <row r="409" spans="1:39" ht="16.5" x14ac:dyDescent="0.25">
      <c r="A409" s="1">
        <v>45114</v>
      </c>
      <c r="B409" s="5">
        <v>71.95</v>
      </c>
      <c r="C409" s="4">
        <v>71.349999999999994</v>
      </c>
      <c r="D409" s="4">
        <v>71.95</v>
      </c>
      <c r="E409" s="4">
        <v>70.88</v>
      </c>
      <c r="F409" s="4" t="s">
        <v>349</v>
      </c>
      <c r="G409" s="2" t="s">
        <v>516</v>
      </c>
      <c r="I409">
        <f t="shared" si="86"/>
        <v>73.496999999999986</v>
      </c>
      <c r="J409">
        <f t="shared" si="87"/>
        <v>72.168499999999995</v>
      </c>
      <c r="L409">
        <f t="shared" si="88"/>
        <v>1</v>
      </c>
      <c r="M409">
        <f t="shared" si="89"/>
        <v>0</v>
      </c>
      <c r="O409">
        <f t="shared" si="90"/>
        <v>0.60000000000000853</v>
      </c>
      <c r="P409">
        <f t="shared" si="91"/>
        <v>0</v>
      </c>
      <c r="R409">
        <f t="shared" si="92"/>
        <v>0.49600000000000077</v>
      </c>
      <c r="S409">
        <f t="shared" si="93"/>
        <v>0.73666666666666769</v>
      </c>
      <c r="U409">
        <f t="shared" si="94"/>
        <v>40.237966468361286</v>
      </c>
      <c r="V409">
        <v>86</v>
      </c>
      <c r="W409">
        <v>5</v>
      </c>
      <c r="AH409">
        <f t="shared" si="95"/>
        <v>2.1083967592806774</v>
      </c>
      <c r="AI409">
        <f t="shared" si="96"/>
        <v>67.115499016977054</v>
      </c>
      <c r="AJ409">
        <f t="shared" si="97"/>
        <v>79.878500983022917</v>
      </c>
      <c r="AL409">
        <f t="shared" si="98"/>
        <v>77.713793518561346</v>
      </c>
      <c r="AM409">
        <f t="shared" si="99"/>
        <v>69.280206481438626</v>
      </c>
    </row>
    <row r="410" spans="1:39" ht="16.5" x14ac:dyDescent="0.25">
      <c r="A410" s="1">
        <v>45113</v>
      </c>
      <c r="B410" s="5">
        <v>71.42</v>
      </c>
      <c r="C410" s="4">
        <v>73.290000000000006</v>
      </c>
      <c r="D410" s="4">
        <v>73.33</v>
      </c>
      <c r="E410" s="4">
        <v>71.03</v>
      </c>
      <c r="F410" s="4" t="s">
        <v>930</v>
      </c>
      <c r="G410" s="2" t="s">
        <v>1574</v>
      </c>
      <c r="I410">
        <f t="shared" si="86"/>
        <v>73.529499999999985</v>
      </c>
      <c r="J410">
        <f t="shared" si="87"/>
        <v>72.066249999999997</v>
      </c>
      <c r="L410">
        <f t="shared" si="88"/>
        <v>0</v>
      </c>
      <c r="M410">
        <f t="shared" si="89"/>
        <v>1</v>
      </c>
      <c r="O410">
        <f t="shared" si="90"/>
        <v>0</v>
      </c>
      <c r="P410">
        <f t="shared" si="91"/>
        <v>1.8700000000000045</v>
      </c>
      <c r="R410">
        <f t="shared" si="92"/>
        <v>0.46999999999999886</v>
      </c>
      <c r="S410">
        <f t="shared" si="93"/>
        <v>0.67199999999999993</v>
      </c>
      <c r="U410">
        <f t="shared" si="94"/>
        <v>41.155866900175077</v>
      </c>
      <c r="V410">
        <v>86</v>
      </c>
      <c r="W410">
        <v>5</v>
      </c>
      <c r="AH410">
        <f t="shared" si="95"/>
        <v>2.1000758545651736</v>
      </c>
      <c r="AI410">
        <f t="shared" si="96"/>
        <v>67.147999016977053</v>
      </c>
      <c r="AJ410">
        <f t="shared" si="97"/>
        <v>79.911000983022916</v>
      </c>
      <c r="AL410">
        <f t="shared" si="98"/>
        <v>77.729651709130337</v>
      </c>
      <c r="AM410">
        <f t="shared" si="99"/>
        <v>69.329348290869632</v>
      </c>
    </row>
    <row r="411" spans="1:39" ht="16.5" x14ac:dyDescent="0.25">
      <c r="A411" s="1">
        <v>45112</v>
      </c>
      <c r="B411" s="5">
        <v>73.569999999999993</v>
      </c>
      <c r="C411" s="4">
        <v>72.2</v>
      </c>
      <c r="D411" s="4">
        <v>73.599999999999994</v>
      </c>
      <c r="E411" s="4">
        <v>71.95</v>
      </c>
      <c r="F411" s="4" t="s">
        <v>1378</v>
      </c>
      <c r="G411" s="2" t="s">
        <v>61</v>
      </c>
      <c r="I411">
        <f t="shared" si="86"/>
        <v>73.608499999999978</v>
      </c>
      <c r="J411">
        <f t="shared" si="87"/>
        <v>71.974999999999994</v>
      </c>
      <c r="L411">
        <f t="shared" si="88"/>
        <v>1</v>
      </c>
      <c r="M411">
        <f t="shared" si="89"/>
        <v>0</v>
      </c>
      <c r="O411">
        <f t="shared" si="90"/>
        <v>1.3699999999999903</v>
      </c>
      <c r="P411">
        <f t="shared" si="91"/>
        <v>0</v>
      </c>
      <c r="R411">
        <f t="shared" si="92"/>
        <v>0.56999999999999884</v>
      </c>
      <c r="S411">
        <f t="shared" si="93"/>
        <v>0.53888888888888831</v>
      </c>
      <c r="U411">
        <f t="shared" si="94"/>
        <v>51.402805611222419</v>
      </c>
      <c r="V411">
        <v>86</v>
      </c>
      <c r="W411">
        <v>5</v>
      </c>
      <c r="AH411">
        <f t="shared" si="95"/>
        <v>2.09090793236102</v>
      </c>
      <c r="AI411">
        <f t="shared" si="96"/>
        <v>67.226999016977047</v>
      </c>
      <c r="AJ411">
        <f t="shared" si="97"/>
        <v>79.99000098302291</v>
      </c>
      <c r="AL411">
        <f t="shared" si="98"/>
        <v>77.790315864722018</v>
      </c>
      <c r="AM411">
        <f t="shared" si="99"/>
        <v>69.426684135277938</v>
      </c>
    </row>
    <row r="412" spans="1:39" ht="16.5" x14ac:dyDescent="0.25">
      <c r="A412" s="1">
        <v>45111</v>
      </c>
      <c r="B412" s="5">
        <v>72.75</v>
      </c>
      <c r="C412" s="4">
        <v>74</v>
      </c>
      <c r="D412" s="4">
        <v>74</v>
      </c>
      <c r="E412" s="4">
        <v>71.89</v>
      </c>
      <c r="F412" s="4" t="s">
        <v>202</v>
      </c>
      <c r="G412" s="2" t="s">
        <v>76</v>
      </c>
      <c r="I412">
        <f t="shared" si="86"/>
        <v>73.5535</v>
      </c>
      <c r="J412">
        <f t="shared" si="87"/>
        <v>71.827250000000021</v>
      </c>
      <c r="L412">
        <f t="shared" si="88"/>
        <v>0</v>
      </c>
      <c r="M412">
        <f t="shared" si="89"/>
        <v>1</v>
      </c>
      <c r="O412">
        <f t="shared" si="90"/>
        <v>0</v>
      </c>
      <c r="P412">
        <f t="shared" si="91"/>
        <v>1.25</v>
      </c>
      <c r="R412">
        <f t="shared" si="92"/>
        <v>0.30000000000000282</v>
      </c>
      <c r="S412">
        <f t="shared" si="93"/>
        <v>0.53888888888888831</v>
      </c>
      <c r="U412">
        <f t="shared" si="94"/>
        <v>35.761589403973744</v>
      </c>
      <c r="V412">
        <v>86</v>
      </c>
      <c r="W412">
        <v>5</v>
      </c>
      <c r="AH412">
        <f t="shared" si="95"/>
        <v>2.0802580655202134</v>
      </c>
      <c r="AI412">
        <f t="shared" si="96"/>
        <v>67.171999016977068</v>
      </c>
      <c r="AJ412">
        <f t="shared" si="97"/>
        <v>79.935000983022931</v>
      </c>
      <c r="AL412">
        <f t="shared" si="98"/>
        <v>77.714016131040424</v>
      </c>
      <c r="AM412">
        <f t="shared" si="99"/>
        <v>69.392983868959575</v>
      </c>
    </row>
    <row r="413" spans="1:39" ht="16.5" x14ac:dyDescent="0.25">
      <c r="A413" s="1">
        <v>45110</v>
      </c>
      <c r="B413" s="5">
        <v>73.62</v>
      </c>
      <c r="C413" s="4">
        <v>73.95</v>
      </c>
      <c r="D413" s="4">
        <v>74.47</v>
      </c>
      <c r="E413" s="4">
        <v>73.39</v>
      </c>
      <c r="F413" s="4" t="s">
        <v>195</v>
      </c>
      <c r="G413" s="2" t="s">
        <v>241</v>
      </c>
      <c r="I413">
        <f t="shared" si="86"/>
        <v>73.517499999999998</v>
      </c>
      <c r="J413">
        <f t="shared" si="87"/>
        <v>71.687250000000006</v>
      </c>
      <c r="L413">
        <f t="shared" si="88"/>
        <v>0</v>
      </c>
      <c r="M413">
        <f t="shared" si="89"/>
        <v>1</v>
      </c>
      <c r="O413">
        <f t="shared" si="90"/>
        <v>0</v>
      </c>
      <c r="P413">
        <f t="shared" si="91"/>
        <v>0.32999999999999829</v>
      </c>
      <c r="R413">
        <f t="shared" si="92"/>
        <v>0.39333333333333559</v>
      </c>
      <c r="S413">
        <f t="shared" si="93"/>
        <v>0.44999999999999929</v>
      </c>
      <c r="U413">
        <f t="shared" si="94"/>
        <v>46.640316205533779</v>
      </c>
      <c r="V413">
        <v>86</v>
      </c>
      <c r="W413">
        <v>5</v>
      </c>
      <c r="AH413">
        <f t="shared" si="95"/>
        <v>2.0697416333625114</v>
      </c>
      <c r="AI413">
        <f t="shared" si="96"/>
        <v>67.135999016977067</v>
      </c>
      <c r="AJ413">
        <f t="shared" si="97"/>
        <v>79.89900098302293</v>
      </c>
      <c r="AL413">
        <f t="shared" si="98"/>
        <v>77.656983266725021</v>
      </c>
      <c r="AM413">
        <f t="shared" si="99"/>
        <v>69.378016733274976</v>
      </c>
    </row>
    <row r="414" spans="1:39" ht="16.5" x14ac:dyDescent="0.25">
      <c r="A414" s="1">
        <v>45107</v>
      </c>
      <c r="B414" s="5">
        <v>73.67</v>
      </c>
      <c r="C414" s="4">
        <v>73.5</v>
      </c>
      <c r="D414" s="4">
        <v>73.92</v>
      </c>
      <c r="E414" s="4">
        <v>72.98</v>
      </c>
      <c r="F414" s="4" t="s">
        <v>1575</v>
      </c>
      <c r="G414" s="2" t="s">
        <v>94</v>
      </c>
      <c r="I414">
        <f t="shared" si="86"/>
        <v>73.438499999999991</v>
      </c>
      <c r="J414">
        <f t="shared" si="87"/>
        <v>71.513750000000002</v>
      </c>
      <c r="L414">
        <f t="shared" si="88"/>
        <v>1</v>
      </c>
      <c r="M414">
        <f t="shared" si="89"/>
        <v>0</v>
      </c>
      <c r="O414">
        <f t="shared" si="90"/>
        <v>0.17000000000000171</v>
      </c>
      <c r="P414">
        <f t="shared" si="91"/>
        <v>0</v>
      </c>
      <c r="R414">
        <f t="shared" si="92"/>
        <v>0.3928571428571449</v>
      </c>
      <c r="S414">
        <f t="shared" si="93"/>
        <v>0.46714285714285658</v>
      </c>
      <c r="U414">
        <f t="shared" si="94"/>
        <v>45.681063122923746</v>
      </c>
      <c r="V414">
        <v>86</v>
      </c>
      <c r="W414">
        <v>5</v>
      </c>
      <c r="AH414">
        <f t="shared" si="95"/>
        <v>2.0591201138598314</v>
      </c>
      <c r="AI414">
        <f t="shared" si="96"/>
        <v>67.056999016977059</v>
      </c>
      <c r="AJ414">
        <f t="shared" si="97"/>
        <v>79.820000983022922</v>
      </c>
      <c r="AL414">
        <f t="shared" si="98"/>
        <v>77.556740227719658</v>
      </c>
      <c r="AM414">
        <f t="shared" si="99"/>
        <v>69.320259772280323</v>
      </c>
    </row>
    <row r="415" spans="1:39" ht="16.5" x14ac:dyDescent="0.25">
      <c r="A415" s="1">
        <v>45106</v>
      </c>
      <c r="B415" s="5">
        <v>72.98</v>
      </c>
      <c r="C415" s="4">
        <v>72.900000000000006</v>
      </c>
      <c r="D415" s="4">
        <v>73.44</v>
      </c>
      <c r="E415" s="4">
        <v>72.73</v>
      </c>
      <c r="F415" s="4" t="s">
        <v>48</v>
      </c>
      <c r="G415" s="2" t="s">
        <v>104</v>
      </c>
      <c r="I415">
        <f t="shared" si="86"/>
        <v>73.36699999999999</v>
      </c>
      <c r="J415">
        <f t="shared" si="87"/>
        <v>71.338999999999999</v>
      </c>
      <c r="L415">
        <f t="shared" si="88"/>
        <v>1</v>
      </c>
      <c r="M415">
        <f t="shared" si="89"/>
        <v>0</v>
      </c>
      <c r="O415">
        <f t="shared" si="90"/>
        <v>7.9999999999998295E-2</v>
      </c>
      <c r="P415">
        <f t="shared" si="91"/>
        <v>0</v>
      </c>
      <c r="R415">
        <f t="shared" si="92"/>
        <v>0.45428571428571524</v>
      </c>
      <c r="S415">
        <f t="shared" si="93"/>
        <v>0.46714285714285658</v>
      </c>
      <c r="U415">
        <f t="shared" si="94"/>
        <v>49.302325581395429</v>
      </c>
      <c r="V415">
        <v>86</v>
      </c>
      <c r="W415">
        <v>5</v>
      </c>
      <c r="AH415">
        <f t="shared" si="95"/>
        <v>2.0489402017410359</v>
      </c>
      <c r="AI415">
        <f t="shared" si="96"/>
        <v>66.985499016977059</v>
      </c>
      <c r="AJ415">
        <f t="shared" si="97"/>
        <v>79.748500983022922</v>
      </c>
      <c r="AL415">
        <f t="shared" si="98"/>
        <v>77.464880403482056</v>
      </c>
      <c r="AM415">
        <f t="shared" si="99"/>
        <v>69.269119596517925</v>
      </c>
    </row>
    <row r="416" spans="1:39" ht="16.5" x14ac:dyDescent="0.25">
      <c r="A416" s="1">
        <v>45105</v>
      </c>
      <c r="B416" s="5">
        <v>72.540000000000006</v>
      </c>
      <c r="C416" s="4">
        <v>72.28</v>
      </c>
      <c r="D416" s="4">
        <v>72.760000000000005</v>
      </c>
      <c r="E416" s="4">
        <v>71.86</v>
      </c>
      <c r="F416" s="4" t="s">
        <v>195</v>
      </c>
      <c r="G416" s="2" t="s">
        <v>477</v>
      </c>
      <c r="I416">
        <f t="shared" si="86"/>
        <v>73.246000000000009</v>
      </c>
      <c r="J416">
        <f t="shared" si="87"/>
        <v>71.141000000000005</v>
      </c>
      <c r="L416">
        <f t="shared" si="88"/>
        <v>1</v>
      </c>
      <c r="M416">
        <f t="shared" si="89"/>
        <v>0</v>
      </c>
      <c r="O416">
        <f t="shared" si="90"/>
        <v>0.26000000000000512</v>
      </c>
      <c r="P416">
        <f t="shared" si="91"/>
        <v>0</v>
      </c>
      <c r="R416">
        <f t="shared" si="92"/>
        <v>0.51666666666666805</v>
      </c>
      <c r="S416">
        <f t="shared" si="93"/>
        <v>0.46749999999999936</v>
      </c>
      <c r="U416">
        <f t="shared" si="94"/>
        <v>52.497883149873097</v>
      </c>
      <c r="V416">
        <v>86</v>
      </c>
      <c r="W416">
        <v>5</v>
      </c>
      <c r="AH416">
        <f t="shared" si="95"/>
        <v>2.039117174118076</v>
      </c>
      <c r="AI416">
        <f t="shared" si="96"/>
        <v>66.864499016977078</v>
      </c>
      <c r="AJ416">
        <f t="shared" si="97"/>
        <v>79.627500983022941</v>
      </c>
      <c r="AL416">
        <f t="shared" si="98"/>
        <v>77.32423434823616</v>
      </c>
      <c r="AM416">
        <f t="shared" si="99"/>
        <v>69.167765651763858</v>
      </c>
    </row>
    <row r="417" spans="1:39" ht="16.5" x14ac:dyDescent="0.25">
      <c r="A417" s="1">
        <v>45104</v>
      </c>
      <c r="B417" s="5">
        <v>71.83</v>
      </c>
      <c r="C417" s="4">
        <v>72.180000000000007</v>
      </c>
      <c r="D417" s="4">
        <v>72.38</v>
      </c>
      <c r="E417" s="4">
        <v>71.27</v>
      </c>
      <c r="F417" s="4" t="s">
        <v>683</v>
      </c>
      <c r="G417" s="2" t="s">
        <v>69</v>
      </c>
      <c r="I417">
        <f t="shared" si="86"/>
        <v>73.107500000000002</v>
      </c>
      <c r="J417">
        <f t="shared" si="87"/>
        <v>71.083750000000009</v>
      </c>
      <c r="L417">
        <f t="shared" si="88"/>
        <v>0</v>
      </c>
      <c r="M417">
        <f t="shared" si="89"/>
        <v>1</v>
      </c>
      <c r="O417">
        <f t="shared" si="90"/>
        <v>0</v>
      </c>
      <c r="P417">
        <f t="shared" si="91"/>
        <v>0.35000000000000853</v>
      </c>
      <c r="R417">
        <f t="shared" si="92"/>
        <v>0.55999999999999994</v>
      </c>
      <c r="S417">
        <f t="shared" si="93"/>
        <v>0.46749999999999936</v>
      </c>
      <c r="U417">
        <f t="shared" si="94"/>
        <v>54.501216545012191</v>
      </c>
      <c r="V417">
        <v>86</v>
      </c>
      <c r="W417">
        <v>5</v>
      </c>
      <c r="AH417">
        <f t="shared" si="95"/>
        <v>2.0302827267943089</v>
      </c>
      <c r="AI417">
        <f t="shared" si="96"/>
        <v>66.72599901697707</v>
      </c>
      <c r="AJ417">
        <f t="shared" si="97"/>
        <v>79.489000983022933</v>
      </c>
      <c r="AL417">
        <f t="shared" si="98"/>
        <v>77.168065453588625</v>
      </c>
      <c r="AM417">
        <f t="shared" si="99"/>
        <v>69.046934546411379</v>
      </c>
    </row>
    <row r="418" spans="1:39" ht="16.5" x14ac:dyDescent="0.25">
      <c r="A418" s="1">
        <v>45103</v>
      </c>
      <c r="B418" s="5">
        <v>71.98</v>
      </c>
      <c r="C418" s="4">
        <v>72.239999999999995</v>
      </c>
      <c r="D418" s="4">
        <v>72.31</v>
      </c>
      <c r="E418" s="4">
        <v>70.58</v>
      </c>
      <c r="F418" s="4" t="s">
        <v>1462</v>
      </c>
      <c r="G418" s="2" t="s">
        <v>241</v>
      </c>
      <c r="I418">
        <f t="shared" si="86"/>
        <v>73.075999999999993</v>
      </c>
      <c r="J418">
        <f t="shared" si="87"/>
        <v>71.027000000000001</v>
      </c>
      <c r="L418">
        <f t="shared" si="88"/>
        <v>0</v>
      </c>
      <c r="M418">
        <f t="shared" si="89"/>
        <v>1</v>
      </c>
      <c r="O418">
        <f t="shared" si="90"/>
        <v>0</v>
      </c>
      <c r="P418">
        <f t="shared" si="91"/>
        <v>0.25999999999999091</v>
      </c>
      <c r="R418">
        <f t="shared" si="92"/>
        <v>0.53428571428571359</v>
      </c>
      <c r="S418">
        <f t="shared" si="93"/>
        <v>0.48428571428571232</v>
      </c>
      <c r="U418">
        <f t="shared" si="94"/>
        <v>52.454417952314238</v>
      </c>
      <c r="V418">
        <v>86</v>
      </c>
      <c r="W418">
        <v>5</v>
      </c>
      <c r="AH418">
        <f t="shared" si="95"/>
        <v>2.0226576338530671</v>
      </c>
      <c r="AI418">
        <f t="shared" si="96"/>
        <v>66.694499016977062</v>
      </c>
      <c r="AJ418">
        <f t="shared" si="97"/>
        <v>79.457500983022925</v>
      </c>
      <c r="AL418">
        <f t="shared" si="98"/>
        <v>77.121315267706123</v>
      </c>
      <c r="AM418">
        <f t="shared" si="99"/>
        <v>69.030684732293864</v>
      </c>
    </row>
    <row r="419" spans="1:39" ht="16.5" x14ac:dyDescent="0.25">
      <c r="A419" s="1">
        <v>45100</v>
      </c>
      <c r="B419" s="5">
        <v>72.03</v>
      </c>
      <c r="C419" s="4">
        <v>72.61</v>
      </c>
      <c r="D419" s="4">
        <v>72.61</v>
      </c>
      <c r="E419" s="4">
        <v>71.319999999999993</v>
      </c>
      <c r="F419" s="4" t="s">
        <v>1381</v>
      </c>
      <c r="G419" s="2" t="s">
        <v>647</v>
      </c>
      <c r="I419">
        <f t="shared" si="86"/>
        <v>73.034999999999997</v>
      </c>
      <c r="J419">
        <f t="shared" si="87"/>
        <v>70.99199999999999</v>
      </c>
      <c r="L419">
        <f t="shared" si="88"/>
        <v>0</v>
      </c>
      <c r="M419">
        <f t="shared" si="89"/>
        <v>1</v>
      </c>
      <c r="O419">
        <f t="shared" si="90"/>
        <v>0</v>
      </c>
      <c r="P419">
        <f t="shared" si="91"/>
        <v>0.57999999999999829</v>
      </c>
      <c r="R419">
        <f t="shared" si="92"/>
        <v>0.47499999999999964</v>
      </c>
      <c r="S419">
        <f t="shared" si="93"/>
        <v>0.52166666666666595</v>
      </c>
      <c r="U419">
        <f t="shared" si="94"/>
        <v>47.658862876254197</v>
      </c>
      <c r="V419">
        <v>86</v>
      </c>
      <c r="W419">
        <v>5</v>
      </c>
      <c r="AH419">
        <f t="shared" si="95"/>
        <v>2.0149562148435125</v>
      </c>
      <c r="AI419">
        <f t="shared" si="96"/>
        <v>66.653499016977065</v>
      </c>
      <c r="AJ419">
        <f t="shared" si="97"/>
        <v>79.416500983022928</v>
      </c>
      <c r="AL419">
        <f t="shared" si="98"/>
        <v>77.064912429687027</v>
      </c>
      <c r="AM419">
        <f t="shared" si="99"/>
        <v>69.005087570312966</v>
      </c>
    </row>
    <row r="420" spans="1:39" ht="16.5" x14ac:dyDescent="0.25">
      <c r="A420" s="1">
        <v>45099</v>
      </c>
      <c r="B420" s="5">
        <v>72.349999999999994</v>
      </c>
      <c r="C420" s="4">
        <v>72.94</v>
      </c>
      <c r="D420" s="4">
        <v>72.97</v>
      </c>
      <c r="E420" s="4">
        <v>71.95</v>
      </c>
      <c r="F420" s="4" t="s">
        <v>1416</v>
      </c>
      <c r="G420" s="2" t="s">
        <v>1218</v>
      </c>
      <c r="I420">
        <f t="shared" si="86"/>
        <v>73.005500000000012</v>
      </c>
      <c r="J420">
        <f t="shared" si="87"/>
        <v>70.942750000000004</v>
      </c>
      <c r="L420">
        <f t="shared" si="88"/>
        <v>0</v>
      </c>
      <c r="M420">
        <f t="shared" si="89"/>
        <v>1</v>
      </c>
      <c r="O420">
        <f t="shared" si="90"/>
        <v>0</v>
      </c>
      <c r="P420">
        <f t="shared" si="91"/>
        <v>0.59000000000000341</v>
      </c>
      <c r="R420">
        <f t="shared" si="92"/>
        <v>0.47499999999999964</v>
      </c>
      <c r="S420">
        <f t="shared" si="93"/>
        <v>0.46833333333333133</v>
      </c>
      <c r="U420">
        <f t="shared" si="94"/>
        <v>50.353356890459452</v>
      </c>
      <c r="V420">
        <v>86</v>
      </c>
      <c r="W420">
        <v>5</v>
      </c>
      <c r="AH420">
        <f t="shared" si="95"/>
        <v>2.0072915722027047</v>
      </c>
      <c r="AI420">
        <f t="shared" si="96"/>
        <v>66.623999016977081</v>
      </c>
      <c r="AJ420">
        <f t="shared" si="97"/>
        <v>79.387000983022944</v>
      </c>
      <c r="AL420">
        <f t="shared" si="98"/>
        <v>77.020083144405419</v>
      </c>
      <c r="AM420">
        <f t="shared" si="99"/>
        <v>68.990916855594605</v>
      </c>
    </row>
    <row r="421" spans="1:39" ht="16.5" x14ac:dyDescent="0.25">
      <c r="A421" s="1">
        <v>45098</v>
      </c>
      <c r="B421" s="5">
        <v>74.05</v>
      </c>
      <c r="C421" s="4">
        <v>75.31</v>
      </c>
      <c r="D421" s="4">
        <v>75.59</v>
      </c>
      <c r="E421" s="4">
        <v>73.98</v>
      </c>
      <c r="F421" s="4" t="s">
        <v>1399</v>
      </c>
      <c r="G421" s="2" t="s">
        <v>570</v>
      </c>
      <c r="I421">
        <f t="shared" si="86"/>
        <v>72.900499999999994</v>
      </c>
      <c r="J421">
        <f t="shared" si="87"/>
        <v>70.885499999999993</v>
      </c>
      <c r="L421">
        <f t="shared" si="88"/>
        <v>0</v>
      </c>
      <c r="M421">
        <f t="shared" si="89"/>
        <v>1</v>
      </c>
      <c r="O421">
        <f t="shared" si="90"/>
        <v>0</v>
      </c>
      <c r="P421">
        <f t="shared" si="91"/>
        <v>1.2600000000000051</v>
      </c>
      <c r="R421">
        <f t="shared" si="92"/>
        <v>0.53222222222222137</v>
      </c>
      <c r="S421">
        <f t="shared" si="93"/>
        <v>0.44399999999999695</v>
      </c>
      <c r="U421">
        <f t="shared" si="94"/>
        <v>54.518552242203633</v>
      </c>
      <c r="V421">
        <v>86</v>
      </c>
      <c r="W421">
        <v>5</v>
      </c>
      <c r="AH421">
        <f t="shared" si="95"/>
        <v>1.9995207511999329</v>
      </c>
      <c r="AI421">
        <f t="shared" si="96"/>
        <v>66.518999016977062</v>
      </c>
      <c r="AJ421">
        <f t="shared" si="97"/>
        <v>79.282000983022925</v>
      </c>
      <c r="AL421">
        <f t="shared" si="98"/>
        <v>76.899541502399856</v>
      </c>
      <c r="AM421">
        <f t="shared" si="99"/>
        <v>68.901458497600132</v>
      </c>
    </row>
    <row r="422" spans="1:39" ht="16.5" x14ac:dyDescent="0.25">
      <c r="A422" s="1">
        <v>45097</v>
      </c>
      <c r="B422" s="5">
        <v>75.05</v>
      </c>
      <c r="C422" s="4">
        <v>75.19</v>
      </c>
      <c r="D422" s="4">
        <v>75.33</v>
      </c>
      <c r="E422" s="4">
        <v>74.239999999999995</v>
      </c>
      <c r="F422" s="4" t="s">
        <v>259</v>
      </c>
      <c r="G422" s="2" t="s">
        <v>392</v>
      </c>
      <c r="I422">
        <f t="shared" si="86"/>
        <v>72.694000000000017</v>
      </c>
      <c r="J422">
        <f t="shared" si="87"/>
        <v>70.77825</v>
      </c>
      <c r="L422">
        <f t="shared" si="88"/>
        <v>0</v>
      </c>
      <c r="M422">
        <f t="shared" si="89"/>
        <v>1</v>
      </c>
      <c r="O422">
        <f t="shared" si="90"/>
        <v>0</v>
      </c>
      <c r="P422">
        <f t="shared" si="91"/>
        <v>0.14000000000000057</v>
      </c>
      <c r="R422">
        <f t="shared" si="92"/>
        <v>0.50399999999999923</v>
      </c>
      <c r="S422">
        <f t="shared" si="93"/>
        <v>0.23999999999999488</v>
      </c>
      <c r="U422">
        <f t="shared" si="94"/>
        <v>67.741935483871401</v>
      </c>
      <c r="V422">
        <v>86</v>
      </c>
      <c r="W422">
        <v>5</v>
      </c>
      <c r="AH422">
        <f t="shared" si="95"/>
        <v>1.9925767248794086</v>
      </c>
      <c r="AI422">
        <f t="shared" si="96"/>
        <v>66.312499016977085</v>
      </c>
      <c r="AJ422">
        <f t="shared" si="97"/>
        <v>79.075500983022948</v>
      </c>
      <c r="AL422">
        <f t="shared" si="98"/>
        <v>76.679153449758829</v>
      </c>
      <c r="AM422">
        <f t="shared" si="99"/>
        <v>68.708846550241205</v>
      </c>
    </row>
    <row r="423" spans="1:39" ht="16.5" x14ac:dyDescent="0.25">
      <c r="A423" s="1">
        <v>45096</v>
      </c>
      <c r="B423" s="5">
        <v>75.540000000000006</v>
      </c>
      <c r="C423" s="4">
        <v>75.63</v>
      </c>
      <c r="D423" s="4">
        <v>75.930000000000007</v>
      </c>
      <c r="E423" s="4">
        <v>75.19</v>
      </c>
      <c r="F423" s="4" t="s">
        <v>189</v>
      </c>
      <c r="G423" s="2" t="s">
        <v>969</v>
      </c>
      <c r="I423">
        <f t="shared" si="86"/>
        <v>72.504500000000007</v>
      </c>
      <c r="J423">
        <f t="shared" si="87"/>
        <v>70.649249999999995</v>
      </c>
      <c r="L423">
        <f t="shared" si="88"/>
        <v>0</v>
      </c>
      <c r="M423">
        <f t="shared" si="89"/>
        <v>1</v>
      </c>
      <c r="O423">
        <f t="shared" si="90"/>
        <v>0</v>
      </c>
      <c r="P423">
        <f t="shared" si="91"/>
        <v>8.99999999999892E-2</v>
      </c>
      <c r="R423">
        <f t="shared" si="92"/>
        <v>0.50399999999999923</v>
      </c>
      <c r="S423">
        <f t="shared" si="93"/>
        <v>0.34999999999999432</v>
      </c>
      <c r="U423">
        <f t="shared" si="94"/>
        <v>59.016393442623311</v>
      </c>
      <c r="V423">
        <v>86</v>
      </c>
      <c r="W423">
        <v>5</v>
      </c>
      <c r="AH423">
        <f t="shared" si="95"/>
        <v>1.9876638166871392</v>
      </c>
      <c r="AI423">
        <f t="shared" si="96"/>
        <v>66.122999016977076</v>
      </c>
      <c r="AJ423">
        <f t="shared" si="97"/>
        <v>78.886000983022939</v>
      </c>
      <c r="AL423">
        <f t="shared" si="98"/>
        <v>76.479827633374285</v>
      </c>
      <c r="AM423">
        <f t="shared" si="99"/>
        <v>68.52917236662573</v>
      </c>
    </row>
    <row r="424" spans="1:39" ht="16.5" x14ac:dyDescent="0.25">
      <c r="A424" s="1">
        <v>45093</v>
      </c>
      <c r="B424" s="5">
        <v>76.099999999999994</v>
      </c>
      <c r="C424" s="4">
        <v>75.13</v>
      </c>
      <c r="D424" s="4">
        <v>76.099999999999994</v>
      </c>
      <c r="E424" s="4">
        <v>74.83</v>
      </c>
      <c r="F424" s="4" t="s">
        <v>1242</v>
      </c>
      <c r="G424" s="2" t="s">
        <v>158</v>
      </c>
      <c r="I424">
        <f t="shared" si="86"/>
        <v>72.297500000000014</v>
      </c>
      <c r="J424">
        <f t="shared" si="87"/>
        <v>70.491</v>
      </c>
      <c r="L424">
        <f t="shared" si="88"/>
        <v>1</v>
      </c>
      <c r="M424">
        <f t="shared" si="89"/>
        <v>0</v>
      </c>
      <c r="O424">
        <f t="shared" si="90"/>
        <v>0.96999999999999886</v>
      </c>
      <c r="P424">
        <f t="shared" si="91"/>
        <v>0</v>
      </c>
      <c r="R424">
        <f t="shared" si="92"/>
        <v>0.47000000000000014</v>
      </c>
      <c r="S424">
        <f t="shared" si="93"/>
        <v>0.43666666666666271</v>
      </c>
      <c r="U424">
        <f t="shared" si="94"/>
        <v>51.838235294117879</v>
      </c>
      <c r="V424">
        <v>86</v>
      </c>
      <c r="W424">
        <v>5</v>
      </c>
      <c r="AH424">
        <f t="shared" si="95"/>
        <v>1.9845283430424061</v>
      </c>
      <c r="AI424">
        <f t="shared" si="96"/>
        <v>65.915999016977082</v>
      </c>
      <c r="AJ424">
        <f t="shared" si="97"/>
        <v>78.679000983022945</v>
      </c>
      <c r="AL424">
        <f t="shared" si="98"/>
        <v>76.266556686084826</v>
      </c>
      <c r="AM424">
        <f t="shared" si="99"/>
        <v>68.328443313915201</v>
      </c>
    </row>
    <row r="425" spans="1:39" ht="16.5" x14ac:dyDescent="0.25">
      <c r="A425" s="1">
        <v>45092</v>
      </c>
      <c r="B425" s="5">
        <v>75.180000000000007</v>
      </c>
      <c r="C425" s="4">
        <v>75.16</v>
      </c>
      <c r="D425" s="4">
        <v>75.22</v>
      </c>
      <c r="E425" s="4">
        <v>74.55</v>
      </c>
      <c r="F425" s="4" t="s">
        <v>1384</v>
      </c>
      <c r="G425" s="2" t="s">
        <v>816</v>
      </c>
      <c r="I425">
        <f t="shared" si="86"/>
        <v>72.051500000000004</v>
      </c>
      <c r="J425">
        <f t="shared" si="87"/>
        <v>70.294250000000005</v>
      </c>
      <c r="L425">
        <f t="shared" si="88"/>
        <v>1</v>
      </c>
      <c r="M425">
        <f t="shared" si="89"/>
        <v>0</v>
      </c>
      <c r="O425">
        <f t="shared" si="90"/>
        <v>2.0000000000010232E-2</v>
      </c>
      <c r="P425">
        <f t="shared" si="91"/>
        <v>0</v>
      </c>
      <c r="R425">
        <f t="shared" si="92"/>
        <v>0.42000000000000026</v>
      </c>
      <c r="S425">
        <f t="shared" si="93"/>
        <v>0.41249999999999787</v>
      </c>
      <c r="U425">
        <f t="shared" si="94"/>
        <v>50.450450450450589</v>
      </c>
      <c r="V425">
        <v>86</v>
      </c>
      <c r="W425">
        <v>5</v>
      </c>
      <c r="AH425">
        <f t="shared" si="95"/>
        <v>1.98328681485554</v>
      </c>
      <c r="AI425">
        <f t="shared" si="96"/>
        <v>65.669999016977073</v>
      </c>
      <c r="AJ425">
        <f t="shared" si="97"/>
        <v>78.433000983022936</v>
      </c>
      <c r="AL425">
        <f t="shared" si="98"/>
        <v>76.018073629711083</v>
      </c>
      <c r="AM425">
        <f t="shared" si="99"/>
        <v>68.084926370288926</v>
      </c>
    </row>
    <row r="426" spans="1:39" ht="16.5" x14ac:dyDescent="0.25">
      <c r="A426" s="1">
        <v>45091</v>
      </c>
      <c r="B426" s="5">
        <v>75.349999999999994</v>
      </c>
      <c r="C426" s="4">
        <v>74.489999999999995</v>
      </c>
      <c r="D426" s="4">
        <v>75.849999999999994</v>
      </c>
      <c r="E426" s="4">
        <v>74.41</v>
      </c>
      <c r="F426" s="4" t="s">
        <v>1499</v>
      </c>
      <c r="G426" s="2" t="s">
        <v>285</v>
      </c>
      <c r="I426">
        <f t="shared" si="86"/>
        <v>71.81750000000001</v>
      </c>
      <c r="J426">
        <f t="shared" si="87"/>
        <v>70.180000000000007</v>
      </c>
      <c r="L426">
        <f t="shared" si="88"/>
        <v>1</v>
      </c>
      <c r="M426">
        <f t="shared" si="89"/>
        <v>0</v>
      </c>
      <c r="O426">
        <f t="shared" si="90"/>
        <v>0.85999999999999943</v>
      </c>
      <c r="P426">
        <f t="shared" si="91"/>
        <v>0</v>
      </c>
      <c r="R426">
        <f t="shared" si="92"/>
        <v>0.49199999999999877</v>
      </c>
      <c r="S426">
        <f t="shared" si="93"/>
        <v>0.41249999999999787</v>
      </c>
      <c r="U426">
        <f t="shared" si="94"/>
        <v>54.394693200663419</v>
      </c>
      <c r="V426">
        <v>86</v>
      </c>
      <c r="W426">
        <v>5</v>
      </c>
      <c r="AH426">
        <f t="shared" si="95"/>
        <v>1.9842024674583274</v>
      </c>
      <c r="AI426">
        <f t="shared" si="96"/>
        <v>65.435999016977078</v>
      </c>
      <c r="AJ426">
        <f t="shared" si="97"/>
        <v>78.199000983022941</v>
      </c>
      <c r="AL426">
        <f t="shared" si="98"/>
        <v>75.785904934916658</v>
      </c>
      <c r="AM426">
        <f t="shared" si="99"/>
        <v>67.849095065083361</v>
      </c>
    </row>
    <row r="427" spans="1:39" ht="16.5" x14ac:dyDescent="0.25">
      <c r="A427" s="1">
        <v>45090</v>
      </c>
      <c r="B427" s="5">
        <v>74.38</v>
      </c>
      <c r="C427" s="4">
        <v>73.989999999999995</v>
      </c>
      <c r="D427" s="4">
        <v>74.38</v>
      </c>
      <c r="E427" s="4">
        <v>72.5</v>
      </c>
      <c r="F427" s="4" t="s">
        <v>1425</v>
      </c>
      <c r="G427" s="2" t="s">
        <v>642</v>
      </c>
      <c r="I427">
        <f t="shared" si="86"/>
        <v>71.469000000000008</v>
      </c>
      <c r="J427">
        <f t="shared" si="87"/>
        <v>70.050500000000014</v>
      </c>
      <c r="L427">
        <f t="shared" si="88"/>
        <v>1</v>
      </c>
      <c r="M427">
        <f t="shared" si="89"/>
        <v>0</v>
      </c>
      <c r="O427">
        <f t="shared" si="90"/>
        <v>0.39000000000000057</v>
      </c>
      <c r="P427">
        <f t="shared" si="91"/>
        <v>0</v>
      </c>
      <c r="R427">
        <f t="shared" si="92"/>
        <v>0.4249999999999986</v>
      </c>
      <c r="S427">
        <f t="shared" si="93"/>
        <v>0.41249999999999787</v>
      </c>
      <c r="U427">
        <f t="shared" si="94"/>
        <v>50.74626865671646</v>
      </c>
      <c r="V427">
        <v>86</v>
      </c>
      <c r="W427">
        <v>5</v>
      </c>
      <c r="AH427">
        <f t="shared" si="95"/>
        <v>1.987003309131764</v>
      </c>
      <c r="AI427">
        <f t="shared" si="96"/>
        <v>65.087499016977077</v>
      </c>
      <c r="AJ427">
        <f t="shared" si="97"/>
        <v>77.85050098302294</v>
      </c>
      <c r="AL427">
        <f t="shared" si="98"/>
        <v>75.443006618263539</v>
      </c>
      <c r="AM427">
        <f t="shared" si="99"/>
        <v>67.494993381736478</v>
      </c>
    </row>
    <row r="428" spans="1:39" ht="16.5" x14ac:dyDescent="0.25">
      <c r="A428" s="1">
        <v>45089</v>
      </c>
      <c r="B428" s="5">
        <v>73.599999999999994</v>
      </c>
      <c r="C428" s="4">
        <v>73</v>
      </c>
      <c r="D428" s="4">
        <v>73.650000000000006</v>
      </c>
      <c r="E428" s="4">
        <v>72.930000000000007</v>
      </c>
      <c r="F428" s="4" t="s">
        <v>1466</v>
      </c>
      <c r="G428" s="2" t="s">
        <v>1035</v>
      </c>
      <c r="I428">
        <f t="shared" si="86"/>
        <v>71.12</v>
      </c>
      <c r="J428">
        <f t="shared" si="87"/>
        <v>69.922250000000005</v>
      </c>
      <c r="L428">
        <f t="shared" si="88"/>
        <v>1</v>
      </c>
      <c r="M428">
        <f t="shared" si="89"/>
        <v>0</v>
      </c>
      <c r="O428">
        <f t="shared" si="90"/>
        <v>0.59999999999999432</v>
      </c>
      <c r="P428">
        <f t="shared" si="91"/>
        <v>0</v>
      </c>
      <c r="R428">
        <f t="shared" si="92"/>
        <v>0.42888888888888727</v>
      </c>
      <c r="S428">
        <f t="shared" si="93"/>
        <v>0.49599999999999794</v>
      </c>
      <c r="U428">
        <f t="shared" si="94"/>
        <v>46.371936568957238</v>
      </c>
      <c r="V428">
        <v>86</v>
      </c>
      <c r="W428">
        <v>5</v>
      </c>
      <c r="AH428">
        <f t="shared" si="95"/>
        <v>1.9922995009881361</v>
      </c>
      <c r="AI428">
        <f t="shared" si="96"/>
        <v>64.738499016977073</v>
      </c>
      <c r="AJ428">
        <f t="shared" si="97"/>
        <v>77.501500983022936</v>
      </c>
      <c r="AL428">
        <f t="shared" si="98"/>
        <v>75.104599001976283</v>
      </c>
      <c r="AM428">
        <f t="shared" si="99"/>
        <v>67.135400998023727</v>
      </c>
    </row>
    <row r="429" spans="1:39" ht="16.5" x14ac:dyDescent="0.25">
      <c r="A429" s="1">
        <v>45086</v>
      </c>
      <c r="B429" s="5">
        <v>72.599999999999994</v>
      </c>
      <c r="C429" s="4">
        <v>73.069999999999993</v>
      </c>
      <c r="D429" s="4">
        <v>73.41</v>
      </c>
      <c r="E429" s="4">
        <v>72.599999999999994</v>
      </c>
      <c r="F429" s="4" t="s">
        <v>1465</v>
      </c>
      <c r="G429" s="2" t="s">
        <v>1074</v>
      </c>
      <c r="I429">
        <f t="shared" si="86"/>
        <v>70.84</v>
      </c>
      <c r="J429">
        <f t="shared" si="87"/>
        <v>69.842500000000001</v>
      </c>
      <c r="L429">
        <f t="shared" si="88"/>
        <v>0</v>
      </c>
      <c r="M429">
        <f t="shared" si="89"/>
        <v>1</v>
      </c>
      <c r="O429">
        <f t="shared" si="90"/>
        <v>0</v>
      </c>
      <c r="P429">
        <f t="shared" si="91"/>
        <v>0.46999999999999886</v>
      </c>
      <c r="R429">
        <f t="shared" si="92"/>
        <v>0.40749999999999886</v>
      </c>
      <c r="S429">
        <f t="shared" si="93"/>
        <v>0.41999999999999699</v>
      </c>
      <c r="U429">
        <f t="shared" si="94"/>
        <v>49.244712990936662</v>
      </c>
      <c r="V429">
        <v>86</v>
      </c>
      <c r="W429">
        <v>5</v>
      </c>
      <c r="AH429">
        <f t="shared" si="95"/>
        <v>1.9996143831567987</v>
      </c>
      <c r="AI429">
        <f t="shared" si="96"/>
        <v>64.458499016977072</v>
      </c>
      <c r="AJ429">
        <f t="shared" si="97"/>
        <v>77.221500983022935</v>
      </c>
      <c r="AL429">
        <f t="shared" si="98"/>
        <v>74.839228766313596</v>
      </c>
      <c r="AM429">
        <f t="shared" si="99"/>
        <v>66.840771233686411</v>
      </c>
    </row>
    <row r="430" spans="1:39" ht="16.5" x14ac:dyDescent="0.25">
      <c r="A430" s="1">
        <v>45085</v>
      </c>
      <c r="B430" s="5">
        <v>73</v>
      </c>
      <c r="C430" s="4">
        <v>72.48</v>
      </c>
      <c r="D430" s="4">
        <v>73.760000000000005</v>
      </c>
      <c r="E430" s="4">
        <v>72.42</v>
      </c>
      <c r="F430" s="4" t="s">
        <v>654</v>
      </c>
      <c r="G430" s="2" t="s">
        <v>43</v>
      </c>
      <c r="I430">
        <f t="shared" si="86"/>
        <v>70.603000000000009</v>
      </c>
      <c r="J430">
        <f t="shared" si="87"/>
        <v>69.772250000000014</v>
      </c>
      <c r="L430">
        <f t="shared" si="88"/>
        <v>1</v>
      </c>
      <c r="M430">
        <f t="shared" si="89"/>
        <v>0</v>
      </c>
      <c r="O430">
        <f t="shared" si="90"/>
        <v>0.51999999999999602</v>
      </c>
      <c r="P430">
        <f t="shared" si="91"/>
        <v>0</v>
      </c>
      <c r="R430">
        <f t="shared" si="92"/>
        <v>0.38222222222222196</v>
      </c>
      <c r="S430">
        <f t="shared" si="93"/>
        <v>0.40999999999999659</v>
      </c>
      <c r="U430">
        <f t="shared" si="94"/>
        <v>48.246844319775782</v>
      </c>
      <c r="V430">
        <v>86</v>
      </c>
      <c r="W430">
        <v>5</v>
      </c>
      <c r="AH430">
        <f t="shared" si="95"/>
        <v>2.0081982529856708</v>
      </c>
      <c r="AI430">
        <f t="shared" si="96"/>
        <v>64.221499016977077</v>
      </c>
      <c r="AJ430">
        <f t="shared" si="97"/>
        <v>76.98450098302294</v>
      </c>
      <c r="AL430">
        <f t="shared" si="98"/>
        <v>74.619396505971352</v>
      </c>
      <c r="AM430">
        <f t="shared" si="99"/>
        <v>66.586603494028665</v>
      </c>
    </row>
    <row r="431" spans="1:39" ht="16.5" x14ac:dyDescent="0.25">
      <c r="A431" s="1">
        <v>45084</v>
      </c>
      <c r="B431" s="5">
        <v>72.47</v>
      </c>
      <c r="C431" s="4">
        <v>72.09</v>
      </c>
      <c r="D431" s="4">
        <v>72.569999999999993</v>
      </c>
      <c r="E431" s="4">
        <v>71.52</v>
      </c>
      <c r="F431" s="4" t="s">
        <v>720</v>
      </c>
      <c r="G431" s="2" t="s">
        <v>104</v>
      </c>
      <c r="I431">
        <f t="shared" si="86"/>
        <v>70.341500000000011</v>
      </c>
      <c r="J431">
        <f t="shared" si="87"/>
        <v>69.680750000000018</v>
      </c>
      <c r="L431">
        <f t="shared" si="88"/>
        <v>1</v>
      </c>
      <c r="M431">
        <f t="shared" si="89"/>
        <v>0</v>
      </c>
      <c r="O431">
        <f t="shared" si="90"/>
        <v>0.37999999999999545</v>
      </c>
      <c r="P431">
        <f t="shared" si="91"/>
        <v>0</v>
      </c>
      <c r="R431">
        <f t="shared" si="92"/>
        <v>0.37222222222222318</v>
      </c>
      <c r="S431">
        <f t="shared" si="93"/>
        <v>0.40999999999999659</v>
      </c>
      <c r="U431">
        <f t="shared" si="94"/>
        <v>47.585227272727543</v>
      </c>
      <c r="V431">
        <v>86</v>
      </c>
      <c r="W431">
        <v>5</v>
      </c>
      <c r="AH431">
        <f t="shared" si="95"/>
        <v>2.0176127678437834</v>
      </c>
      <c r="AI431">
        <f t="shared" si="96"/>
        <v>63.959999016977079</v>
      </c>
      <c r="AJ431">
        <f t="shared" si="97"/>
        <v>76.723000983022942</v>
      </c>
      <c r="AL431">
        <f t="shared" si="98"/>
        <v>74.376725535687584</v>
      </c>
      <c r="AM431">
        <f t="shared" si="99"/>
        <v>66.306274464312438</v>
      </c>
    </row>
    <row r="432" spans="1:39" ht="16.5" x14ac:dyDescent="0.25">
      <c r="A432" s="1">
        <v>45083</v>
      </c>
      <c r="B432" s="5">
        <v>72.03</v>
      </c>
      <c r="C432" s="4">
        <v>71.97</v>
      </c>
      <c r="D432" s="4">
        <v>72.239999999999995</v>
      </c>
      <c r="E432" s="4">
        <v>71.5</v>
      </c>
      <c r="F432" s="4" t="s">
        <v>50</v>
      </c>
      <c r="G432" s="2" t="s">
        <v>458</v>
      </c>
      <c r="I432">
        <f t="shared" si="86"/>
        <v>70.100999999999999</v>
      </c>
      <c r="J432">
        <f t="shared" si="87"/>
        <v>69.591000000000008</v>
      </c>
      <c r="L432">
        <f t="shared" si="88"/>
        <v>1</v>
      </c>
      <c r="M432">
        <f t="shared" si="89"/>
        <v>0</v>
      </c>
      <c r="O432">
        <f t="shared" si="90"/>
        <v>6.0000000000002274E-2</v>
      </c>
      <c r="P432">
        <f t="shared" si="91"/>
        <v>0</v>
      </c>
      <c r="R432">
        <f t="shared" si="92"/>
        <v>0.50777777777777855</v>
      </c>
      <c r="S432">
        <f t="shared" si="93"/>
        <v>0.40999999999999659</v>
      </c>
      <c r="U432">
        <f t="shared" si="94"/>
        <v>55.32687651331743</v>
      </c>
      <c r="V432">
        <v>86</v>
      </c>
      <c r="W432">
        <v>5</v>
      </c>
      <c r="AH432">
        <f t="shared" si="95"/>
        <v>2.0276398113812517</v>
      </c>
      <c r="AI432">
        <f t="shared" si="96"/>
        <v>63.719499016977068</v>
      </c>
      <c r="AJ432">
        <f t="shared" si="97"/>
        <v>76.482500983022931</v>
      </c>
      <c r="AL432">
        <f t="shared" si="98"/>
        <v>74.156279622762497</v>
      </c>
      <c r="AM432">
        <f t="shared" si="99"/>
        <v>66.045720377237501</v>
      </c>
    </row>
    <row r="433" spans="1:39" ht="16.5" x14ac:dyDescent="0.25">
      <c r="A433" s="1">
        <v>45082</v>
      </c>
      <c r="B433" s="5">
        <v>72.040000000000006</v>
      </c>
      <c r="C433" s="4">
        <v>72.3</v>
      </c>
      <c r="D433" s="4">
        <v>72.400000000000006</v>
      </c>
      <c r="E433" s="4">
        <v>71.650000000000006</v>
      </c>
      <c r="F433" s="4" t="s">
        <v>1543</v>
      </c>
      <c r="G433" s="2" t="s">
        <v>596</v>
      </c>
      <c r="I433">
        <f t="shared" si="86"/>
        <v>69.856999999999999</v>
      </c>
      <c r="J433">
        <f t="shared" si="87"/>
        <v>69.48575000000001</v>
      </c>
      <c r="L433">
        <f t="shared" si="88"/>
        <v>0</v>
      </c>
      <c r="M433">
        <f t="shared" si="89"/>
        <v>1</v>
      </c>
      <c r="O433">
        <f t="shared" si="90"/>
        <v>0</v>
      </c>
      <c r="P433">
        <f t="shared" si="91"/>
        <v>0.25999999999999091</v>
      </c>
      <c r="R433">
        <f t="shared" si="92"/>
        <v>0.62666666666666671</v>
      </c>
      <c r="S433">
        <f t="shared" si="93"/>
        <v>0.40999999999999659</v>
      </c>
      <c r="U433">
        <f t="shared" si="94"/>
        <v>60.450160771704383</v>
      </c>
      <c r="V433">
        <v>86</v>
      </c>
      <c r="W433">
        <v>5</v>
      </c>
      <c r="AH433">
        <f t="shared" si="95"/>
        <v>2.0379586038102544</v>
      </c>
      <c r="AI433">
        <f t="shared" si="96"/>
        <v>63.475499016977068</v>
      </c>
      <c r="AJ433">
        <f t="shared" si="97"/>
        <v>76.238500983022931</v>
      </c>
      <c r="AL433">
        <f t="shared" si="98"/>
        <v>73.932917207620505</v>
      </c>
      <c r="AM433">
        <f t="shared" si="99"/>
        <v>65.781082792379493</v>
      </c>
    </row>
    <row r="434" spans="1:39" ht="16.5" x14ac:dyDescent="0.25">
      <c r="A434" s="1">
        <v>45079</v>
      </c>
      <c r="B434" s="5">
        <v>72.239999999999995</v>
      </c>
      <c r="C434" s="4">
        <v>71.25</v>
      </c>
      <c r="D434" s="4">
        <v>72.42</v>
      </c>
      <c r="E434" s="4">
        <v>71.010000000000005</v>
      </c>
      <c r="F434" s="4" t="s">
        <v>1576</v>
      </c>
      <c r="G434" s="2" t="s">
        <v>1205</v>
      </c>
      <c r="I434">
        <f t="shared" si="86"/>
        <v>69.588999999999999</v>
      </c>
      <c r="J434">
        <f t="shared" si="87"/>
        <v>69.395499999999998</v>
      </c>
      <c r="L434">
        <f t="shared" si="88"/>
        <v>1</v>
      </c>
      <c r="M434">
        <f t="shared" si="89"/>
        <v>0</v>
      </c>
      <c r="O434">
        <f t="shared" si="90"/>
        <v>0.98999999999999488</v>
      </c>
      <c r="P434">
        <f t="shared" si="91"/>
        <v>0</v>
      </c>
      <c r="R434">
        <f t="shared" si="92"/>
        <v>0.62666666666666671</v>
      </c>
      <c r="S434">
        <f t="shared" si="93"/>
        <v>0.41599999999999682</v>
      </c>
      <c r="U434">
        <f t="shared" si="94"/>
        <v>60.102301790281516</v>
      </c>
      <c r="V434">
        <v>86</v>
      </c>
      <c r="W434">
        <v>5</v>
      </c>
      <c r="AH434">
        <f t="shared" si="95"/>
        <v>2.0482795306162704</v>
      </c>
      <c r="AI434">
        <f t="shared" si="96"/>
        <v>63.207499016977067</v>
      </c>
      <c r="AJ434">
        <f t="shared" si="97"/>
        <v>75.97050098302293</v>
      </c>
      <c r="AL434">
        <f t="shared" si="98"/>
        <v>73.685559061232539</v>
      </c>
      <c r="AM434">
        <f t="shared" si="99"/>
        <v>65.492440938767459</v>
      </c>
    </row>
    <row r="435" spans="1:39" ht="16.5" x14ac:dyDescent="0.25">
      <c r="A435" s="1">
        <v>45078</v>
      </c>
      <c r="B435" s="5">
        <v>70.56</v>
      </c>
      <c r="C435" s="4">
        <v>70.31</v>
      </c>
      <c r="D435" s="4">
        <v>70.78</v>
      </c>
      <c r="E435" s="4">
        <v>69.930000000000007</v>
      </c>
      <c r="F435" s="4" t="s">
        <v>191</v>
      </c>
      <c r="G435" s="2" t="s">
        <v>61</v>
      </c>
      <c r="I435">
        <f t="shared" si="86"/>
        <v>69.311000000000007</v>
      </c>
      <c r="J435">
        <f t="shared" si="87"/>
        <v>69.350499999999997</v>
      </c>
      <c r="L435">
        <f t="shared" si="88"/>
        <v>1</v>
      </c>
      <c r="M435">
        <f t="shared" si="89"/>
        <v>0</v>
      </c>
      <c r="O435">
        <f t="shared" si="90"/>
        <v>0.25</v>
      </c>
      <c r="P435">
        <f t="shared" si="91"/>
        <v>0</v>
      </c>
      <c r="R435">
        <f t="shared" si="92"/>
        <v>0.58125000000000071</v>
      </c>
      <c r="S435">
        <f t="shared" si="93"/>
        <v>0.34666666666666401</v>
      </c>
      <c r="U435">
        <f t="shared" si="94"/>
        <v>62.640323304894686</v>
      </c>
      <c r="V435">
        <v>86</v>
      </c>
      <c r="W435">
        <v>5</v>
      </c>
      <c r="AH435">
        <f t="shared" si="95"/>
        <v>2.0582311921786132</v>
      </c>
      <c r="AI435">
        <f t="shared" si="96"/>
        <v>62.929499016977076</v>
      </c>
      <c r="AJ435">
        <f t="shared" si="97"/>
        <v>75.692500983022938</v>
      </c>
      <c r="AL435">
        <f t="shared" si="98"/>
        <v>73.427462384357227</v>
      </c>
      <c r="AM435">
        <f t="shared" si="99"/>
        <v>65.194537615642787</v>
      </c>
    </row>
    <row r="436" spans="1:39" ht="16.5" x14ac:dyDescent="0.25">
      <c r="A436" s="1">
        <v>45077</v>
      </c>
      <c r="B436" s="5">
        <v>69.77</v>
      </c>
      <c r="C436" s="4">
        <v>70.349999999999994</v>
      </c>
      <c r="D436" s="4">
        <v>71</v>
      </c>
      <c r="E436" s="4">
        <v>69.48</v>
      </c>
      <c r="F436" s="4" t="s">
        <v>1577</v>
      </c>
      <c r="G436" s="2" t="s">
        <v>277</v>
      </c>
      <c r="I436">
        <f t="shared" si="86"/>
        <v>69.036000000000016</v>
      </c>
      <c r="J436">
        <f t="shared" si="87"/>
        <v>69.346750000000014</v>
      </c>
      <c r="L436">
        <f t="shared" si="88"/>
        <v>0</v>
      </c>
      <c r="M436">
        <f t="shared" si="89"/>
        <v>1</v>
      </c>
      <c r="O436">
        <f t="shared" si="90"/>
        <v>0</v>
      </c>
      <c r="P436">
        <f t="shared" si="91"/>
        <v>0.57999999999999829</v>
      </c>
      <c r="R436">
        <f t="shared" si="92"/>
        <v>0.62857142857142934</v>
      </c>
      <c r="S436">
        <f t="shared" si="93"/>
        <v>0.34142857142856947</v>
      </c>
      <c r="U436">
        <f t="shared" si="94"/>
        <v>64.801178203240227</v>
      </c>
      <c r="V436">
        <v>86</v>
      </c>
      <c r="W436">
        <v>5</v>
      </c>
      <c r="AH436">
        <f t="shared" si="95"/>
        <v>2.0673798479912504</v>
      </c>
      <c r="AI436">
        <f t="shared" si="96"/>
        <v>62.654499016977084</v>
      </c>
      <c r="AJ436">
        <f t="shared" si="97"/>
        <v>75.417500983022947</v>
      </c>
      <c r="AL436">
        <f t="shared" si="98"/>
        <v>73.170759695982511</v>
      </c>
      <c r="AM436">
        <f t="shared" si="99"/>
        <v>64.90124030401752</v>
      </c>
    </row>
    <row r="437" spans="1:39" ht="16.5" x14ac:dyDescent="0.25">
      <c r="A437" s="1">
        <v>45076</v>
      </c>
      <c r="B437" s="5">
        <v>71.2</v>
      </c>
      <c r="C437" s="4">
        <v>71.069999999999993</v>
      </c>
      <c r="D437" s="4">
        <v>71.98</v>
      </c>
      <c r="E437" s="4">
        <v>70.900000000000006</v>
      </c>
      <c r="F437" s="4" t="s">
        <v>259</v>
      </c>
      <c r="G437" s="2" t="s">
        <v>746</v>
      </c>
      <c r="I437">
        <f t="shared" si="86"/>
        <v>69.06</v>
      </c>
      <c r="J437">
        <f t="shared" si="87"/>
        <v>69.372</v>
      </c>
      <c r="L437">
        <f t="shared" si="88"/>
        <v>1</v>
      </c>
      <c r="M437">
        <f t="shared" si="89"/>
        <v>0</v>
      </c>
      <c r="O437">
        <f t="shared" si="90"/>
        <v>0.13000000000000966</v>
      </c>
      <c r="P437">
        <f t="shared" si="91"/>
        <v>0</v>
      </c>
      <c r="R437">
        <f t="shared" si="92"/>
        <v>0.62857142857142934</v>
      </c>
      <c r="S437">
        <f t="shared" si="93"/>
        <v>0.26285714285714129</v>
      </c>
      <c r="U437">
        <f t="shared" si="94"/>
        <v>70.512820512820667</v>
      </c>
      <c r="V437">
        <v>86</v>
      </c>
      <c r="W437">
        <v>5</v>
      </c>
      <c r="AH437">
        <f t="shared" si="95"/>
        <v>2.0752959947914644</v>
      </c>
      <c r="AI437">
        <f t="shared" si="96"/>
        <v>62.678499016977071</v>
      </c>
      <c r="AJ437">
        <f t="shared" si="97"/>
        <v>75.441500983022934</v>
      </c>
      <c r="AL437">
        <f t="shared" si="98"/>
        <v>73.210591989582937</v>
      </c>
      <c r="AM437">
        <f t="shared" si="99"/>
        <v>64.909408010417067</v>
      </c>
    </row>
    <row r="438" spans="1:39" ht="16.5" x14ac:dyDescent="0.25">
      <c r="A438" s="1">
        <v>45075</v>
      </c>
      <c r="B438" s="5">
        <v>71.16</v>
      </c>
      <c r="C438" s="4">
        <v>71.5</v>
      </c>
      <c r="D438" s="4">
        <v>72.08</v>
      </c>
      <c r="E438" s="4">
        <v>70.959999999999994</v>
      </c>
      <c r="F438" s="4" t="s">
        <v>393</v>
      </c>
      <c r="G438" s="2" t="s">
        <v>548</v>
      </c>
      <c r="I438">
        <f t="shared" si="86"/>
        <v>68.977999999999994</v>
      </c>
      <c r="J438">
        <f t="shared" si="87"/>
        <v>69.364750000000001</v>
      </c>
      <c r="L438">
        <f t="shared" si="88"/>
        <v>0</v>
      </c>
      <c r="M438">
        <f t="shared" si="89"/>
        <v>1</v>
      </c>
      <c r="O438">
        <f t="shared" si="90"/>
        <v>0</v>
      </c>
      <c r="P438">
        <f t="shared" si="91"/>
        <v>0.34000000000000341</v>
      </c>
      <c r="R438">
        <f t="shared" si="92"/>
        <v>0.61999999999999844</v>
      </c>
      <c r="S438">
        <f t="shared" si="93"/>
        <v>0.26285714285714129</v>
      </c>
      <c r="U438">
        <f t="shared" si="94"/>
        <v>70.226537216828547</v>
      </c>
      <c r="V438">
        <v>86</v>
      </c>
      <c r="W438">
        <v>5</v>
      </c>
      <c r="AH438">
        <f t="shared" si="95"/>
        <v>2.0834217669571138</v>
      </c>
      <c r="AI438">
        <f t="shared" si="96"/>
        <v>62.596499016977063</v>
      </c>
      <c r="AJ438">
        <f t="shared" si="97"/>
        <v>75.359500983022926</v>
      </c>
      <c r="AL438">
        <f t="shared" si="98"/>
        <v>73.144843533914226</v>
      </c>
      <c r="AM438">
        <f t="shared" si="99"/>
        <v>64.811156466085762</v>
      </c>
    </row>
    <row r="439" spans="1:39" ht="16.5" x14ac:dyDescent="0.25">
      <c r="A439" s="1">
        <v>45072</v>
      </c>
      <c r="B439" s="5">
        <v>71.44</v>
      </c>
      <c r="C439" s="4">
        <v>70.7</v>
      </c>
      <c r="D439" s="4">
        <v>71.44</v>
      </c>
      <c r="E439" s="4">
        <v>70.16</v>
      </c>
      <c r="F439" s="4" t="s">
        <v>1417</v>
      </c>
      <c r="G439" s="2" t="s">
        <v>999</v>
      </c>
      <c r="I439">
        <f t="shared" si="86"/>
        <v>68.948999999999984</v>
      </c>
      <c r="J439">
        <f t="shared" si="87"/>
        <v>69.344750000000005</v>
      </c>
      <c r="L439">
        <f t="shared" si="88"/>
        <v>1</v>
      </c>
      <c r="M439">
        <f t="shared" si="89"/>
        <v>0</v>
      </c>
      <c r="O439">
        <f t="shared" si="90"/>
        <v>0.73999999999999488</v>
      </c>
      <c r="P439">
        <f t="shared" si="91"/>
        <v>0</v>
      </c>
      <c r="R439">
        <f t="shared" si="92"/>
        <v>0.57874999999999943</v>
      </c>
      <c r="S439">
        <f t="shared" si="93"/>
        <v>0.24999999999999764</v>
      </c>
      <c r="U439">
        <f t="shared" si="94"/>
        <v>69.834087481146483</v>
      </c>
      <c r="V439">
        <v>86</v>
      </c>
      <c r="W439">
        <v>5</v>
      </c>
      <c r="AH439">
        <f t="shared" si="95"/>
        <v>2.0911416390006115</v>
      </c>
      <c r="AI439">
        <f t="shared" si="96"/>
        <v>62.567499016977052</v>
      </c>
      <c r="AJ439">
        <f t="shared" si="97"/>
        <v>75.330500983022915</v>
      </c>
      <c r="AL439">
        <f t="shared" si="98"/>
        <v>73.131283278001206</v>
      </c>
      <c r="AM439">
        <f t="shared" si="99"/>
        <v>64.766716721998762</v>
      </c>
    </row>
    <row r="440" spans="1:39" ht="16.5" x14ac:dyDescent="0.25">
      <c r="A440" s="1">
        <v>45071</v>
      </c>
      <c r="B440" s="5">
        <v>70.25</v>
      </c>
      <c r="C440" s="4">
        <v>70.06</v>
      </c>
      <c r="D440" s="4">
        <v>70.66</v>
      </c>
      <c r="E440" s="4">
        <v>69.489999999999995</v>
      </c>
      <c r="F440" s="4" t="s">
        <v>1578</v>
      </c>
      <c r="G440" s="2" t="s">
        <v>1273</v>
      </c>
      <c r="I440">
        <f t="shared" si="86"/>
        <v>68.88</v>
      </c>
      <c r="J440">
        <f t="shared" si="87"/>
        <v>69.356000000000009</v>
      </c>
      <c r="L440">
        <f t="shared" si="88"/>
        <v>1</v>
      </c>
      <c r="M440">
        <f t="shared" si="89"/>
        <v>0</v>
      </c>
      <c r="O440">
        <f t="shared" si="90"/>
        <v>0.18999999999999773</v>
      </c>
      <c r="P440">
        <f t="shared" si="91"/>
        <v>0</v>
      </c>
      <c r="R440">
        <f t="shared" si="92"/>
        <v>0.55571428571428583</v>
      </c>
      <c r="S440">
        <f t="shared" si="93"/>
        <v>0.25857142857142484</v>
      </c>
      <c r="U440">
        <f t="shared" si="94"/>
        <v>68.245614035088039</v>
      </c>
      <c r="V440">
        <v>86</v>
      </c>
      <c r="W440">
        <v>5</v>
      </c>
      <c r="AH440">
        <f t="shared" si="95"/>
        <v>2.0987403323919023</v>
      </c>
      <c r="AI440">
        <f t="shared" si="96"/>
        <v>62.498499016977064</v>
      </c>
      <c r="AJ440">
        <f t="shared" si="97"/>
        <v>75.261500983022927</v>
      </c>
      <c r="AL440">
        <f t="shared" si="98"/>
        <v>73.077480664783806</v>
      </c>
      <c r="AM440">
        <f t="shared" si="99"/>
        <v>64.682519335216185</v>
      </c>
    </row>
    <row r="441" spans="1:39" ht="16.5" x14ac:dyDescent="0.25">
      <c r="A441" s="1">
        <v>45070</v>
      </c>
      <c r="B441" s="5">
        <v>69.92</v>
      </c>
      <c r="C441" s="4">
        <v>70.75</v>
      </c>
      <c r="D441" s="4">
        <v>70.900000000000006</v>
      </c>
      <c r="E441" s="4">
        <v>69.58</v>
      </c>
      <c r="F441" s="4" t="s">
        <v>1579</v>
      </c>
      <c r="G441" s="2" t="s">
        <v>1580</v>
      </c>
      <c r="I441">
        <f t="shared" si="86"/>
        <v>68.870499999999979</v>
      </c>
      <c r="J441">
        <f t="shared" si="87"/>
        <v>69.386749999999992</v>
      </c>
      <c r="L441">
        <f t="shared" si="88"/>
        <v>0</v>
      </c>
      <c r="M441">
        <f t="shared" si="89"/>
        <v>1</v>
      </c>
      <c r="O441">
        <f t="shared" si="90"/>
        <v>0</v>
      </c>
      <c r="P441">
        <f t="shared" si="91"/>
        <v>0.82999999999999829</v>
      </c>
      <c r="R441">
        <f t="shared" si="92"/>
        <v>0.74714285714285766</v>
      </c>
      <c r="S441">
        <f t="shared" si="93"/>
        <v>0.25857142857142484</v>
      </c>
      <c r="U441">
        <f t="shared" si="94"/>
        <v>74.289772727273018</v>
      </c>
      <c r="V441">
        <v>86</v>
      </c>
      <c r="W441">
        <v>5</v>
      </c>
      <c r="AH441">
        <f t="shared" si="95"/>
        <v>2.1059318524469304</v>
      </c>
      <c r="AI441">
        <f t="shared" si="96"/>
        <v>62.488999016977047</v>
      </c>
      <c r="AJ441">
        <f t="shared" si="97"/>
        <v>75.25200098302291</v>
      </c>
      <c r="AL441">
        <f t="shared" si="98"/>
        <v>73.082363704893837</v>
      </c>
      <c r="AM441">
        <f t="shared" si="99"/>
        <v>64.65863629510612</v>
      </c>
    </row>
    <row r="442" spans="1:39" ht="16.5" x14ac:dyDescent="0.25">
      <c r="A442" s="1">
        <v>45069</v>
      </c>
      <c r="B442" s="5">
        <v>71.260000000000005</v>
      </c>
      <c r="C442" s="4">
        <v>71.3</v>
      </c>
      <c r="D442" s="4">
        <v>71.48</v>
      </c>
      <c r="E442" s="4">
        <v>70.959999999999994</v>
      </c>
      <c r="F442" s="4" t="s">
        <v>537</v>
      </c>
      <c r="G442" s="2" t="s">
        <v>321</v>
      </c>
      <c r="I442">
        <f t="shared" si="86"/>
        <v>68.862499999999983</v>
      </c>
      <c r="J442">
        <f t="shared" si="87"/>
        <v>69.38</v>
      </c>
      <c r="L442">
        <f t="shared" si="88"/>
        <v>0</v>
      </c>
      <c r="M442">
        <f t="shared" si="89"/>
        <v>1</v>
      </c>
      <c r="O442">
        <f t="shared" si="90"/>
        <v>0</v>
      </c>
      <c r="P442">
        <f t="shared" si="91"/>
        <v>3.9999999999992042E-2</v>
      </c>
      <c r="R442">
        <f t="shared" si="92"/>
        <v>0.74714285714285766</v>
      </c>
      <c r="S442">
        <f t="shared" si="93"/>
        <v>0.34571428571428192</v>
      </c>
      <c r="U442">
        <f t="shared" si="94"/>
        <v>68.366013071895679</v>
      </c>
      <c r="V442">
        <v>86</v>
      </c>
      <c r="W442">
        <v>5</v>
      </c>
      <c r="AH442">
        <f t="shared" si="95"/>
        <v>2.1130933592383725</v>
      </c>
      <c r="AI442">
        <f t="shared" si="96"/>
        <v>62.480999016977051</v>
      </c>
      <c r="AJ442">
        <f t="shared" si="97"/>
        <v>75.244000983022914</v>
      </c>
      <c r="AL442">
        <f t="shared" si="98"/>
        <v>73.088686718476723</v>
      </c>
      <c r="AM442">
        <f t="shared" si="99"/>
        <v>64.636313281523243</v>
      </c>
    </row>
    <row r="443" spans="1:39" ht="16.5" x14ac:dyDescent="0.25">
      <c r="A443" s="1">
        <v>45068</v>
      </c>
      <c r="B443" s="5">
        <v>71.400000000000006</v>
      </c>
      <c r="C443" s="4">
        <v>71.22</v>
      </c>
      <c r="D443" s="4">
        <v>71.599999999999994</v>
      </c>
      <c r="E443" s="4">
        <v>70.94</v>
      </c>
      <c r="F443" s="4" t="s">
        <v>343</v>
      </c>
      <c r="G443" s="2" t="s">
        <v>958</v>
      </c>
      <c r="I443">
        <f t="shared" si="86"/>
        <v>68.793999999999997</v>
      </c>
      <c r="J443">
        <f t="shared" si="87"/>
        <v>69.366500000000002</v>
      </c>
      <c r="L443">
        <f t="shared" si="88"/>
        <v>1</v>
      </c>
      <c r="M443">
        <f t="shared" si="89"/>
        <v>0</v>
      </c>
      <c r="O443">
        <f t="shared" si="90"/>
        <v>0.18000000000000682</v>
      </c>
      <c r="P443">
        <f t="shared" si="91"/>
        <v>0</v>
      </c>
      <c r="R443">
        <f t="shared" si="92"/>
        <v>0.6850000000000005</v>
      </c>
      <c r="S443">
        <f t="shared" si="93"/>
        <v>0.39666666666666356</v>
      </c>
      <c r="U443">
        <f t="shared" si="94"/>
        <v>63.32819722650251</v>
      </c>
      <c r="V443">
        <v>86</v>
      </c>
      <c r="W443">
        <v>5</v>
      </c>
      <c r="AH443">
        <f t="shared" si="95"/>
        <v>2.1202296984142661</v>
      </c>
      <c r="AI443">
        <f t="shared" si="96"/>
        <v>62.412499016977065</v>
      </c>
      <c r="AJ443">
        <f t="shared" si="97"/>
        <v>75.175500983022928</v>
      </c>
      <c r="AL443">
        <f t="shared" si="98"/>
        <v>73.034459396828524</v>
      </c>
      <c r="AM443">
        <f t="shared" si="99"/>
        <v>64.55354060317147</v>
      </c>
    </row>
    <row r="444" spans="1:39" ht="16.5" x14ac:dyDescent="0.25">
      <c r="A444" s="1">
        <v>45065</v>
      </c>
      <c r="B444" s="5">
        <v>71.180000000000007</v>
      </c>
      <c r="C444" s="4">
        <v>70.75</v>
      </c>
      <c r="D444" s="4">
        <v>71.790000000000006</v>
      </c>
      <c r="E444" s="4">
        <v>70.67</v>
      </c>
      <c r="F444" s="4" t="s">
        <v>973</v>
      </c>
      <c r="G444" s="2" t="s">
        <v>863</v>
      </c>
      <c r="I444">
        <f t="shared" si="86"/>
        <v>68.684499999999986</v>
      </c>
      <c r="J444">
        <f t="shared" si="87"/>
        <v>69.360749999999996</v>
      </c>
      <c r="L444">
        <f t="shared" si="88"/>
        <v>1</v>
      </c>
      <c r="M444">
        <f t="shared" si="89"/>
        <v>0</v>
      </c>
      <c r="O444">
        <f t="shared" si="90"/>
        <v>0.43000000000000682</v>
      </c>
      <c r="P444">
        <f t="shared" si="91"/>
        <v>0</v>
      </c>
      <c r="R444">
        <f t="shared" si="92"/>
        <v>0.75714285714285678</v>
      </c>
      <c r="S444">
        <f t="shared" si="93"/>
        <v>0.57428571428571173</v>
      </c>
      <c r="U444">
        <f t="shared" si="94"/>
        <v>56.866952789699667</v>
      </c>
      <c r="V444">
        <v>86</v>
      </c>
      <c r="W444">
        <v>5</v>
      </c>
      <c r="AH444">
        <f t="shared" si="95"/>
        <v>2.1268755848709167</v>
      </c>
      <c r="AI444">
        <f t="shared" si="96"/>
        <v>62.302999016977054</v>
      </c>
      <c r="AJ444">
        <f t="shared" si="97"/>
        <v>75.066000983022917</v>
      </c>
      <c r="AL444">
        <f t="shared" si="98"/>
        <v>72.938251169741818</v>
      </c>
      <c r="AM444">
        <f t="shared" si="99"/>
        <v>64.430748830258153</v>
      </c>
    </row>
    <row r="445" spans="1:39" ht="16.5" x14ac:dyDescent="0.25">
      <c r="A445" s="1">
        <v>45064</v>
      </c>
      <c r="B445" s="5">
        <v>70.5</v>
      </c>
      <c r="C445" s="4">
        <v>68.900000000000006</v>
      </c>
      <c r="D445" s="4">
        <v>70.69</v>
      </c>
      <c r="E445" s="4">
        <v>68.81</v>
      </c>
      <c r="F445" s="4" t="s">
        <v>1581</v>
      </c>
      <c r="G445" s="2" t="s">
        <v>1582</v>
      </c>
      <c r="I445">
        <f t="shared" si="86"/>
        <v>68.537000000000006</v>
      </c>
      <c r="J445">
        <f t="shared" si="87"/>
        <v>69.343249999999998</v>
      </c>
      <c r="L445">
        <f t="shared" si="88"/>
        <v>1</v>
      </c>
      <c r="M445">
        <f t="shared" si="89"/>
        <v>0</v>
      </c>
      <c r="O445">
        <f t="shared" si="90"/>
        <v>1.5999999999999943</v>
      </c>
      <c r="P445">
        <f t="shared" si="91"/>
        <v>0</v>
      </c>
      <c r="R445">
        <f t="shared" si="92"/>
        <v>0.81166666666666509</v>
      </c>
      <c r="S445">
        <f t="shared" si="93"/>
        <v>0.54499999999999815</v>
      </c>
      <c r="U445">
        <f t="shared" si="94"/>
        <v>59.828009828009861</v>
      </c>
      <c r="V445">
        <v>86</v>
      </c>
      <c r="W445">
        <v>5</v>
      </c>
      <c r="AH445">
        <f t="shared" si="95"/>
        <v>2.1326265807370506</v>
      </c>
      <c r="AI445">
        <f t="shared" si="96"/>
        <v>62.155499016977075</v>
      </c>
      <c r="AJ445">
        <f t="shared" si="97"/>
        <v>74.918500983022938</v>
      </c>
      <c r="AL445">
        <f t="shared" si="98"/>
        <v>72.802253161474113</v>
      </c>
      <c r="AM445">
        <f t="shared" si="99"/>
        <v>64.2717468385259</v>
      </c>
    </row>
    <row r="446" spans="1:39" ht="16.5" x14ac:dyDescent="0.25">
      <c r="A446" s="1">
        <v>45063</v>
      </c>
      <c r="B446" s="5">
        <v>68.38</v>
      </c>
      <c r="C446" s="4">
        <v>67.25</v>
      </c>
      <c r="D446" s="4">
        <v>68.45</v>
      </c>
      <c r="E446" s="4">
        <v>67.150000000000006</v>
      </c>
      <c r="F446" s="4" t="s">
        <v>928</v>
      </c>
      <c r="G446" s="2" t="s">
        <v>1022</v>
      </c>
      <c r="I446">
        <f t="shared" si="86"/>
        <v>68.54249999999999</v>
      </c>
      <c r="J446">
        <f t="shared" si="87"/>
        <v>69.309249999999992</v>
      </c>
      <c r="L446">
        <f t="shared" si="88"/>
        <v>1</v>
      </c>
      <c r="M446">
        <f t="shared" si="89"/>
        <v>0</v>
      </c>
      <c r="O446">
        <f t="shared" si="90"/>
        <v>1.1299999999999955</v>
      </c>
      <c r="P446">
        <f t="shared" si="91"/>
        <v>0</v>
      </c>
      <c r="R446">
        <f t="shared" si="92"/>
        <v>0.65399999999999925</v>
      </c>
      <c r="S446">
        <f t="shared" si="93"/>
        <v>0.50555555555555365</v>
      </c>
      <c r="U446">
        <f t="shared" si="94"/>
        <v>56.400919892679255</v>
      </c>
      <c r="V446">
        <v>86</v>
      </c>
      <c r="W446">
        <v>5</v>
      </c>
      <c r="AH446">
        <f t="shared" si="95"/>
        <v>2.1369976986530963</v>
      </c>
      <c r="AI446">
        <f t="shared" si="96"/>
        <v>62.160999016977058</v>
      </c>
      <c r="AJ446">
        <f t="shared" si="97"/>
        <v>74.924000983022921</v>
      </c>
      <c r="AL446">
        <f t="shared" si="98"/>
        <v>72.816495397306184</v>
      </c>
      <c r="AM446">
        <f t="shared" si="99"/>
        <v>64.268504602693795</v>
      </c>
    </row>
    <row r="447" spans="1:39" ht="16.5" x14ac:dyDescent="0.25">
      <c r="A447" s="1">
        <v>45062</v>
      </c>
      <c r="B447" s="5">
        <v>67.400000000000006</v>
      </c>
      <c r="C447" s="4">
        <v>67.69</v>
      </c>
      <c r="D447" s="4">
        <v>67.760000000000005</v>
      </c>
      <c r="E447" s="4">
        <v>67</v>
      </c>
      <c r="F447" s="4" t="s">
        <v>1520</v>
      </c>
      <c r="G447" s="2" t="s">
        <v>535</v>
      </c>
      <c r="I447">
        <f t="shared" si="86"/>
        <v>68.632000000000005</v>
      </c>
      <c r="J447">
        <f t="shared" si="87"/>
        <v>69.331249999999997</v>
      </c>
      <c r="L447">
        <f t="shared" si="88"/>
        <v>0</v>
      </c>
      <c r="M447">
        <f t="shared" si="89"/>
        <v>1</v>
      </c>
      <c r="O447">
        <f t="shared" si="90"/>
        <v>0</v>
      </c>
      <c r="P447">
        <f t="shared" si="91"/>
        <v>0.28999999999999204</v>
      </c>
      <c r="R447">
        <f t="shared" si="92"/>
        <v>0.49000000000000055</v>
      </c>
      <c r="S447">
        <f t="shared" si="93"/>
        <v>0.50555555555555365</v>
      </c>
      <c r="U447">
        <f t="shared" si="94"/>
        <v>49.218750000000121</v>
      </c>
      <c r="V447">
        <v>86</v>
      </c>
      <c r="W447">
        <v>5</v>
      </c>
      <c r="AH447">
        <f t="shared" si="95"/>
        <v>2.1413234011904643</v>
      </c>
      <c r="AI447">
        <f t="shared" si="96"/>
        <v>62.250499016977074</v>
      </c>
      <c r="AJ447">
        <f t="shared" si="97"/>
        <v>75.013500983022936</v>
      </c>
      <c r="AL447">
        <f t="shared" si="98"/>
        <v>72.914646802380929</v>
      </c>
      <c r="AM447">
        <f t="shared" si="99"/>
        <v>64.349353197619081</v>
      </c>
    </row>
    <row r="448" spans="1:39" ht="16.5" x14ac:dyDescent="0.25">
      <c r="A448" s="1">
        <v>45061</v>
      </c>
      <c r="B448" s="5">
        <v>68</v>
      </c>
      <c r="C448" s="4">
        <v>68</v>
      </c>
      <c r="D448" s="4">
        <v>68.34</v>
      </c>
      <c r="E448" s="4">
        <v>67.77</v>
      </c>
      <c r="F448" s="4" t="s">
        <v>210</v>
      </c>
      <c r="G448" s="2" t="s">
        <v>266</v>
      </c>
      <c r="I448">
        <f t="shared" si="86"/>
        <v>68.724500000000006</v>
      </c>
      <c r="J448">
        <f t="shared" si="87"/>
        <v>69.405249999999995</v>
      </c>
      <c r="L448">
        <f t="shared" si="88"/>
        <v>0</v>
      </c>
      <c r="M448">
        <f t="shared" si="89"/>
        <v>1</v>
      </c>
      <c r="O448">
        <f t="shared" si="90"/>
        <v>0</v>
      </c>
      <c r="P448">
        <f t="shared" si="91"/>
        <v>0</v>
      </c>
      <c r="R448">
        <f t="shared" si="92"/>
        <v>0.49000000000000055</v>
      </c>
      <c r="S448">
        <f t="shared" si="93"/>
        <v>0.48777777777777626</v>
      </c>
      <c r="U448">
        <f t="shared" si="94"/>
        <v>50.113636363636466</v>
      </c>
      <c r="V448">
        <v>86</v>
      </c>
      <c r="W448">
        <v>5</v>
      </c>
      <c r="AH448">
        <f t="shared" si="95"/>
        <v>2.1464078366200092</v>
      </c>
      <c r="AI448">
        <f t="shared" si="96"/>
        <v>62.342999016977075</v>
      </c>
      <c r="AJ448">
        <f t="shared" si="97"/>
        <v>75.106000983022938</v>
      </c>
      <c r="AL448">
        <f t="shared" si="98"/>
        <v>73.01731567324002</v>
      </c>
      <c r="AM448">
        <f t="shared" si="99"/>
        <v>64.431684326759992</v>
      </c>
    </row>
    <row r="449" spans="1:39" ht="16.5" x14ac:dyDescent="0.25">
      <c r="A449" s="1">
        <v>45058</v>
      </c>
      <c r="B449" s="5">
        <v>67.86</v>
      </c>
      <c r="C449" s="4">
        <v>68.17</v>
      </c>
      <c r="D449" s="4">
        <v>68.3</v>
      </c>
      <c r="E449" s="4">
        <v>67.7</v>
      </c>
      <c r="F449" s="4" t="s">
        <v>1384</v>
      </c>
      <c r="G449" s="2" t="s">
        <v>323</v>
      </c>
      <c r="I449">
        <f t="shared" si="86"/>
        <v>68.844999999999999</v>
      </c>
      <c r="J449">
        <f t="shared" si="87"/>
        <v>69.459000000000003</v>
      </c>
      <c r="L449">
        <f t="shared" si="88"/>
        <v>0</v>
      </c>
      <c r="M449">
        <f t="shared" si="89"/>
        <v>1</v>
      </c>
      <c r="O449">
        <f t="shared" si="90"/>
        <v>0</v>
      </c>
      <c r="P449">
        <f t="shared" si="91"/>
        <v>0.31000000000000227</v>
      </c>
      <c r="R449">
        <f t="shared" si="92"/>
        <v>0.47666666666666657</v>
      </c>
      <c r="S449">
        <f t="shared" si="93"/>
        <v>0.54874999999999829</v>
      </c>
      <c r="U449">
        <f t="shared" si="94"/>
        <v>46.485168630638022</v>
      </c>
      <c r="V449">
        <v>86</v>
      </c>
      <c r="W449">
        <v>5</v>
      </c>
      <c r="AH449">
        <f t="shared" si="95"/>
        <v>2.1522788887252133</v>
      </c>
      <c r="AI449">
        <f t="shared" si="96"/>
        <v>62.463499016977067</v>
      </c>
      <c r="AJ449">
        <f t="shared" si="97"/>
        <v>75.22650098302293</v>
      </c>
      <c r="AL449">
        <f t="shared" si="98"/>
        <v>73.149557777450426</v>
      </c>
      <c r="AM449">
        <f t="shared" si="99"/>
        <v>64.540442222549572</v>
      </c>
    </row>
    <row r="450" spans="1:39" ht="16.5" x14ac:dyDescent="0.25">
      <c r="A450" s="1">
        <v>45057</v>
      </c>
      <c r="B450" s="5">
        <v>67.77</v>
      </c>
      <c r="C450" s="4">
        <v>67.8</v>
      </c>
      <c r="D450" s="4">
        <v>68.209999999999994</v>
      </c>
      <c r="E450" s="4">
        <v>67.260000000000005</v>
      </c>
      <c r="F450" s="4" t="s">
        <v>942</v>
      </c>
      <c r="G450" s="2" t="s">
        <v>301</v>
      </c>
      <c r="I450">
        <f t="shared" ref="I450:I513" si="100">AVERAGE(B450:B469)</f>
        <v>68.941499999999991</v>
      </c>
      <c r="J450">
        <f t="shared" ref="J450:J513" si="101">AVERAGE(B450:B489)</f>
        <v>69.582999999999998</v>
      </c>
      <c r="L450">
        <f t="shared" ref="L450:L513" si="102">IF($C450&lt;$B450,1,0)</f>
        <v>0</v>
      </c>
      <c r="M450">
        <f t="shared" ref="M450:M513" si="103">IF($C450&lt;$B450,0,1)</f>
        <v>1</v>
      </c>
      <c r="O450">
        <f t="shared" ref="O450:O513" si="104">IF($C450&lt;$B450,B450-C450,0)</f>
        <v>0</v>
      </c>
      <c r="P450">
        <f t="shared" ref="P450:P513" si="105">IF($B450&lt;$C450,C450-B450,0)</f>
        <v>3.0000000000001137E-2</v>
      </c>
      <c r="R450">
        <f t="shared" ref="R450:R513" si="106">SUM(O450:O463)/SUM(L450:L463)</f>
        <v>0.47666666666666657</v>
      </c>
      <c r="S450">
        <f t="shared" ref="S450:S513" si="107">SUM(P450:P463)/SUM(M450:M463)</f>
        <v>0.55874999999999808</v>
      </c>
      <c r="U450">
        <f t="shared" ref="U450:U513" si="108">100-(100/(1+(R450/S450)))</f>
        <v>46.036217303823015</v>
      </c>
      <c r="V450">
        <v>86</v>
      </c>
      <c r="W450">
        <v>5</v>
      </c>
      <c r="AH450">
        <f t="shared" si="95"/>
        <v>2.1591771676756886</v>
      </c>
      <c r="AI450">
        <f t="shared" si="96"/>
        <v>62.559999016977059</v>
      </c>
      <c r="AJ450">
        <f t="shared" si="97"/>
        <v>75.323000983022922</v>
      </c>
      <c r="AL450">
        <f t="shared" si="98"/>
        <v>73.259854335351363</v>
      </c>
      <c r="AM450">
        <f t="shared" si="99"/>
        <v>64.623145664648618</v>
      </c>
    </row>
    <row r="451" spans="1:39" ht="16.5" x14ac:dyDescent="0.25">
      <c r="A451" s="1">
        <v>45056</v>
      </c>
      <c r="B451" s="5">
        <v>67.66</v>
      </c>
      <c r="C451" s="4">
        <v>67.59</v>
      </c>
      <c r="D451" s="4">
        <v>67.95</v>
      </c>
      <c r="E451" s="4">
        <v>66.84</v>
      </c>
      <c r="F451" s="4" t="s">
        <v>1507</v>
      </c>
      <c r="G451" s="2" t="s">
        <v>119</v>
      </c>
      <c r="I451">
        <f t="shared" si="100"/>
        <v>69.02000000000001</v>
      </c>
      <c r="J451">
        <f t="shared" si="101"/>
        <v>69.680750000000018</v>
      </c>
      <c r="L451">
        <f t="shared" si="102"/>
        <v>1</v>
      </c>
      <c r="M451">
        <f t="shared" si="103"/>
        <v>0</v>
      </c>
      <c r="O451">
        <f t="shared" si="104"/>
        <v>6.9999999999993179E-2</v>
      </c>
      <c r="P451">
        <f t="shared" si="105"/>
        <v>0</v>
      </c>
      <c r="R451">
        <f t="shared" si="106"/>
        <v>0.47666666666666657</v>
      </c>
      <c r="S451">
        <f t="shared" si="107"/>
        <v>0.81374999999999709</v>
      </c>
      <c r="U451">
        <f t="shared" si="108"/>
        <v>36.938973199870929</v>
      </c>
      <c r="V451">
        <v>86</v>
      </c>
      <c r="W451">
        <v>5</v>
      </c>
      <c r="AH451">
        <f t="shared" ref="AH451:AH514" si="109">_xlfn.STDEV.S(I451:I981)</f>
        <v>2.1668850667493449</v>
      </c>
      <c r="AI451">
        <f t="shared" ref="AI451:AI514" si="110">I451-$AH$2</f>
        <v>62.638499016977079</v>
      </c>
      <c r="AJ451">
        <f t="shared" ref="AJ451:AJ514" si="111">I451+$AH$2</f>
        <v>75.401500983022942</v>
      </c>
      <c r="AL451">
        <f t="shared" ref="AL451:AL514" si="112">I451+(AH451*2)</f>
        <v>73.353770133498699</v>
      </c>
      <c r="AM451">
        <f t="shared" ref="AM451:AM514" si="113">I451-(AH451*2)</f>
        <v>64.686229866501321</v>
      </c>
    </row>
    <row r="452" spans="1:39" ht="16.5" x14ac:dyDescent="0.25">
      <c r="A452" s="1">
        <v>45055</v>
      </c>
      <c r="B452" s="5">
        <v>67.150000000000006</v>
      </c>
      <c r="C452" s="4">
        <v>66.86</v>
      </c>
      <c r="D452" s="4">
        <v>67.38</v>
      </c>
      <c r="E452" s="4">
        <v>66.58</v>
      </c>
      <c r="F452" s="4" t="s">
        <v>1579</v>
      </c>
      <c r="G452" s="2" t="s">
        <v>856</v>
      </c>
      <c r="I452">
        <f t="shared" si="100"/>
        <v>69.080999999999989</v>
      </c>
      <c r="J452">
        <f t="shared" si="101"/>
        <v>69.84</v>
      </c>
      <c r="L452">
        <f t="shared" si="102"/>
        <v>1</v>
      </c>
      <c r="M452">
        <f t="shared" si="103"/>
        <v>0</v>
      </c>
      <c r="O452">
        <f t="shared" si="104"/>
        <v>0.29000000000000625</v>
      </c>
      <c r="P452">
        <f t="shared" si="105"/>
        <v>0</v>
      </c>
      <c r="R452">
        <f t="shared" si="106"/>
        <v>0.54500000000000171</v>
      </c>
      <c r="S452">
        <f t="shared" si="107"/>
        <v>0.81374999999999709</v>
      </c>
      <c r="U452">
        <f t="shared" si="108"/>
        <v>40.110395584176786</v>
      </c>
      <c r="V452">
        <v>86</v>
      </c>
      <c r="W452">
        <v>5</v>
      </c>
      <c r="AH452">
        <f t="shared" si="109"/>
        <v>2.1752537738632673</v>
      </c>
      <c r="AI452">
        <f t="shared" si="110"/>
        <v>62.699499016977057</v>
      </c>
      <c r="AJ452">
        <f t="shared" si="111"/>
        <v>75.46250098302292</v>
      </c>
      <c r="AL452">
        <f t="shared" si="112"/>
        <v>73.431507547726525</v>
      </c>
      <c r="AM452">
        <f t="shared" si="113"/>
        <v>64.730492452273452</v>
      </c>
    </row>
    <row r="453" spans="1:39" ht="16.5" x14ac:dyDescent="0.25">
      <c r="A453" s="1">
        <v>45054</v>
      </c>
      <c r="B453" s="5">
        <v>66.680000000000007</v>
      </c>
      <c r="C453" s="4">
        <v>66.989999999999995</v>
      </c>
      <c r="D453" s="4">
        <v>67.37</v>
      </c>
      <c r="E453" s="4">
        <v>66.52</v>
      </c>
      <c r="F453" s="4" t="s">
        <v>1381</v>
      </c>
      <c r="G453" s="2" t="s">
        <v>365</v>
      </c>
      <c r="I453">
        <f t="shared" si="100"/>
        <v>69.114500000000007</v>
      </c>
      <c r="J453">
        <f t="shared" si="101"/>
        <v>70.030500000000032</v>
      </c>
      <c r="L453">
        <f t="shared" si="102"/>
        <v>0</v>
      </c>
      <c r="M453">
        <f t="shared" si="103"/>
        <v>1</v>
      </c>
      <c r="O453">
        <f t="shared" si="104"/>
        <v>0</v>
      </c>
      <c r="P453">
        <f t="shared" si="105"/>
        <v>0.30999999999998806</v>
      </c>
      <c r="R453">
        <f t="shared" si="106"/>
        <v>0.59833333333333394</v>
      </c>
      <c r="S453">
        <f t="shared" si="107"/>
        <v>0.81374999999999709</v>
      </c>
      <c r="U453">
        <f t="shared" si="108"/>
        <v>42.372381233402294</v>
      </c>
      <c r="V453">
        <v>86</v>
      </c>
      <c r="W453">
        <v>5</v>
      </c>
      <c r="AH453">
        <f t="shared" si="109"/>
        <v>2.1841499824629826</v>
      </c>
      <c r="AI453">
        <f t="shared" si="110"/>
        <v>62.732999016977075</v>
      </c>
      <c r="AJ453">
        <f t="shared" si="111"/>
        <v>75.496000983022938</v>
      </c>
      <c r="AL453">
        <f t="shared" si="112"/>
        <v>73.482799964925974</v>
      </c>
      <c r="AM453">
        <f t="shared" si="113"/>
        <v>64.74620003507404</v>
      </c>
    </row>
    <row r="454" spans="1:39" ht="16.5" x14ac:dyDescent="0.25">
      <c r="A454" s="1">
        <v>45051</v>
      </c>
      <c r="B454" s="5">
        <v>66.680000000000007</v>
      </c>
      <c r="C454" s="4">
        <v>65.150000000000006</v>
      </c>
      <c r="D454" s="4">
        <v>66.69</v>
      </c>
      <c r="E454" s="4">
        <v>64.989999999999995</v>
      </c>
      <c r="F454" s="4" t="s">
        <v>1012</v>
      </c>
      <c r="G454" s="2" t="s">
        <v>1583</v>
      </c>
      <c r="I454">
        <f t="shared" si="100"/>
        <v>69.201999999999998</v>
      </c>
      <c r="J454">
        <f t="shared" si="101"/>
        <v>70.241500000000016</v>
      </c>
      <c r="L454">
        <f t="shared" si="102"/>
        <v>1</v>
      </c>
      <c r="M454">
        <f t="shared" si="103"/>
        <v>0</v>
      </c>
      <c r="O454">
        <f t="shared" si="104"/>
        <v>1.5300000000000011</v>
      </c>
      <c r="P454">
        <f t="shared" si="105"/>
        <v>0</v>
      </c>
      <c r="R454">
        <f t="shared" si="106"/>
        <v>0.59833333333333394</v>
      </c>
      <c r="S454">
        <f t="shared" si="107"/>
        <v>0.97249999999999837</v>
      </c>
      <c r="U454">
        <f t="shared" si="108"/>
        <v>38.090185676392636</v>
      </c>
      <c r="V454">
        <v>86</v>
      </c>
      <c r="W454">
        <v>5</v>
      </c>
      <c r="AH454">
        <f t="shared" si="109"/>
        <v>2.1933709509624957</v>
      </c>
      <c r="AI454">
        <f t="shared" si="110"/>
        <v>62.820499016977067</v>
      </c>
      <c r="AJ454">
        <f t="shared" si="111"/>
        <v>75.58350098302293</v>
      </c>
      <c r="AL454">
        <f t="shared" si="112"/>
        <v>73.58874190192499</v>
      </c>
      <c r="AM454">
        <f t="shared" si="113"/>
        <v>64.815258098075006</v>
      </c>
    </row>
    <row r="455" spans="1:39" ht="16.5" x14ac:dyDescent="0.25">
      <c r="A455" s="1">
        <v>45050</v>
      </c>
      <c r="B455" s="5">
        <v>65.06</v>
      </c>
      <c r="C455" s="4">
        <v>66.5</v>
      </c>
      <c r="D455" s="4">
        <v>66.64</v>
      </c>
      <c r="E455" s="4">
        <v>64.510000000000005</v>
      </c>
      <c r="F455" s="4" t="s">
        <v>903</v>
      </c>
      <c r="G455" s="2" t="s">
        <v>1584</v>
      </c>
      <c r="I455">
        <f t="shared" si="100"/>
        <v>69.390000000000015</v>
      </c>
      <c r="J455">
        <f t="shared" si="101"/>
        <v>70.458000000000027</v>
      </c>
      <c r="L455">
        <f t="shared" si="102"/>
        <v>0</v>
      </c>
      <c r="M455">
        <f t="shared" si="103"/>
        <v>1</v>
      </c>
      <c r="O455">
        <f t="shared" si="104"/>
        <v>0</v>
      </c>
      <c r="P455">
        <f t="shared" si="105"/>
        <v>1.4399999999999977</v>
      </c>
      <c r="R455">
        <f t="shared" si="106"/>
        <v>0.41833333333333417</v>
      </c>
      <c r="S455">
        <f t="shared" si="107"/>
        <v>0.97249999999999837</v>
      </c>
      <c r="U455">
        <f t="shared" si="108"/>
        <v>30.077890952666337</v>
      </c>
      <c r="V455">
        <v>86</v>
      </c>
      <c r="W455">
        <v>5</v>
      </c>
      <c r="AH455">
        <f t="shared" si="109"/>
        <v>2.2033292551715724</v>
      </c>
      <c r="AI455">
        <f t="shared" si="110"/>
        <v>63.008499016977083</v>
      </c>
      <c r="AJ455">
        <f t="shared" si="111"/>
        <v>75.771500983022946</v>
      </c>
      <c r="AL455">
        <f t="shared" si="112"/>
        <v>73.796658510343164</v>
      </c>
      <c r="AM455">
        <f t="shared" si="113"/>
        <v>64.983341489656866</v>
      </c>
    </row>
    <row r="456" spans="1:39" ht="16.5" x14ac:dyDescent="0.25">
      <c r="A456" s="1">
        <v>45049</v>
      </c>
      <c r="B456" s="5">
        <v>70.25</v>
      </c>
      <c r="C456" s="4">
        <v>70</v>
      </c>
      <c r="D456" s="4">
        <v>70.41</v>
      </c>
      <c r="E456" s="4">
        <v>68.930000000000007</v>
      </c>
      <c r="F456" s="4" t="s">
        <v>973</v>
      </c>
      <c r="G456" s="2" t="s">
        <v>477</v>
      </c>
      <c r="I456">
        <f t="shared" si="100"/>
        <v>69.657499999999999</v>
      </c>
      <c r="J456">
        <f t="shared" si="101"/>
        <v>70.725750000000019</v>
      </c>
      <c r="L456">
        <f t="shared" si="102"/>
        <v>1</v>
      </c>
      <c r="M456">
        <f t="shared" si="103"/>
        <v>0</v>
      </c>
      <c r="O456">
        <f t="shared" si="104"/>
        <v>0.25</v>
      </c>
      <c r="P456">
        <f t="shared" si="105"/>
        <v>0</v>
      </c>
      <c r="R456">
        <f t="shared" si="106"/>
        <v>0.41428571428571509</v>
      </c>
      <c r="S456">
        <f t="shared" si="107"/>
        <v>0.90571428571428414</v>
      </c>
      <c r="U456">
        <f t="shared" si="108"/>
        <v>31.385281385281459</v>
      </c>
      <c r="V456">
        <v>86</v>
      </c>
      <c r="W456">
        <v>5</v>
      </c>
      <c r="AH456">
        <f t="shared" si="109"/>
        <v>2.214687184826353</v>
      </c>
      <c r="AI456">
        <f t="shared" si="110"/>
        <v>63.275999016977067</v>
      </c>
      <c r="AJ456">
        <f t="shared" si="111"/>
        <v>76.03900098302293</v>
      </c>
      <c r="AL456">
        <f t="shared" si="112"/>
        <v>74.086874369652705</v>
      </c>
      <c r="AM456">
        <f t="shared" si="113"/>
        <v>65.228125630347293</v>
      </c>
    </row>
    <row r="457" spans="1:39" ht="16.5" x14ac:dyDescent="0.25">
      <c r="A457" s="1">
        <v>45048</v>
      </c>
      <c r="B457" s="5">
        <v>69.56</v>
      </c>
      <c r="C457" s="4">
        <v>71.2</v>
      </c>
      <c r="D457" s="4">
        <v>71.55</v>
      </c>
      <c r="E457" s="4">
        <v>69.56</v>
      </c>
      <c r="F457" s="4" t="s">
        <v>1501</v>
      </c>
      <c r="G457" s="2" t="s">
        <v>1248</v>
      </c>
      <c r="I457">
        <f t="shared" si="100"/>
        <v>69.683999999999997</v>
      </c>
      <c r="J457">
        <f t="shared" si="101"/>
        <v>70.859250000000017</v>
      </c>
      <c r="L457">
        <f t="shared" si="102"/>
        <v>0</v>
      </c>
      <c r="M457">
        <f t="shared" si="103"/>
        <v>1</v>
      </c>
      <c r="O457">
        <f t="shared" si="104"/>
        <v>0</v>
      </c>
      <c r="P457">
        <f t="shared" si="105"/>
        <v>1.6400000000000006</v>
      </c>
      <c r="R457">
        <f t="shared" si="106"/>
        <v>0.4285714285714306</v>
      </c>
      <c r="S457">
        <f t="shared" si="107"/>
        <v>0.90571428571428414</v>
      </c>
      <c r="U457">
        <f t="shared" si="108"/>
        <v>32.119914346895214</v>
      </c>
      <c r="V457">
        <v>86</v>
      </c>
      <c r="W457">
        <v>5</v>
      </c>
      <c r="AH457">
        <f t="shared" si="109"/>
        <v>2.2277129606074388</v>
      </c>
      <c r="AI457">
        <f t="shared" si="110"/>
        <v>63.302499016977066</v>
      </c>
      <c r="AJ457">
        <f t="shared" si="111"/>
        <v>76.065500983022929</v>
      </c>
      <c r="AL457">
        <f t="shared" si="112"/>
        <v>74.13942592121488</v>
      </c>
      <c r="AM457">
        <f t="shared" si="113"/>
        <v>65.228574078785115</v>
      </c>
    </row>
    <row r="458" spans="1:39" ht="16.5" x14ac:dyDescent="0.25">
      <c r="A458" s="1">
        <v>45044</v>
      </c>
      <c r="B458" s="5">
        <v>70.58</v>
      </c>
      <c r="C458" s="4">
        <v>70.92</v>
      </c>
      <c r="D458" s="4">
        <v>71.31</v>
      </c>
      <c r="E458" s="4">
        <v>68.349999999999994</v>
      </c>
      <c r="F458" s="4" t="s">
        <v>1585</v>
      </c>
      <c r="G458" s="2" t="s">
        <v>516</v>
      </c>
      <c r="I458">
        <f t="shared" si="100"/>
        <v>69.751500000000007</v>
      </c>
      <c r="J458">
        <f t="shared" si="101"/>
        <v>70.960750000000019</v>
      </c>
      <c r="L458">
        <f t="shared" si="102"/>
        <v>0</v>
      </c>
      <c r="M458">
        <f t="shared" si="103"/>
        <v>1</v>
      </c>
      <c r="O458">
        <f t="shared" si="104"/>
        <v>0</v>
      </c>
      <c r="P458">
        <f t="shared" si="105"/>
        <v>0.34000000000000341</v>
      </c>
      <c r="R458">
        <f t="shared" si="106"/>
        <v>0.39750000000000085</v>
      </c>
      <c r="S458">
        <f t="shared" si="107"/>
        <v>0.78333333333333144</v>
      </c>
      <c r="U458">
        <f t="shared" si="108"/>
        <v>33.662667607621827</v>
      </c>
      <c r="V458">
        <v>86</v>
      </c>
      <c r="W458">
        <v>5</v>
      </c>
      <c r="AH458">
        <f t="shared" si="109"/>
        <v>2.2410935582480542</v>
      </c>
      <c r="AI458">
        <f t="shared" si="110"/>
        <v>63.369999016977076</v>
      </c>
      <c r="AJ458">
        <f t="shared" si="111"/>
        <v>76.133000983022939</v>
      </c>
      <c r="AL458">
        <f t="shared" si="112"/>
        <v>74.233687116496114</v>
      </c>
      <c r="AM458">
        <f t="shared" si="113"/>
        <v>65.2693128835039</v>
      </c>
    </row>
    <row r="459" spans="1:39" ht="16.5" x14ac:dyDescent="0.25">
      <c r="A459" s="1">
        <v>45043</v>
      </c>
      <c r="B459" s="5">
        <v>70.06</v>
      </c>
      <c r="C459" s="4">
        <v>70.25</v>
      </c>
      <c r="D459" s="4">
        <v>71.06</v>
      </c>
      <c r="E459" s="4">
        <v>69.66</v>
      </c>
      <c r="F459" s="4" t="s">
        <v>1392</v>
      </c>
      <c r="G459" s="2" t="s">
        <v>365</v>
      </c>
      <c r="I459">
        <f t="shared" si="100"/>
        <v>69.740500000000011</v>
      </c>
      <c r="J459">
        <f t="shared" si="101"/>
        <v>71.029500000000013</v>
      </c>
      <c r="L459">
        <f t="shared" si="102"/>
        <v>0</v>
      </c>
      <c r="M459">
        <f t="shared" si="103"/>
        <v>1</v>
      </c>
      <c r="O459">
        <f t="shared" si="104"/>
        <v>0</v>
      </c>
      <c r="P459">
        <f t="shared" si="105"/>
        <v>0.18999999999999773</v>
      </c>
      <c r="R459">
        <f t="shared" si="106"/>
        <v>0.39750000000000085</v>
      </c>
      <c r="S459">
        <f t="shared" si="107"/>
        <v>0.83499999999999852</v>
      </c>
      <c r="U459">
        <f t="shared" si="108"/>
        <v>32.251521298174524</v>
      </c>
      <c r="V459">
        <v>86</v>
      </c>
      <c r="W459">
        <v>5</v>
      </c>
      <c r="AH459">
        <f t="shared" si="109"/>
        <v>2.255026458024084</v>
      </c>
      <c r="AI459">
        <f t="shared" si="110"/>
        <v>63.35899901697708</v>
      </c>
      <c r="AJ459">
        <f t="shared" si="111"/>
        <v>76.122000983022943</v>
      </c>
      <c r="AL459">
        <f t="shared" si="112"/>
        <v>74.250552916048179</v>
      </c>
      <c r="AM459">
        <f t="shared" si="113"/>
        <v>65.230447083951844</v>
      </c>
    </row>
    <row r="460" spans="1:39" ht="16.5" x14ac:dyDescent="0.25">
      <c r="A460" s="1">
        <v>45042</v>
      </c>
      <c r="B460" s="5">
        <v>70.06</v>
      </c>
      <c r="C460" s="4">
        <v>69.75</v>
      </c>
      <c r="D460" s="4">
        <v>70.150000000000006</v>
      </c>
      <c r="E460" s="4">
        <v>69.099999999999994</v>
      </c>
      <c r="F460" s="4" t="s">
        <v>720</v>
      </c>
      <c r="G460" s="2" t="s">
        <v>251</v>
      </c>
      <c r="I460">
        <f t="shared" si="100"/>
        <v>69.832000000000022</v>
      </c>
      <c r="J460">
        <f t="shared" si="101"/>
        <v>71.094250000000017</v>
      </c>
      <c r="L460">
        <f t="shared" si="102"/>
        <v>1</v>
      </c>
      <c r="M460">
        <f t="shared" si="103"/>
        <v>0</v>
      </c>
      <c r="O460">
        <f t="shared" si="104"/>
        <v>0.31000000000000227</v>
      </c>
      <c r="P460">
        <f t="shared" si="105"/>
        <v>0</v>
      </c>
      <c r="R460">
        <f t="shared" si="106"/>
        <v>0.39750000000000085</v>
      </c>
      <c r="S460">
        <f t="shared" si="107"/>
        <v>1.1799999999999973</v>
      </c>
      <c r="U460">
        <f t="shared" si="108"/>
        <v>25.19809825673542</v>
      </c>
      <c r="V460">
        <v>86</v>
      </c>
      <c r="W460">
        <v>5</v>
      </c>
      <c r="AH460">
        <f t="shared" si="109"/>
        <v>2.269168235715564</v>
      </c>
      <c r="AI460">
        <f t="shared" si="110"/>
        <v>63.450499016977091</v>
      </c>
      <c r="AJ460">
        <f t="shared" si="111"/>
        <v>76.213500983022954</v>
      </c>
      <c r="AL460">
        <f t="shared" si="112"/>
        <v>74.370336471431145</v>
      </c>
      <c r="AM460">
        <f t="shared" si="113"/>
        <v>65.293663528568899</v>
      </c>
    </row>
    <row r="461" spans="1:39" ht="16.5" x14ac:dyDescent="0.25">
      <c r="A461" s="1">
        <v>45041</v>
      </c>
      <c r="B461" s="5">
        <v>69.760000000000005</v>
      </c>
      <c r="C461" s="4">
        <v>69.89</v>
      </c>
      <c r="D461" s="4">
        <v>70.150000000000006</v>
      </c>
      <c r="E461" s="4">
        <v>69.38</v>
      </c>
      <c r="F461" s="4" t="s">
        <v>1423</v>
      </c>
      <c r="G461" s="2" t="s">
        <v>342</v>
      </c>
      <c r="I461">
        <f t="shared" si="100"/>
        <v>69.90300000000002</v>
      </c>
      <c r="J461">
        <f t="shared" si="101"/>
        <v>71.157500000000027</v>
      </c>
      <c r="L461">
        <f t="shared" si="102"/>
        <v>0</v>
      </c>
      <c r="M461">
        <f t="shared" si="103"/>
        <v>1</v>
      </c>
      <c r="O461">
        <f t="shared" si="104"/>
        <v>0</v>
      </c>
      <c r="P461">
        <f t="shared" si="105"/>
        <v>0.12999999999999545</v>
      </c>
      <c r="R461">
        <f t="shared" si="106"/>
        <v>0.41000000000000064</v>
      </c>
      <c r="S461">
        <f t="shared" si="107"/>
        <v>1.0471428571428549</v>
      </c>
      <c r="U461">
        <f t="shared" si="108"/>
        <v>28.137254901960858</v>
      </c>
      <c r="V461">
        <v>86</v>
      </c>
      <c r="W461">
        <v>5</v>
      </c>
      <c r="AH461">
        <f t="shared" si="109"/>
        <v>2.2839788296967183</v>
      </c>
      <c r="AI461">
        <f t="shared" si="110"/>
        <v>63.521499016977089</v>
      </c>
      <c r="AJ461">
        <f t="shared" si="111"/>
        <v>76.284500983022951</v>
      </c>
      <c r="AL461">
        <f t="shared" si="112"/>
        <v>74.470957659393463</v>
      </c>
      <c r="AM461">
        <f t="shared" si="113"/>
        <v>65.335042340606577</v>
      </c>
    </row>
    <row r="462" spans="1:39" ht="16.5" x14ac:dyDescent="0.25">
      <c r="A462" s="1">
        <v>45040</v>
      </c>
      <c r="B462" s="5">
        <v>69.89</v>
      </c>
      <c r="C462" s="4">
        <v>69.48</v>
      </c>
      <c r="D462" s="4">
        <v>70.150000000000006</v>
      </c>
      <c r="E462" s="4">
        <v>69.099999999999994</v>
      </c>
      <c r="F462" s="4" t="s">
        <v>139</v>
      </c>
      <c r="G462" s="2" t="s">
        <v>448</v>
      </c>
      <c r="I462">
        <f t="shared" si="100"/>
        <v>69.897500000000008</v>
      </c>
      <c r="J462">
        <f t="shared" si="101"/>
        <v>71.212000000000018</v>
      </c>
      <c r="L462">
        <f t="shared" si="102"/>
        <v>1</v>
      </c>
      <c r="M462">
        <f t="shared" si="103"/>
        <v>0</v>
      </c>
      <c r="O462">
        <f t="shared" si="104"/>
        <v>0.40999999999999659</v>
      </c>
      <c r="P462">
        <f t="shared" si="105"/>
        <v>0</v>
      </c>
      <c r="R462">
        <f t="shared" si="106"/>
        <v>0.41000000000000064</v>
      </c>
      <c r="S462">
        <f t="shared" si="107"/>
        <v>1.085714285714285</v>
      </c>
      <c r="U462">
        <f t="shared" si="108"/>
        <v>27.411652340019145</v>
      </c>
      <c r="V462">
        <v>86</v>
      </c>
      <c r="W462">
        <v>5</v>
      </c>
      <c r="AH462">
        <f t="shared" si="109"/>
        <v>2.299363696367716</v>
      </c>
      <c r="AI462">
        <f t="shared" si="110"/>
        <v>63.515999016977077</v>
      </c>
      <c r="AJ462">
        <f t="shared" si="111"/>
        <v>76.279000983022939</v>
      </c>
      <c r="AL462">
        <f t="shared" si="112"/>
        <v>74.496227392735435</v>
      </c>
      <c r="AM462">
        <f t="shared" si="113"/>
        <v>65.298772607264581</v>
      </c>
    </row>
    <row r="463" spans="1:39" ht="16.5" x14ac:dyDescent="0.25">
      <c r="A463" s="1">
        <v>45037</v>
      </c>
      <c r="B463" s="5">
        <v>69.209999999999994</v>
      </c>
      <c r="C463" s="4">
        <v>69.599999999999994</v>
      </c>
      <c r="D463" s="4">
        <v>70.19</v>
      </c>
      <c r="E463" s="4">
        <v>68.31</v>
      </c>
      <c r="F463" s="4" t="s">
        <v>1586</v>
      </c>
      <c r="G463" s="2" t="s">
        <v>433</v>
      </c>
      <c r="I463">
        <f t="shared" si="100"/>
        <v>69.939000000000007</v>
      </c>
      <c r="J463">
        <f t="shared" si="101"/>
        <v>71.317500000000024</v>
      </c>
      <c r="L463">
        <f t="shared" si="102"/>
        <v>0</v>
      </c>
      <c r="M463">
        <f t="shared" si="103"/>
        <v>1</v>
      </c>
      <c r="O463">
        <f t="shared" si="104"/>
        <v>0</v>
      </c>
      <c r="P463">
        <f t="shared" si="105"/>
        <v>0.39000000000000057</v>
      </c>
      <c r="R463">
        <f t="shared" si="106"/>
        <v>0.41000000000000131</v>
      </c>
      <c r="S463">
        <f t="shared" si="107"/>
        <v>0.99874999999999936</v>
      </c>
      <c r="U463">
        <f t="shared" si="108"/>
        <v>29.103815439219247</v>
      </c>
      <c r="V463">
        <v>86</v>
      </c>
      <c r="W463">
        <v>5</v>
      </c>
      <c r="AH463">
        <f t="shared" si="109"/>
        <v>2.3150406975848545</v>
      </c>
      <c r="AI463">
        <f t="shared" si="110"/>
        <v>63.557499016977076</v>
      </c>
      <c r="AJ463">
        <f t="shared" si="111"/>
        <v>76.320500983022939</v>
      </c>
      <c r="AL463">
        <f t="shared" si="112"/>
        <v>74.569081395169718</v>
      </c>
      <c r="AM463">
        <f t="shared" si="113"/>
        <v>65.308918604830296</v>
      </c>
    </row>
    <row r="464" spans="1:39" ht="16.5" x14ac:dyDescent="0.25">
      <c r="A464" s="1">
        <v>45036</v>
      </c>
      <c r="B464" s="5">
        <v>68.23</v>
      </c>
      <c r="C464" s="4">
        <v>70.3</v>
      </c>
      <c r="D464" s="4">
        <v>70.3</v>
      </c>
      <c r="E464" s="4">
        <v>67.95</v>
      </c>
      <c r="F464" s="4" t="s">
        <v>1080</v>
      </c>
      <c r="G464" s="2" t="s">
        <v>1587</v>
      </c>
      <c r="I464">
        <f t="shared" si="100"/>
        <v>70.037000000000006</v>
      </c>
      <c r="J464">
        <f t="shared" si="101"/>
        <v>71.436750000000018</v>
      </c>
      <c r="L464">
        <f t="shared" si="102"/>
        <v>0</v>
      </c>
      <c r="M464">
        <f t="shared" si="103"/>
        <v>1</v>
      </c>
      <c r="O464">
        <f t="shared" si="104"/>
        <v>0</v>
      </c>
      <c r="P464">
        <f t="shared" si="105"/>
        <v>2.0699999999999932</v>
      </c>
      <c r="R464">
        <f t="shared" si="106"/>
        <v>0.41000000000000131</v>
      </c>
      <c r="S464">
        <f t="shared" si="107"/>
        <v>0.95875000000000021</v>
      </c>
      <c r="U464">
        <f t="shared" si="108"/>
        <v>29.954337899543447</v>
      </c>
      <c r="V464">
        <v>86</v>
      </c>
      <c r="W464">
        <v>5</v>
      </c>
      <c r="AH464">
        <f t="shared" si="109"/>
        <v>2.3311999603296707</v>
      </c>
      <c r="AI464">
        <f t="shared" si="110"/>
        <v>63.655499016977075</v>
      </c>
      <c r="AJ464">
        <f t="shared" si="111"/>
        <v>76.418500983022938</v>
      </c>
      <c r="AL464">
        <f t="shared" si="112"/>
        <v>74.699399920659346</v>
      </c>
      <c r="AM464">
        <f t="shared" si="113"/>
        <v>65.374600079340667</v>
      </c>
    </row>
    <row r="465" spans="1:39" ht="16.5" x14ac:dyDescent="0.25">
      <c r="A465" s="1">
        <v>45035</v>
      </c>
      <c r="B465" s="5">
        <v>70.61</v>
      </c>
      <c r="C465" s="4">
        <v>70.13</v>
      </c>
      <c r="D465" s="4">
        <v>70.61</v>
      </c>
      <c r="E465" s="4">
        <v>69.56</v>
      </c>
      <c r="F465" s="4" t="s">
        <v>1424</v>
      </c>
      <c r="G465" s="2" t="s">
        <v>45</v>
      </c>
      <c r="I465">
        <f t="shared" si="100"/>
        <v>70.149500000000018</v>
      </c>
      <c r="J465">
        <f t="shared" si="101"/>
        <v>71.595750000000024</v>
      </c>
      <c r="L465">
        <f t="shared" si="102"/>
        <v>1</v>
      </c>
      <c r="M465">
        <f t="shared" si="103"/>
        <v>0</v>
      </c>
      <c r="O465">
        <f t="shared" si="104"/>
        <v>0.48000000000000398</v>
      </c>
      <c r="P465">
        <f t="shared" si="105"/>
        <v>0</v>
      </c>
      <c r="R465">
        <f t="shared" si="106"/>
        <v>0.39142857142857274</v>
      </c>
      <c r="S465">
        <f t="shared" si="107"/>
        <v>0.80000000000000127</v>
      </c>
      <c r="U465">
        <f t="shared" si="108"/>
        <v>32.853717026378945</v>
      </c>
      <c r="V465">
        <v>86</v>
      </c>
      <c r="W465">
        <v>5</v>
      </c>
      <c r="AH465">
        <f t="shared" si="109"/>
        <v>2.3480403196314343</v>
      </c>
      <c r="AI465">
        <f t="shared" si="110"/>
        <v>63.767999016977086</v>
      </c>
      <c r="AJ465">
        <f t="shared" si="111"/>
        <v>76.531000983022949</v>
      </c>
      <c r="AL465">
        <f t="shared" si="112"/>
        <v>74.845580639262892</v>
      </c>
      <c r="AM465">
        <f t="shared" si="113"/>
        <v>65.453419360737144</v>
      </c>
    </row>
    <row r="466" spans="1:39" ht="16.5" x14ac:dyDescent="0.25">
      <c r="A466" s="1">
        <v>45034</v>
      </c>
      <c r="B466" s="5">
        <v>70.17</v>
      </c>
      <c r="C466" s="4">
        <v>69.56</v>
      </c>
      <c r="D466" s="4">
        <v>70.25</v>
      </c>
      <c r="E466" s="4">
        <v>69.42</v>
      </c>
      <c r="F466" s="4" t="s">
        <v>1392</v>
      </c>
      <c r="G466" s="2" t="s">
        <v>347</v>
      </c>
      <c r="I466">
        <f t="shared" si="100"/>
        <v>70.076000000000008</v>
      </c>
      <c r="J466">
        <f t="shared" si="101"/>
        <v>71.702250000000021</v>
      </c>
      <c r="L466">
        <f t="shared" si="102"/>
        <v>1</v>
      </c>
      <c r="M466">
        <f t="shared" si="103"/>
        <v>0</v>
      </c>
      <c r="O466">
        <f t="shared" si="104"/>
        <v>0.60999999999999943</v>
      </c>
      <c r="P466">
        <f t="shared" si="105"/>
        <v>0</v>
      </c>
      <c r="R466">
        <f t="shared" si="106"/>
        <v>0.37666666666666754</v>
      </c>
      <c r="S466">
        <f t="shared" si="107"/>
        <v>0.77750000000000163</v>
      </c>
      <c r="U466">
        <f t="shared" si="108"/>
        <v>32.63537906137185</v>
      </c>
      <c r="V466">
        <v>86</v>
      </c>
      <c r="W466">
        <v>5</v>
      </c>
      <c r="AH466">
        <f t="shared" si="109"/>
        <v>2.3655702854566405</v>
      </c>
      <c r="AI466">
        <f t="shared" si="110"/>
        <v>63.694499016977076</v>
      </c>
      <c r="AJ466">
        <f t="shared" si="111"/>
        <v>76.457500983022939</v>
      </c>
      <c r="AL466">
        <f t="shared" si="112"/>
        <v>74.80714057091329</v>
      </c>
      <c r="AM466">
        <f t="shared" si="113"/>
        <v>65.344859429086725</v>
      </c>
    </row>
    <row r="467" spans="1:39" ht="16.5" x14ac:dyDescent="0.25">
      <c r="A467" s="1">
        <v>45033</v>
      </c>
      <c r="B467" s="5">
        <v>69.25</v>
      </c>
      <c r="C467" s="4">
        <v>70.83</v>
      </c>
      <c r="D467" s="4">
        <v>70.91</v>
      </c>
      <c r="E467" s="4">
        <v>69.13</v>
      </c>
      <c r="F467" s="4" t="s">
        <v>1588</v>
      </c>
      <c r="G467" s="2" t="s">
        <v>1589</v>
      </c>
      <c r="I467">
        <f t="shared" si="100"/>
        <v>70.030500000000004</v>
      </c>
      <c r="J467">
        <f t="shared" si="101"/>
        <v>71.814000000000007</v>
      </c>
      <c r="L467">
        <f t="shared" si="102"/>
        <v>0</v>
      </c>
      <c r="M467">
        <f t="shared" si="103"/>
        <v>1</v>
      </c>
      <c r="O467">
        <f t="shared" si="104"/>
        <v>0</v>
      </c>
      <c r="P467">
        <f t="shared" si="105"/>
        <v>1.5799999999999983</v>
      </c>
      <c r="R467">
        <f t="shared" si="106"/>
        <v>0.46000000000000085</v>
      </c>
      <c r="S467">
        <f t="shared" si="107"/>
        <v>0.77750000000000163</v>
      </c>
      <c r="U467">
        <f t="shared" si="108"/>
        <v>37.171717171717169</v>
      </c>
      <c r="V467">
        <v>86</v>
      </c>
      <c r="W467">
        <v>5</v>
      </c>
      <c r="AH467">
        <f t="shared" si="109"/>
        <v>2.3832946848950338</v>
      </c>
      <c r="AI467">
        <f t="shared" si="110"/>
        <v>63.648999016977072</v>
      </c>
      <c r="AJ467">
        <f t="shared" si="111"/>
        <v>76.412000983022935</v>
      </c>
      <c r="AL467">
        <f t="shared" si="112"/>
        <v>74.797089369790072</v>
      </c>
      <c r="AM467">
        <f t="shared" si="113"/>
        <v>65.263910630209935</v>
      </c>
    </row>
    <row r="468" spans="1:39" ht="16.5" x14ac:dyDescent="0.25">
      <c r="A468" s="1">
        <v>45030</v>
      </c>
      <c r="B468" s="5">
        <v>70.41</v>
      </c>
      <c r="C468" s="4">
        <v>69.959999999999994</v>
      </c>
      <c r="D468" s="4">
        <v>70.8</v>
      </c>
      <c r="E468" s="4">
        <v>69.790000000000006</v>
      </c>
      <c r="F468" s="4" t="s">
        <v>1590</v>
      </c>
      <c r="G468" s="2" t="s">
        <v>1004</v>
      </c>
      <c r="I468">
        <f t="shared" si="100"/>
        <v>70.085999999999999</v>
      </c>
      <c r="J468">
        <f t="shared" si="101"/>
        <v>71.89725</v>
      </c>
      <c r="L468">
        <f t="shared" si="102"/>
        <v>1</v>
      </c>
      <c r="M468">
        <f t="shared" si="103"/>
        <v>0</v>
      </c>
      <c r="O468">
        <f t="shared" si="104"/>
        <v>0.45000000000000284</v>
      </c>
      <c r="P468">
        <f t="shared" si="105"/>
        <v>0</v>
      </c>
      <c r="R468">
        <f t="shared" si="106"/>
        <v>0.46000000000000085</v>
      </c>
      <c r="S468">
        <f t="shared" si="107"/>
        <v>0.67375000000000185</v>
      </c>
      <c r="U468">
        <f t="shared" si="108"/>
        <v>40.573318632855546</v>
      </c>
      <c r="V468">
        <v>86</v>
      </c>
      <c r="W468">
        <v>5</v>
      </c>
      <c r="AH468">
        <f t="shared" si="109"/>
        <v>2.401275408150719</v>
      </c>
      <c r="AI468">
        <f t="shared" si="110"/>
        <v>63.704499016977067</v>
      </c>
      <c r="AJ468">
        <f t="shared" si="111"/>
        <v>76.46750098302293</v>
      </c>
      <c r="AL468">
        <f t="shared" si="112"/>
        <v>74.888550816301432</v>
      </c>
      <c r="AM468">
        <f t="shared" si="113"/>
        <v>65.283449183698565</v>
      </c>
    </row>
    <row r="469" spans="1:39" ht="16.5" x14ac:dyDescent="0.25">
      <c r="A469" s="1">
        <v>45029</v>
      </c>
      <c r="B469" s="5">
        <v>69.790000000000006</v>
      </c>
      <c r="C469" s="4">
        <v>69.400000000000006</v>
      </c>
      <c r="D469" s="4">
        <v>70.180000000000007</v>
      </c>
      <c r="E469" s="4">
        <v>69.13</v>
      </c>
      <c r="F469" s="4" t="s">
        <v>107</v>
      </c>
      <c r="G469" s="2" t="s">
        <v>825</v>
      </c>
      <c r="I469">
        <f t="shared" si="100"/>
        <v>70.073000000000008</v>
      </c>
      <c r="J469">
        <f t="shared" si="101"/>
        <v>71.945999999999998</v>
      </c>
      <c r="L469">
        <f t="shared" si="102"/>
        <v>1</v>
      </c>
      <c r="M469">
        <f t="shared" si="103"/>
        <v>0</v>
      </c>
      <c r="O469">
        <f t="shared" si="104"/>
        <v>0.39000000000000057</v>
      </c>
      <c r="P469">
        <f t="shared" si="105"/>
        <v>0</v>
      </c>
      <c r="R469">
        <f t="shared" si="106"/>
        <v>0.46200000000000047</v>
      </c>
      <c r="S469">
        <f t="shared" si="107"/>
        <v>0.66555555555555657</v>
      </c>
      <c r="U469">
        <f t="shared" si="108"/>
        <v>40.973590855340937</v>
      </c>
      <c r="V469">
        <v>86</v>
      </c>
      <c r="W469">
        <v>5</v>
      </c>
      <c r="AH469">
        <f t="shared" si="109"/>
        <v>2.4198512424642629</v>
      </c>
      <c r="AI469">
        <f t="shared" si="110"/>
        <v>63.691499016977076</v>
      </c>
      <c r="AJ469">
        <f t="shared" si="111"/>
        <v>76.454500983022939</v>
      </c>
      <c r="AL469">
        <f t="shared" si="112"/>
        <v>74.912702484928531</v>
      </c>
      <c r="AM469">
        <f t="shared" si="113"/>
        <v>65.233297515071484</v>
      </c>
    </row>
    <row r="470" spans="1:39" ht="16.5" x14ac:dyDescent="0.25">
      <c r="A470" s="1">
        <v>45028</v>
      </c>
      <c r="B470" s="5">
        <v>69.34</v>
      </c>
      <c r="C470" s="4">
        <v>68.989999999999995</v>
      </c>
      <c r="D470" s="4">
        <v>70.28</v>
      </c>
      <c r="E470" s="4">
        <v>68.900000000000006</v>
      </c>
      <c r="F470" s="4" t="s">
        <v>1377</v>
      </c>
      <c r="G470" s="2" t="s">
        <v>290</v>
      </c>
      <c r="I470">
        <f t="shared" si="100"/>
        <v>70.224500000000006</v>
      </c>
      <c r="J470">
        <f t="shared" si="101"/>
        <v>71.988250000000008</v>
      </c>
      <c r="L470">
        <f t="shared" si="102"/>
        <v>1</v>
      </c>
      <c r="M470">
        <f t="shared" si="103"/>
        <v>0</v>
      </c>
      <c r="O470">
        <f t="shared" si="104"/>
        <v>0.35000000000000853</v>
      </c>
      <c r="P470">
        <f t="shared" si="105"/>
        <v>0</v>
      </c>
      <c r="R470">
        <f t="shared" si="106"/>
        <v>0.49600000000000077</v>
      </c>
      <c r="S470">
        <f t="shared" si="107"/>
        <v>0.66555555555555657</v>
      </c>
      <c r="U470">
        <f t="shared" si="108"/>
        <v>42.701358331739044</v>
      </c>
      <c r="V470">
        <v>86</v>
      </c>
      <c r="W470">
        <v>5</v>
      </c>
      <c r="AH470">
        <f t="shared" si="109"/>
        <v>2.4388225064465252</v>
      </c>
      <c r="AI470">
        <f t="shared" si="110"/>
        <v>63.842999016977075</v>
      </c>
      <c r="AJ470">
        <f t="shared" si="111"/>
        <v>76.606000983022938</v>
      </c>
      <c r="AL470">
        <f t="shared" si="112"/>
        <v>75.102145012893061</v>
      </c>
      <c r="AM470">
        <f t="shared" si="113"/>
        <v>65.346854987106951</v>
      </c>
    </row>
    <row r="471" spans="1:39" ht="16.5" x14ac:dyDescent="0.25">
      <c r="A471" s="1">
        <v>45027</v>
      </c>
      <c r="B471" s="5">
        <v>68.88</v>
      </c>
      <c r="C471" s="4">
        <v>68.7</v>
      </c>
      <c r="D471" s="4">
        <v>69.58</v>
      </c>
      <c r="E471" s="4">
        <v>68.42</v>
      </c>
      <c r="F471" s="4" t="s">
        <v>1591</v>
      </c>
      <c r="G471" s="2" t="s">
        <v>426</v>
      </c>
      <c r="I471">
        <f t="shared" si="100"/>
        <v>70.341499999999996</v>
      </c>
      <c r="J471">
        <f t="shared" si="101"/>
        <v>72.041499999999999</v>
      </c>
      <c r="L471">
        <f t="shared" si="102"/>
        <v>1</v>
      </c>
      <c r="M471">
        <f t="shared" si="103"/>
        <v>0</v>
      </c>
      <c r="O471">
        <f t="shared" si="104"/>
        <v>0.17999999999999261</v>
      </c>
      <c r="P471">
        <f t="shared" si="105"/>
        <v>0</v>
      </c>
      <c r="R471">
        <f t="shared" si="106"/>
        <v>0.48799999999999955</v>
      </c>
      <c r="S471">
        <f t="shared" si="107"/>
        <v>0.66555555555555657</v>
      </c>
      <c r="U471">
        <f t="shared" si="108"/>
        <v>42.30398767096893</v>
      </c>
      <c r="V471">
        <v>86</v>
      </c>
      <c r="W471">
        <v>5</v>
      </c>
      <c r="AH471">
        <f t="shared" si="109"/>
        <v>2.4586753032378565</v>
      </c>
      <c r="AI471">
        <f t="shared" si="110"/>
        <v>63.959999016977065</v>
      </c>
      <c r="AJ471">
        <f t="shared" si="111"/>
        <v>76.723000983022928</v>
      </c>
      <c r="AL471">
        <f t="shared" si="112"/>
        <v>75.258850606475704</v>
      </c>
      <c r="AM471">
        <f t="shared" si="113"/>
        <v>65.424149393524289</v>
      </c>
    </row>
    <row r="472" spans="1:39" ht="16.5" x14ac:dyDescent="0.25">
      <c r="A472" s="1">
        <v>45022</v>
      </c>
      <c r="B472" s="5">
        <v>67.819999999999993</v>
      </c>
      <c r="C472" s="4">
        <v>68.47</v>
      </c>
      <c r="D472" s="4">
        <v>68.55</v>
      </c>
      <c r="E472" s="4">
        <v>67.400000000000006</v>
      </c>
      <c r="F472" s="4" t="s">
        <v>1468</v>
      </c>
      <c r="G472" s="2" t="s">
        <v>606</v>
      </c>
      <c r="I472">
        <f t="shared" si="100"/>
        <v>70.599000000000004</v>
      </c>
      <c r="J472">
        <f t="shared" si="101"/>
        <v>72.118499999999997</v>
      </c>
      <c r="L472">
        <f t="shared" si="102"/>
        <v>0</v>
      </c>
      <c r="M472">
        <f t="shared" si="103"/>
        <v>1</v>
      </c>
      <c r="O472">
        <f t="shared" si="104"/>
        <v>0</v>
      </c>
      <c r="P472">
        <f t="shared" si="105"/>
        <v>0.65000000000000568</v>
      </c>
      <c r="R472">
        <f t="shared" si="106"/>
        <v>0.51200000000000045</v>
      </c>
      <c r="S472">
        <f t="shared" si="107"/>
        <v>0.66555555555555657</v>
      </c>
      <c r="U472">
        <f t="shared" si="108"/>
        <v>43.479901868277025</v>
      </c>
      <c r="V472">
        <v>86</v>
      </c>
      <c r="W472">
        <v>5</v>
      </c>
      <c r="AH472">
        <f t="shared" si="109"/>
        <v>2.4792502990848999</v>
      </c>
      <c r="AI472">
        <f t="shared" si="110"/>
        <v>64.217499016977072</v>
      </c>
      <c r="AJ472">
        <f t="shared" si="111"/>
        <v>76.980500983022935</v>
      </c>
      <c r="AL472">
        <f t="shared" si="112"/>
        <v>75.55750059816981</v>
      </c>
      <c r="AM472">
        <f t="shared" si="113"/>
        <v>65.640499401830198</v>
      </c>
    </row>
    <row r="473" spans="1:39" ht="16.5" x14ac:dyDescent="0.25">
      <c r="A473" s="1">
        <v>45021</v>
      </c>
      <c r="B473" s="5">
        <v>68.430000000000007</v>
      </c>
      <c r="C473" s="4">
        <v>70.69</v>
      </c>
      <c r="D473" s="4">
        <v>70.83</v>
      </c>
      <c r="E473" s="4">
        <v>68.23</v>
      </c>
      <c r="F473" s="4" t="s">
        <v>1264</v>
      </c>
      <c r="G473" s="2" t="s">
        <v>1592</v>
      </c>
      <c r="I473">
        <f t="shared" si="100"/>
        <v>70.9465</v>
      </c>
      <c r="J473">
        <f t="shared" si="101"/>
        <v>72.247749999999982</v>
      </c>
      <c r="L473">
        <f t="shared" si="102"/>
        <v>0</v>
      </c>
      <c r="M473">
        <f t="shared" si="103"/>
        <v>1</v>
      </c>
      <c r="O473">
        <f t="shared" si="104"/>
        <v>0</v>
      </c>
      <c r="P473">
        <f t="shared" si="105"/>
        <v>2.2599999999999909</v>
      </c>
      <c r="R473">
        <f t="shared" si="106"/>
        <v>0.51200000000000045</v>
      </c>
      <c r="S473">
        <f t="shared" si="107"/>
        <v>0.775555555555556</v>
      </c>
      <c r="U473">
        <f t="shared" si="108"/>
        <v>39.765274421815676</v>
      </c>
      <c r="V473">
        <v>86</v>
      </c>
      <c r="W473">
        <v>5</v>
      </c>
      <c r="AH473">
        <f t="shared" si="109"/>
        <v>2.5005286082875555</v>
      </c>
      <c r="AI473">
        <f t="shared" si="110"/>
        <v>64.564999016977069</v>
      </c>
      <c r="AJ473">
        <f t="shared" si="111"/>
        <v>77.328000983022932</v>
      </c>
      <c r="AL473">
        <f t="shared" si="112"/>
        <v>75.947557216575106</v>
      </c>
      <c r="AM473">
        <f t="shared" si="113"/>
        <v>65.945442783424895</v>
      </c>
    </row>
    <row r="474" spans="1:39" ht="16.5" x14ac:dyDescent="0.25">
      <c r="A474" s="1">
        <v>45020</v>
      </c>
      <c r="B474" s="5">
        <v>70.44</v>
      </c>
      <c r="C474" s="4">
        <v>70.69</v>
      </c>
      <c r="D474" s="4">
        <v>71.239999999999995</v>
      </c>
      <c r="E474" s="4">
        <v>70.36</v>
      </c>
      <c r="F474" s="4" t="s">
        <v>1590</v>
      </c>
      <c r="G474" s="2" t="s">
        <v>440</v>
      </c>
      <c r="I474">
        <f t="shared" si="100"/>
        <v>71.280999999999992</v>
      </c>
      <c r="J474">
        <f t="shared" si="101"/>
        <v>72.331749999999971</v>
      </c>
      <c r="L474">
        <f t="shared" si="102"/>
        <v>0</v>
      </c>
      <c r="M474">
        <f t="shared" si="103"/>
        <v>1</v>
      </c>
      <c r="O474">
        <f t="shared" si="104"/>
        <v>0</v>
      </c>
      <c r="P474">
        <f t="shared" si="105"/>
        <v>0.25</v>
      </c>
      <c r="R474">
        <f t="shared" si="106"/>
        <v>0.51200000000000045</v>
      </c>
      <c r="S474">
        <f t="shared" si="107"/>
        <v>0.60444444444444578</v>
      </c>
      <c r="U474">
        <f t="shared" si="108"/>
        <v>45.85987261146493</v>
      </c>
      <c r="V474">
        <v>86</v>
      </c>
      <c r="W474">
        <v>5</v>
      </c>
      <c r="AH474">
        <f t="shared" si="109"/>
        <v>2.5218615888155744</v>
      </c>
      <c r="AI474">
        <f t="shared" si="110"/>
        <v>64.89949901697706</v>
      </c>
      <c r="AJ474">
        <f t="shared" si="111"/>
        <v>77.662500983022923</v>
      </c>
      <c r="AL474">
        <f t="shared" si="112"/>
        <v>76.324723177631142</v>
      </c>
      <c r="AM474">
        <f t="shared" si="113"/>
        <v>66.237276822368841</v>
      </c>
    </row>
    <row r="475" spans="1:39" ht="16.5" x14ac:dyDescent="0.25">
      <c r="A475" s="1">
        <v>45019</v>
      </c>
      <c r="B475" s="5">
        <v>70.41</v>
      </c>
      <c r="C475" s="4">
        <v>70.81</v>
      </c>
      <c r="D475" s="4">
        <v>70.930000000000007</v>
      </c>
      <c r="E475" s="4">
        <v>70.05</v>
      </c>
      <c r="F475" s="4" t="s">
        <v>830</v>
      </c>
      <c r="G475" s="2" t="s">
        <v>294</v>
      </c>
      <c r="I475">
        <f t="shared" si="100"/>
        <v>71.525999999999982</v>
      </c>
      <c r="J475">
        <f t="shared" si="101"/>
        <v>72.369499999999974</v>
      </c>
      <c r="L475">
        <f t="shared" si="102"/>
        <v>0</v>
      </c>
      <c r="M475">
        <f t="shared" si="103"/>
        <v>1</v>
      </c>
      <c r="O475">
        <f t="shared" si="104"/>
        <v>0</v>
      </c>
      <c r="P475">
        <f t="shared" si="105"/>
        <v>0.40000000000000568</v>
      </c>
      <c r="R475">
        <f t="shared" si="106"/>
        <v>0.51200000000000045</v>
      </c>
      <c r="S475">
        <f t="shared" si="107"/>
        <v>0.87333333333333329</v>
      </c>
      <c r="U475">
        <f t="shared" si="108"/>
        <v>36.958614051973072</v>
      </c>
      <c r="V475">
        <v>86</v>
      </c>
      <c r="W475">
        <v>5</v>
      </c>
      <c r="AH475">
        <f t="shared" si="109"/>
        <v>2.5424306755095878</v>
      </c>
      <c r="AI475">
        <f t="shared" si="110"/>
        <v>65.144499016977051</v>
      </c>
      <c r="AJ475">
        <f t="shared" si="111"/>
        <v>77.907500983022913</v>
      </c>
      <c r="AL475">
        <f t="shared" si="112"/>
        <v>76.610861351019153</v>
      </c>
      <c r="AM475">
        <f t="shared" si="113"/>
        <v>66.441138648980811</v>
      </c>
    </row>
    <row r="476" spans="1:39" ht="16.5" x14ac:dyDescent="0.25">
      <c r="A476" s="1">
        <v>45016</v>
      </c>
      <c r="B476" s="5">
        <v>70.78</v>
      </c>
      <c r="C476" s="4">
        <v>71.17</v>
      </c>
      <c r="D476" s="4">
        <v>71.239999999999995</v>
      </c>
      <c r="E476" s="4">
        <v>70.319999999999993</v>
      </c>
      <c r="F476" s="4" t="s">
        <v>1426</v>
      </c>
      <c r="G476" s="2" t="s">
        <v>310</v>
      </c>
      <c r="I476">
        <f t="shared" si="100"/>
        <v>71.793999999999997</v>
      </c>
      <c r="J476">
        <f t="shared" si="101"/>
        <v>72.405499999999975</v>
      </c>
      <c r="L476">
        <f t="shared" si="102"/>
        <v>0</v>
      </c>
      <c r="M476">
        <f t="shared" si="103"/>
        <v>1</v>
      </c>
      <c r="O476">
        <f t="shared" si="104"/>
        <v>0</v>
      </c>
      <c r="P476">
        <f t="shared" si="105"/>
        <v>0.39000000000000057</v>
      </c>
      <c r="R476">
        <f t="shared" si="106"/>
        <v>0.54333333333333178</v>
      </c>
      <c r="S476">
        <f t="shared" si="107"/>
        <v>0.93249999999999922</v>
      </c>
      <c r="U476">
        <f t="shared" si="108"/>
        <v>36.815358554488938</v>
      </c>
      <c r="V476">
        <v>86</v>
      </c>
      <c r="W476">
        <v>5</v>
      </c>
      <c r="AH476">
        <f t="shared" si="109"/>
        <v>2.5619953593726987</v>
      </c>
      <c r="AI476">
        <f t="shared" si="110"/>
        <v>65.412499016977065</v>
      </c>
      <c r="AJ476">
        <f t="shared" si="111"/>
        <v>78.175500983022928</v>
      </c>
      <c r="AL476">
        <f t="shared" si="112"/>
        <v>76.917990718745401</v>
      </c>
      <c r="AM476">
        <f t="shared" si="113"/>
        <v>66.670009281254593</v>
      </c>
    </row>
    <row r="477" spans="1:39" ht="16.5" x14ac:dyDescent="0.25">
      <c r="A477" s="1">
        <v>45015</v>
      </c>
      <c r="B477" s="5">
        <v>70.91</v>
      </c>
      <c r="C477" s="4">
        <v>70.98</v>
      </c>
      <c r="D477" s="4">
        <v>71.19</v>
      </c>
      <c r="E477" s="4">
        <v>70.38</v>
      </c>
      <c r="F477" s="4" t="s">
        <v>1414</v>
      </c>
      <c r="G477" s="2" t="s">
        <v>345</v>
      </c>
      <c r="I477">
        <f t="shared" si="100"/>
        <v>72.03449999999998</v>
      </c>
      <c r="J477">
        <f t="shared" si="101"/>
        <v>72.435999999999964</v>
      </c>
      <c r="L477">
        <f t="shared" si="102"/>
        <v>0</v>
      </c>
      <c r="M477">
        <f t="shared" si="103"/>
        <v>1</v>
      </c>
      <c r="O477">
        <f t="shared" si="104"/>
        <v>0</v>
      </c>
      <c r="P477">
        <f t="shared" si="105"/>
        <v>7.000000000000739E-2</v>
      </c>
      <c r="R477">
        <f t="shared" si="106"/>
        <v>0.54333333333333178</v>
      </c>
      <c r="S477">
        <f t="shared" si="107"/>
        <v>1.2224999999999984</v>
      </c>
      <c r="U477">
        <f t="shared" si="108"/>
        <v>30.769230769230731</v>
      </c>
      <c r="V477">
        <v>86</v>
      </c>
      <c r="W477">
        <v>5</v>
      </c>
      <c r="AH477">
        <f t="shared" si="109"/>
        <v>2.5797922966542197</v>
      </c>
      <c r="AI477">
        <f t="shared" si="110"/>
        <v>65.652999016977049</v>
      </c>
      <c r="AJ477">
        <f t="shared" si="111"/>
        <v>78.416000983022911</v>
      </c>
      <c r="AL477">
        <f t="shared" si="112"/>
        <v>77.194084593308418</v>
      </c>
      <c r="AM477">
        <f t="shared" si="113"/>
        <v>66.874915406691542</v>
      </c>
    </row>
    <row r="478" spans="1:39" ht="16.5" x14ac:dyDescent="0.25">
      <c r="A478" s="1">
        <v>45014</v>
      </c>
      <c r="B478" s="5">
        <v>70.36</v>
      </c>
      <c r="C478" s="4">
        <v>70.08</v>
      </c>
      <c r="D478" s="4">
        <v>70.819999999999993</v>
      </c>
      <c r="E478" s="4">
        <v>69.83</v>
      </c>
      <c r="F478" s="4" t="s">
        <v>1593</v>
      </c>
      <c r="G478" s="2" t="s">
        <v>1441</v>
      </c>
      <c r="I478">
        <f t="shared" si="100"/>
        <v>72.169999999999987</v>
      </c>
      <c r="J478">
        <f t="shared" si="101"/>
        <v>72.468249999999969</v>
      </c>
      <c r="L478">
        <f t="shared" si="102"/>
        <v>1</v>
      </c>
      <c r="M478">
        <f t="shared" si="103"/>
        <v>0</v>
      </c>
      <c r="O478">
        <f t="shared" si="104"/>
        <v>0.28000000000000114</v>
      </c>
      <c r="P478">
        <f t="shared" si="105"/>
        <v>0</v>
      </c>
      <c r="R478">
        <f t="shared" si="106"/>
        <v>0.68428571428571316</v>
      </c>
      <c r="S478">
        <f t="shared" si="107"/>
        <v>1.3871428571428541</v>
      </c>
      <c r="U478">
        <f t="shared" si="108"/>
        <v>33.034482758620712</v>
      </c>
      <c r="V478">
        <v>86</v>
      </c>
      <c r="W478">
        <v>5</v>
      </c>
      <c r="AH478">
        <f t="shared" si="109"/>
        <v>2.5954120900089639</v>
      </c>
      <c r="AI478">
        <f t="shared" si="110"/>
        <v>65.788499016977056</v>
      </c>
      <c r="AJ478">
        <f t="shared" si="111"/>
        <v>78.551500983022919</v>
      </c>
      <c r="AL478">
        <f t="shared" si="112"/>
        <v>77.360824180017914</v>
      </c>
      <c r="AM478">
        <f t="shared" si="113"/>
        <v>66.979175819982061</v>
      </c>
    </row>
    <row r="479" spans="1:39" ht="16.5" x14ac:dyDescent="0.25">
      <c r="A479" s="1">
        <v>45013</v>
      </c>
      <c r="B479" s="5">
        <v>71.89</v>
      </c>
      <c r="C479" s="4">
        <v>72.510000000000005</v>
      </c>
      <c r="D479" s="4">
        <v>72.77</v>
      </c>
      <c r="E479" s="4">
        <v>71.739999999999995</v>
      </c>
      <c r="F479" s="4" t="s">
        <v>48</v>
      </c>
      <c r="G479" s="2" t="s">
        <v>38</v>
      </c>
      <c r="I479">
        <f t="shared" si="100"/>
        <v>72.3185</v>
      </c>
      <c r="J479">
        <f t="shared" si="101"/>
        <v>72.449249999999978</v>
      </c>
      <c r="L479">
        <f t="shared" si="102"/>
        <v>0</v>
      </c>
      <c r="M479">
        <f t="shared" si="103"/>
        <v>1</v>
      </c>
      <c r="O479">
        <f t="shared" si="104"/>
        <v>0</v>
      </c>
      <c r="P479">
        <f t="shared" si="105"/>
        <v>0.62000000000000455</v>
      </c>
      <c r="R479">
        <f t="shared" si="106"/>
        <v>0.75166666666666515</v>
      </c>
      <c r="S479">
        <f t="shared" si="107"/>
        <v>1.2849999999999984</v>
      </c>
      <c r="U479">
        <f t="shared" si="108"/>
        <v>36.906710310965622</v>
      </c>
      <c r="V479">
        <v>86</v>
      </c>
      <c r="W479">
        <v>5</v>
      </c>
      <c r="AH479">
        <f t="shared" si="109"/>
        <v>2.6095548715485397</v>
      </c>
      <c r="AI479">
        <f t="shared" si="110"/>
        <v>65.936999016977069</v>
      </c>
      <c r="AJ479">
        <f t="shared" si="111"/>
        <v>78.700000983022932</v>
      </c>
      <c r="AL479">
        <f t="shared" si="112"/>
        <v>77.537609743097079</v>
      </c>
      <c r="AM479">
        <f t="shared" si="113"/>
        <v>67.099390256902922</v>
      </c>
    </row>
    <row r="480" spans="1:39" ht="16.5" x14ac:dyDescent="0.25">
      <c r="A480" s="1">
        <v>45012</v>
      </c>
      <c r="B480" s="5">
        <v>71.48</v>
      </c>
      <c r="C480" s="4">
        <v>70.37</v>
      </c>
      <c r="D480" s="4">
        <v>71.84</v>
      </c>
      <c r="E480" s="4">
        <v>70.239999999999995</v>
      </c>
      <c r="F480" s="4" t="s">
        <v>683</v>
      </c>
      <c r="G480" s="2" t="s">
        <v>1142</v>
      </c>
      <c r="I480">
        <f t="shared" si="100"/>
        <v>72.356500000000011</v>
      </c>
      <c r="J480">
        <f t="shared" si="101"/>
        <v>72.355749999999972</v>
      </c>
      <c r="L480">
        <f t="shared" si="102"/>
        <v>1</v>
      </c>
      <c r="M480">
        <f t="shared" si="103"/>
        <v>0</v>
      </c>
      <c r="O480">
        <f t="shared" si="104"/>
        <v>1.1099999999999994</v>
      </c>
      <c r="P480">
        <f t="shared" si="105"/>
        <v>0</v>
      </c>
      <c r="R480">
        <f t="shared" si="106"/>
        <v>0.75166666666666515</v>
      </c>
      <c r="S480">
        <f t="shared" si="107"/>
        <v>1.2374999999999972</v>
      </c>
      <c r="U480">
        <f t="shared" si="108"/>
        <v>37.78801843317973</v>
      </c>
      <c r="V480">
        <v>86</v>
      </c>
      <c r="W480">
        <v>5</v>
      </c>
      <c r="AH480">
        <f t="shared" si="109"/>
        <v>2.6217217196131353</v>
      </c>
      <c r="AI480">
        <f t="shared" si="110"/>
        <v>65.97499901697708</v>
      </c>
      <c r="AJ480">
        <f t="shared" si="111"/>
        <v>78.738000983022943</v>
      </c>
      <c r="AL480">
        <f t="shared" si="112"/>
        <v>77.59994343922628</v>
      </c>
      <c r="AM480">
        <f t="shared" si="113"/>
        <v>67.113056560773742</v>
      </c>
    </row>
    <row r="481" spans="1:39" ht="16.5" x14ac:dyDescent="0.25">
      <c r="A481" s="1">
        <v>45009</v>
      </c>
      <c r="B481" s="5">
        <v>69.650000000000006</v>
      </c>
      <c r="C481" s="4">
        <v>70.400000000000006</v>
      </c>
      <c r="D481" s="4">
        <v>70.400000000000006</v>
      </c>
      <c r="E481" s="4">
        <v>67.819999999999993</v>
      </c>
      <c r="F481" s="4" t="s">
        <v>307</v>
      </c>
      <c r="G481" s="2" t="s">
        <v>102</v>
      </c>
      <c r="I481">
        <f t="shared" si="100"/>
        <v>72.412000000000006</v>
      </c>
      <c r="J481">
        <f t="shared" si="101"/>
        <v>72.261749999999978</v>
      </c>
      <c r="L481">
        <f t="shared" si="102"/>
        <v>0</v>
      </c>
      <c r="M481">
        <f t="shared" si="103"/>
        <v>1</v>
      </c>
      <c r="O481">
        <f t="shared" si="104"/>
        <v>0</v>
      </c>
      <c r="P481">
        <f t="shared" si="105"/>
        <v>0.75</v>
      </c>
      <c r="R481">
        <f t="shared" si="106"/>
        <v>0.67999999999999827</v>
      </c>
      <c r="S481">
        <f t="shared" si="107"/>
        <v>1.1255555555555519</v>
      </c>
      <c r="U481">
        <f t="shared" si="108"/>
        <v>37.661538461538484</v>
      </c>
      <c r="V481">
        <v>86</v>
      </c>
      <c r="W481">
        <v>5</v>
      </c>
      <c r="AH481">
        <f t="shared" si="109"/>
        <v>2.6332186838687237</v>
      </c>
      <c r="AI481">
        <f t="shared" si="110"/>
        <v>66.030499016977075</v>
      </c>
      <c r="AJ481">
        <f t="shared" si="111"/>
        <v>78.793500983022938</v>
      </c>
      <c r="AL481">
        <f t="shared" si="112"/>
        <v>77.678437367737459</v>
      </c>
      <c r="AM481">
        <f t="shared" si="113"/>
        <v>67.145562632262553</v>
      </c>
    </row>
    <row r="482" spans="1:39" ht="16.5" x14ac:dyDescent="0.25">
      <c r="A482" s="1">
        <v>45008</v>
      </c>
      <c r="B482" s="5">
        <v>70.72</v>
      </c>
      <c r="C482" s="4">
        <v>71.319999999999993</v>
      </c>
      <c r="D482" s="4">
        <v>71.66</v>
      </c>
      <c r="E482" s="4">
        <v>70.290000000000006</v>
      </c>
      <c r="F482" s="4" t="s">
        <v>588</v>
      </c>
      <c r="G482" s="2" t="s">
        <v>147</v>
      </c>
      <c r="I482">
        <f t="shared" si="100"/>
        <v>72.526499999999999</v>
      </c>
      <c r="J482">
        <f t="shared" si="101"/>
        <v>72.24224999999997</v>
      </c>
      <c r="L482">
        <f t="shared" si="102"/>
        <v>0</v>
      </c>
      <c r="M482">
        <f t="shared" si="103"/>
        <v>1</v>
      </c>
      <c r="O482">
        <f t="shared" si="104"/>
        <v>0</v>
      </c>
      <c r="P482">
        <f t="shared" si="105"/>
        <v>0.59999999999999432</v>
      </c>
      <c r="R482">
        <f t="shared" si="106"/>
        <v>0.56999999999999795</v>
      </c>
      <c r="S482">
        <f t="shared" si="107"/>
        <v>1.1724999999999959</v>
      </c>
      <c r="U482">
        <f t="shared" si="108"/>
        <v>32.711621233859404</v>
      </c>
      <c r="V482">
        <v>86</v>
      </c>
      <c r="W482">
        <v>5</v>
      </c>
      <c r="AH482">
        <f t="shared" si="109"/>
        <v>2.6436591652373673</v>
      </c>
      <c r="AI482">
        <f t="shared" si="110"/>
        <v>66.144999016977067</v>
      </c>
      <c r="AJ482">
        <f t="shared" si="111"/>
        <v>78.90800098302293</v>
      </c>
      <c r="AL482">
        <f t="shared" si="112"/>
        <v>77.813818330474732</v>
      </c>
      <c r="AM482">
        <f t="shared" si="113"/>
        <v>67.239181669525266</v>
      </c>
    </row>
    <row r="483" spans="1:39" ht="16.5" x14ac:dyDescent="0.25">
      <c r="A483" s="1">
        <v>45007</v>
      </c>
      <c r="B483" s="5">
        <v>71.17</v>
      </c>
      <c r="C483" s="4">
        <v>70.61</v>
      </c>
      <c r="D483" s="4">
        <v>71.72</v>
      </c>
      <c r="E483" s="4">
        <v>70.5</v>
      </c>
      <c r="F483" s="4" t="s">
        <v>1466</v>
      </c>
      <c r="G483" s="2" t="s">
        <v>448</v>
      </c>
      <c r="I483">
        <f t="shared" si="100"/>
        <v>72.695999999999998</v>
      </c>
      <c r="J483">
        <f t="shared" si="101"/>
        <v>72.18174999999998</v>
      </c>
      <c r="L483">
        <f t="shared" si="102"/>
        <v>1</v>
      </c>
      <c r="M483">
        <f t="shared" si="103"/>
        <v>0</v>
      </c>
      <c r="O483">
        <f t="shared" si="104"/>
        <v>0.56000000000000227</v>
      </c>
      <c r="P483">
        <f t="shared" si="105"/>
        <v>0</v>
      </c>
      <c r="R483">
        <f t="shared" si="106"/>
        <v>0.76999999999999802</v>
      </c>
      <c r="S483">
        <f t="shared" si="107"/>
        <v>1.2542857142857105</v>
      </c>
      <c r="U483">
        <f t="shared" si="108"/>
        <v>38.038108680310529</v>
      </c>
      <c r="V483">
        <v>86</v>
      </c>
      <c r="W483">
        <v>5</v>
      </c>
      <c r="AH483">
        <f t="shared" si="109"/>
        <v>2.6518533240921576</v>
      </c>
      <c r="AI483">
        <f t="shared" si="110"/>
        <v>66.314499016977067</v>
      </c>
      <c r="AJ483">
        <f t="shared" si="111"/>
        <v>79.077500983022929</v>
      </c>
      <c r="AL483">
        <f t="shared" si="112"/>
        <v>77.999706648184315</v>
      </c>
      <c r="AM483">
        <f t="shared" si="113"/>
        <v>67.392293351815681</v>
      </c>
    </row>
    <row r="484" spans="1:39" ht="16.5" x14ac:dyDescent="0.25">
      <c r="A484" s="1">
        <v>45006</v>
      </c>
      <c r="B484" s="5">
        <v>70.48</v>
      </c>
      <c r="C484" s="4">
        <v>70.17</v>
      </c>
      <c r="D484" s="4">
        <v>71.25</v>
      </c>
      <c r="E484" s="4">
        <v>70.05</v>
      </c>
      <c r="F484" s="4" t="s">
        <v>1519</v>
      </c>
      <c r="G484" s="2" t="s">
        <v>752</v>
      </c>
      <c r="I484">
        <f t="shared" si="100"/>
        <v>72.836500000000001</v>
      </c>
      <c r="J484">
        <f t="shared" si="101"/>
        <v>72.092499999999987</v>
      </c>
      <c r="L484">
        <f t="shared" si="102"/>
        <v>1</v>
      </c>
      <c r="M484">
        <f t="shared" si="103"/>
        <v>0</v>
      </c>
      <c r="O484">
        <f t="shared" si="104"/>
        <v>0.31000000000000227</v>
      </c>
      <c r="P484">
        <f t="shared" si="105"/>
        <v>0</v>
      </c>
      <c r="R484">
        <f t="shared" si="106"/>
        <v>0.78999999999999815</v>
      </c>
      <c r="S484">
        <f t="shared" si="107"/>
        <v>1.2542857142857105</v>
      </c>
      <c r="U484">
        <f t="shared" si="108"/>
        <v>38.644304682040548</v>
      </c>
      <c r="V484">
        <v>86</v>
      </c>
      <c r="W484">
        <v>5</v>
      </c>
      <c r="AH484">
        <f t="shared" si="109"/>
        <v>2.6563352403486293</v>
      </c>
      <c r="AI484">
        <f t="shared" si="110"/>
        <v>66.454999016977069</v>
      </c>
      <c r="AJ484">
        <f t="shared" si="111"/>
        <v>79.218000983022932</v>
      </c>
      <c r="AL484">
        <f t="shared" si="112"/>
        <v>78.149170480697265</v>
      </c>
      <c r="AM484">
        <f t="shared" si="113"/>
        <v>67.523829519302737</v>
      </c>
    </row>
    <row r="485" spans="1:39" ht="16.5" x14ac:dyDescent="0.25">
      <c r="A485" s="1">
        <v>45005</v>
      </c>
      <c r="B485" s="5">
        <v>69.14</v>
      </c>
      <c r="C485" s="4">
        <v>68.84</v>
      </c>
      <c r="D485" s="4">
        <v>69.61</v>
      </c>
      <c r="E485" s="4">
        <v>67.02</v>
      </c>
      <c r="F485" s="4" t="s">
        <v>1481</v>
      </c>
      <c r="G485" s="2" t="s">
        <v>623</v>
      </c>
      <c r="I485">
        <f t="shared" si="100"/>
        <v>73.042000000000002</v>
      </c>
      <c r="J485">
        <f t="shared" si="101"/>
        <v>72.024249999999981</v>
      </c>
      <c r="L485">
        <f t="shared" si="102"/>
        <v>1</v>
      </c>
      <c r="M485">
        <f t="shared" si="103"/>
        <v>0</v>
      </c>
      <c r="O485">
        <f t="shared" si="104"/>
        <v>0.29999999999999716</v>
      </c>
      <c r="P485">
        <f t="shared" si="105"/>
        <v>0</v>
      </c>
      <c r="R485">
        <f t="shared" si="106"/>
        <v>0.77142857142856813</v>
      </c>
      <c r="S485">
        <f t="shared" si="107"/>
        <v>1.2542857142857105</v>
      </c>
      <c r="U485">
        <f t="shared" si="108"/>
        <v>38.081805359661466</v>
      </c>
      <c r="V485">
        <v>86</v>
      </c>
      <c r="W485">
        <v>5</v>
      </c>
      <c r="AH485">
        <f t="shared" si="109"/>
        <v>2.6570103151533826</v>
      </c>
      <c r="AI485">
        <f t="shared" si="110"/>
        <v>66.66049901697707</v>
      </c>
      <c r="AJ485">
        <f t="shared" si="111"/>
        <v>79.423500983022933</v>
      </c>
      <c r="AL485">
        <f t="shared" si="112"/>
        <v>78.356020630306773</v>
      </c>
      <c r="AM485">
        <f t="shared" si="113"/>
        <v>67.72797936969323</v>
      </c>
    </row>
    <row r="486" spans="1:39" ht="16.5" x14ac:dyDescent="0.25">
      <c r="A486" s="1">
        <v>45002</v>
      </c>
      <c r="B486" s="5">
        <v>69.260000000000005</v>
      </c>
      <c r="C486" s="4">
        <v>70.900000000000006</v>
      </c>
      <c r="D486" s="4">
        <v>71.23</v>
      </c>
      <c r="E486" s="4">
        <v>68.349999999999994</v>
      </c>
      <c r="F486" s="4" t="s">
        <v>844</v>
      </c>
      <c r="G486" s="2" t="s">
        <v>1549</v>
      </c>
      <c r="I486">
        <f t="shared" si="100"/>
        <v>73.328500000000005</v>
      </c>
      <c r="J486">
        <f t="shared" si="101"/>
        <v>71.977499999999992</v>
      </c>
      <c r="L486">
        <f t="shared" si="102"/>
        <v>0</v>
      </c>
      <c r="M486">
        <f t="shared" si="103"/>
        <v>1</v>
      </c>
      <c r="O486">
        <f t="shared" si="104"/>
        <v>0</v>
      </c>
      <c r="P486">
        <f t="shared" si="105"/>
        <v>1.6400000000000006</v>
      </c>
      <c r="R486">
        <f t="shared" si="106"/>
        <v>0.7771428571428548</v>
      </c>
      <c r="S486">
        <f t="shared" si="107"/>
        <v>1.2542857142857105</v>
      </c>
      <c r="U486">
        <f t="shared" si="108"/>
        <v>38.25597749648383</v>
      </c>
      <c r="V486">
        <v>86</v>
      </c>
      <c r="W486">
        <v>5</v>
      </c>
      <c r="AH486">
        <f t="shared" si="109"/>
        <v>2.6516177876127061</v>
      </c>
      <c r="AI486">
        <f t="shared" si="110"/>
        <v>66.946999016977074</v>
      </c>
      <c r="AJ486">
        <f t="shared" si="111"/>
        <v>79.710000983022937</v>
      </c>
      <c r="AL486">
        <f t="shared" si="112"/>
        <v>78.63173557522542</v>
      </c>
      <c r="AM486">
        <f t="shared" si="113"/>
        <v>68.025264424774591</v>
      </c>
    </row>
    <row r="487" spans="1:39" ht="16.5" x14ac:dyDescent="0.25">
      <c r="A487" s="1">
        <v>45001</v>
      </c>
      <c r="B487" s="5">
        <v>70.36</v>
      </c>
      <c r="C487" s="4">
        <v>71.08</v>
      </c>
      <c r="D487" s="4">
        <v>71.28</v>
      </c>
      <c r="E487" s="4">
        <v>68.790000000000006</v>
      </c>
      <c r="F487" s="4" t="s">
        <v>1594</v>
      </c>
      <c r="G487" s="2" t="s">
        <v>390</v>
      </c>
      <c r="I487">
        <f t="shared" si="100"/>
        <v>73.597499999999997</v>
      </c>
      <c r="J487">
        <f t="shared" si="101"/>
        <v>71.890749999999983</v>
      </c>
      <c r="L487">
        <f t="shared" si="102"/>
        <v>0</v>
      </c>
      <c r="M487">
        <f t="shared" si="103"/>
        <v>1</v>
      </c>
      <c r="O487">
        <f t="shared" si="104"/>
        <v>0</v>
      </c>
      <c r="P487">
        <f t="shared" si="105"/>
        <v>0.71999999999999886</v>
      </c>
      <c r="R487">
        <f t="shared" si="106"/>
        <v>0.7771428571428548</v>
      </c>
      <c r="S487">
        <f t="shared" si="107"/>
        <v>1.0642857142857107</v>
      </c>
      <c r="U487">
        <f t="shared" si="108"/>
        <v>42.203258339798296</v>
      </c>
      <c r="V487">
        <v>86</v>
      </c>
      <c r="W487">
        <v>5</v>
      </c>
      <c r="AH487">
        <f t="shared" si="109"/>
        <v>2.6366515379215567</v>
      </c>
      <c r="AI487">
        <f t="shared" si="110"/>
        <v>67.215999016977065</v>
      </c>
      <c r="AJ487">
        <f t="shared" si="111"/>
        <v>79.979000983022928</v>
      </c>
      <c r="AL487">
        <f t="shared" si="112"/>
        <v>78.870803075843114</v>
      </c>
      <c r="AM487">
        <f t="shared" si="113"/>
        <v>68.32419692415688</v>
      </c>
    </row>
    <row r="488" spans="1:39" ht="16.5" x14ac:dyDescent="0.25">
      <c r="A488" s="1">
        <v>45000</v>
      </c>
      <c r="B488" s="5">
        <v>70.150000000000006</v>
      </c>
      <c r="C488" s="4">
        <v>72.819999999999993</v>
      </c>
      <c r="D488" s="4">
        <v>72.959999999999994</v>
      </c>
      <c r="E488" s="4">
        <v>69.72</v>
      </c>
      <c r="F488" s="4" t="s">
        <v>1595</v>
      </c>
      <c r="G488" s="2" t="s">
        <v>1596</v>
      </c>
      <c r="I488">
        <f t="shared" si="100"/>
        <v>73.708499999999987</v>
      </c>
      <c r="J488">
        <f t="shared" si="101"/>
        <v>71.769749999999988</v>
      </c>
      <c r="L488">
        <f t="shared" si="102"/>
        <v>0</v>
      </c>
      <c r="M488">
        <f t="shared" si="103"/>
        <v>1</v>
      </c>
      <c r="O488">
        <f t="shared" si="104"/>
        <v>0</v>
      </c>
      <c r="P488">
        <f t="shared" si="105"/>
        <v>2.6699999999999875</v>
      </c>
      <c r="R488">
        <f t="shared" si="106"/>
        <v>0.7771428571428548</v>
      </c>
      <c r="S488">
        <f t="shared" si="107"/>
        <v>1.3242857142857116</v>
      </c>
      <c r="U488">
        <f t="shared" si="108"/>
        <v>36.981645139360957</v>
      </c>
      <c r="V488">
        <v>86</v>
      </c>
      <c r="W488">
        <v>5</v>
      </c>
      <c r="AH488">
        <f t="shared" si="109"/>
        <v>2.610425463967601</v>
      </c>
      <c r="AI488">
        <f t="shared" si="110"/>
        <v>67.326999016977055</v>
      </c>
      <c r="AJ488">
        <f t="shared" si="111"/>
        <v>80.090000983022918</v>
      </c>
      <c r="AL488">
        <f t="shared" si="112"/>
        <v>78.929350927935189</v>
      </c>
      <c r="AM488">
        <f t="shared" si="113"/>
        <v>68.487649072064784</v>
      </c>
    </row>
    <row r="489" spans="1:39" ht="16.5" x14ac:dyDescent="0.25">
      <c r="A489" s="1">
        <v>44999</v>
      </c>
      <c r="B489" s="5">
        <v>72.819999999999993</v>
      </c>
      <c r="C489" s="4">
        <v>72.12</v>
      </c>
      <c r="D489" s="4">
        <v>72.989999999999995</v>
      </c>
      <c r="E489" s="4">
        <v>71.239999999999995</v>
      </c>
      <c r="F489" s="4" t="s">
        <v>507</v>
      </c>
      <c r="G489" s="2" t="s">
        <v>783</v>
      </c>
      <c r="I489">
        <f t="shared" si="100"/>
        <v>73.818999999999988</v>
      </c>
      <c r="J489">
        <f t="shared" si="101"/>
        <v>71.698499999999996</v>
      </c>
      <c r="L489">
        <f t="shared" si="102"/>
        <v>1</v>
      </c>
      <c r="M489">
        <f t="shared" si="103"/>
        <v>0</v>
      </c>
      <c r="O489">
        <f t="shared" si="104"/>
        <v>0.69999999999998863</v>
      </c>
      <c r="P489">
        <f t="shared" si="105"/>
        <v>0</v>
      </c>
      <c r="R489">
        <f t="shared" si="106"/>
        <v>0.7771428571428548</v>
      </c>
      <c r="S489">
        <f t="shared" si="107"/>
        <v>0.9642857142857143</v>
      </c>
      <c r="U489">
        <f t="shared" si="108"/>
        <v>44.62674323215743</v>
      </c>
      <c r="V489">
        <v>86</v>
      </c>
      <c r="W489">
        <v>5</v>
      </c>
      <c r="AH489">
        <f t="shared" si="109"/>
        <v>2.57604042267634</v>
      </c>
      <c r="AI489">
        <f t="shared" si="110"/>
        <v>67.437499016977057</v>
      </c>
      <c r="AJ489">
        <f t="shared" si="111"/>
        <v>80.20050098302292</v>
      </c>
      <c r="AL489">
        <f t="shared" si="112"/>
        <v>78.971080845352674</v>
      </c>
      <c r="AM489">
        <f t="shared" si="113"/>
        <v>68.666919154647303</v>
      </c>
    </row>
    <row r="490" spans="1:39" ht="16.5" x14ac:dyDescent="0.25">
      <c r="A490" s="1">
        <v>44998</v>
      </c>
      <c r="B490" s="5">
        <v>71.680000000000007</v>
      </c>
      <c r="C490" s="4">
        <v>74.39</v>
      </c>
      <c r="D490" s="4">
        <v>74.59</v>
      </c>
      <c r="E490" s="4">
        <v>71.42</v>
      </c>
      <c r="F490" s="4" t="s">
        <v>1597</v>
      </c>
      <c r="G490" s="2" t="s">
        <v>96</v>
      </c>
      <c r="I490">
        <f t="shared" si="100"/>
        <v>73.751999999999995</v>
      </c>
      <c r="J490">
        <f t="shared" si="101"/>
        <v>71.558750000000003</v>
      </c>
      <c r="L490">
        <f t="shared" si="102"/>
        <v>0</v>
      </c>
      <c r="M490">
        <f t="shared" si="103"/>
        <v>1</v>
      </c>
      <c r="O490">
        <f t="shared" si="104"/>
        <v>0</v>
      </c>
      <c r="P490">
        <f t="shared" si="105"/>
        <v>2.7099999999999937</v>
      </c>
      <c r="R490">
        <f t="shared" si="106"/>
        <v>0.78999999999999915</v>
      </c>
      <c r="S490">
        <f t="shared" si="107"/>
        <v>0.86749999999999972</v>
      </c>
      <c r="U490">
        <f t="shared" si="108"/>
        <v>47.662141779788818</v>
      </c>
      <c r="V490">
        <v>86</v>
      </c>
      <c r="W490">
        <v>5</v>
      </c>
      <c r="AH490">
        <f t="shared" si="109"/>
        <v>2.5319786923296022</v>
      </c>
      <c r="AI490">
        <f t="shared" si="110"/>
        <v>67.370499016977064</v>
      </c>
      <c r="AJ490">
        <f t="shared" si="111"/>
        <v>80.133500983022927</v>
      </c>
      <c r="AL490">
        <f t="shared" si="112"/>
        <v>78.8159573846592</v>
      </c>
      <c r="AM490">
        <f t="shared" si="113"/>
        <v>68.688042615340791</v>
      </c>
    </row>
    <row r="491" spans="1:39" ht="16.5" x14ac:dyDescent="0.25">
      <c r="A491" s="1">
        <v>44995</v>
      </c>
      <c r="B491" s="5">
        <v>74.03</v>
      </c>
      <c r="C491" s="4">
        <v>72.5</v>
      </c>
      <c r="D491" s="4">
        <v>74.239999999999995</v>
      </c>
      <c r="E491" s="4">
        <v>72.25</v>
      </c>
      <c r="F491" s="4" t="s">
        <v>1519</v>
      </c>
      <c r="G491" s="2" t="s">
        <v>274</v>
      </c>
      <c r="I491">
        <f t="shared" si="100"/>
        <v>73.741500000000002</v>
      </c>
      <c r="J491">
        <f t="shared" si="101"/>
        <v>71.445750000000004</v>
      </c>
      <c r="L491">
        <f t="shared" si="102"/>
        <v>1</v>
      </c>
      <c r="M491">
        <f t="shared" si="103"/>
        <v>0</v>
      </c>
      <c r="O491">
        <f t="shared" si="104"/>
        <v>1.5300000000000011</v>
      </c>
      <c r="P491">
        <f t="shared" si="105"/>
        <v>0</v>
      </c>
      <c r="R491">
        <f t="shared" si="106"/>
        <v>0.78999999999999915</v>
      </c>
      <c r="S491">
        <f t="shared" si="107"/>
        <v>0.5625</v>
      </c>
      <c r="U491">
        <f t="shared" si="108"/>
        <v>58.410351201478719</v>
      </c>
      <c r="V491">
        <v>86</v>
      </c>
      <c r="W491">
        <v>5</v>
      </c>
      <c r="AH491">
        <f t="shared" si="109"/>
        <v>2.4837398266190505</v>
      </c>
      <c r="AI491">
        <f t="shared" si="110"/>
        <v>67.359999016977071</v>
      </c>
      <c r="AJ491">
        <f t="shared" si="111"/>
        <v>80.123000983022933</v>
      </c>
      <c r="AL491">
        <f t="shared" si="112"/>
        <v>78.708979653238103</v>
      </c>
      <c r="AM491">
        <f t="shared" si="113"/>
        <v>68.774020346761901</v>
      </c>
    </row>
    <row r="492" spans="1:39" ht="16.5" x14ac:dyDescent="0.25">
      <c r="A492" s="1">
        <v>44994</v>
      </c>
      <c r="B492" s="5">
        <v>74.77</v>
      </c>
      <c r="C492" s="4">
        <v>75.34</v>
      </c>
      <c r="D492" s="4">
        <v>75.75</v>
      </c>
      <c r="E492" s="4">
        <v>73.66</v>
      </c>
      <c r="F492" s="4" t="s">
        <v>105</v>
      </c>
      <c r="G492" s="2" t="s">
        <v>370</v>
      </c>
      <c r="I492">
        <f t="shared" si="100"/>
        <v>73.638000000000005</v>
      </c>
      <c r="J492">
        <f t="shared" si="101"/>
        <v>71.270999999999987</v>
      </c>
      <c r="L492">
        <f t="shared" si="102"/>
        <v>0</v>
      </c>
      <c r="M492">
        <f t="shared" si="103"/>
        <v>1</v>
      </c>
      <c r="O492">
        <f t="shared" si="104"/>
        <v>0</v>
      </c>
      <c r="P492">
        <f t="shared" si="105"/>
        <v>0.57000000000000739</v>
      </c>
      <c r="R492">
        <f t="shared" si="106"/>
        <v>0.64199999999999879</v>
      </c>
      <c r="S492">
        <f t="shared" si="107"/>
        <v>0.51444444444444393</v>
      </c>
      <c r="U492">
        <f t="shared" si="108"/>
        <v>55.51498847040736</v>
      </c>
      <c r="V492">
        <v>86</v>
      </c>
      <c r="W492">
        <v>5</v>
      </c>
      <c r="AH492">
        <f t="shared" si="109"/>
        <v>2.4282120882465565</v>
      </c>
      <c r="AI492">
        <f t="shared" si="110"/>
        <v>67.256499016977074</v>
      </c>
      <c r="AJ492">
        <f t="shared" si="111"/>
        <v>80.019500983022937</v>
      </c>
      <c r="AL492">
        <f t="shared" si="112"/>
        <v>78.494424176493112</v>
      </c>
      <c r="AM492">
        <f t="shared" si="113"/>
        <v>68.781575823506898</v>
      </c>
    </row>
    <row r="493" spans="1:39" ht="16.5" x14ac:dyDescent="0.25">
      <c r="A493" s="1">
        <v>44993</v>
      </c>
      <c r="B493" s="5">
        <v>75.12</v>
      </c>
      <c r="C493" s="4">
        <v>75.36</v>
      </c>
      <c r="D493" s="4">
        <v>75.77</v>
      </c>
      <c r="E493" s="4">
        <v>74.959999999999994</v>
      </c>
      <c r="F493" s="4" t="s">
        <v>757</v>
      </c>
      <c r="G493" s="2" t="s">
        <v>163</v>
      </c>
      <c r="I493">
        <f t="shared" si="100"/>
        <v>73.549000000000007</v>
      </c>
      <c r="J493">
        <f t="shared" si="101"/>
        <v>71.181282051282054</v>
      </c>
      <c r="L493">
        <f t="shared" si="102"/>
        <v>0</v>
      </c>
      <c r="M493">
        <f t="shared" si="103"/>
        <v>1</v>
      </c>
      <c r="O493">
        <f t="shared" si="104"/>
        <v>0</v>
      </c>
      <c r="P493">
        <f t="shared" si="105"/>
        <v>0.23999999999999488</v>
      </c>
      <c r="R493">
        <f t="shared" si="106"/>
        <v>0.70666666666666578</v>
      </c>
      <c r="S493">
        <f t="shared" si="107"/>
        <v>0.50749999999999851</v>
      </c>
      <c r="U493">
        <f t="shared" si="108"/>
        <v>58.201784488675401</v>
      </c>
      <c r="V493">
        <v>86</v>
      </c>
      <c r="W493">
        <v>5</v>
      </c>
      <c r="AH493">
        <f t="shared" si="109"/>
        <v>2.3684020760125244</v>
      </c>
      <c r="AI493">
        <f t="shared" si="110"/>
        <v>67.167499016977075</v>
      </c>
      <c r="AJ493">
        <f t="shared" si="111"/>
        <v>79.930500983022938</v>
      </c>
      <c r="AL493">
        <f t="shared" si="112"/>
        <v>78.285804152025051</v>
      </c>
      <c r="AM493">
        <f t="shared" si="113"/>
        <v>68.812195847974962</v>
      </c>
    </row>
    <row r="494" spans="1:39" ht="16.5" x14ac:dyDescent="0.25">
      <c r="A494" s="1">
        <v>44992</v>
      </c>
      <c r="B494" s="5">
        <v>75.34</v>
      </c>
      <c r="C494" s="4">
        <v>75.569999999999993</v>
      </c>
      <c r="D494" s="4">
        <v>75.819999999999993</v>
      </c>
      <c r="E494" s="4">
        <v>75.150000000000006</v>
      </c>
      <c r="F494" s="4" t="s">
        <v>111</v>
      </c>
      <c r="G494" s="2" t="s">
        <v>313</v>
      </c>
      <c r="I494">
        <f t="shared" si="100"/>
        <v>73.382500000000007</v>
      </c>
      <c r="J494">
        <f t="shared" si="101"/>
        <v>71.077631578947376</v>
      </c>
      <c r="L494">
        <f t="shared" si="102"/>
        <v>0</v>
      </c>
      <c r="M494">
        <f t="shared" si="103"/>
        <v>1</v>
      </c>
      <c r="O494">
        <f t="shared" si="104"/>
        <v>0</v>
      </c>
      <c r="P494">
        <f t="shared" si="105"/>
        <v>0.22999999999998977</v>
      </c>
      <c r="R494">
        <f t="shared" si="106"/>
        <v>0.70666666666666578</v>
      </c>
      <c r="S494">
        <f t="shared" si="107"/>
        <v>0.50499999999999901</v>
      </c>
      <c r="U494">
        <f t="shared" si="108"/>
        <v>58.321870701513085</v>
      </c>
      <c r="V494">
        <v>86</v>
      </c>
      <c r="W494">
        <v>5</v>
      </c>
      <c r="AH494">
        <f t="shared" si="109"/>
        <v>2.302892773747371</v>
      </c>
      <c r="AI494">
        <f t="shared" si="110"/>
        <v>67.000999016977076</v>
      </c>
      <c r="AJ494">
        <f t="shared" si="111"/>
        <v>79.764000983022939</v>
      </c>
      <c r="AL494">
        <f t="shared" si="112"/>
        <v>77.988285547494755</v>
      </c>
      <c r="AM494">
        <f t="shared" si="113"/>
        <v>68.77671445250526</v>
      </c>
    </row>
    <row r="495" spans="1:39" ht="16.5" x14ac:dyDescent="0.25">
      <c r="A495" s="1">
        <v>44991</v>
      </c>
      <c r="B495" s="5">
        <v>75.77</v>
      </c>
      <c r="C495" s="4">
        <v>75.75</v>
      </c>
      <c r="D495" s="4">
        <v>75.92</v>
      </c>
      <c r="E495" s="4">
        <v>75.260000000000005</v>
      </c>
      <c r="F495" s="4" t="s">
        <v>1418</v>
      </c>
      <c r="G495" s="2" t="s">
        <v>662</v>
      </c>
      <c r="I495">
        <f t="shared" si="100"/>
        <v>73.213000000000008</v>
      </c>
      <c r="J495">
        <f t="shared" si="101"/>
        <v>70.962432432432436</v>
      </c>
      <c r="L495">
        <f t="shared" si="102"/>
        <v>1</v>
      </c>
      <c r="M495">
        <f t="shared" si="103"/>
        <v>0</v>
      </c>
      <c r="O495">
        <f t="shared" si="104"/>
        <v>1.9999999999996021E-2</v>
      </c>
      <c r="P495">
        <f t="shared" si="105"/>
        <v>0</v>
      </c>
      <c r="R495">
        <f t="shared" si="106"/>
        <v>0.73571428571428454</v>
      </c>
      <c r="S495">
        <f t="shared" si="107"/>
        <v>0.54428571428571459</v>
      </c>
      <c r="U495">
        <f t="shared" si="108"/>
        <v>57.47767857142852</v>
      </c>
      <c r="V495">
        <v>86</v>
      </c>
      <c r="W495">
        <v>5</v>
      </c>
      <c r="AH495">
        <f t="shared" si="109"/>
        <v>2.2346563467103695</v>
      </c>
      <c r="AI495">
        <f t="shared" si="110"/>
        <v>66.831499016977077</v>
      </c>
      <c r="AJ495">
        <f t="shared" si="111"/>
        <v>79.59450098302294</v>
      </c>
      <c r="AL495">
        <f t="shared" si="112"/>
        <v>77.682312693420741</v>
      </c>
      <c r="AM495">
        <f t="shared" si="113"/>
        <v>68.743687306579275</v>
      </c>
    </row>
    <row r="496" spans="1:39" ht="16.5" x14ac:dyDescent="0.25">
      <c r="A496" s="1">
        <v>44988</v>
      </c>
      <c r="B496" s="5">
        <v>75.59</v>
      </c>
      <c r="C496" s="4">
        <v>73.62</v>
      </c>
      <c r="D496" s="4">
        <v>75.84</v>
      </c>
      <c r="E496" s="4">
        <v>73.62</v>
      </c>
      <c r="F496" s="4" t="s">
        <v>1440</v>
      </c>
      <c r="G496" s="2" t="s">
        <v>1056</v>
      </c>
      <c r="I496">
        <f t="shared" si="100"/>
        <v>73.01700000000001</v>
      </c>
      <c r="J496">
        <f t="shared" si="101"/>
        <v>70.828888888888883</v>
      </c>
      <c r="L496">
        <f t="shared" si="102"/>
        <v>1</v>
      </c>
      <c r="M496">
        <f t="shared" si="103"/>
        <v>0</v>
      </c>
      <c r="O496">
        <f t="shared" si="104"/>
        <v>1.9699999999999989</v>
      </c>
      <c r="P496">
        <f t="shared" si="105"/>
        <v>0</v>
      </c>
      <c r="R496">
        <f t="shared" si="106"/>
        <v>0.85499999999999921</v>
      </c>
      <c r="S496">
        <f t="shared" si="107"/>
        <v>0.50125000000000064</v>
      </c>
      <c r="U496">
        <f t="shared" si="108"/>
        <v>63.041474654377829</v>
      </c>
      <c r="V496">
        <v>86</v>
      </c>
      <c r="W496">
        <v>5</v>
      </c>
      <c r="AH496">
        <f t="shared" si="109"/>
        <v>2.1634075646474789</v>
      </c>
      <c r="AI496">
        <f t="shared" si="110"/>
        <v>66.635499016977079</v>
      </c>
      <c r="AJ496">
        <f t="shared" si="111"/>
        <v>79.398500983022942</v>
      </c>
      <c r="AL496">
        <f t="shared" si="112"/>
        <v>77.343815129294967</v>
      </c>
      <c r="AM496">
        <f t="shared" si="113"/>
        <v>68.690184870705053</v>
      </c>
    </row>
    <row r="497" spans="1:39" ht="16.5" x14ac:dyDescent="0.25">
      <c r="A497" s="1">
        <v>44987</v>
      </c>
      <c r="B497" s="5">
        <v>73.62</v>
      </c>
      <c r="C497" s="4">
        <v>72.92</v>
      </c>
      <c r="D497" s="4">
        <v>73.88</v>
      </c>
      <c r="E497" s="4">
        <v>72.19</v>
      </c>
      <c r="F497" s="4" t="s">
        <v>724</v>
      </c>
      <c r="G497" s="2" t="s">
        <v>233</v>
      </c>
      <c r="I497">
        <f t="shared" si="100"/>
        <v>72.837500000000006</v>
      </c>
      <c r="J497">
        <f t="shared" si="101"/>
        <v>70.692857142857136</v>
      </c>
      <c r="L497">
        <f t="shared" si="102"/>
        <v>1</v>
      </c>
      <c r="M497">
        <f t="shared" si="103"/>
        <v>0</v>
      </c>
      <c r="O497">
        <f t="shared" si="104"/>
        <v>0.70000000000000284</v>
      </c>
      <c r="P497">
        <f t="shared" si="105"/>
        <v>0</v>
      </c>
      <c r="R497">
        <f t="shared" si="106"/>
        <v>0.63199999999999934</v>
      </c>
      <c r="S497">
        <f t="shared" si="107"/>
        <v>0.50444444444444514</v>
      </c>
      <c r="U497">
        <f t="shared" si="108"/>
        <v>55.61204536566283</v>
      </c>
      <c r="V497">
        <v>86</v>
      </c>
      <c r="W497">
        <v>5</v>
      </c>
      <c r="AH497">
        <f t="shared" si="109"/>
        <v>2.0901163607400406</v>
      </c>
      <c r="AI497">
        <f t="shared" si="110"/>
        <v>66.455999016977074</v>
      </c>
      <c r="AJ497">
        <f t="shared" si="111"/>
        <v>79.219000983022937</v>
      </c>
      <c r="AL497">
        <f t="shared" si="112"/>
        <v>77.017732721480087</v>
      </c>
      <c r="AM497">
        <f t="shared" si="113"/>
        <v>68.657267278519925</v>
      </c>
    </row>
    <row r="498" spans="1:39" ht="16.5" x14ac:dyDescent="0.25">
      <c r="A498" s="1">
        <v>44986</v>
      </c>
      <c r="B498" s="5">
        <v>73.33</v>
      </c>
      <c r="C498" s="4">
        <v>73.150000000000006</v>
      </c>
      <c r="D498" s="4">
        <v>74.08</v>
      </c>
      <c r="E498" s="4">
        <v>72.739999999999995</v>
      </c>
      <c r="F498" s="4" t="s">
        <v>738</v>
      </c>
      <c r="G498" s="2" t="s">
        <v>368</v>
      </c>
      <c r="I498">
        <f t="shared" si="100"/>
        <v>72.766500000000008</v>
      </c>
      <c r="J498">
        <f t="shared" si="101"/>
        <v>70.606764705882355</v>
      </c>
      <c r="L498">
        <f t="shared" si="102"/>
        <v>1</v>
      </c>
      <c r="M498">
        <f t="shared" si="103"/>
        <v>0</v>
      </c>
      <c r="O498">
        <f t="shared" si="104"/>
        <v>0.17999999999999261</v>
      </c>
      <c r="P498">
        <f t="shared" si="105"/>
        <v>0</v>
      </c>
      <c r="R498">
        <f t="shared" si="106"/>
        <v>0.61499999999999844</v>
      </c>
      <c r="S498">
        <f t="shared" si="107"/>
        <v>0.52500000000000147</v>
      </c>
      <c r="U498">
        <f t="shared" si="108"/>
        <v>53.947368421052502</v>
      </c>
      <c r="V498">
        <v>86</v>
      </c>
      <c r="W498">
        <v>5</v>
      </c>
      <c r="AH498">
        <f t="shared" si="109"/>
        <v>2.0134798829093858</v>
      </c>
      <c r="AI498">
        <f t="shared" si="110"/>
        <v>66.384999016977076</v>
      </c>
      <c r="AJ498">
        <f t="shared" si="111"/>
        <v>79.148000983022939</v>
      </c>
      <c r="AL498">
        <f t="shared" si="112"/>
        <v>76.793459765818781</v>
      </c>
      <c r="AM498">
        <f t="shared" si="113"/>
        <v>68.739540234181234</v>
      </c>
    </row>
    <row r="499" spans="1:39" ht="16.5" x14ac:dyDescent="0.25">
      <c r="A499" s="1">
        <v>44985</v>
      </c>
      <c r="B499" s="5">
        <v>72.650000000000006</v>
      </c>
      <c r="C499" s="4">
        <v>72.31</v>
      </c>
      <c r="D499" s="4">
        <v>73.540000000000006</v>
      </c>
      <c r="E499" s="4">
        <v>71.760000000000005</v>
      </c>
      <c r="F499" s="4" t="s">
        <v>1590</v>
      </c>
      <c r="G499" s="2" t="s">
        <v>1149</v>
      </c>
      <c r="I499">
        <f t="shared" si="100"/>
        <v>72.580000000000013</v>
      </c>
      <c r="J499">
        <f t="shared" si="101"/>
        <v>70.524242424242431</v>
      </c>
      <c r="L499">
        <f t="shared" si="102"/>
        <v>1</v>
      </c>
      <c r="M499">
        <f t="shared" si="103"/>
        <v>0</v>
      </c>
      <c r="O499">
        <f t="shared" si="104"/>
        <v>0.34000000000000341</v>
      </c>
      <c r="P499">
        <f t="shared" si="105"/>
        <v>0</v>
      </c>
      <c r="R499">
        <f t="shared" si="106"/>
        <v>0.84249999999999758</v>
      </c>
      <c r="S499">
        <f t="shared" si="107"/>
        <v>0.52500000000000147</v>
      </c>
      <c r="U499">
        <f t="shared" si="108"/>
        <v>61.60877513711138</v>
      </c>
      <c r="V499">
        <v>86</v>
      </c>
      <c r="W499">
        <v>5</v>
      </c>
      <c r="AH499">
        <f t="shared" si="109"/>
        <v>1.9260536245684057</v>
      </c>
      <c r="AI499">
        <f t="shared" si="110"/>
        <v>66.198499016977081</v>
      </c>
      <c r="AJ499">
        <f t="shared" si="111"/>
        <v>78.961500983022944</v>
      </c>
      <c r="AL499">
        <f t="shared" si="112"/>
        <v>76.43210724913682</v>
      </c>
      <c r="AM499">
        <f t="shared" si="113"/>
        <v>68.727892750863205</v>
      </c>
    </row>
    <row r="500" spans="1:39" ht="16.5" x14ac:dyDescent="0.25">
      <c r="A500" s="1">
        <v>44984</v>
      </c>
      <c r="B500" s="5">
        <v>72.59</v>
      </c>
      <c r="C500" s="4">
        <v>72.900000000000006</v>
      </c>
      <c r="D500" s="4">
        <v>73.13</v>
      </c>
      <c r="E500" s="4">
        <v>72.41</v>
      </c>
      <c r="F500" s="4" t="s">
        <v>152</v>
      </c>
      <c r="G500" s="2" t="s">
        <v>550</v>
      </c>
      <c r="I500">
        <f t="shared" si="100"/>
        <v>72.355000000000004</v>
      </c>
      <c r="J500">
        <f t="shared" si="101"/>
        <v>70.457812499999989</v>
      </c>
      <c r="L500">
        <f t="shared" si="102"/>
        <v>0</v>
      </c>
      <c r="M500">
        <f t="shared" si="103"/>
        <v>1</v>
      </c>
      <c r="O500">
        <f t="shared" si="104"/>
        <v>0</v>
      </c>
      <c r="P500">
        <f t="shared" si="105"/>
        <v>0.31000000000000227</v>
      </c>
      <c r="R500">
        <f t="shared" si="106"/>
        <v>1.0099999999999956</v>
      </c>
      <c r="S500">
        <f t="shared" si="107"/>
        <v>0.50636363636363702</v>
      </c>
      <c r="U500">
        <f t="shared" si="108"/>
        <v>66.606714628297226</v>
      </c>
      <c r="V500">
        <v>86</v>
      </c>
      <c r="W500">
        <v>5</v>
      </c>
      <c r="AH500">
        <f t="shared" si="109"/>
        <v>1.8331378633186339</v>
      </c>
      <c r="AI500">
        <f t="shared" si="110"/>
        <v>65.973499016977073</v>
      </c>
      <c r="AJ500">
        <f t="shared" si="111"/>
        <v>78.736500983022935</v>
      </c>
      <c r="AL500">
        <f t="shared" si="112"/>
        <v>76.021275726637271</v>
      </c>
      <c r="AM500">
        <f t="shared" si="113"/>
        <v>68.688724273362737</v>
      </c>
    </row>
    <row r="501" spans="1:39" ht="16.5" x14ac:dyDescent="0.25">
      <c r="A501" s="1">
        <v>44981</v>
      </c>
      <c r="B501" s="5">
        <v>71.94</v>
      </c>
      <c r="C501" s="4">
        <v>74.48</v>
      </c>
      <c r="D501" s="4">
        <v>74.61</v>
      </c>
      <c r="E501" s="4">
        <v>71.94</v>
      </c>
      <c r="F501" s="4" t="s">
        <v>1598</v>
      </c>
      <c r="G501" s="2" t="s">
        <v>350</v>
      </c>
      <c r="I501">
        <f t="shared" si="100"/>
        <v>72.111500000000007</v>
      </c>
      <c r="J501">
        <f t="shared" si="101"/>
        <v>70.389032258064518</v>
      </c>
      <c r="L501">
        <f t="shared" si="102"/>
        <v>0</v>
      </c>
      <c r="M501">
        <f t="shared" si="103"/>
        <v>1</v>
      </c>
      <c r="O501">
        <f t="shared" si="104"/>
        <v>0</v>
      </c>
      <c r="P501">
        <f t="shared" si="105"/>
        <v>2.5400000000000063</v>
      </c>
      <c r="R501">
        <f t="shared" si="106"/>
        <v>1.0099999999999956</v>
      </c>
      <c r="S501">
        <f t="shared" si="107"/>
        <v>0.48545454545454575</v>
      </c>
      <c r="U501">
        <f t="shared" si="108"/>
        <v>67.537993920972525</v>
      </c>
      <c r="V501">
        <v>86</v>
      </c>
      <c r="W501">
        <v>5</v>
      </c>
      <c r="AH501">
        <f t="shared" si="109"/>
        <v>1.7363085552850261</v>
      </c>
      <c r="AI501">
        <f t="shared" si="110"/>
        <v>65.729999016977075</v>
      </c>
      <c r="AJ501">
        <f t="shared" si="111"/>
        <v>78.493000983022938</v>
      </c>
      <c r="AL501">
        <f t="shared" si="112"/>
        <v>75.584117110570062</v>
      </c>
      <c r="AM501">
        <f t="shared" si="113"/>
        <v>68.638882889429951</v>
      </c>
    </row>
    <row r="502" spans="1:39" ht="16.5" x14ac:dyDescent="0.25">
      <c r="A502" s="1">
        <v>44980</v>
      </c>
      <c r="B502" s="5">
        <v>74.11</v>
      </c>
      <c r="C502" s="4">
        <v>74.260000000000005</v>
      </c>
      <c r="D502" s="4">
        <v>74.88</v>
      </c>
      <c r="E502" s="4">
        <v>74.05</v>
      </c>
      <c r="F502" s="4" t="s">
        <v>1378</v>
      </c>
      <c r="G502" s="2" t="s">
        <v>372</v>
      </c>
      <c r="I502">
        <f t="shared" si="100"/>
        <v>71.958000000000013</v>
      </c>
      <c r="J502">
        <f t="shared" si="101"/>
        <v>70.337333333333348</v>
      </c>
      <c r="L502">
        <f t="shared" si="102"/>
        <v>0</v>
      </c>
      <c r="M502">
        <f t="shared" si="103"/>
        <v>1</v>
      </c>
      <c r="O502">
        <f t="shared" si="104"/>
        <v>0</v>
      </c>
      <c r="P502">
        <f t="shared" si="105"/>
        <v>0.15000000000000568</v>
      </c>
      <c r="R502">
        <f t="shared" si="106"/>
        <v>0.8574999999999946</v>
      </c>
      <c r="S502">
        <f t="shared" si="107"/>
        <v>0.27999999999999969</v>
      </c>
      <c r="U502">
        <f t="shared" si="108"/>
        <v>75.384615384615287</v>
      </c>
      <c r="V502">
        <v>86</v>
      </c>
      <c r="W502">
        <v>5</v>
      </c>
      <c r="AH502">
        <f t="shared" si="109"/>
        <v>1.6361406569810195</v>
      </c>
      <c r="AI502">
        <f t="shared" si="110"/>
        <v>65.576499016977081</v>
      </c>
      <c r="AJ502">
        <f t="shared" si="111"/>
        <v>78.339500983022944</v>
      </c>
      <c r="AL502">
        <f t="shared" si="112"/>
        <v>75.230281313962053</v>
      </c>
      <c r="AM502">
        <f t="shared" si="113"/>
        <v>68.685718686037973</v>
      </c>
    </row>
    <row r="503" spans="1:39" ht="16.5" x14ac:dyDescent="0.25">
      <c r="A503" s="1">
        <v>44979</v>
      </c>
      <c r="B503" s="5">
        <v>73.98</v>
      </c>
      <c r="C503" s="4">
        <v>74.17</v>
      </c>
      <c r="D503" s="4">
        <v>74.36</v>
      </c>
      <c r="E503" s="4">
        <v>73.47</v>
      </c>
      <c r="F503" s="4" t="s">
        <v>105</v>
      </c>
      <c r="G503" s="2" t="s">
        <v>88</v>
      </c>
      <c r="I503">
        <f t="shared" si="100"/>
        <v>71.667500000000004</v>
      </c>
      <c r="J503">
        <f t="shared" si="101"/>
        <v>70.207241379310346</v>
      </c>
      <c r="L503">
        <f t="shared" si="102"/>
        <v>0</v>
      </c>
      <c r="M503">
        <f t="shared" si="103"/>
        <v>1</v>
      </c>
      <c r="O503">
        <f t="shared" si="104"/>
        <v>0</v>
      </c>
      <c r="P503">
        <f t="shared" si="105"/>
        <v>0.18999999999999773</v>
      </c>
      <c r="R503">
        <f t="shared" si="106"/>
        <v>0.74999999999999434</v>
      </c>
      <c r="S503">
        <f t="shared" si="107"/>
        <v>0.29444444444444351</v>
      </c>
      <c r="U503">
        <f t="shared" si="108"/>
        <v>71.80851063829779</v>
      </c>
      <c r="V503">
        <v>86</v>
      </c>
      <c r="W503">
        <v>5</v>
      </c>
      <c r="AH503">
        <f t="shared" si="109"/>
        <v>1.5244208579836271</v>
      </c>
      <c r="AI503">
        <f t="shared" si="110"/>
        <v>65.285999016977073</v>
      </c>
      <c r="AJ503">
        <f t="shared" si="111"/>
        <v>78.049000983022935</v>
      </c>
      <c r="AL503">
        <f t="shared" si="112"/>
        <v>74.71634171596726</v>
      </c>
      <c r="AM503">
        <f t="shared" si="113"/>
        <v>68.618658284032747</v>
      </c>
    </row>
    <row r="504" spans="1:39" ht="16.5" x14ac:dyDescent="0.25">
      <c r="A504" s="1">
        <v>44978</v>
      </c>
      <c r="B504" s="5">
        <v>74.59</v>
      </c>
      <c r="C504" s="4">
        <v>74.86</v>
      </c>
      <c r="D504" s="4">
        <v>75.12</v>
      </c>
      <c r="E504" s="4">
        <v>73.62</v>
      </c>
      <c r="F504" s="4" t="s">
        <v>107</v>
      </c>
      <c r="G504" s="2" t="s">
        <v>632</v>
      </c>
      <c r="I504">
        <f t="shared" si="100"/>
        <v>71.348500000000001</v>
      </c>
      <c r="J504">
        <f t="shared" si="101"/>
        <v>70.072500000000005</v>
      </c>
      <c r="L504">
        <f t="shared" si="102"/>
        <v>0</v>
      </c>
      <c r="M504">
        <f t="shared" si="103"/>
        <v>1</v>
      </c>
      <c r="O504">
        <f t="shared" si="104"/>
        <v>0</v>
      </c>
      <c r="P504">
        <f t="shared" si="105"/>
        <v>0.26999999999999602</v>
      </c>
      <c r="R504">
        <f t="shared" si="106"/>
        <v>0.99999999999999523</v>
      </c>
      <c r="S504">
        <f t="shared" si="107"/>
        <v>0.30749999999999922</v>
      </c>
      <c r="U504">
        <f t="shared" si="108"/>
        <v>76.481835564053497</v>
      </c>
      <c r="V504">
        <v>86</v>
      </c>
      <c r="W504">
        <v>5</v>
      </c>
      <c r="AH504">
        <f t="shared" si="109"/>
        <v>1.4101345199779209</v>
      </c>
      <c r="AI504">
        <f t="shared" si="110"/>
        <v>64.96699901697707</v>
      </c>
      <c r="AJ504">
        <f t="shared" si="111"/>
        <v>77.730000983022933</v>
      </c>
      <c r="AL504">
        <f t="shared" si="112"/>
        <v>74.168769039955848</v>
      </c>
      <c r="AM504">
        <f t="shared" si="113"/>
        <v>68.528230960044155</v>
      </c>
    </row>
    <row r="505" spans="1:39" ht="16.5" x14ac:dyDescent="0.25">
      <c r="A505" s="1">
        <v>44977</v>
      </c>
      <c r="B505" s="5">
        <v>74.87</v>
      </c>
      <c r="C505" s="4">
        <v>75</v>
      </c>
      <c r="D505" s="4">
        <v>75.55</v>
      </c>
      <c r="E505" s="4">
        <v>74.819999999999993</v>
      </c>
      <c r="F505" s="4" t="s">
        <v>204</v>
      </c>
      <c r="G505" s="2" t="s">
        <v>958</v>
      </c>
      <c r="I505">
        <f t="shared" si="100"/>
        <v>71.006499999999988</v>
      </c>
      <c r="J505">
        <f t="shared" si="101"/>
        <v>69.905185185185175</v>
      </c>
      <c r="L505">
        <f t="shared" si="102"/>
        <v>0</v>
      </c>
      <c r="M505">
        <f t="shared" si="103"/>
        <v>1</v>
      </c>
      <c r="O505">
        <f t="shared" si="104"/>
        <v>0</v>
      </c>
      <c r="P505">
        <f t="shared" si="105"/>
        <v>0.12999999999999545</v>
      </c>
      <c r="R505">
        <f t="shared" si="106"/>
        <v>1.0128571428571373</v>
      </c>
      <c r="S505">
        <f t="shared" si="107"/>
        <v>0.31285714285714256</v>
      </c>
      <c r="U505">
        <f t="shared" si="108"/>
        <v>76.400862068965438</v>
      </c>
      <c r="V505">
        <v>86</v>
      </c>
      <c r="W505">
        <v>5</v>
      </c>
      <c r="AH505">
        <f t="shared" si="109"/>
        <v>1.2954474164681729</v>
      </c>
      <c r="AI505">
        <f t="shared" si="110"/>
        <v>64.624999016977057</v>
      </c>
      <c r="AJ505">
        <f t="shared" si="111"/>
        <v>77.38800098302292</v>
      </c>
      <c r="AL505">
        <f t="shared" si="112"/>
        <v>73.597394832936331</v>
      </c>
      <c r="AM505">
        <f t="shared" si="113"/>
        <v>68.415605167063646</v>
      </c>
    </row>
    <row r="506" spans="1:39" ht="16.5" x14ac:dyDescent="0.25">
      <c r="A506" s="1">
        <v>44974</v>
      </c>
      <c r="B506" s="5">
        <v>74.64</v>
      </c>
      <c r="C506" s="4">
        <v>73.61</v>
      </c>
      <c r="D506" s="4">
        <v>75.06</v>
      </c>
      <c r="E506" s="4">
        <v>73.540000000000006</v>
      </c>
      <c r="F506" s="4" t="s">
        <v>1085</v>
      </c>
      <c r="G506" s="2" t="s">
        <v>441</v>
      </c>
      <c r="I506">
        <f t="shared" si="100"/>
        <v>70.626499999999993</v>
      </c>
      <c r="J506">
        <f t="shared" si="101"/>
        <v>69.714230769230767</v>
      </c>
      <c r="L506">
        <f t="shared" si="102"/>
        <v>1</v>
      </c>
      <c r="M506">
        <f t="shared" si="103"/>
        <v>0</v>
      </c>
      <c r="O506">
        <f t="shared" si="104"/>
        <v>1.0300000000000011</v>
      </c>
      <c r="P506">
        <f t="shared" si="105"/>
        <v>0</v>
      </c>
      <c r="R506">
        <f t="shared" si="106"/>
        <v>0.96999999999999531</v>
      </c>
      <c r="S506">
        <f t="shared" si="107"/>
        <v>0.34333333333333371</v>
      </c>
      <c r="U506">
        <f t="shared" si="108"/>
        <v>73.857868020304451</v>
      </c>
      <c r="V506">
        <v>86</v>
      </c>
      <c r="W506">
        <v>5</v>
      </c>
      <c r="AH506">
        <f t="shared" si="109"/>
        <v>1.1828006478853683</v>
      </c>
      <c r="AI506">
        <f t="shared" si="110"/>
        <v>64.244999016977062</v>
      </c>
      <c r="AJ506">
        <f t="shared" si="111"/>
        <v>77.008000983022924</v>
      </c>
      <c r="AL506">
        <f t="shared" si="112"/>
        <v>72.992101295770723</v>
      </c>
      <c r="AM506">
        <f t="shared" si="113"/>
        <v>68.260898704229263</v>
      </c>
    </row>
    <row r="507" spans="1:39" ht="16.5" x14ac:dyDescent="0.25">
      <c r="A507" s="1">
        <v>44973</v>
      </c>
      <c r="B507" s="5">
        <v>72.58</v>
      </c>
      <c r="C507" s="4">
        <v>72.8</v>
      </c>
      <c r="D507" s="4">
        <v>73.150000000000006</v>
      </c>
      <c r="E507" s="4">
        <v>71.7</v>
      </c>
      <c r="F507" s="4" t="s">
        <v>1561</v>
      </c>
      <c r="G507" s="2" t="s">
        <v>390</v>
      </c>
      <c r="I507">
        <f t="shared" si="100"/>
        <v>70.183999999999997</v>
      </c>
      <c r="J507">
        <f t="shared" si="101"/>
        <v>69.517200000000003</v>
      </c>
      <c r="L507">
        <f t="shared" si="102"/>
        <v>0</v>
      </c>
      <c r="M507">
        <f t="shared" si="103"/>
        <v>1</v>
      </c>
      <c r="O507">
        <f t="shared" si="104"/>
        <v>0</v>
      </c>
      <c r="P507">
        <f t="shared" si="105"/>
        <v>0.21999999999999886</v>
      </c>
      <c r="R507">
        <f t="shared" si="106"/>
        <v>0.96142857142856586</v>
      </c>
      <c r="S507">
        <f t="shared" si="107"/>
        <v>0.4914285714285711</v>
      </c>
      <c r="U507">
        <f t="shared" si="108"/>
        <v>66.175024582104115</v>
      </c>
      <c r="V507">
        <v>86</v>
      </c>
      <c r="W507">
        <v>5</v>
      </c>
      <c r="AH507">
        <f t="shared" si="109"/>
        <v>1.0771344224105099</v>
      </c>
      <c r="AI507">
        <f t="shared" si="110"/>
        <v>63.802499016977066</v>
      </c>
      <c r="AJ507">
        <f t="shared" si="111"/>
        <v>76.565500983022929</v>
      </c>
      <c r="AL507">
        <f t="shared" si="112"/>
        <v>72.338268844821016</v>
      </c>
      <c r="AM507">
        <f t="shared" si="113"/>
        <v>68.029731155178979</v>
      </c>
    </row>
    <row r="508" spans="1:39" ht="16.5" x14ac:dyDescent="0.25">
      <c r="A508" s="1">
        <v>44972</v>
      </c>
      <c r="B508" s="5">
        <v>72.36</v>
      </c>
      <c r="C508" s="4">
        <v>71.45</v>
      </c>
      <c r="D508" s="4">
        <v>72.47</v>
      </c>
      <c r="E508" s="4">
        <v>71.319999999999993</v>
      </c>
      <c r="F508" s="4" t="s">
        <v>492</v>
      </c>
      <c r="G508" s="2" t="s">
        <v>176</v>
      </c>
      <c r="I508">
        <f t="shared" si="100"/>
        <v>69.830999999999989</v>
      </c>
      <c r="J508">
        <f t="shared" si="101"/>
        <v>69.389583333333334</v>
      </c>
      <c r="L508">
        <f t="shared" si="102"/>
        <v>1</v>
      </c>
      <c r="M508">
        <f t="shared" si="103"/>
        <v>0</v>
      </c>
      <c r="O508">
        <f t="shared" si="104"/>
        <v>0.90999999999999659</v>
      </c>
      <c r="P508">
        <f t="shared" si="105"/>
        <v>0</v>
      </c>
      <c r="R508">
        <f t="shared" si="106"/>
        <v>0.8862499999999951</v>
      </c>
      <c r="S508">
        <f t="shared" si="107"/>
        <v>0.53666666666666651</v>
      </c>
      <c r="U508">
        <f t="shared" si="108"/>
        <v>62.284040995607491</v>
      </c>
      <c r="V508">
        <v>86</v>
      </c>
      <c r="W508">
        <v>5</v>
      </c>
      <c r="AH508">
        <f t="shared" si="109"/>
        <v>0.98747125652491397</v>
      </c>
      <c r="AI508">
        <f t="shared" si="110"/>
        <v>63.449499016977057</v>
      </c>
      <c r="AJ508">
        <f t="shared" si="111"/>
        <v>76.21250098302292</v>
      </c>
      <c r="AL508">
        <f t="shared" si="112"/>
        <v>71.805942513049814</v>
      </c>
      <c r="AM508">
        <f t="shared" si="113"/>
        <v>67.856057486950164</v>
      </c>
    </row>
    <row r="509" spans="1:39" ht="16.5" x14ac:dyDescent="0.25">
      <c r="A509" s="1">
        <v>44971</v>
      </c>
      <c r="B509" s="5">
        <v>71.48</v>
      </c>
      <c r="C509" s="4">
        <v>71.680000000000007</v>
      </c>
      <c r="D509" s="4">
        <v>72.239999999999995</v>
      </c>
      <c r="E509" s="4">
        <v>71.11</v>
      </c>
      <c r="F509" s="4" t="s">
        <v>1599</v>
      </c>
      <c r="G509" s="2" t="s">
        <v>734</v>
      </c>
      <c r="I509">
        <f t="shared" si="100"/>
        <v>69.578000000000003</v>
      </c>
      <c r="J509">
        <f t="shared" si="101"/>
        <v>69.260434782608698</v>
      </c>
      <c r="L509">
        <f t="shared" si="102"/>
        <v>0</v>
      </c>
      <c r="M509">
        <f t="shared" si="103"/>
        <v>1</v>
      </c>
      <c r="O509">
        <f t="shared" si="104"/>
        <v>0</v>
      </c>
      <c r="P509">
        <f t="shared" si="105"/>
        <v>0.20000000000000284</v>
      </c>
      <c r="R509">
        <f t="shared" si="106"/>
        <v>0.79874999999999474</v>
      </c>
      <c r="S509">
        <f t="shared" si="107"/>
        <v>0.53666666666666651</v>
      </c>
      <c r="U509">
        <f t="shared" si="108"/>
        <v>59.812792511700316</v>
      </c>
      <c r="V509">
        <v>86</v>
      </c>
      <c r="W509">
        <v>5</v>
      </c>
      <c r="AH509">
        <f t="shared" si="109"/>
        <v>0.90850294048354174</v>
      </c>
      <c r="AI509">
        <f t="shared" si="110"/>
        <v>63.196499016977072</v>
      </c>
      <c r="AJ509">
        <f t="shared" si="111"/>
        <v>75.959500983022934</v>
      </c>
      <c r="AL509">
        <f t="shared" si="112"/>
        <v>71.395005880967091</v>
      </c>
      <c r="AM509">
        <f t="shared" si="113"/>
        <v>67.760994119032915</v>
      </c>
    </row>
    <row r="510" spans="1:39" ht="16.5" x14ac:dyDescent="0.25">
      <c r="A510" s="1">
        <v>44970</v>
      </c>
      <c r="B510" s="5">
        <v>71.47</v>
      </c>
      <c r="C510" s="4">
        <v>72</v>
      </c>
      <c r="D510" s="4">
        <v>72.25</v>
      </c>
      <c r="E510" s="4">
        <v>71.47</v>
      </c>
      <c r="F510" s="4" t="s">
        <v>33</v>
      </c>
      <c r="G510" s="2" t="s">
        <v>794</v>
      </c>
      <c r="I510">
        <f t="shared" si="100"/>
        <v>69.365499999999997</v>
      </c>
      <c r="J510">
        <f t="shared" si="101"/>
        <v>69.159545454545452</v>
      </c>
      <c r="L510">
        <f t="shared" si="102"/>
        <v>0</v>
      </c>
      <c r="M510">
        <f t="shared" si="103"/>
        <v>1</v>
      </c>
      <c r="O510">
        <f t="shared" si="104"/>
        <v>0</v>
      </c>
      <c r="P510">
        <f t="shared" si="105"/>
        <v>0.53000000000000114</v>
      </c>
      <c r="R510">
        <f t="shared" si="106"/>
        <v>0.71333333333332882</v>
      </c>
      <c r="S510">
        <f t="shared" si="107"/>
        <v>0.6039999999999992</v>
      </c>
      <c r="U510">
        <f t="shared" si="108"/>
        <v>54.149797570850083</v>
      </c>
      <c r="V510">
        <v>86</v>
      </c>
      <c r="W510">
        <v>5</v>
      </c>
      <c r="AH510">
        <f t="shared" si="109"/>
        <v>0.83240387002837579</v>
      </c>
      <c r="AI510">
        <f t="shared" si="110"/>
        <v>62.983999016977066</v>
      </c>
      <c r="AJ510">
        <f t="shared" si="111"/>
        <v>75.747000983022929</v>
      </c>
      <c r="AL510">
        <f t="shared" si="112"/>
        <v>71.030307740056742</v>
      </c>
      <c r="AM510">
        <f t="shared" si="113"/>
        <v>67.700692259943253</v>
      </c>
    </row>
    <row r="511" spans="1:39" ht="16.5" x14ac:dyDescent="0.25">
      <c r="A511" s="1">
        <v>44967</v>
      </c>
      <c r="B511" s="5">
        <v>71.959999999999994</v>
      </c>
      <c r="C511" s="4">
        <v>72.67</v>
      </c>
      <c r="D511" s="4">
        <v>72.95</v>
      </c>
      <c r="E511" s="4">
        <v>71.400000000000006</v>
      </c>
      <c r="F511" s="4" t="s">
        <v>683</v>
      </c>
      <c r="G511" s="2" t="s">
        <v>361</v>
      </c>
      <c r="I511">
        <f t="shared" si="100"/>
        <v>69.150000000000006</v>
      </c>
      <c r="J511">
        <f t="shared" si="101"/>
        <v>69.049523809523805</v>
      </c>
      <c r="L511">
        <f t="shared" si="102"/>
        <v>0</v>
      </c>
      <c r="M511">
        <f t="shared" si="103"/>
        <v>1</v>
      </c>
      <c r="O511">
        <f t="shared" si="104"/>
        <v>0</v>
      </c>
      <c r="P511">
        <f t="shared" si="105"/>
        <v>0.71000000000000796</v>
      </c>
      <c r="R511">
        <f t="shared" si="106"/>
        <v>0.65699999999999648</v>
      </c>
      <c r="S511">
        <f t="shared" si="107"/>
        <v>0.62249999999999872</v>
      </c>
      <c r="U511">
        <f t="shared" si="108"/>
        <v>51.348182883938961</v>
      </c>
      <c r="V511">
        <v>86</v>
      </c>
      <c r="W511">
        <v>5</v>
      </c>
      <c r="AH511">
        <f t="shared" si="109"/>
        <v>0.75555014858367331</v>
      </c>
      <c r="AI511">
        <f t="shared" si="110"/>
        <v>62.768499016977074</v>
      </c>
      <c r="AJ511">
        <f t="shared" si="111"/>
        <v>75.531500983022937</v>
      </c>
      <c r="AL511">
        <f t="shared" si="112"/>
        <v>70.661100297167351</v>
      </c>
      <c r="AM511">
        <f t="shared" si="113"/>
        <v>67.63889970283266</v>
      </c>
    </row>
    <row r="512" spans="1:39" ht="16.5" x14ac:dyDescent="0.25">
      <c r="A512" s="1">
        <v>44966</v>
      </c>
      <c r="B512" s="5">
        <v>72.989999999999995</v>
      </c>
      <c r="C512" s="4">
        <v>71.900000000000006</v>
      </c>
      <c r="D512" s="4">
        <v>73.38</v>
      </c>
      <c r="E512" s="4">
        <v>71.900000000000006</v>
      </c>
      <c r="F512" s="4" t="s">
        <v>1600</v>
      </c>
      <c r="G512" s="2" t="s">
        <v>939</v>
      </c>
      <c r="I512">
        <f t="shared" si="100"/>
        <v>68.903999999999996</v>
      </c>
      <c r="J512">
        <f t="shared" si="101"/>
        <v>68.903999999999996</v>
      </c>
      <c r="L512">
        <f t="shared" si="102"/>
        <v>1</v>
      </c>
      <c r="M512">
        <f t="shared" si="103"/>
        <v>0</v>
      </c>
      <c r="O512">
        <f t="shared" si="104"/>
        <v>1.0899999999999892</v>
      </c>
      <c r="P512">
        <f t="shared" si="105"/>
        <v>0</v>
      </c>
      <c r="R512">
        <f t="shared" si="106"/>
        <v>0.66636363636363238</v>
      </c>
      <c r="S512">
        <f t="shared" si="107"/>
        <v>0.59333333333332894</v>
      </c>
      <c r="U512">
        <f t="shared" si="108"/>
        <v>52.898725042097702</v>
      </c>
      <c r="V512">
        <v>86</v>
      </c>
      <c r="W512">
        <v>5</v>
      </c>
      <c r="AH512">
        <f t="shared" si="109"/>
        <v>0.67828175627122844</v>
      </c>
      <c r="AI512">
        <f t="shared" si="110"/>
        <v>62.522499016977065</v>
      </c>
      <c r="AJ512">
        <f t="shared" si="111"/>
        <v>75.285500983022928</v>
      </c>
      <c r="AL512">
        <f t="shared" si="112"/>
        <v>70.260563512542447</v>
      </c>
      <c r="AM512">
        <f t="shared" si="113"/>
        <v>67.547436487457546</v>
      </c>
    </row>
    <row r="513" spans="1:39" ht="16.5" x14ac:dyDescent="0.25">
      <c r="A513" s="1">
        <v>44965</v>
      </c>
      <c r="B513" s="5">
        <v>71.790000000000006</v>
      </c>
      <c r="C513" s="4">
        <v>72.11</v>
      </c>
      <c r="D513" s="4">
        <v>72.569999999999993</v>
      </c>
      <c r="E513" s="4">
        <v>71.22</v>
      </c>
      <c r="F513" s="4" t="s">
        <v>722</v>
      </c>
      <c r="G513" s="2" t="s">
        <v>563</v>
      </c>
      <c r="I513">
        <f t="shared" si="100"/>
        <v>68.688947368421054</v>
      </c>
      <c r="J513">
        <f t="shared" si="101"/>
        <v>68.688947368421054</v>
      </c>
      <c r="L513">
        <f t="shared" si="102"/>
        <v>0</v>
      </c>
      <c r="M513">
        <f t="shared" si="103"/>
        <v>1</v>
      </c>
      <c r="O513">
        <f t="shared" si="104"/>
        <v>0</v>
      </c>
      <c r="P513">
        <f t="shared" si="105"/>
        <v>0.31999999999999318</v>
      </c>
      <c r="R513">
        <f t="shared" si="106"/>
        <v>0.62399999999999667</v>
      </c>
      <c r="S513">
        <f t="shared" si="107"/>
        <v>0.50749999999999673</v>
      </c>
      <c r="U513">
        <f t="shared" si="108"/>
        <v>55.148033583738425</v>
      </c>
      <c r="V513">
        <v>86</v>
      </c>
      <c r="W513">
        <v>5</v>
      </c>
      <c r="AH513">
        <f t="shared" si="109"/>
        <v>0.60498478761180408</v>
      </c>
      <c r="AI513">
        <f t="shared" si="110"/>
        <v>62.307446385398123</v>
      </c>
      <c r="AJ513">
        <f t="shared" si="111"/>
        <v>75.070448351443986</v>
      </c>
      <c r="AL513">
        <f t="shared" si="112"/>
        <v>69.898916943644664</v>
      </c>
      <c r="AM513">
        <f t="shared" si="113"/>
        <v>67.478977793197444</v>
      </c>
    </row>
    <row r="514" spans="1:39" ht="16.5" x14ac:dyDescent="0.25">
      <c r="A514" s="1">
        <v>44964</v>
      </c>
      <c r="B514" s="5">
        <v>71.95</v>
      </c>
      <c r="C514" s="4">
        <v>72.03</v>
      </c>
      <c r="D514" s="4">
        <v>72.489999999999995</v>
      </c>
      <c r="E514" s="4">
        <v>71.59</v>
      </c>
      <c r="F514" s="4" t="s">
        <v>210</v>
      </c>
      <c r="G514" s="2" t="s">
        <v>438</v>
      </c>
      <c r="I514">
        <f t="shared" ref="I514:I531" si="114">AVERAGE(B514:B533)</f>
        <v>68.516666666666666</v>
      </c>
      <c r="J514">
        <f t="shared" ref="J514:J531" si="115">AVERAGE(B514:B553)</f>
        <v>68.516666666666666</v>
      </c>
      <c r="L514">
        <f t="shared" ref="L514:L531" si="116">IF($C514&lt;$B514,1,0)</f>
        <v>0</v>
      </c>
      <c r="M514">
        <f t="shared" ref="M514:M531" si="117">IF($C514&lt;$B514,0,1)</f>
        <v>1</v>
      </c>
      <c r="O514">
        <f t="shared" ref="O514:O531" si="118">IF($C514&lt;$B514,B514-C514,0)</f>
        <v>0</v>
      </c>
      <c r="P514">
        <f t="shared" ref="P514:P531" si="119">IF($B514&lt;$C514,C514-B514,0)</f>
        <v>7.9999999999998295E-2</v>
      </c>
      <c r="R514">
        <f t="shared" ref="R514:R529" si="120">SUM(O514:O527)/SUM(L514:L527)</f>
        <v>0.62399999999999667</v>
      </c>
      <c r="S514">
        <f t="shared" ref="S514:S529" si="121">SUM(P514:P527)/SUM(M514:M527)</f>
        <v>0.69500000000000028</v>
      </c>
      <c r="U514">
        <f t="shared" ref="U514:U531" si="122">100-(100/(1+(R514/S514)))</f>
        <v>47.308567096284925</v>
      </c>
      <c r="V514">
        <v>86</v>
      </c>
      <c r="W514">
        <v>5</v>
      </c>
      <c r="AH514">
        <f t="shared" si="109"/>
        <v>0.53304964690422474</v>
      </c>
      <c r="AI514">
        <f t="shared" si="110"/>
        <v>62.135165683643734</v>
      </c>
      <c r="AJ514">
        <f t="shared" si="111"/>
        <v>74.898167649689597</v>
      </c>
      <c r="AL514">
        <f t="shared" si="112"/>
        <v>69.582765960475115</v>
      </c>
      <c r="AM514">
        <f t="shared" si="113"/>
        <v>67.450567372858217</v>
      </c>
    </row>
    <row r="515" spans="1:39" ht="16.5" x14ac:dyDescent="0.25">
      <c r="A515" s="1">
        <v>44963</v>
      </c>
      <c r="B515" s="5">
        <v>71.849999999999994</v>
      </c>
      <c r="C515" s="4">
        <v>71.45</v>
      </c>
      <c r="D515" s="4">
        <v>72.05</v>
      </c>
      <c r="E515" s="4">
        <v>70.69</v>
      </c>
      <c r="F515" s="4" t="s">
        <v>262</v>
      </c>
      <c r="G515" s="2" t="s">
        <v>69</v>
      </c>
      <c r="I515">
        <f t="shared" si="114"/>
        <v>68.314705882352939</v>
      </c>
      <c r="J515">
        <f t="shared" si="115"/>
        <v>68.314705882352939</v>
      </c>
      <c r="L515">
        <f t="shared" si="116"/>
        <v>1</v>
      </c>
      <c r="M515">
        <f t="shared" si="117"/>
        <v>0</v>
      </c>
      <c r="O515">
        <f t="shared" si="118"/>
        <v>0.39999999999999147</v>
      </c>
      <c r="P515">
        <f t="shared" si="119"/>
        <v>0</v>
      </c>
      <c r="R515">
        <f t="shared" si="120"/>
        <v>0.62399999999999667</v>
      </c>
      <c r="S515">
        <f t="shared" si="121"/>
        <v>0.68250000000000099</v>
      </c>
      <c r="U515">
        <f t="shared" si="122"/>
        <v>47.761194029850571</v>
      </c>
      <c r="V515">
        <v>86</v>
      </c>
      <c r="W515">
        <v>5</v>
      </c>
      <c r="AH515">
        <f t="shared" ref="AH515:AH531" si="123">_xlfn.STDEV.S(I515:I1045)</f>
        <v>0.4563052168623058</v>
      </c>
      <c r="AI515">
        <f t="shared" ref="AI515:AI531" si="124">I515-$AH$2</f>
        <v>61.933204899330008</v>
      </c>
      <c r="AJ515">
        <f t="shared" ref="AJ515:AJ531" si="125">I515+$AH$2</f>
        <v>74.696206865375871</v>
      </c>
      <c r="AL515">
        <f t="shared" ref="AL515:AL531" si="126">I515+(AH515*2)</f>
        <v>69.227316316077548</v>
      </c>
      <c r="AM515">
        <f t="shared" ref="AM515:AM531" si="127">I515-(AH515*2)</f>
        <v>67.40209544862833</v>
      </c>
    </row>
    <row r="516" spans="1:39" ht="16.5" x14ac:dyDescent="0.25">
      <c r="A516" s="1">
        <v>44960</v>
      </c>
      <c r="B516" s="5">
        <v>72</v>
      </c>
      <c r="C516" s="4">
        <v>71.680000000000007</v>
      </c>
      <c r="D516" s="4">
        <v>72.680000000000007</v>
      </c>
      <c r="E516" s="4">
        <v>71.13</v>
      </c>
      <c r="F516" s="4" t="s">
        <v>1455</v>
      </c>
      <c r="G516" s="2" t="s">
        <v>596</v>
      </c>
      <c r="I516">
        <f t="shared" si="114"/>
        <v>68.093749999999986</v>
      </c>
      <c r="J516">
        <f t="shared" si="115"/>
        <v>68.093749999999986</v>
      </c>
      <c r="L516">
        <f t="shared" si="116"/>
        <v>1</v>
      </c>
      <c r="M516">
        <f t="shared" si="117"/>
        <v>0</v>
      </c>
      <c r="O516">
        <f t="shared" si="118"/>
        <v>0.31999999999999318</v>
      </c>
      <c r="P516">
        <f t="shared" si="119"/>
        <v>0</v>
      </c>
      <c r="R516">
        <f t="shared" si="120"/>
        <v>0.59099999999999819</v>
      </c>
      <c r="S516">
        <f t="shared" si="121"/>
        <v>0.68250000000000099</v>
      </c>
      <c r="U516">
        <f t="shared" si="122"/>
        <v>46.407538280329689</v>
      </c>
      <c r="V516">
        <v>86</v>
      </c>
      <c r="W516">
        <v>5</v>
      </c>
      <c r="AH516">
        <f t="shared" si="123"/>
        <v>0.3779253993865897</v>
      </c>
      <c r="AI516">
        <f t="shared" si="124"/>
        <v>61.712249016977054</v>
      </c>
      <c r="AJ516">
        <f t="shared" si="125"/>
        <v>74.475250983022917</v>
      </c>
      <c r="AL516">
        <f t="shared" si="126"/>
        <v>68.849600798773167</v>
      </c>
      <c r="AM516">
        <f t="shared" si="127"/>
        <v>67.337899201226804</v>
      </c>
    </row>
    <row r="517" spans="1:39" ht="16.5" x14ac:dyDescent="0.25">
      <c r="A517" s="1">
        <v>44959</v>
      </c>
      <c r="B517" s="5">
        <v>72.2</v>
      </c>
      <c r="C517" s="4">
        <v>69.95</v>
      </c>
      <c r="D517" s="4">
        <v>72.84</v>
      </c>
      <c r="E517" s="4">
        <v>69.56</v>
      </c>
      <c r="F517" s="4" t="s">
        <v>1601</v>
      </c>
      <c r="G517" s="2" t="s">
        <v>1602</v>
      </c>
      <c r="I517">
        <f t="shared" si="114"/>
        <v>67.833333333333329</v>
      </c>
      <c r="J517">
        <f t="shared" si="115"/>
        <v>67.833333333333329</v>
      </c>
      <c r="L517">
        <f t="shared" si="116"/>
        <v>1</v>
      </c>
      <c r="M517">
        <f t="shared" si="117"/>
        <v>0</v>
      </c>
      <c r="O517">
        <f t="shared" si="118"/>
        <v>2.25</v>
      </c>
      <c r="P517">
        <f t="shared" si="119"/>
        <v>0</v>
      </c>
      <c r="R517">
        <f t="shared" si="120"/>
        <v>0.62111111111110995</v>
      </c>
      <c r="S517">
        <f t="shared" si="121"/>
        <v>0.60000000000000286</v>
      </c>
      <c r="U517">
        <f t="shared" si="122"/>
        <v>50.864422202001663</v>
      </c>
      <c r="V517">
        <v>86</v>
      </c>
      <c r="W517">
        <v>5</v>
      </c>
      <c r="AH517">
        <f t="shared" si="123"/>
        <v>0.30149607530405237</v>
      </c>
      <c r="AI517">
        <f t="shared" si="124"/>
        <v>61.451832350310397</v>
      </c>
      <c r="AJ517">
        <f t="shared" si="125"/>
        <v>74.21483431635626</v>
      </c>
      <c r="AL517">
        <f t="shared" si="126"/>
        <v>68.436325483941431</v>
      </c>
      <c r="AM517">
        <f t="shared" si="127"/>
        <v>67.230341182725226</v>
      </c>
    </row>
    <row r="518" spans="1:39" ht="16.5" x14ac:dyDescent="0.25">
      <c r="A518" s="1">
        <v>44958</v>
      </c>
      <c r="B518" s="5">
        <v>69.599999999999994</v>
      </c>
      <c r="C518" s="4">
        <v>68.510000000000005</v>
      </c>
      <c r="D518" s="4">
        <v>69.78</v>
      </c>
      <c r="E518" s="4">
        <v>68.23</v>
      </c>
      <c r="F518" s="4" t="s">
        <v>1504</v>
      </c>
      <c r="G518" s="2" t="s">
        <v>1603</v>
      </c>
      <c r="I518">
        <f t="shared" si="114"/>
        <v>67.521428571428558</v>
      </c>
      <c r="J518">
        <f t="shared" si="115"/>
        <v>67.521428571428558</v>
      </c>
      <c r="L518">
        <f t="shared" si="116"/>
        <v>1</v>
      </c>
      <c r="M518">
        <f t="shared" si="117"/>
        <v>0</v>
      </c>
      <c r="O518">
        <f t="shared" si="118"/>
        <v>1.0899999999999892</v>
      </c>
      <c r="P518">
        <f t="shared" si="119"/>
        <v>0</v>
      </c>
      <c r="R518">
        <f t="shared" si="120"/>
        <v>0.41749999999999865</v>
      </c>
      <c r="S518">
        <f t="shared" si="121"/>
        <v>0.77333333333333576</v>
      </c>
      <c r="U518">
        <f t="shared" si="122"/>
        <v>35.059482155353251</v>
      </c>
      <c r="V518">
        <v>86</v>
      </c>
      <c r="W518">
        <v>5</v>
      </c>
      <c r="AH518">
        <f t="shared" si="123"/>
        <v>0.23912928414793042</v>
      </c>
      <c r="AI518">
        <f t="shared" si="124"/>
        <v>61.139927588405627</v>
      </c>
      <c r="AJ518">
        <f t="shared" si="125"/>
        <v>73.902929554451489</v>
      </c>
      <c r="AL518">
        <f t="shared" si="126"/>
        <v>67.999687139724415</v>
      </c>
      <c r="AM518">
        <f t="shared" si="127"/>
        <v>67.043170003132701</v>
      </c>
    </row>
    <row r="519" spans="1:39" ht="16.5" x14ac:dyDescent="0.25">
      <c r="A519" s="1">
        <v>44957</v>
      </c>
      <c r="B519" s="5">
        <v>68.150000000000006</v>
      </c>
      <c r="C519" s="4">
        <v>67.48</v>
      </c>
      <c r="D519" s="4">
        <v>68.3</v>
      </c>
      <c r="E519" s="4">
        <v>66.819999999999993</v>
      </c>
      <c r="F519" s="4" t="s">
        <v>1400</v>
      </c>
      <c r="G519" s="2" t="s">
        <v>45</v>
      </c>
      <c r="I519">
        <f t="shared" si="114"/>
        <v>67.361538461538444</v>
      </c>
      <c r="J519">
        <f t="shared" si="115"/>
        <v>67.361538461538444</v>
      </c>
      <c r="L519">
        <f t="shared" si="116"/>
        <v>1</v>
      </c>
      <c r="M519">
        <f t="shared" si="117"/>
        <v>0</v>
      </c>
      <c r="O519">
        <f t="shared" si="118"/>
        <v>0.67000000000000171</v>
      </c>
      <c r="P519">
        <f t="shared" si="119"/>
        <v>0</v>
      </c>
      <c r="R519">
        <f t="shared" si="120"/>
        <v>0.32142857142857145</v>
      </c>
      <c r="S519">
        <f t="shared" si="121"/>
        <v>0.77333333333333576</v>
      </c>
      <c r="U519">
        <f t="shared" si="122"/>
        <v>29.360591561548432</v>
      </c>
      <c r="V519">
        <v>86</v>
      </c>
      <c r="W519">
        <v>5</v>
      </c>
      <c r="AH519">
        <f t="shared" si="123"/>
        <v>0.2109178350726017</v>
      </c>
      <c r="AI519">
        <f t="shared" si="124"/>
        <v>60.980037478515513</v>
      </c>
      <c r="AJ519">
        <f t="shared" si="125"/>
        <v>73.743039444561376</v>
      </c>
      <c r="AL519">
        <f t="shared" si="126"/>
        <v>67.783374131683644</v>
      </c>
      <c r="AM519">
        <f t="shared" si="127"/>
        <v>66.939702791393245</v>
      </c>
    </row>
    <row r="520" spans="1:39" ht="16.5" x14ac:dyDescent="0.25">
      <c r="A520" s="1">
        <v>44956</v>
      </c>
      <c r="B520" s="5">
        <v>67.72</v>
      </c>
      <c r="C520" s="4">
        <v>69.099999999999994</v>
      </c>
      <c r="D520" s="4">
        <v>69.13</v>
      </c>
      <c r="E520" s="4">
        <v>67.23</v>
      </c>
      <c r="F520" s="4" t="s">
        <v>1391</v>
      </c>
      <c r="G520" s="2" t="s">
        <v>1449</v>
      </c>
      <c r="I520">
        <f t="shared" si="114"/>
        <v>67.295833333333334</v>
      </c>
      <c r="J520">
        <f t="shared" si="115"/>
        <v>67.295833333333334</v>
      </c>
      <c r="L520">
        <f t="shared" si="116"/>
        <v>0</v>
      </c>
      <c r="M520">
        <f t="shared" si="117"/>
        <v>1</v>
      </c>
      <c r="O520">
        <f t="shared" si="118"/>
        <v>0</v>
      </c>
      <c r="P520">
        <f t="shared" si="119"/>
        <v>1.3799999999999955</v>
      </c>
      <c r="R520">
        <f t="shared" si="120"/>
        <v>0.26333333333333303</v>
      </c>
      <c r="S520">
        <f t="shared" si="121"/>
        <v>0.77333333333333576</v>
      </c>
      <c r="U520">
        <f t="shared" si="122"/>
        <v>25.401929260450089</v>
      </c>
      <c r="V520">
        <v>86</v>
      </c>
      <c r="W520">
        <v>5</v>
      </c>
      <c r="AH520">
        <f t="shared" si="123"/>
        <v>0.19684851787294694</v>
      </c>
      <c r="AI520">
        <f t="shared" si="124"/>
        <v>60.914332350310403</v>
      </c>
      <c r="AJ520">
        <f t="shared" si="125"/>
        <v>73.677334316356266</v>
      </c>
      <c r="AL520">
        <f t="shared" si="126"/>
        <v>67.689530369079222</v>
      </c>
      <c r="AM520">
        <f t="shared" si="127"/>
        <v>66.902136297587447</v>
      </c>
    </row>
    <row r="521" spans="1:39" ht="16.5" x14ac:dyDescent="0.25">
      <c r="A521" s="1">
        <v>44953</v>
      </c>
      <c r="B521" s="5">
        <v>68.87</v>
      </c>
      <c r="C521" s="4">
        <v>68.510000000000005</v>
      </c>
      <c r="D521" s="4">
        <v>69.239999999999995</v>
      </c>
      <c r="E521" s="4">
        <v>68.510000000000005</v>
      </c>
      <c r="F521" s="4" t="s">
        <v>1578</v>
      </c>
      <c r="G521" s="2" t="s">
        <v>568</v>
      </c>
      <c r="I521">
        <f t="shared" si="114"/>
        <v>67.257272727272721</v>
      </c>
      <c r="J521">
        <f t="shared" si="115"/>
        <v>67.257272727272721</v>
      </c>
      <c r="L521">
        <f t="shared" si="116"/>
        <v>1</v>
      </c>
      <c r="M521">
        <f t="shared" si="117"/>
        <v>0</v>
      </c>
      <c r="O521">
        <f t="shared" si="118"/>
        <v>0.35999999999999943</v>
      </c>
      <c r="P521">
        <f t="shared" si="119"/>
        <v>0</v>
      </c>
      <c r="R521">
        <f t="shared" si="120"/>
        <v>0.26333333333333303</v>
      </c>
      <c r="S521">
        <f t="shared" si="121"/>
        <v>0.65200000000000391</v>
      </c>
      <c r="U521">
        <f t="shared" si="122"/>
        <v>28.769118718135317</v>
      </c>
      <c r="V521">
        <v>86</v>
      </c>
      <c r="W521">
        <v>5</v>
      </c>
      <c r="AH521">
        <f t="shared" si="123"/>
        <v>0.18528910085233807</v>
      </c>
      <c r="AI521">
        <f t="shared" si="124"/>
        <v>60.875771744249789</v>
      </c>
      <c r="AJ521">
        <f t="shared" si="125"/>
        <v>73.638773710295652</v>
      </c>
      <c r="AL521">
        <f t="shared" si="126"/>
        <v>67.627850928977395</v>
      </c>
      <c r="AM521">
        <f t="shared" si="127"/>
        <v>66.886694525568046</v>
      </c>
    </row>
    <row r="522" spans="1:39" ht="16.5" x14ac:dyDescent="0.25">
      <c r="A522" s="1">
        <v>44952</v>
      </c>
      <c r="B522" s="5">
        <v>68.3</v>
      </c>
      <c r="C522" s="4">
        <v>68.09</v>
      </c>
      <c r="D522" s="4">
        <v>68.45</v>
      </c>
      <c r="E522" s="4">
        <v>67.7</v>
      </c>
      <c r="F522" s="4" t="s">
        <v>288</v>
      </c>
      <c r="G522" s="2" t="s">
        <v>888</v>
      </c>
      <c r="I522">
        <f t="shared" si="114"/>
        <v>67.095999999999989</v>
      </c>
      <c r="J522">
        <f t="shared" si="115"/>
        <v>67.095999999999989</v>
      </c>
      <c r="L522">
        <f t="shared" si="116"/>
        <v>1</v>
      </c>
      <c r="M522">
        <f t="shared" si="117"/>
        <v>0</v>
      </c>
      <c r="O522">
        <f t="shared" si="118"/>
        <v>0.20999999999999375</v>
      </c>
      <c r="P522">
        <f t="shared" si="119"/>
        <v>0</v>
      </c>
      <c r="R522">
        <f t="shared" si="120"/>
        <v>0.24399999999999977</v>
      </c>
      <c r="S522">
        <f t="shared" si="121"/>
        <v>0.65200000000000391</v>
      </c>
      <c r="U522">
        <f t="shared" si="122"/>
        <v>27.232142857142719</v>
      </c>
      <c r="V522">
        <v>86</v>
      </c>
      <c r="W522">
        <v>5</v>
      </c>
      <c r="AH522">
        <f t="shared" si="123"/>
        <v>0.17246361090313403</v>
      </c>
      <c r="AI522">
        <f t="shared" si="124"/>
        <v>60.714499016977058</v>
      </c>
      <c r="AJ522">
        <f t="shared" si="125"/>
        <v>73.477500983022921</v>
      </c>
      <c r="AL522">
        <f t="shared" si="126"/>
        <v>67.440927221806263</v>
      </c>
      <c r="AM522">
        <f t="shared" si="127"/>
        <v>66.751072778193716</v>
      </c>
    </row>
    <row r="523" spans="1:39" ht="16.5" x14ac:dyDescent="0.25">
      <c r="A523" s="1">
        <v>44951</v>
      </c>
      <c r="B523" s="5">
        <v>67.599999999999994</v>
      </c>
      <c r="C523" s="4">
        <v>67.569999999999993</v>
      </c>
      <c r="D523" s="4">
        <v>67.94</v>
      </c>
      <c r="E523" s="4">
        <v>67.209999999999994</v>
      </c>
      <c r="F523" s="4" t="s">
        <v>70</v>
      </c>
      <c r="G523" s="2" t="s">
        <v>563</v>
      </c>
      <c r="I523">
        <f t="shared" si="114"/>
        <v>66.962222222222223</v>
      </c>
      <c r="J523">
        <f t="shared" si="115"/>
        <v>66.962222222222223</v>
      </c>
      <c r="L523">
        <f t="shared" si="116"/>
        <v>1</v>
      </c>
      <c r="M523">
        <f t="shared" si="117"/>
        <v>0</v>
      </c>
      <c r="O523">
        <f t="shared" si="118"/>
        <v>3.0000000000001137E-2</v>
      </c>
      <c r="P523">
        <f t="shared" si="119"/>
        <v>0</v>
      </c>
      <c r="R523">
        <f t="shared" si="120"/>
        <v>0.25250000000000128</v>
      </c>
      <c r="S523">
        <f t="shared" si="121"/>
        <v>0.65200000000000391</v>
      </c>
      <c r="U523">
        <f t="shared" si="122"/>
        <v>27.915975677169698</v>
      </c>
      <c r="V523">
        <v>86</v>
      </c>
      <c r="W523">
        <v>5</v>
      </c>
      <c r="AH523">
        <f t="shared" si="123"/>
        <v>0.17668074423150418</v>
      </c>
      <c r="AI523">
        <f t="shared" si="124"/>
        <v>60.580721239199292</v>
      </c>
      <c r="AJ523">
        <f t="shared" si="125"/>
        <v>73.343723205245155</v>
      </c>
      <c r="AL523">
        <f t="shared" si="126"/>
        <v>67.315583710685232</v>
      </c>
      <c r="AM523">
        <f t="shared" si="127"/>
        <v>66.608860733759215</v>
      </c>
    </row>
    <row r="524" spans="1:39" ht="16.5" x14ac:dyDescent="0.25">
      <c r="A524" s="1">
        <v>44950</v>
      </c>
      <c r="B524" s="5">
        <v>67.75</v>
      </c>
      <c r="C524" s="4">
        <v>67.599999999999994</v>
      </c>
      <c r="D524" s="4">
        <v>68.25</v>
      </c>
      <c r="E524" s="4">
        <v>67.06</v>
      </c>
      <c r="F524" s="4" t="s">
        <v>1533</v>
      </c>
      <c r="G524" s="2" t="s">
        <v>424</v>
      </c>
      <c r="I524">
        <f t="shared" si="114"/>
        <v>66.882499999999993</v>
      </c>
      <c r="J524">
        <f t="shared" si="115"/>
        <v>66.882499999999993</v>
      </c>
      <c r="L524">
        <f t="shared" si="116"/>
        <v>1</v>
      </c>
      <c r="M524">
        <f t="shared" si="117"/>
        <v>0</v>
      </c>
      <c r="O524">
        <f t="shared" si="118"/>
        <v>0.15000000000000568</v>
      </c>
      <c r="P524">
        <f t="shared" si="119"/>
        <v>0</v>
      </c>
      <c r="R524">
        <f t="shared" si="120"/>
        <v>0.32666666666666799</v>
      </c>
      <c r="S524">
        <f t="shared" si="121"/>
        <v>0.65200000000000391</v>
      </c>
      <c r="U524">
        <f t="shared" si="122"/>
        <v>33.378746594005406</v>
      </c>
      <c r="V524">
        <v>86</v>
      </c>
      <c r="W524">
        <v>5</v>
      </c>
      <c r="AH524">
        <f t="shared" si="123"/>
        <v>0.18885569978196609</v>
      </c>
      <c r="AI524">
        <f t="shared" si="124"/>
        <v>60.500999016977062</v>
      </c>
      <c r="AJ524">
        <f t="shared" si="125"/>
        <v>73.264000983022925</v>
      </c>
      <c r="AL524">
        <f t="shared" si="126"/>
        <v>67.260211399563929</v>
      </c>
      <c r="AM524">
        <f t="shared" si="127"/>
        <v>66.504788600436058</v>
      </c>
    </row>
    <row r="525" spans="1:39" ht="16.5" x14ac:dyDescent="0.25">
      <c r="A525" s="1">
        <v>44949</v>
      </c>
      <c r="B525" s="5">
        <v>67.27</v>
      </c>
      <c r="C525" s="4">
        <v>66.510000000000005</v>
      </c>
      <c r="D525" s="4">
        <v>67.36</v>
      </c>
      <c r="E525" s="4">
        <v>66.08</v>
      </c>
      <c r="F525" s="4" t="s">
        <v>722</v>
      </c>
      <c r="G525" s="2" t="s">
        <v>522</v>
      </c>
      <c r="I525">
        <f t="shared" si="114"/>
        <v>66.758571428571429</v>
      </c>
      <c r="J525">
        <f t="shared" si="115"/>
        <v>66.758571428571429</v>
      </c>
      <c r="L525">
        <f t="shared" si="116"/>
        <v>1</v>
      </c>
      <c r="M525">
        <f t="shared" si="117"/>
        <v>0</v>
      </c>
      <c r="O525">
        <f t="shared" si="118"/>
        <v>0.75999999999999091</v>
      </c>
      <c r="P525">
        <f t="shared" si="119"/>
        <v>0</v>
      </c>
      <c r="R525">
        <f t="shared" si="120"/>
        <v>0.41499999999999915</v>
      </c>
      <c r="S525">
        <f t="shared" si="121"/>
        <v>0.65200000000000391</v>
      </c>
      <c r="U525">
        <f t="shared" si="122"/>
        <v>38.894095595126331</v>
      </c>
      <c r="V525">
        <v>86</v>
      </c>
      <c r="W525">
        <v>5</v>
      </c>
      <c r="AH525">
        <f t="shared" si="123"/>
        <v>0.2016013780192572</v>
      </c>
      <c r="AI525">
        <f t="shared" si="124"/>
        <v>60.377070445548497</v>
      </c>
      <c r="AJ525">
        <f t="shared" si="125"/>
        <v>73.14007241159436</v>
      </c>
      <c r="AL525">
        <f t="shared" si="126"/>
        <v>67.161774184609939</v>
      </c>
      <c r="AM525">
        <f t="shared" si="127"/>
        <v>66.355368672532919</v>
      </c>
    </row>
    <row r="526" spans="1:39" ht="16.5" x14ac:dyDescent="0.25">
      <c r="A526" s="1">
        <v>44946</v>
      </c>
      <c r="B526" s="5">
        <v>65.790000000000006</v>
      </c>
      <c r="C526" s="4">
        <v>66.040000000000006</v>
      </c>
      <c r="D526" s="4">
        <v>66.2</v>
      </c>
      <c r="E526" s="4">
        <v>65.28</v>
      </c>
      <c r="F526" s="4" t="s">
        <v>1460</v>
      </c>
      <c r="G526" s="2" t="s">
        <v>131</v>
      </c>
      <c r="I526">
        <f t="shared" si="114"/>
        <v>66.673333333333332</v>
      </c>
      <c r="J526">
        <f t="shared" si="115"/>
        <v>66.673333333333332</v>
      </c>
      <c r="L526">
        <f t="shared" si="116"/>
        <v>0</v>
      </c>
      <c r="M526">
        <f t="shared" si="117"/>
        <v>1</v>
      </c>
      <c r="O526">
        <f t="shared" si="118"/>
        <v>0</v>
      </c>
      <c r="P526">
        <f t="shared" si="119"/>
        <v>0.25</v>
      </c>
      <c r="R526">
        <f t="shared" si="120"/>
        <v>7.000000000000739E-2</v>
      </c>
      <c r="S526">
        <f t="shared" si="121"/>
        <v>0.65200000000000391</v>
      </c>
      <c r="U526">
        <f t="shared" si="122"/>
        <v>9.6952908587266364</v>
      </c>
      <c r="V526">
        <v>86</v>
      </c>
      <c r="W526">
        <v>5</v>
      </c>
      <c r="AH526">
        <f t="shared" si="123"/>
        <v>0.19730293731739984</v>
      </c>
      <c r="AI526">
        <f t="shared" si="124"/>
        <v>60.291832350310401</v>
      </c>
      <c r="AJ526">
        <f t="shared" si="125"/>
        <v>73.054834316356263</v>
      </c>
      <c r="AL526">
        <f t="shared" si="126"/>
        <v>67.067939207968138</v>
      </c>
      <c r="AM526">
        <f t="shared" si="127"/>
        <v>66.278727458698526</v>
      </c>
    </row>
    <row r="527" spans="1:39" ht="16.5" x14ac:dyDescent="0.25">
      <c r="A527" s="1">
        <v>44945</v>
      </c>
      <c r="B527" s="5">
        <v>65.52</v>
      </c>
      <c r="C527" s="4">
        <v>66.59</v>
      </c>
      <c r="D527" s="4">
        <v>66.91</v>
      </c>
      <c r="E527" s="4">
        <v>65.52</v>
      </c>
      <c r="F527" s="4" t="s">
        <v>1402</v>
      </c>
      <c r="G527" s="2" t="s">
        <v>1604</v>
      </c>
      <c r="I527">
        <f t="shared" si="114"/>
        <v>66.850000000000009</v>
      </c>
      <c r="J527">
        <f t="shared" si="115"/>
        <v>66.850000000000009</v>
      </c>
      <c r="L527">
        <f t="shared" si="116"/>
        <v>0</v>
      </c>
      <c r="M527">
        <f t="shared" si="117"/>
        <v>1</v>
      </c>
      <c r="O527">
        <f t="shared" si="118"/>
        <v>0</v>
      </c>
      <c r="P527">
        <f t="shared" si="119"/>
        <v>1.0700000000000074</v>
      </c>
      <c r="R527">
        <f t="shared" si="120"/>
        <v>7.000000000000739E-2</v>
      </c>
      <c r="S527">
        <f t="shared" si="121"/>
        <v>0.75250000000000483</v>
      </c>
      <c r="U527">
        <f t="shared" si="122"/>
        <v>8.5106382978731148</v>
      </c>
      <c r="V527">
        <v>86</v>
      </c>
      <c r="W527">
        <v>5</v>
      </c>
      <c r="AH527">
        <f t="shared" si="123"/>
        <v>0.13038458071753722</v>
      </c>
      <c r="AI527">
        <f t="shared" si="124"/>
        <v>60.468499016977077</v>
      </c>
      <c r="AJ527">
        <f t="shared" si="125"/>
        <v>73.23150098302294</v>
      </c>
      <c r="AL527">
        <f t="shared" si="126"/>
        <v>67.110769161435087</v>
      </c>
      <c r="AM527">
        <f t="shared" si="127"/>
        <v>66.58923083856493</v>
      </c>
    </row>
    <row r="528" spans="1:39" ht="16.5" x14ac:dyDescent="0.25">
      <c r="A528" s="1">
        <v>44944</v>
      </c>
      <c r="B528" s="5">
        <v>67.3</v>
      </c>
      <c r="C528" s="4">
        <v>67.33</v>
      </c>
      <c r="D528" s="4">
        <v>67.7</v>
      </c>
      <c r="E528" s="4">
        <v>66.92</v>
      </c>
      <c r="F528" s="4" t="s">
        <v>376</v>
      </c>
      <c r="G528" s="2" t="s">
        <v>180</v>
      </c>
      <c r="I528">
        <f t="shared" si="114"/>
        <v>67.182500000000005</v>
      </c>
      <c r="J528">
        <f t="shared" si="115"/>
        <v>67.182500000000005</v>
      </c>
      <c r="L528">
        <f t="shared" si="116"/>
        <v>0</v>
      </c>
      <c r="M528">
        <f t="shared" si="117"/>
        <v>1</v>
      </c>
      <c r="O528">
        <f t="shared" si="118"/>
        <v>0</v>
      </c>
      <c r="P528">
        <f t="shared" si="119"/>
        <v>3.0000000000001137E-2</v>
      </c>
      <c r="R528">
        <f t="shared" si="120"/>
        <v>7.000000000000739E-2</v>
      </c>
      <c r="S528">
        <f t="shared" si="121"/>
        <v>0.64666666666667061</v>
      </c>
      <c r="U528">
        <f t="shared" si="122"/>
        <v>9.7674418604659934</v>
      </c>
      <c r="V528">
        <v>86</v>
      </c>
      <c r="W528">
        <v>5</v>
      </c>
      <c r="AH528">
        <f t="shared" si="123"/>
        <v>6.1102429938950417E-2</v>
      </c>
      <c r="AI528">
        <f t="shared" si="124"/>
        <v>60.800999016977073</v>
      </c>
      <c r="AJ528">
        <f t="shared" si="125"/>
        <v>73.564000983022936</v>
      </c>
      <c r="AL528">
        <f t="shared" si="126"/>
        <v>67.304704859877901</v>
      </c>
      <c r="AM528">
        <f t="shared" si="127"/>
        <v>67.060295140122108</v>
      </c>
    </row>
    <row r="529" spans="1:39" ht="16.5" x14ac:dyDescent="0.25">
      <c r="A529" s="1">
        <v>44943</v>
      </c>
      <c r="B529" s="5">
        <v>67.23</v>
      </c>
      <c r="C529" s="4">
        <v>67.16</v>
      </c>
      <c r="D529" s="4">
        <v>67.8</v>
      </c>
      <c r="E529" s="4">
        <v>66.45</v>
      </c>
      <c r="F529" s="4" t="s">
        <v>132</v>
      </c>
      <c r="G529" s="2" t="s">
        <v>180</v>
      </c>
      <c r="I529">
        <f t="shared" si="114"/>
        <v>67.143333333333331</v>
      </c>
      <c r="J529">
        <f t="shared" si="115"/>
        <v>67.143333333333331</v>
      </c>
      <c r="L529">
        <f t="shared" si="116"/>
        <v>1</v>
      </c>
      <c r="M529">
        <f t="shared" si="117"/>
        <v>0</v>
      </c>
      <c r="O529">
        <f t="shared" si="118"/>
        <v>7.000000000000739E-2</v>
      </c>
      <c r="P529">
        <f t="shared" si="119"/>
        <v>0</v>
      </c>
      <c r="R529">
        <f t="shared" si="120"/>
        <v>7.000000000000739E-2</v>
      </c>
      <c r="S529">
        <f t="shared" si="121"/>
        <v>0.9550000000000054</v>
      </c>
      <c r="U529">
        <f t="shared" si="122"/>
        <v>6.8292682926835653</v>
      </c>
      <c r="V529">
        <v>86</v>
      </c>
      <c r="W529">
        <v>5</v>
      </c>
      <c r="AH529">
        <f t="shared" si="123"/>
        <v>5.1890197461486889E-2</v>
      </c>
      <c r="AI529">
        <f t="shared" si="124"/>
        <v>60.761832350310399</v>
      </c>
      <c r="AJ529">
        <f t="shared" si="125"/>
        <v>73.524834316356262</v>
      </c>
      <c r="AL529">
        <f t="shared" si="126"/>
        <v>67.247113728256309</v>
      </c>
      <c r="AM529">
        <f t="shared" si="127"/>
        <v>67.039552938410353</v>
      </c>
    </row>
    <row r="530" spans="1:39" ht="16.5" x14ac:dyDescent="0.25">
      <c r="A530" s="1">
        <v>44942</v>
      </c>
      <c r="B530" s="5">
        <v>67.16</v>
      </c>
      <c r="C530" s="4">
        <v>67.430000000000007</v>
      </c>
      <c r="D530" s="4">
        <v>67.45</v>
      </c>
      <c r="E530" s="4">
        <v>66.62</v>
      </c>
      <c r="F530" s="4" t="s">
        <v>1465</v>
      </c>
      <c r="G530" s="2" t="s">
        <v>372</v>
      </c>
      <c r="I530">
        <f t="shared" si="114"/>
        <v>67.099999999999994</v>
      </c>
      <c r="J530">
        <f t="shared" si="115"/>
        <v>67.099999999999994</v>
      </c>
      <c r="L530">
        <f t="shared" si="116"/>
        <v>0</v>
      </c>
      <c r="M530">
        <f t="shared" si="117"/>
        <v>1</v>
      </c>
      <c r="O530">
        <f t="shared" si="118"/>
        <v>0</v>
      </c>
      <c r="P530">
        <f t="shared" si="119"/>
        <v>0.27000000000001023</v>
      </c>
      <c r="R530" t="e">
        <f>SUM(O530:O531)/SUM(L530:L531)</f>
        <v>#DIV/0!</v>
      </c>
      <c r="S530">
        <f>SUM(P530:P543)/SUM(M530:M543)</f>
        <v>0.9550000000000054</v>
      </c>
      <c r="U530" t="e">
        <f t="shared" si="122"/>
        <v>#DIV/0!</v>
      </c>
      <c r="V530">
        <v>86</v>
      </c>
      <c r="W530">
        <v>5</v>
      </c>
      <c r="AH530">
        <f t="shared" si="123"/>
        <v>4.2426406871184409E-2</v>
      </c>
      <c r="AI530">
        <f t="shared" si="124"/>
        <v>60.718499016977063</v>
      </c>
      <c r="AJ530">
        <f t="shared" si="125"/>
        <v>73.481500983022926</v>
      </c>
      <c r="AL530">
        <f t="shared" si="126"/>
        <v>67.184852813742367</v>
      </c>
      <c r="AM530">
        <f t="shared" si="127"/>
        <v>67.015147186257622</v>
      </c>
    </row>
    <row r="531" spans="1:39" ht="16.5" x14ac:dyDescent="0.25">
      <c r="A531" s="1">
        <v>44939</v>
      </c>
      <c r="B531" s="5">
        <v>67.040000000000006</v>
      </c>
      <c r="C531" s="4">
        <v>68.680000000000007</v>
      </c>
      <c r="D531" s="4">
        <v>68.680000000000007</v>
      </c>
      <c r="E531" s="4">
        <v>66.73</v>
      </c>
      <c r="F531" s="4" t="s">
        <v>1410</v>
      </c>
      <c r="G531" s="2" t="s">
        <v>1605</v>
      </c>
      <c r="I531">
        <f t="shared" si="114"/>
        <v>67.040000000000006</v>
      </c>
      <c r="J531">
        <f t="shared" si="115"/>
        <v>67.040000000000006</v>
      </c>
      <c r="L531">
        <f t="shared" si="116"/>
        <v>0</v>
      </c>
      <c r="M531">
        <f t="shared" si="117"/>
        <v>1</v>
      </c>
      <c r="O531">
        <f t="shared" si="118"/>
        <v>0</v>
      </c>
      <c r="P531">
        <f t="shared" si="119"/>
        <v>1.6400000000000006</v>
      </c>
      <c r="R531" t="e">
        <f>SUM(O531:O544)/SUM(L531:L544)</f>
        <v>#DIV/0!</v>
      </c>
      <c r="S531">
        <f>SUM(P531:P544)/SUM(M531:M544)</f>
        <v>1.6400000000000006</v>
      </c>
      <c r="U531" t="e">
        <f t="shared" si="122"/>
        <v>#DIV/0!</v>
      </c>
      <c r="V531">
        <v>86</v>
      </c>
      <c r="W531">
        <v>5</v>
      </c>
      <c r="AH531" t="e">
        <f t="shared" si="123"/>
        <v>#DIV/0!</v>
      </c>
      <c r="AI531">
        <f t="shared" si="124"/>
        <v>60.658499016977075</v>
      </c>
      <c r="AJ531">
        <f t="shared" si="125"/>
        <v>73.421500983022938</v>
      </c>
      <c r="AL531" t="e">
        <f t="shared" si="126"/>
        <v>#DIV/0!</v>
      </c>
      <c r="AM531" t="e">
        <f t="shared" si="127"/>
        <v>#DIV/0!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F0C6-555C-4364-B1A5-DEE3B49A6836}">
  <dimension ref="A1:AM531"/>
  <sheetViews>
    <sheetView topLeftCell="Q18" zoomScale="85" zoomScaleNormal="85" workbookViewId="0">
      <selection activeCell="S1" sqref="S1"/>
    </sheetView>
  </sheetViews>
  <sheetFormatPr baseColWidth="10" defaultColWidth="11.42578125" defaultRowHeight="15" x14ac:dyDescent="0.25"/>
  <sheetData>
    <row r="1" spans="1:39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4" t="s">
        <v>1606</v>
      </c>
      <c r="J1" s="4" t="s">
        <v>1607</v>
      </c>
      <c r="L1" s="4" t="s">
        <v>1608</v>
      </c>
      <c r="M1" s="4" t="s">
        <v>1366</v>
      </c>
      <c r="O1" s="4" t="s">
        <v>1609</v>
      </c>
      <c r="P1" s="4" t="s">
        <v>1610</v>
      </c>
      <c r="R1" s="4" t="s">
        <v>1611</v>
      </c>
      <c r="S1" s="4" t="s">
        <v>776</v>
      </c>
      <c r="U1" s="4" t="s">
        <v>15</v>
      </c>
      <c r="V1" s="4" t="s">
        <v>16</v>
      </c>
      <c r="W1" s="4" t="s">
        <v>777</v>
      </c>
      <c r="AB1" t="s">
        <v>18</v>
      </c>
      <c r="AC1" s="6" t="s">
        <v>779</v>
      </c>
      <c r="AH1" t="s">
        <v>1372</v>
      </c>
      <c r="AI1" t="s">
        <v>21</v>
      </c>
      <c r="AJ1" t="s">
        <v>1612</v>
      </c>
      <c r="AL1" t="s">
        <v>1613</v>
      </c>
      <c r="AM1" t="s">
        <v>1614</v>
      </c>
    </row>
    <row r="2" spans="1:39" ht="16.5" x14ac:dyDescent="0.25">
      <c r="A2" s="1">
        <v>45700</v>
      </c>
      <c r="B2" s="5">
        <v>20.97</v>
      </c>
      <c r="C2" s="4">
        <v>20.84</v>
      </c>
      <c r="D2" s="4">
        <v>21.3</v>
      </c>
      <c r="E2" s="4">
        <v>20.84</v>
      </c>
      <c r="F2" s="4" t="s">
        <v>60</v>
      </c>
      <c r="G2" s="2" t="s">
        <v>149</v>
      </c>
      <c r="I2">
        <f t="shared" ref="I2:I65" si="0">AVERAGE(B2:B21)</f>
        <v>21.185499999999998</v>
      </c>
      <c r="J2">
        <f t="shared" ref="J2:J65" si="1">AVERAGE(B2:B41)</f>
        <v>20.365999999999996</v>
      </c>
      <c r="L2">
        <f t="shared" ref="L2:L65" si="2">IF($C2&lt;$B2,1,0)</f>
        <v>1</v>
      </c>
      <c r="M2">
        <f t="shared" ref="M2:M65" si="3">IF($C2&lt;$B2,0,1)</f>
        <v>0</v>
      </c>
      <c r="O2">
        <f t="shared" ref="O2:O65" si="4">IF($C2&lt;$B2,B2-C2,0)</f>
        <v>0.12999999999999901</v>
      </c>
      <c r="P2">
        <f t="shared" ref="P2:P65" si="5">IF($B2&lt;$C2,C2-B2,0)</f>
        <v>0</v>
      </c>
      <c r="R2">
        <f t="shared" ref="R2:R65" si="6">SUM(O2:O15)/SUM(L2:L15)</f>
        <v>0.14444444444444413</v>
      </c>
      <c r="S2">
        <f t="shared" ref="S2:S65" si="7">SUM(P2:P15)/SUM(M2:M15)</f>
        <v>0.24399999999999977</v>
      </c>
      <c r="U2">
        <f t="shared" ref="U2:U65" si="8">100-(100/(1+(R2/S2)))</f>
        <v>37.185354691075489</v>
      </c>
      <c r="V2">
        <v>54</v>
      </c>
      <c r="W2">
        <v>30</v>
      </c>
      <c r="AB2">
        <f>((B2-E2)/(D2-E2))*100</f>
        <v>28.260869565217124</v>
      </c>
      <c r="AC2">
        <f>AVERAGE(AB2:AB16)</f>
        <v>53.669148557161165</v>
      </c>
      <c r="AH2">
        <f>_xlfn.STDEV.S(I2:I532)</f>
        <v>13.450533364332482</v>
      </c>
      <c r="AI2">
        <f>I2-$AH$2</f>
        <v>7.7349666356675151</v>
      </c>
      <c r="AJ2">
        <f>I2+$AH$2</f>
        <v>34.636033364332476</v>
      </c>
      <c r="AL2">
        <f>I2+(AH2*2)</f>
        <v>48.086566728664963</v>
      </c>
      <c r="AM2">
        <f>I2-(AH2*2)</f>
        <v>-5.7155667286649674</v>
      </c>
    </row>
    <row r="3" spans="1:39" ht="16.5" x14ac:dyDescent="0.25">
      <c r="A3" s="1">
        <v>45699</v>
      </c>
      <c r="B3" s="5">
        <v>20.73</v>
      </c>
      <c r="C3" s="4">
        <v>20.96</v>
      </c>
      <c r="D3" s="4">
        <v>21</v>
      </c>
      <c r="E3" s="4">
        <v>20.25</v>
      </c>
      <c r="F3" s="4" t="s">
        <v>1487</v>
      </c>
      <c r="G3" s="2" t="s">
        <v>1542</v>
      </c>
      <c r="I3">
        <f t="shared" si="0"/>
        <v>21.173500000000001</v>
      </c>
      <c r="J3">
        <f t="shared" si="1"/>
        <v>20.341749999999998</v>
      </c>
      <c r="L3">
        <f t="shared" si="2"/>
        <v>0</v>
      </c>
      <c r="M3">
        <f t="shared" si="3"/>
        <v>1</v>
      </c>
      <c r="O3">
        <f t="shared" si="4"/>
        <v>0</v>
      </c>
      <c r="P3">
        <f t="shared" si="5"/>
        <v>0.23000000000000043</v>
      </c>
      <c r="R3">
        <f t="shared" si="6"/>
        <v>0.13222222222222196</v>
      </c>
      <c r="S3">
        <f t="shared" si="7"/>
        <v>0.24399999999999977</v>
      </c>
      <c r="U3">
        <f t="shared" si="8"/>
        <v>35.144713526284676</v>
      </c>
      <c r="V3">
        <v>54</v>
      </c>
      <c r="W3">
        <v>30</v>
      </c>
      <c r="AB3">
        <f t="shared" ref="AB3:AB15" si="9">((B3-E3)/(D3-E3))*100</f>
        <v>64.000000000000057</v>
      </c>
      <c r="AC3">
        <f t="shared" ref="AC3:AC15" si="10">AVERAGE(AB3:AB17)</f>
        <v>55.623631556541483</v>
      </c>
      <c r="AH3">
        <f t="shared" ref="AH3:AH66" si="11">_xlfn.STDEV.S(I3:I533)</f>
        <v>13.443575016956252</v>
      </c>
      <c r="AI3">
        <f t="shared" ref="AI3:AI66" si="12">I3-$AH$2</f>
        <v>7.7229666356675182</v>
      </c>
      <c r="AJ3">
        <f t="shared" ref="AJ3:AJ66" si="13">I3+$AH$2</f>
        <v>34.624033364332483</v>
      </c>
      <c r="AL3">
        <f t="shared" ref="AL3:AL66" si="14">I3+(AH3*2)</f>
        <v>48.060650033912509</v>
      </c>
      <c r="AM3">
        <f t="shared" ref="AM3:AM66" si="15">I3-(AH3*2)</f>
        <v>-5.7136500339125043</v>
      </c>
    </row>
    <row r="4" spans="1:39" ht="16.5" x14ac:dyDescent="0.25">
      <c r="A4" s="1">
        <v>45698</v>
      </c>
      <c r="B4" s="5">
        <v>21.02</v>
      </c>
      <c r="C4" s="4">
        <v>20.97</v>
      </c>
      <c r="D4" s="4">
        <v>21.12</v>
      </c>
      <c r="E4" s="4">
        <v>20.85</v>
      </c>
      <c r="F4" s="4" t="s">
        <v>1545</v>
      </c>
      <c r="G4" s="2" t="s">
        <v>375</v>
      </c>
      <c r="I4">
        <f t="shared" si="0"/>
        <v>21.117000000000001</v>
      </c>
      <c r="J4">
        <f t="shared" si="1"/>
        <v>20.330500000000001</v>
      </c>
      <c r="L4">
        <f t="shared" si="2"/>
        <v>1</v>
      </c>
      <c r="M4">
        <f t="shared" si="3"/>
        <v>0</v>
      </c>
      <c r="O4">
        <f t="shared" si="4"/>
        <v>5.0000000000000711E-2</v>
      </c>
      <c r="P4">
        <f t="shared" si="5"/>
        <v>0</v>
      </c>
      <c r="R4">
        <f t="shared" si="6"/>
        <v>0.13222222222222196</v>
      </c>
      <c r="S4">
        <f t="shared" si="7"/>
        <v>0.2960000000000001</v>
      </c>
      <c r="U4">
        <f t="shared" si="8"/>
        <v>30.8770108977685</v>
      </c>
      <c r="V4">
        <v>54</v>
      </c>
      <c r="W4">
        <v>30</v>
      </c>
      <c r="AB4">
        <f t="shared" si="9"/>
        <v>62.962962962962379</v>
      </c>
      <c r="AC4">
        <f t="shared" si="10"/>
        <v>54.925600852919935</v>
      </c>
      <c r="AH4">
        <f t="shared" si="11"/>
        <v>13.436483387084571</v>
      </c>
      <c r="AI4">
        <f t="shared" si="12"/>
        <v>7.6664666356675184</v>
      </c>
      <c r="AJ4">
        <f t="shared" si="13"/>
        <v>34.567533364332483</v>
      </c>
      <c r="AL4">
        <f t="shared" si="14"/>
        <v>47.989966774169147</v>
      </c>
      <c r="AM4">
        <f t="shared" si="15"/>
        <v>-5.755966774169142</v>
      </c>
    </row>
    <row r="5" spans="1:39" ht="16.5" x14ac:dyDescent="0.25">
      <c r="A5" s="1">
        <v>45695</v>
      </c>
      <c r="B5" s="5">
        <v>20.94</v>
      </c>
      <c r="C5" s="4">
        <v>21.19</v>
      </c>
      <c r="D5" s="4">
        <v>21.28</v>
      </c>
      <c r="E5" s="4">
        <v>20.79</v>
      </c>
      <c r="F5" s="4" t="s">
        <v>935</v>
      </c>
      <c r="G5" s="2" t="s">
        <v>972</v>
      </c>
      <c r="I5">
        <f t="shared" si="0"/>
        <v>21.067500000000003</v>
      </c>
      <c r="J5">
        <f t="shared" si="1"/>
        <v>20.310750000000002</v>
      </c>
      <c r="L5">
        <f t="shared" si="2"/>
        <v>0</v>
      </c>
      <c r="M5">
        <f t="shared" si="3"/>
        <v>1</v>
      </c>
      <c r="O5">
        <f t="shared" si="4"/>
        <v>0</v>
      </c>
      <c r="P5">
        <f t="shared" si="5"/>
        <v>0.25</v>
      </c>
      <c r="R5">
        <f t="shared" si="6"/>
        <v>0.16444444444444409</v>
      </c>
      <c r="S5">
        <f t="shared" si="7"/>
        <v>0.2960000000000001</v>
      </c>
      <c r="U5">
        <f t="shared" si="8"/>
        <v>35.714285714285651</v>
      </c>
      <c r="V5">
        <v>54</v>
      </c>
      <c r="W5">
        <v>30</v>
      </c>
      <c r="AB5">
        <f t="shared" si="9"/>
        <v>30.612244897959496</v>
      </c>
      <c r="AC5">
        <f t="shared" si="10"/>
        <v>54.194931570188807</v>
      </c>
      <c r="AH5">
        <f t="shared" si="11"/>
        <v>13.429150758509666</v>
      </c>
      <c r="AI5">
        <f t="shared" si="12"/>
        <v>7.6169666356675201</v>
      </c>
      <c r="AJ5">
        <f t="shared" si="13"/>
        <v>34.518033364332481</v>
      </c>
      <c r="AL5">
        <f t="shared" si="14"/>
        <v>47.925801517019337</v>
      </c>
      <c r="AM5">
        <f t="shared" si="15"/>
        <v>-5.7908015170193288</v>
      </c>
    </row>
    <row r="6" spans="1:39" ht="16.5" x14ac:dyDescent="0.25">
      <c r="A6" s="1">
        <v>45694</v>
      </c>
      <c r="B6" s="5">
        <v>21.22</v>
      </c>
      <c r="C6" s="4">
        <v>21.19</v>
      </c>
      <c r="D6" s="4">
        <v>21.41</v>
      </c>
      <c r="E6" s="4">
        <v>20.98</v>
      </c>
      <c r="F6" s="4" t="s">
        <v>1489</v>
      </c>
      <c r="G6" s="2" t="s">
        <v>30</v>
      </c>
      <c r="I6">
        <f t="shared" si="0"/>
        <v>21.019500000000001</v>
      </c>
      <c r="J6">
        <f t="shared" si="1"/>
        <v>20.287500000000001</v>
      </c>
      <c r="L6">
        <f t="shared" si="2"/>
        <v>1</v>
      </c>
      <c r="M6">
        <f t="shared" si="3"/>
        <v>0</v>
      </c>
      <c r="O6">
        <f t="shared" si="4"/>
        <v>2.9999999999997584E-2</v>
      </c>
      <c r="P6">
        <f t="shared" si="5"/>
        <v>0</v>
      </c>
      <c r="R6">
        <f t="shared" si="6"/>
        <v>0.14999999999999963</v>
      </c>
      <c r="S6">
        <f t="shared" si="7"/>
        <v>0.30750000000000011</v>
      </c>
      <c r="U6">
        <f t="shared" si="8"/>
        <v>32.786885245901573</v>
      </c>
      <c r="V6">
        <v>54</v>
      </c>
      <c r="W6">
        <v>30</v>
      </c>
      <c r="AB6">
        <f t="shared" si="9"/>
        <v>55.813953488371773</v>
      </c>
      <c r="AC6">
        <f t="shared" si="10"/>
        <v>56.553200237411737</v>
      </c>
      <c r="AH6">
        <f t="shared" si="11"/>
        <v>13.421590569847259</v>
      </c>
      <c r="AI6">
        <f t="shared" si="12"/>
        <v>7.5689666356675183</v>
      </c>
      <c r="AJ6">
        <f t="shared" si="13"/>
        <v>34.47003336433248</v>
      </c>
      <c r="AL6">
        <f t="shared" si="14"/>
        <v>47.862681139694516</v>
      </c>
      <c r="AM6">
        <f t="shared" si="15"/>
        <v>-5.8236811396945178</v>
      </c>
    </row>
    <row r="7" spans="1:39" ht="16.5" x14ac:dyDescent="0.25">
      <c r="A7" s="1">
        <v>45693</v>
      </c>
      <c r="B7" s="5">
        <v>21.04</v>
      </c>
      <c r="C7" s="4">
        <v>21.03</v>
      </c>
      <c r="D7" s="4">
        <v>21.16</v>
      </c>
      <c r="E7" s="4">
        <v>20.82</v>
      </c>
      <c r="F7" s="4" t="s">
        <v>942</v>
      </c>
      <c r="G7" s="2" t="s">
        <v>689</v>
      </c>
      <c r="I7">
        <f t="shared" si="0"/>
        <v>20.946500000000004</v>
      </c>
      <c r="J7">
        <f t="shared" si="1"/>
        <v>20.244500000000002</v>
      </c>
      <c r="L7">
        <f t="shared" si="2"/>
        <v>1</v>
      </c>
      <c r="M7">
        <f t="shared" si="3"/>
        <v>0</v>
      </c>
      <c r="O7">
        <f t="shared" si="4"/>
        <v>9.9999999999980105E-3</v>
      </c>
      <c r="P7">
        <f t="shared" si="5"/>
        <v>0</v>
      </c>
      <c r="R7">
        <f t="shared" si="6"/>
        <v>0.17399999999999985</v>
      </c>
      <c r="S7">
        <f t="shared" si="7"/>
        <v>0.30750000000000011</v>
      </c>
      <c r="U7">
        <f t="shared" si="8"/>
        <v>36.137071651090309</v>
      </c>
      <c r="V7">
        <v>54</v>
      </c>
      <c r="W7">
        <v>30</v>
      </c>
      <c r="AB7">
        <f t="shared" si="9"/>
        <v>64.705882352940876</v>
      </c>
      <c r="AC7">
        <f t="shared" si="10"/>
        <v>56.635338765082842</v>
      </c>
      <c r="AH7">
        <f t="shared" si="11"/>
        <v>13.41380332115533</v>
      </c>
      <c r="AI7">
        <f t="shared" si="12"/>
        <v>7.4959666356675214</v>
      </c>
      <c r="AJ7">
        <f t="shared" si="13"/>
        <v>34.397033364332486</v>
      </c>
      <c r="AL7">
        <f t="shared" si="14"/>
        <v>47.774106642310663</v>
      </c>
      <c r="AM7">
        <f t="shared" si="15"/>
        <v>-5.8811066423106553</v>
      </c>
    </row>
    <row r="8" spans="1:39" ht="16.5" x14ac:dyDescent="0.25">
      <c r="A8" s="1">
        <v>45692</v>
      </c>
      <c r="B8" s="5">
        <v>21.22</v>
      </c>
      <c r="C8" s="4">
        <v>21.12</v>
      </c>
      <c r="D8" s="4">
        <v>21.31</v>
      </c>
      <c r="E8" s="4">
        <v>21</v>
      </c>
      <c r="F8" s="4" t="s">
        <v>1395</v>
      </c>
      <c r="G8" s="2" t="s">
        <v>554</v>
      </c>
      <c r="I8">
        <f t="shared" si="0"/>
        <v>20.878000000000007</v>
      </c>
      <c r="J8">
        <f t="shared" si="1"/>
        <v>20.200000000000003</v>
      </c>
      <c r="L8">
        <f t="shared" si="2"/>
        <v>1</v>
      </c>
      <c r="M8">
        <f t="shared" si="3"/>
        <v>0</v>
      </c>
      <c r="O8">
        <f t="shared" si="4"/>
        <v>9.9999999999997868E-2</v>
      </c>
      <c r="P8">
        <f t="shared" si="5"/>
        <v>0</v>
      </c>
      <c r="R8">
        <f t="shared" si="6"/>
        <v>0.19222222222222227</v>
      </c>
      <c r="S8">
        <f t="shared" si="7"/>
        <v>0.26400000000000007</v>
      </c>
      <c r="U8">
        <f t="shared" si="8"/>
        <v>42.13346322454943</v>
      </c>
      <c r="V8">
        <v>54</v>
      </c>
      <c r="W8">
        <v>30</v>
      </c>
      <c r="AB8">
        <f t="shared" si="9"/>
        <v>70.967741935483801</v>
      </c>
      <c r="AC8">
        <f t="shared" si="10"/>
        <v>55.626520816600589</v>
      </c>
      <c r="AH8">
        <f t="shared" si="11"/>
        <v>13.40572482112244</v>
      </c>
      <c r="AI8">
        <f t="shared" si="12"/>
        <v>7.4274666356675247</v>
      </c>
      <c r="AJ8">
        <f t="shared" si="13"/>
        <v>34.328533364332486</v>
      </c>
      <c r="AL8">
        <f t="shared" si="14"/>
        <v>47.689449642244888</v>
      </c>
      <c r="AM8">
        <f t="shared" si="15"/>
        <v>-5.9334496422448737</v>
      </c>
    </row>
    <row r="9" spans="1:39" ht="16.5" x14ac:dyDescent="0.25">
      <c r="A9" s="1">
        <v>45691</v>
      </c>
      <c r="B9" s="5">
        <v>21.01</v>
      </c>
      <c r="C9" s="4">
        <v>21.2</v>
      </c>
      <c r="D9" s="4">
        <v>21.21</v>
      </c>
      <c r="E9" s="4">
        <v>20.74</v>
      </c>
      <c r="F9" s="4" t="s">
        <v>122</v>
      </c>
      <c r="G9" s="2" t="s">
        <v>1615</v>
      </c>
      <c r="I9">
        <f t="shared" si="0"/>
        <v>20.806500000000007</v>
      </c>
      <c r="J9">
        <f t="shared" si="1"/>
        <v>20.150250000000007</v>
      </c>
      <c r="L9">
        <f t="shared" si="2"/>
        <v>0</v>
      </c>
      <c r="M9">
        <f t="shared" si="3"/>
        <v>1</v>
      </c>
      <c r="O9">
        <f t="shared" si="4"/>
        <v>0</v>
      </c>
      <c r="P9">
        <f t="shared" si="5"/>
        <v>0.18999999999999773</v>
      </c>
      <c r="R9">
        <f t="shared" si="6"/>
        <v>0.3022222222222225</v>
      </c>
      <c r="S9">
        <f t="shared" si="7"/>
        <v>0.26400000000000007</v>
      </c>
      <c r="U9">
        <f t="shared" si="8"/>
        <v>53.3751962323391</v>
      </c>
      <c r="V9">
        <v>54</v>
      </c>
      <c r="W9">
        <v>30</v>
      </c>
      <c r="AB9">
        <f t="shared" si="9"/>
        <v>57.446808510638668</v>
      </c>
      <c r="AC9">
        <f t="shared" si="10"/>
        <v>53.434917799617267</v>
      </c>
      <c r="AH9">
        <f t="shared" si="11"/>
        <v>13.39736174837318</v>
      </c>
      <c r="AI9">
        <f t="shared" si="12"/>
        <v>7.3559666356675244</v>
      </c>
      <c r="AJ9">
        <f t="shared" si="13"/>
        <v>34.257033364332486</v>
      </c>
      <c r="AL9">
        <f t="shared" si="14"/>
        <v>47.601223496746371</v>
      </c>
      <c r="AM9">
        <f t="shared" si="15"/>
        <v>-5.9882234967463539</v>
      </c>
    </row>
    <row r="10" spans="1:39" ht="16.5" x14ac:dyDescent="0.25">
      <c r="A10" s="1">
        <v>45688</v>
      </c>
      <c r="B10" s="5">
        <v>21.64</v>
      </c>
      <c r="C10" s="4">
        <v>21.94</v>
      </c>
      <c r="D10" s="4">
        <v>21.97</v>
      </c>
      <c r="E10" s="4">
        <v>21.56</v>
      </c>
      <c r="F10" s="4" t="s">
        <v>1480</v>
      </c>
      <c r="G10" s="2" t="s">
        <v>270</v>
      </c>
      <c r="I10">
        <f t="shared" si="0"/>
        <v>20.742000000000008</v>
      </c>
      <c r="J10">
        <f t="shared" si="1"/>
        <v>20.107250000000004</v>
      </c>
      <c r="L10">
        <f t="shared" si="2"/>
        <v>0</v>
      </c>
      <c r="M10">
        <f t="shared" si="3"/>
        <v>1</v>
      </c>
      <c r="O10">
        <f t="shared" si="4"/>
        <v>0</v>
      </c>
      <c r="P10">
        <f t="shared" si="5"/>
        <v>0.30000000000000071</v>
      </c>
      <c r="R10">
        <f t="shared" si="6"/>
        <v>0.3022222222222225</v>
      </c>
      <c r="S10">
        <f t="shared" si="7"/>
        <v>0.36799999999999999</v>
      </c>
      <c r="U10">
        <f t="shared" si="8"/>
        <v>45.092838196286493</v>
      </c>
      <c r="V10">
        <v>54</v>
      </c>
      <c r="W10">
        <v>30</v>
      </c>
      <c r="AB10">
        <f t="shared" si="9"/>
        <v>19.512195121951663</v>
      </c>
      <c r="AC10">
        <f t="shared" si="10"/>
        <v>52.766269347780373</v>
      </c>
      <c r="AH10">
        <f t="shared" si="11"/>
        <v>13.388702390517926</v>
      </c>
      <c r="AI10">
        <f t="shared" si="12"/>
        <v>7.2914666356675255</v>
      </c>
      <c r="AJ10">
        <f t="shared" si="13"/>
        <v>34.19253336433249</v>
      </c>
      <c r="AL10">
        <f t="shared" si="14"/>
        <v>47.51940478103586</v>
      </c>
      <c r="AM10">
        <f t="shared" si="15"/>
        <v>-6.0354047810358438</v>
      </c>
    </row>
    <row r="11" spans="1:39" ht="16.5" x14ac:dyDescent="0.25">
      <c r="A11" s="1">
        <v>45687</v>
      </c>
      <c r="B11" s="5">
        <v>21.86</v>
      </c>
      <c r="C11" s="4">
        <v>21.56</v>
      </c>
      <c r="D11" s="4">
        <v>21.91</v>
      </c>
      <c r="E11" s="4">
        <v>21.37</v>
      </c>
      <c r="F11" s="4" t="s">
        <v>1616</v>
      </c>
      <c r="G11" s="2" t="s">
        <v>235</v>
      </c>
      <c r="I11">
        <f t="shared" si="0"/>
        <v>20.609500000000004</v>
      </c>
      <c r="J11">
        <f t="shared" si="1"/>
        <v>20.050999999999998</v>
      </c>
      <c r="L11">
        <f t="shared" si="2"/>
        <v>1</v>
      </c>
      <c r="M11">
        <f t="shared" si="3"/>
        <v>0</v>
      </c>
      <c r="O11">
        <f t="shared" si="4"/>
        <v>0.30000000000000071</v>
      </c>
      <c r="P11">
        <f t="shared" si="5"/>
        <v>0</v>
      </c>
      <c r="R11">
        <f t="shared" si="6"/>
        <v>0.27500000000000036</v>
      </c>
      <c r="S11">
        <f t="shared" si="7"/>
        <v>0.38499999999999979</v>
      </c>
      <c r="U11">
        <f t="shared" si="8"/>
        <v>41.666666666666714</v>
      </c>
      <c r="V11">
        <v>54</v>
      </c>
      <c r="W11">
        <v>30</v>
      </c>
      <c r="AB11">
        <f t="shared" si="9"/>
        <v>90.740740740740605</v>
      </c>
      <c r="AC11">
        <f t="shared" si="10"/>
        <v>59.41708419294612</v>
      </c>
      <c r="AH11">
        <f t="shared" si="11"/>
        <v>13.379759815079881</v>
      </c>
      <c r="AI11">
        <f t="shared" si="12"/>
        <v>7.1589666356675217</v>
      </c>
      <c r="AJ11">
        <f t="shared" si="13"/>
        <v>34.060033364332483</v>
      </c>
      <c r="AL11">
        <f t="shared" si="14"/>
        <v>47.369019630159769</v>
      </c>
      <c r="AM11">
        <f t="shared" si="15"/>
        <v>-6.1500196301597576</v>
      </c>
    </row>
    <row r="12" spans="1:39" ht="16.5" x14ac:dyDescent="0.25">
      <c r="A12" s="1">
        <v>45686</v>
      </c>
      <c r="B12" s="5">
        <v>21.54</v>
      </c>
      <c r="C12" s="4">
        <v>21.5</v>
      </c>
      <c r="D12" s="4">
        <v>21.76</v>
      </c>
      <c r="E12" s="4">
        <v>21.28</v>
      </c>
      <c r="F12" s="4" t="s">
        <v>965</v>
      </c>
      <c r="G12" s="2" t="s">
        <v>266</v>
      </c>
      <c r="I12">
        <f t="shared" si="0"/>
        <v>20.486000000000001</v>
      </c>
      <c r="J12">
        <f t="shared" si="1"/>
        <v>19.98875</v>
      </c>
      <c r="L12">
        <f t="shared" si="2"/>
        <v>1</v>
      </c>
      <c r="M12">
        <f t="shared" si="3"/>
        <v>0</v>
      </c>
      <c r="O12">
        <f t="shared" si="4"/>
        <v>3.9999999999999147E-2</v>
      </c>
      <c r="P12">
        <f t="shared" si="5"/>
        <v>0</v>
      </c>
      <c r="R12">
        <f t="shared" si="6"/>
        <v>0.27800000000000047</v>
      </c>
      <c r="S12">
        <f t="shared" si="7"/>
        <v>0.38499999999999979</v>
      </c>
      <c r="U12">
        <f t="shared" si="8"/>
        <v>41.930618401206686</v>
      </c>
      <c r="V12">
        <v>54</v>
      </c>
      <c r="W12">
        <v>30</v>
      </c>
      <c r="AB12">
        <f t="shared" si="9"/>
        <v>54.16666666666621</v>
      </c>
      <c r="AC12">
        <f t="shared" si="10"/>
        <v>51.586170055997492</v>
      </c>
      <c r="AH12">
        <f t="shared" si="11"/>
        <v>13.370357591820417</v>
      </c>
      <c r="AI12">
        <f t="shared" si="12"/>
        <v>7.0354666356675182</v>
      </c>
      <c r="AJ12">
        <f t="shared" si="13"/>
        <v>33.936533364332483</v>
      </c>
      <c r="AL12">
        <f t="shared" si="14"/>
        <v>47.226715183640835</v>
      </c>
      <c r="AM12">
        <f t="shared" si="15"/>
        <v>-6.2547151836408332</v>
      </c>
    </row>
    <row r="13" spans="1:39" ht="16.5" x14ac:dyDescent="0.25">
      <c r="A13" s="1">
        <v>45685</v>
      </c>
      <c r="B13" s="5">
        <v>21.5</v>
      </c>
      <c r="C13" s="4">
        <v>21.4</v>
      </c>
      <c r="D13" s="4">
        <v>21.82</v>
      </c>
      <c r="E13" s="4">
        <v>21.24</v>
      </c>
      <c r="F13" s="4" t="s">
        <v>827</v>
      </c>
      <c r="G13" s="2" t="s">
        <v>98</v>
      </c>
      <c r="I13">
        <f t="shared" si="0"/>
        <v>20.374500000000005</v>
      </c>
      <c r="J13">
        <f t="shared" si="1"/>
        <v>19.92925</v>
      </c>
      <c r="L13">
        <f t="shared" si="2"/>
        <v>1</v>
      </c>
      <c r="M13">
        <f t="shared" si="3"/>
        <v>0</v>
      </c>
      <c r="O13">
        <f t="shared" si="4"/>
        <v>0.10000000000000142</v>
      </c>
      <c r="P13">
        <f t="shared" si="5"/>
        <v>0</v>
      </c>
      <c r="R13">
        <f t="shared" si="6"/>
        <v>0.29200000000000087</v>
      </c>
      <c r="S13">
        <f t="shared" si="7"/>
        <v>0.38499999999999979</v>
      </c>
      <c r="U13">
        <f t="shared" si="8"/>
        <v>43.131462333825787</v>
      </c>
      <c r="V13">
        <v>54</v>
      </c>
      <c r="W13">
        <v>30</v>
      </c>
      <c r="AB13">
        <f t="shared" si="9"/>
        <v>44.827586206896683</v>
      </c>
      <c r="AC13">
        <f t="shared" si="10"/>
        <v>50.726004519107924</v>
      </c>
      <c r="AH13">
        <f t="shared" si="11"/>
        <v>13.360510260312013</v>
      </c>
      <c r="AI13">
        <f t="shared" si="12"/>
        <v>6.9239666356675222</v>
      </c>
      <c r="AJ13">
        <f t="shared" si="13"/>
        <v>33.825033364332484</v>
      </c>
      <c r="AL13">
        <f t="shared" si="14"/>
        <v>47.095520520624035</v>
      </c>
      <c r="AM13">
        <f t="shared" si="15"/>
        <v>-6.3465205206240221</v>
      </c>
    </row>
    <row r="14" spans="1:39" ht="16.5" x14ac:dyDescent="0.25">
      <c r="A14" s="1">
        <v>45684</v>
      </c>
      <c r="B14" s="5">
        <v>21.44</v>
      </c>
      <c r="C14" s="4">
        <v>20.9</v>
      </c>
      <c r="D14" s="4">
        <v>21.55</v>
      </c>
      <c r="E14" s="4">
        <v>20.56</v>
      </c>
      <c r="F14" s="4" t="s">
        <v>1059</v>
      </c>
      <c r="G14" s="2" t="s">
        <v>1142</v>
      </c>
      <c r="I14">
        <f t="shared" si="0"/>
        <v>20.263500000000004</v>
      </c>
      <c r="J14">
        <f t="shared" si="1"/>
        <v>19.864249999999995</v>
      </c>
      <c r="L14">
        <f t="shared" si="2"/>
        <v>1</v>
      </c>
      <c r="M14">
        <f t="shared" si="3"/>
        <v>0</v>
      </c>
      <c r="O14">
        <f t="shared" si="4"/>
        <v>0.5400000000000027</v>
      </c>
      <c r="P14">
        <f t="shared" si="5"/>
        <v>0</v>
      </c>
      <c r="R14">
        <f t="shared" si="6"/>
        <v>0.31333333333333413</v>
      </c>
      <c r="S14">
        <f t="shared" si="7"/>
        <v>0.3319999999999993</v>
      </c>
      <c r="U14">
        <f t="shared" si="8"/>
        <v>48.553719008264579</v>
      </c>
      <c r="V14">
        <v>54</v>
      </c>
      <c r="W14">
        <v>30</v>
      </c>
      <c r="AB14">
        <f t="shared" si="9"/>
        <v>88.888888888888971</v>
      </c>
      <c r="AC14">
        <f t="shared" si="10"/>
        <v>53.675213675213541</v>
      </c>
      <c r="AH14">
        <f t="shared" si="11"/>
        <v>13.350240894641095</v>
      </c>
      <c r="AI14">
        <f t="shared" si="12"/>
        <v>6.8129666356675216</v>
      </c>
      <c r="AJ14">
        <f t="shared" si="13"/>
        <v>33.714033364332487</v>
      </c>
      <c r="AL14">
        <f t="shared" si="14"/>
        <v>46.963981789282194</v>
      </c>
      <c r="AM14">
        <f t="shared" si="15"/>
        <v>-6.4369817892821857</v>
      </c>
    </row>
    <row r="15" spans="1:39" ht="16.5" x14ac:dyDescent="0.25">
      <c r="A15" s="1">
        <v>45681</v>
      </c>
      <c r="B15" s="5">
        <v>20.9</v>
      </c>
      <c r="C15" s="4">
        <v>21.15</v>
      </c>
      <c r="D15" s="4">
        <v>21.43</v>
      </c>
      <c r="E15" s="4">
        <v>20.78</v>
      </c>
      <c r="F15" s="4" t="s">
        <v>970</v>
      </c>
      <c r="G15" s="2" t="s">
        <v>689</v>
      </c>
      <c r="I15">
        <f t="shared" si="0"/>
        <v>20.136000000000003</v>
      </c>
      <c r="J15">
        <f t="shared" si="1"/>
        <v>19.826499999999996</v>
      </c>
      <c r="L15">
        <f t="shared" si="2"/>
        <v>0</v>
      </c>
      <c r="M15">
        <f t="shared" si="3"/>
        <v>1</v>
      </c>
      <c r="O15">
        <f t="shared" si="4"/>
        <v>0</v>
      </c>
      <c r="P15">
        <f t="shared" si="5"/>
        <v>0.25</v>
      </c>
      <c r="R15">
        <f t="shared" si="6"/>
        <v>0.26555555555555599</v>
      </c>
      <c r="S15">
        <f t="shared" si="7"/>
        <v>0.3319999999999993</v>
      </c>
      <c r="U15">
        <f t="shared" si="8"/>
        <v>44.44031238378588</v>
      </c>
      <c r="V15">
        <v>54</v>
      </c>
      <c r="W15">
        <v>30</v>
      </c>
      <c r="AB15">
        <f t="shared" si="9"/>
        <v>18.461538461538108</v>
      </c>
      <c r="AC15">
        <f t="shared" si="10"/>
        <v>18.461538461538108</v>
      </c>
      <c r="AH15">
        <f t="shared" si="11"/>
        <v>13.339543415690693</v>
      </c>
      <c r="AI15">
        <f t="shared" si="12"/>
        <v>6.6854666356675203</v>
      </c>
      <c r="AJ15">
        <f t="shared" si="13"/>
        <v>33.586533364332482</v>
      </c>
      <c r="AL15">
        <f t="shared" si="14"/>
        <v>46.815086831381393</v>
      </c>
      <c r="AM15">
        <f t="shared" si="15"/>
        <v>-6.5430868313813839</v>
      </c>
    </row>
    <row r="16" spans="1:39" ht="16.5" x14ac:dyDescent="0.25">
      <c r="A16" s="1">
        <v>45680</v>
      </c>
      <c r="B16" s="5">
        <v>21.08</v>
      </c>
      <c r="C16" s="4">
        <v>21.06</v>
      </c>
      <c r="D16" s="4">
        <v>21.28</v>
      </c>
      <c r="E16" s="4">
        <v>21.01</v>
      </c>
      <c r="F16" s="4" t="s">
        <v>1570</v>
      </c>
      <c r="G16" s="2" t="s">
        <v>251</v>
      </c>
      <c r="I16">
        <f t="shared" si="0"/>
        <v>20.038000000000004</v>
      </c>
      <c r="J16">
        <f t="shared" si="1"/>
        <v>19.798999999999996</v>
      </c>
      <c r="L16">
        <f t="shared" si="2"/>
        <v>1</v>
      </c>
      <c r="M16">
        <f t="shared" si="3"/>
        <v>0</v>
      </c>
      <c r="O16">
        <f t="shared" si="4"/>
        <v>1.9999999999999574E-2</v>
      </c>
      <c r="P16">
        <f t="shared" si="5"/>
        <v>0</v>
      </c>
      <c r="R16">
        <f t="shared" si="6"/>
        <v>0.29700000000000026</v>
      </c>
      <c r="S16">
        <f t="shared" si="7"/>
        <v>0.35249999999999915</v>
      </c>
      <c r="U16">
        <f t="shared" si="8"/>
        <v>45.727482678983918</v>
      </c>
      <c r="V16">
        <v>54</v>
      </c>
      <c r="W16">
        <v>30</v>
      </c>
      <c r="AH16">
        <f t="shared" si="11"/>
        <v>13.328366539611833</v>
      </c>
      <c r="AI16">
        <f t="shared" si="12"/>
        <v>6.5874666356675213</v>
      </c>
      <c r="AJ16">
        <f t="shared" si="13"/>
        <v>33.488533364332483</v>
      </c>
      <c r="AL16">
        <f t="shared" si="14"/>
        <v>46.694733079223667</v>
      </c>
      <c r="AM16">
        <f t="shared" si="15"/>
        <v>-6.6187330792236629</v>
      </c>
    </row>
    <row r="17" spans="1:39" ht="16.5" x14ac:dyDescent="0.25">
      <c r="A17" s="1">
        <v>45679</v>
      </c>
      <c r="B17" s="5">
        <v>20.99</v>
      </c>
      <c r="C17" s="4">
        <v>21.48</v>
      </c>
      <c r="D17" s="4">
        <v>21.51</v>
      </c>
      <c r="E17" s="4">
        <v>20.82</v>
      </c>
      <c r="F17" s="4" t="s">
        <v>826</v>
      </c>
      <c r="G17" s="2" t="s">
        <v>1617</v>
      </c>
      <c r="I17">
        <f t="shared" si="0"/>
        <v>19.927500000000002</v>
      </c>
      <c r="J17">
        <f t="shared" si="1"/>
        <v>19.759999999999994</v>
      </c>
      <c r="L17">
        <f t="shared" si="2"/>
        <v>0</v>
      </c>
      <c r="M17">
        <f t="shared" si="3"/>
        <v>1</v>
      </c>
      <c r="O17">
        <f t="shared" si="4"/>
        <v>0</v>
      </c>
      <c r="P17">
        <f t="shared" si="5"/>
        <v>0.49000000000000199</v>
      </c>
      <c r="R17">
        <f t="shared" si="6"/>
        <v>0.32777777777777811</v>
      </c>
      <c r="S17">
        <f t="shared" si="7"/>
        <v>0.35799999999999982</v>
      </c>
      <c r="U17">
        <f t="shared" si="8"/>
        <v>47.796500324044111</v>
      </c>
      <c r="AH17">
        <f t="shared" si="11"/>
        <v>13.316780598487895</v>
      </c>
      <c r="AI17">
        <f t="shared" si="12"/>
        <v>6.4769666356675195</v>
      </c>
      <c r="AJ17">
        <f t="shared" si="13"/>
        <v>33.378033364332481</v>
      </c>
      <c r="AL17">
        <f t="shared" si="14"/>
        <v>46.561061196975793</v>
      </c>
      <c r="AM17">
        <f t="shared" si="15"/>
        <v>-6.7060611969757886</v>
      </c>
    </row>
    <row r="18" spans="1:39" ht="16.5" x14ac:dyDescent="0.25">
      <c r="A18" s="1">
        <v>45678</v>
      </c>
      <c r="B18" s="5">
        <v>21.44</v>
      </c>
      <c r="C18" s="4">
        <v>21.1</v>
      </c>
      <c r="D18" s="4">
        <v>21.5</v>
      </c>
      <c r="E18" s="4">
        <v>21.02</v>
      </c>
      <c r="F18" s="4" t="s">
        <v>935</v>
      </c>
      <c r="G18" s="2" t="s">
        <v>386</v>
      </c>
      <c r="I18">
        <f t="shared" si="0"/>
        <v>19.838999999999999</v>
      </c>
      <c r="J18">
        <f t="shared" si="1"/>
        <v>19.723749999999992</v>
      </c>
      <c r="L18">
        <f t="shared" si="2"/>
        <v>1</v>
      </c>
      <c r="M18">
        <f t="shared" si="3"/>
        <v>0</v>
      </c>
      <c r="O18">
        <f t="shared" si="4"/>
        <v>0.33999999999999986</v>
      </c>
      <c r="P18">
        <f t="shared" si="5"/>
        <v>0</v>
      </c>
      <c r="R18">
        <f t="shared" si="6"/>
        <v>0.31200000000000044</v>
      </c>
      <c r="S18">
        <f t="shared" si="7"/>
        <v>0.32499999999999929</v>
      </c>
      <c r="U18">
        <f t="shared" si="8"/>
        <v>48.979591836734784</v>
      </c>
      <c r="AH18">
        <f t="shared" si="11"/>
        <v>13.30474481271181</v>
      </c>
      <c r="AI18">
        <f t="shared" si="12"/>
        <v>6.3884666356675162</v>
      </c>
      <c r="AJ18">
        <f t="shared" si="13"/>
        <v>33.289533364332485</v>
      </c>
      <c r="AL18">
        <f t="shared" si="14"/>
        <v>46.448489625423619</v>
      </c>
      <c r="AM18">
        <f t="shared" si="15"/>
        <v>-6.7704896254236218</v>
      </c>
    </row>
    <row r="19" spans="1:39" ht="16.5" x14ac:dyDescent="0.25">
      <c r="A19" s="1">
        <v>45677</v>
      </c>
      <c r="B19" s="5">
        <v>21.28</v>
      </c>
      <c r="C19" s="4">
        <v>21.26</v>
      </c>
      <c r="D19" s="4">
        <v>21.5</v>
      </c>
      <c r="E19" s="4">
        <v>20.99</v>
      </c>
      <c r="F19" s="4" t="s">
        <v>1438</v>
      </c>
      <c r="G19" s="2" t="s">
        <v>678</v>
      </c>
      <c r="I19">
        <f t="shared" si="0"/>
        <v>19.733499999999996</v>
      </c>
      <c r="J19">
        <f t="shared" si="1"/>
        <v>19.691749999999992</v>
      </c>
      <c r="L19">
        <f t="shared" si="2"/>
        <v>1</v>
      </c>
      <c r="M19">
        <f t="shared" si="3"/>
        <v>0</v>
      </c>
      <c r="O19">
        <f t="shared" si="4"/>
        <v>1.9999999999999574E-2</v>
      </c>
      <c r="P19">
        <f t="shared" si="5"/>
        <v>0</v>
      </c>
      <c r="R19">
        <f t="shared" si="6"/>
        <v>0.29300000000000032</v>
      </c>
      <c r="S19">
        <f t="shared" si="7"/>
        <v>0.32499999999999929</v>
      </c>
      <c r="U19">
        <f t="shared" si="8"/>
        <v>47.411003236246039</v>
      </c>
      <c r="AH19">
        <f t="shared" si="11"/>
        <v>13.292311520702773</v>
      </c>
      <c r="AI19">
        <f t="shared" si="12"/>
        <v>6.2829666356675133</v>
      </c>
      <c r="AJ19">
        <f t="shared" si="13"/>
        <v>33.184033364332478</v>
      </c>
      <c r="AL19">
        <f t="shared" si="14"/>
        <v>46.318123041405542</v>
      </c>
      <c r="AM19">
        <f t="shared" si="15"/>
        <v>-6.8511230414055504</v>
      </c>
    </row>
    <row r="20" spans="1:39" ht="16.5" x14ac:dyDescent="0.25">
      <c r="A20" s="1">
        <v>45674</v>
      </c>
      <c r="B20" s="5">
        <v>21.15</v>
      </c>
      <c r="C20" s="4">
        <v>20.88</v>
      </c>
      <c r="D20" s="4">
        <v>21.25</v>
      </c>
      <c r="E20" s="4">
        <v>20.84</v>
      </c>
      <c r="F20" s="4" t="s">
        <v>860</v>
      </c>
      <c r="G20" s="2" t="s">
        <v>1618</v>
      </c>
      <c r="I20">
        <f t="shared" si="0"/>
        <v>19.644499999999997</v>
      </c>
      <c r="J20">
        <f t="shared" si="1"/>
        <v>19.665249999999993</v>
      </c>
      <c r="L20">
        <f t="shared" si="2"/>
        <v>1</v>
      </c>
      <c r="M20">
        <f t="shared" si="3"/>
        <v>0</v>
      </c>
      <c r="O20">
        <f t="shared" si="4"/>
        <v>0.26999999999999957</v>
      </c>
      <c r="P20">
        <f t="shared" si="5"/>
        <v>0</v>
      </c>
      <c r="R20">
        <f t="shared" si="6"/>
        <v>0.33100000000000057</v>
      </c>
      <c r="S20">
        <f t="shared" si="7"/>
        <v>0.32499999999999929</v>
      </c>
      <c r="U20">
        <f t="shared" si="8"/>
        <v>50.457317073170827</v>
      </c>
      <c r="AH20">
        <f t="shared" si="11"/>
        <v>13.279427178916748</v>
      </c>
      <c r="AI20">
        <f t="shared" si="12"/>
        <v>6.1939666356675147</v>
      </c>
      <c r="AJ20">
        <f t="shared" si="13"/>
        <v>33.09503336433248</v>
      </c>
      <c r="AL20">
        <f t="shared" si="14"/>
        <v>46.20335435783349</v>
      </c>
      <c r="AM20">
        <f t="shared" si="15"/>
        <v>-6.9143543578334992</v>
      </c>
    </row>
    <row r="21" spans="1:39" ht="16.5" x14ac:dyDescent="0.25">
      <c r="A21" s="1">
        <v>45673</v>
      </c>
      <c r="B21" s="5">
        <v>20.74</v>
      </c>
      <c r="C21" s="4">
        <v>20.83</v>
      </c>
      <c r="D21" s="4">
        <v>20.92</v>
      </c>
      <c r="E21" s="4">
        <v>20.58</v>
      </c>
      <c r="F21" s="4" t="s">
        <v>1481</v>
      </c>
      <c r="G21" s="2" t="s">
        <v>418</v>
      </c>
      <c r="I21">
        <f t="shared" si="0"/>
        <v>19.574999999999996</v>
      </c>
      <c r="J21">
        <f t="shared" si="1"/>
        <v>19.644249999999992</v>
      </c>
      <c r="L21">
        <f t="shared" si="2"/>
        <v>0</v>
      </c>
      <c r="M21">
        <f t="shared" si="3"/>
        <v>1</v>
      </c>
      <c r="O21">
        <f t="shared" si="4"/>
        <v>0</v>
      </c>
      <c r="P21">
        <f t="shared" si="5"/>
        <v>8.9999999999999858E-2</v>
      </c>
      <c r="R21">
        <f t="shared" si="6"/>
        <v>0.31100000000000066</v>
      </c>
      <c r="S21">
        <f t="shared" si="7"/>
        <v>0.32499999999999929</v>
      </c>
      <c r="U21">
        <f t="shared" si="8"/>
        <v>48.899371069182493</v>
      </c>
      <c r="AH21">
        <f t="shared" si="11"/>
        <v>13.266130038560069</v>
      </c>
      <c r="AI21">
        <f t="shared" si="12"/>
        <v>6.1244666356675133</v>
      </c>
      <c r="AJ21">
        <f t="shared" si="13"/>
        <v>33.025533364332475</v>
      </c>
      <c r="AL21">
        <f t="shared" si="14"/>
        <v>46.107260077120131</v>
      </c>
      <c r="AM21">
        <f t="shared" si="15"/>
        <v>-6.9572600771201429</v>
      </c>
    </row>
    <row r="22" spans="1:39" ht="16.5" x14ac:dyDescent="0.25">
      <c r="A22" s="1">
        <v>45672</v>
      </c>
      <c r="B22" s="5">
        <v>20.73</v>
      </c>
      <c r="C22" s="4">
        <v>19.64</v>
      </c>
      <c r="D22" s="4">
        <v>20.99</v>
      </c>
      <c r="E22" s="4">
        <v>19.510000000000002</v>
      </c>
      <c r="F22" s="4" t="s">
        <v>1619</v>
      </c>
      <c r="G22" s="2" t="s">
        <v>1620</v>
      </c>
      <c r="I22">
        <f t="shared" si="0"/>
        <v>19.546500000000002</v>
      </c>
      <c r="J22">
        <f t="shared" si="1"/>
        <v>19.638249999999992</v>
      </c>
      <c r="L22">
        <f t="shared" si="2"/>
        <v>1</v>
      </c>
      <c r="M22">
        <f t="shared" si="3"/>
        <v>0</v>
      </c>
      <c r="O22">
        <f t="shared" si="4"/>
        <v>1.0899999999999999</v>
      </c>
      <c r="P22">
        <f t="shared" si="5"/>
        <v>0</v>
      </c>
      <c r="R22">
        <f t="shared" si="6"/>
        <v>0.30363636363636426</v>
      </c>
      <c r="S22">
        <f t="shared" si="7"/>
        <v>0.40333333333333243</v>
      </c>
      <c r="U22">
        <f t="shared" si="8"/>
        <v>42.948992713244856</v>
      </c>
      <c r="AH22">
        <f t="shared" si="11"/>
        <v>13.252468216139146</v>
      </c>
      <c r="AI22">
        <f t="shared" si="12"/>
        <v>6.0959666356675193</v>
      </c>
      <c r="AJ22">
        <f t="shared" si="13"/>
        <v>32.997033364332481</v>
      </c>
      <c r="AL22">
        <f t="shared" si="14"/>
        <v>46.051436432278294</v>
      </c>
      <c r="AM22">
        <f t="shared" si="15"/>
        <v>-6.9584364322782903</v>
      </c>
    </row>
    <row r="23" spans="1:39" ht="16.5" x14ac:dyDescent="0.25">
      <c r="A23" s="1">
        <v>45671</v>
      </c>
      <c r="B23" s="5">
        <v>19.600000000000001</v>
      </c>
      <c r="C23" s="4">
        <v>20.309999999999999</v>
      </c>
      <c r="D23" s="4">
        <v>20.66</v>
      </c>
      <c r="E23" s="4">
        <v>19.47</v>
      </c>
      <c r="F23" s="4" t="s">
        <v>1621</v>
      </c>
      <c r="G23" s="2" t="s">
        <v>1622</v>
      </c>
      <c r="I23">
        <f t="shared" si="0"/>
        <v>19.510000000000002</v>
      </c>
      <c r="J23">
        <f t="shared" si="1"/>
        <v>19.623749999999994</v>
      </c>
      <c r="L23">
        <f t="shared" si="2"/>
        <v>0</v>
      </c>
      <c r="M23">
        <f t="shared" si="3"/>
        <v>1</v>
      </c>
      <c r="O23">
        <f t="shared" si="4"/>
        <v>0</v>
      </c>
      <c r="P23">
        <f t="shared" si="5"/>
        <v>0.7099999999999973</v>
      </c>
      <c r="R23">
        <f t="shared" si="6"/>
        <v>0.2250000000000007</v>
      </c>
      <c r="S23">
        <f t="shared" si="7"/>
        <v>0.33249999999999869</v>
      </c>
      <c r="U23">
        <f t="shared" si="8"/>
        <v>40.358744394619002</v>
      </c>
      <c r="AH23">
        <f t="shared" si="11"/>
        <v>13.238552394786257</v>
      </c>
      <c r="AI23">
        <f t="shared" si="12"/>
        <v>6.0594666356675191</v>
      </c>
      <c r="AJ23">
        <f t="shared" si="13"/>
        <v>32.960533364332484</v>
      </c>
      <c r="AL23">
        <f t="shared" si="14"/>
        <v>45.987104789572513</v>
      </c>
      <c r="AM23">
        <f t="shared" si="15"/>
        <v>-6.9671047895725131</v>
      </c>
    </row>
    <row r="24" spans="1:39" ht="16.5" x14ac:dyDescent="0.25">
      <c r="A24" s="1">
        <v>45670</v>
      </c>
      <c r="B24" s="5">
        <v>20.03</v>
      </c>
      <c r="C24" s="4">
        <v>20</v>
      </c>
      <c r="D24" s="4">
        <v>20.420000000000002</v>
      </c>
      <c r="E24" s="4">
        <v>19.95</v>
      </c>
      <c r="F24" s="4" t="s">
        <v>1500</v>
      </c>
      <c r="G24" s="2" t="s">
        <v>459</v>
      </c>
      <c r="I24">
        <f t="shared" si="0"/>
        <v>19.544</v>
      </c>
      <c r="J24">
        <f t="shared" si="1"/>
        <v>19.655749999999994</v>
      </c>
      <c r="L24">
        <f t="shared" si="2"/>
        <v>1</v>
      </c>
      <c r="M24">
        <f t="shared" si="3"/>
        <v>0</v>
      </c>
      <c r="O24">
        <f t="shared" si="4"/>
        <v>3.0000000000001137E-2</v>
      </c>
      <c r="P24">
        <f t="shared" si="5"/>
        <v>0</v>
      </c>
      <c r="R24">
        <f t="shared" si="6"/>
        <v>0.2250000000000007</v>
      </c>
      <c r="S24">
        <f t="shared" si="7"/>
        <v>0.16749999999999954</v>
      </c>
      <c r="U24">
        <f t="shared" si="8"/>
        <v>57.324840764331356</v>
      </c>
      <c r="AH24">
        <f t="shared" si="11"/>
        <v>13.224356292140731</v>
      </c>
      <c r="AI24">
        <f t="shared" si="12"/>
        <v>6.093466635667518</v>
      </c>
      <c r="AJ24">
        <f t="shared" si="13"/>
        <v>32.994533364332483</v>
      </c>
      <c r="AL24">
        <f t="shared" si="14"/>
        <v>45.992712584281463</v>
      </c>
      <c r="AM24">
        <f t="shared" si="15"/>
        <v>-6.9047125842814623</v>
      </c>
    </row>
    <row r="25" spans="1:39" ht="16.5" x14ac:dyDescent="0.25">
      <c r="A25" s="1">
        <v>45667</v>
      </c>
      <c r="B25" s="5">
        <v>19.98</v>
      </c>
      <c r="C25" s="4">
        <v>19.649999999999999</v>
      </c>
      <c r="D25" s="4">
        <v>20.420000000000002</v>
      </c>
      <c r="E25" s="4">
        <v>19.559999999999999</v>
      </c>
      <c r="F25" s="4" t="s">
        <v>1324</v>
      </c>
      <c r="G25" s="2" t="s">
        <v>61</v>
      </c>
      <c r="I25">
        <f t="shared" si="0"/>
        <v>19.554000000000002</v>
      </c>
      <c r="J25">
        <f t="shared" si="1"/>
        <v>19.765499999999992</v>
      </c>
      <c r="L25">
        <f t="shared" si="2"/>
        <v>1</v>
      </c>
      <c r="M25">
        <f t="shared" si="3"/>
        <v>0</v>
      </c>
      <c r="O25">
        <f t="shared" si="4"/>
        <v>0.33000000000000185</v>
      </c>
      <c r="P25">
        <f t="shared" si="5"/>
        <v>0</v>
      </c>
      <c r="R25">
        <f t="shared" si="6"/>
        <v>0.22900000000000026</v>
      </c>
      <c r="S25">
        <f t="shared" si="7"/>
        <v>0.16749999999999954</v>
      </c>
      <c r="U25">
        <f t="shared" si="8"/>
        <v>57.755359394703753</v>
      </c>
      <c r="AH25">
        <f t="shared" si="11"/>
        <v>13.210078290978698</v>
      </c>
      <c r="AI25">
        <f t="shared" si="12"/>
        <v>6.1034666356675196</v>
      </c>
      <c r="AJ25">
        <f t="shared" si="13"/>
        <v>33.004533364332488</v>
      </c>
      <c r="AL25">
        <f t="shared" si="14"/>
        <v>45.974156581957402</v>
      </c>
      <c r="AM25">
        <f t="shared" si="15"/>
        <v>-6.8661565819573944</v>
      </c>
    </row>
    <row r="26" spans="1:39" ht="16.5" x14ac:dyDescent="0.25">
      <c r="A26" s="1">
        <v>45666</v>
      </c>
      <c r="B26" s="5">
        <v>19.760000000000002</v>
      </c>
      <c r="C26" s="4">
        <v>19.579999999999998</v>
      </c>
      <c r="D26" s="4">
        <v>19.93</v>
      </c>
      <c r="E26" s="4">
        <v>19.46</v>
      </c>
      <c r="F26" s="4" t="s">
        <v>1489</v>
      </c>
      <c r="G26" s="2" t="s">
        <v>1273</v>
      </c>
      <c r="I26">
        <f t="shared" si="0"/>
        <v>19.555500000000002</v>
      </c>
      <c r="J26">
        <f t="shared" si="1"/>
        <v>19.867999999999995</v>
      </c>
      <c r="L26">
        <f t="shared" si="2"/>
        <v>1</v>
      </c>
      <c r="M26">
        <f t="shared" si="3"/>
        <v>0</v>
      </c>
      <c r="O26">
        <f t="shared" si="4"/>
        <v>0.18000000000000327</v>
      </c>
      <c r="P26">
        <f t="shared" si="5"/>
        <v>0</v>
      </c>
      <c r="R26">
        <f t="shared" si="6"/>
        <v>0.21777777777777788</v>
      </c>
      <c r="S26">
        <f t="shared" si="7"/>
        <v>0.16199999999999976</v>
      </c>
      <c r="U26">
        <f t="shared" si="8"/>
        <v>57.343475716793499</v>
      </c>
      <c r="AH26">
        <f t="shared" si="11"/>
        <v>13.195648479609984</v>
      </c>
      <c r="AI26">
        <f t="shared" si="12"/>
        <v>6.1049666356675196</v>
      </c>
      <c r="AJ26">
        <f t="shared" si="13"/>
        <v>33.006033364332481</v>
      </c>
      <c r="AL26">
        <f t="shared" si="14"/>
        <v>45.946796959219967</v>
      </c>
      <c r="AM26">
        <f t="shared" si="15"/>
        <v>-6.8357969592199659</v>
      </c>
    </row>
    <row r="27" spans="1:39" ht="16.5" x14ac:dyDescent="0.25">
      <c r="A27" s="1">
        <v>45665</v>
      </c>
      <c r="B27" s="5">
        <v>19.670000000000002</v>
      </c>
      <c r="C27" s="4">
        <v>19.79</v>
      </c>
      <c r="D27" s="4">
        <v>19.79</v>
      </c>
      <c r="E27" s="4">
        <v>19.29</v>
      </c>
      <c r="F27" s="4" t="s">
        <v>1117</v>
      </c>
      <c r="G27" s="2" t="s">
        <v>1463</v>
      </c>
      <c r="I27">
        <f t="shared" si="0"/>
        <v>19.5425</v>
      </c>
      <c r="J27">
        <f t="shared" si="1"/>
        <v>19.982999999999997</v>
      </c>
      <c r="L27">
        <f t="shared" si="2"/>
        <v>0</v>
      </c>
      <c r="M27">
        <f t="shared" si="3"/>
        <v>1</v>
      </c>
      <c r="O27">
        <f t="shared" si="4"/>
        <v>0</v>
      </c>
      <c r="P27">
        <f t="shared" si="5"/>
        <v>0.11999999999999744</v>
      </c>
      <c r="R27">
        <f t="shared" si="6"/>
        <v>0.2224999999999997</v>
      </c>
      <c r="S27">
        <f t="shared" si="7"/>
        <v>0.17833333333333279</v>
      </c>
      <c r="U27">
        <f t="shared" si="8"/>
        <v>55.509355509355544</v>
      </c>
      <c r="AH27">
        <f t="shared" si="11"/>
        <v>13.181040482186958</v>
      </c>
      <c r="AI27">
        <f t="shared" si="12"/>
        <v>6.0919666356675179</v>
      </c>
      <c r="AJ27">
        <f t="shared" si="13"/>
        <v>32.993033364332483</v>
      </c>
      <c r="AL27">
        <f t="shared" si="14"/>
        <v>45.90458096437392</v>
      </c>
      <c r="AM27">
        <f t="shared" si="15"/>
        <v>-6.819580964373916</v>
      </c>
    </row>
    <row r="28" spans="1:39" ht="16.5" x14ac:dyDescent="0.25">
      <c r="A28" s="1">
        <v>45664</v>
      </c>
      <c r="B28" s="5">
        <v>19.79</v>
      </c>
      <c r="C28" s="4">
        <v>19.68</v>
      </c>
      <c r="D28" s="4">
        <v>19.989999999999998</v>
      </c>
      <c r="E28" s="4">
        <v>19.47</v>
      </c>
      <c r="F28" s="4" t="s">
        <v>1410</v>
      </c>
      <c r="G28" s="2" t="s">
        <v>821</v>
      </c>
      <c r="I28">
        <f t="shared" si="0"/>
        <v>19.522000000000002</v>
      </c>
      <c r="J28">
        <f t="shared" si="1"/>
        <v>20.089749999999999</v>
      </c>
      <c r="L28">
        <f t="shared" si="2"/>
        <v>1</v>
      </c>
      <c r="M28">
        <f t="shared" si="3"/>
        <v>0</v>
      </c>
      <c r="O28">
        <f t="shared" si="4"/>
        <v>0.10999999999999943</v>
      </c>
      <c r="P28">
        <f t="shared" si="5"/>
        <v>0</v>
      </c>
      <c r="R28">
        <f t="shared" si="6"/>
        <v>0.21444444444444441</v>
      </c>
      <c r="S28">
        <f t="shared" si="7"/>
        <v>0.18999999999999986</v>
      </c>
      <c r="U28">
        <f t="shared" si="8"/>
        <v>53.021978021978036</v>
      </c>
      <c r="AH28">
        <f t="shared" si="11"/>
        <v>13.166209951225982</v>
      </c>
      <c r="AI28">
        <f t="shared" si="12"/>
        <v>6.0714666356675195</v>
      </c>
      <c r="AJ28">
        <f t="shared" si="13"/>
        <v>32.972533364332484</v>
      </c>
      <c r="AL28">
        <f t="shared" si="14"/>
        <v>45.854419902451966</v>
      </c>
      <c r="AM28">
        <f t="shared" si="15"/>
        <v>-6.8104199024519616</v>
      </c>
    </row>
    <row r="29" spans="1:39" ht="16.5" x14ac:dyDescent="0.25">
      <c r="A29" s="1">
        <v>45663</v>
      </c>
      <c r="B29" s="5">
        <v>19.72</v>
      </c>
      <c r="C29" s="4">
        <v>19.14</v>
      </c>
      <c r="D29" s="4">
        <v>19.87</v>
      </c>
      <c r="E29" s="4">
        <v>19.07</v>
      </c>
      <c r="F29" s="4" t="s">
        <v>875</v>
      </c>
      <c r="G29" s="2" t="s">
        <v>1623</v>
      </c>
      <c r="I29">
        <f t="shared" si="0"/>
        <v>19.494</v>
      </c>
      <c r="J29">
        <f t="shared" si="1"/>
        <v>20.209499999999998</v>
      </c>
      <c r="L29">
        <f t="shared" si="2"/>
        <v>1</v>
      </c>
      <c r="M29">
        <f t="shared" si="3"/>
        <v>0</v>
      </c>
      <c r="O29">
        <f t="shared" si="4"/>
        <v>0.57999999999999829</v>
      </c>
      <c r="P29">
        <f t="shared" si="5"/>
        <v>0</v>
      </c>
      <c r="R29">
        <f t="shared" si="6"/>
        <v>0.22750000000000004</v>
      </c>
      <c r="S29">
        <f t="shared" si="7"/>
        <v>0.19999999999999987</v>
      </c>
      <c r="U29">
        <f t="shared" si="8"/>
        <v>53.216374269005868</v>
      </c>
      <c r="AH29">
        <f t="shared" si="11"/>
        <v>13.151132042586797</v>
      </c>
      <c r="AI29">
        <f t="shared" si="12"/>
        <v>6.0434666356675173</v>
      </c>
      <c r="AJ29">
        <f t="shared" si="13"/>
        <v>32.944533364332486</v>
      </c>
      <c r="AL29">
        <f t="shared" si="14"/>
        <v>45.79626408517359</v>
      </c>
      <c r="AM29">
        <f t="shared" si="15"/>
        <v>-6.8082640851735938</v>
      </c>
    </row>
    <row r="30" spans="1:39" ht="16.5" x14ac:dyDescent="0.25">
      <c r="A30" s="1">
        <v>45660</v>
      </c>
      <c r="B30" s="5">
        <v>18.989999999999998</v>
      </c>
      <c r="C30" s="4">
        <v>19.37</v>
      </c>
      <c r="D30" s="4">
        <v>19.46</v>
      </c>
      <c r="E30" s="4">
        <v>18.920000000000002</v>
      </c>
      <c r="F30" s="4" t="s">
        <v>1403</v>
      </c>
      <c r="G30" s="2" t="s">
        <v>1624</v>
      </c>
      <c r="I30">
        <f t="shared" si="0"/>
        <v>19.4725</v>
      </c>
      <c r="J30">
        <f t="shared" si="1"/>
        <v>20.335249999999998</v>
      </c>
      <c r="L30">
        <f t="shared" si="2"/>
        <v>0</v>
      </c>
      <c r="M30">
        <f t="shared" si="3"/>
        <v>1</v>
      </c>
      <c r="O30">
        <f t="shared" si="4"/>
        <v>0</v>
      </c>
      <c r="P30">
        <f t="shared" si="5"/>
        <v>0.38000000000000256</v>
      </c>
      <c r="R30">
        <f t="shared" si="6"/>
        <v>0.16500000000000048</v>
      </c>
      <c r="S30">
        <f t="shared" si="7"/>
        <v>0.19999999999999987</v>
      </c>
      <c r="U30">
        <f t="shared" si="8"/>
        <v>45.205479452054881</v>
      </c>
      <c r="AH30">
        <f t="shared" si="11"/>
        <v>13.135781339475729</v>
      </c>
      <c r="AI30">
        <f t="shared" si="12"/>
        <v>6.0219666356675177</v>
      </c>
      <c r="AJ30">
        <f t="shared" si="13"/>
        <v>32.923033364332483</v>
      </c>
      <c r="AL30">
        <f t="shared" si="14"/>
        <v>45.744062678951458</v>
      </c>
      <c r="AM30">
        <f t="shared" si="15"/>
        <v>-6.7990626789514579</v>
      </c>
    </row>
    <row r="31" spans="1:39" ht="16.5" x14ac:dyDescent="0.25">
      <c r="A31" s="1">
        <v>45659</v>
      </c>
      <c r="B31" s="5">
        <v>19.39</v>
      </c>
      <c r="C31" s="4">
        <v>19.22</v>
      </c>
      <c r="D31" s="4">
        <v>19.5</v>
      </c>
      <c r="E31" s="4">
        <v>18.95</v>
      </c>
      <c r="F31" s="4" t="s">
        <v>1625</v>
      </c>
      <c r="G31" s="2" t="s">
        <v>138</v>
      </c>
      <c r="I31">
        <f t="shared" si="0"/>
        <v>19.4925</v>
      </c>
      <c r="J31">
        <f t="shared" si="1"/>
        <v>20.488000000000003</v>
      </c>
      <c r="L31">
        <f t="shared" si="2"/>
        <v>1</v>
      </c>
      <c r="M31">
        <f t="shared" si="3"/>
        <v>0</v>
      </c>
      <c r="O31">
        <f t="shared" si="4"/>
        <v>0.17000000000000171</v>
      </c>
      <c r="P31">
        <f t="shared" si="5"/>
        <v>0</v>
      </c>
      <c r="R31">
        <f t="shared" si="6"/>
        <v>0.16500000000000048</v>
      </c>
      <c r="S31">
        <f t="shared" si="7"/>
        <v>0.17833333333333279</v>
      </c>
      <c r="U31">
        <f t="shared" si="8"/>
        <v>48.058252427184613</v>
      </c>
      <c r="AH31">
        <f t="shared" si="11"/>
        <v>13.120173329757202</v>
      </c>
      <c r="AI31">
        <f t="shared" si="12"/>
        <v>6.0419666356675172</v>
      </c>
      <c r="AJ31">
        <f t="shared" si="13"/>
        <v>32.943033364332479</v>
      </c>
      <c r="AL31">
        <f t="shared" si="14"/>
        <v>45.732846659514408</v>
      </c>
      <c r="AM31">
        <f t="shared" si="15"/>
        <v>-6.7478466595144049</v>
      </c>
    </row>
    <row r="32" spans="1:39" ht="16.5" x14ac:dyDescent="0.25">
      <c r="A32" s="1">
        <v>45656</v>
      </c>
      <c r="B32" s="5">
        <v>19.309999999999999</v>
      </c>
      <c r="C32" s="4">
        <v>19.16</v>
      </c>
      <c r="D32" s="4">
        <v>19.36</v>
      </c>
      <c r="E32" s="4">
        <v>19.149999999999999</v>
      </c>
      <c r="F32" s="4" t="s">
        <v>1423</v>
      </c>
      <c r="G32" s="2" t="s">
        <v>408</v>
      </c>
      <c r="I32">
        <f t="shared" si="0"/>
        <v>19.491499999999998</v>
      </c>
      <c r="J32">
        <f t="shared" si="1"/>
        <v>20.623250000000002</v>
      </c>
      <c r="L32">
        <f t="shared" si="2"/>
        <v>1</v>
      </c>
      <c r="M32">
        <f t="shared" si="3"/>
        <v>0</v>
      </c>
      <c r="O32">
        <f t="shared" si="4"/>
        <v>0.14999999999999858</v>
      </c>
      <c r="P32">
        <f t="shared" si="5"/>
        <v>0</v>
      </c>
      <c r="R32">
        <f t="shared" si="6"/>
        <v>0.19375000000000053</v>
      </c>
      <c r="S32">
        <f t="shared" si="7"/>
        <v>0.17833333333333279</v>
      </c>
      <c r="U32">
        <f t="shared" si="8"/>
        <v>52.07166853303486</v>
      </c>
      <c r="AH32">
        <f t="shared" si="11"/>
        <v>13.104428186101291</v>
      </c>
      <c r="AI32">
        <f t="shared" si="12"/>
        <v>6.040966635667516</v>
      </c>
      <c r="AJ32">
        <f t="shared" si="13"/>
        <v>32.942033364332481</v>
      </c>
      <c r="AL32">
        <f t="shared" si="14"/>
        <v>45.700356372202577</v>
      </c>
      <c r="AM32">
        <f t="shared" si="15"/>
        <v>-6.717356372202584</v>
      </c>
    </row>
    <row r="33" spans="1:39" ht="16.5" x14ac:dyDescent="0.25">
      <c r="A33" s="1">
        <v>45653</v>
      </c>
      <c r="B33" s="5">
        <v>19.28</v>
      </c>
      <c r="C33" s="4">
        <v>18.88</v>
      </c>
      <c r="D33" s="4">
        <v>19.329999999999998</v>
      </c>
      <c r="E33" s="4">
        <v>18.78</v>
      </c>
      <c r="F33" s="4" t="s">
        <v>1452</v>
      </c>
      <c r="G33" s="2" t="s">
        <v>1626</v>
      </c>
      <c r="I33">
        <f t="shared" si="0"/>
        <v>19.484000000000002</v>
      </c>
      <c r="J33">
        <f t="shared" si="1"/>
        <v>20.765499999999999</v>
      </c>
      <c r="L33">
        <f t="shared" si="2"/>
        <v>1</v>
      </c>
      <c r="M33">
        <f t="shared" si="3"/>
        <v>0</v>
      </c>
      <c r="O33">
        <f t="shared" si="4"/>
        <v>0.40000000000000213</v>
      </c>
      <c r="P33">
        <f t="shared" si="5"/>
        <v>0</v>
      </c>
      <c r="R33">
        <f t="shared" si="6"/>
        <v>0.20375000000000076</v>
      </c>
      <c r="S33">
        <f t="shared" si="7"/>
        <v>0.17833333333333279</v>
      </c>
      <c r="U33">
        <f t="shared" si="8"/>
        <v>53.32606324972754</v>
      </c>
      <c r="AH33">
        <f t="shared" si="11"/>
        <v>13.088481488305964</v>
      </c>
      <c r="AI33">
        <f t="shared" si="12"/>
        <v>6.0334666356675193</v>
      </c>
      <c r="AJ33">
        <f t="shared" si="13"/>
        <v>32.934533364332481</v>
      </c>
      <c r="AL33">
        <f t="shared" si="14"/>
        <v>45.660962976611927</v>
      </c>
      <c r="AM33">
        <f t="shared" si="15"/>
        <v>-6.692962976611927</v>
      </c>
    </row>
    <row r="34" spans="1:39" ht="16.5" x14ac:dyDescent="0.25">
      <c r="A34" s="1">
        <v>45649</v>
      </c>
      <c r="B34" s="5">
        <v>18.89</v>
      </c>
      <c r="C34" s="4">
        <v>18.82</v>
      </c>
      <c r="D34" s="4">
        <v>18.899999999999999</v>
      </c>
      <c r="E34" s="4">
        <v>18.64</v>
      </c>
      <c r="F34" s="4" t="s">
        <v>1389</v>
      </c>
      <c r="G34" s="2" t="s">
        <v>406</v>
      </c>
      <c r="I34">
        <f t="shared" si="0"/>
        <v>19.465</v>
      </c>
      <c r="J34">
        <f t="shared" si="1"/>
        <v>20.922249999999998</v>
      </c>
      <c r="L34">
        <f t="shared" si="2"/>
        <v>1</v>
      </c>
      <c r="M34">
        <f t="shared" si="3"/>
        <v>0</v>
      </c>
      <c r="O34">
        <f t="shared" si="4"/>
        <v>7.0000000000000284E-2</v>
      </c>
      <c r="P34">
        <f t="shared" si="5"/>
        <v>0</v>
      </c>
      <c r="R34">
        <f t="shared" si="6"/>
        <v>0.17875000000000085</v>
      </c>
      <c r="S34">
        <f t="shared" si="7"/>
        <v>0.17833333333333279</v>
      </c>
      <c r="U34">
        <f t="shared" si="8"/>
        <v>50.058343057176394</v>
      </c>
      <c r="AH34">
        <f t="shared" si="11"/>
        <v>13.072311115177774</v>
      </c>
      <c r="AI34">
        <f t="shared" si="12"/>
        <v>6.0144666356675174</v>
      </c>
      <c r="AJ34">
        <f t="shared" si="13"/>
        <v>32.915533364332482</v>
      </c>
      <c r="AL34">
        <f t="shared" si="14"/>
        <v>45.609622230355548</v>
      </c>
      <c r="AM34">
        <f t="shared" si="15"/>
        <v>-6.6796222303555481</v>
      </c>
    </row>
    <row r="35" spans="1:39" ht="16.5" x14ac:dyDescent="0.25">
      <c r="A35" s="1">
        <v>45646</v>
      </c>
      <c r="B35" s="5">
        <v>18.940000000000001</v>
      </c>
      <c r="C35" s="4">
        <v>18.71</v>
      </c>
      <c r="D35" s="4">
        <v>19.05</v>
      </c>
      <c r="E35" s="4">
        <v>18.57</v>
      </c>
      <c r="F35" s="4" t="s">
        <v>1334</v>
      </c>
      <c r="G35" s="2" t="s">
        <v>755</v>
      </c>
      <c r="I35">
        <f t="shared" si="0"/>
        <v>19.517000000000003</v>
      </c>
      <c r="J35">
        <f t="shared" si="1"/>
        <v>21.102500000000003</v>
      </c>
      <c r="L35">
        <f t="shared" si="2"/>
        <v>1</v>
      </c>
      <c r="M35">
        <f t="shared" si="3"/>
        <v>0</v>
      </c>
      <c r="O35">
        <f t="shared" si="4"/>
        <v>0.23000000000000043</v>
      </c>
      <c r="P35">
        <f t="shared" si="5"/>
        <v>0</v>
      </c>
      <c r="R35">
        <f t="shared" si="6"/>
        <v>0.19428571428571523</v>
      </c>
      <c r="S35">
        <f t="shared" si="7"/>
        <v>0.15999999999999964</v>
      </c>
      <c r="U35">
        <f t="shared" si="8"/>
        <v>54.83870967741953</v>
      </c>
      <c r="AH35">
        <f t="shared" si="11"/>
        <v>13.055879325776184</v>
      </c>
      <c r="AI35">
        <f t="shared" si="12"/>
        <v>6.0664666356675205</v>
      </c>
      <c r="AJ35">
        <f t="shared" si="13"/>
        <v>32.967533364332482</v>
      </c>
      <c r="AL35">
        <f t="shared" si="14"/>
        <v>45.628758651552374</v>
      </c>
      <c r="AM35">
        <f t="shared" si="15"/>
        <v>-6.5947586515523646</v>
      </c>
    </row>
    <row r="36" spans="1:39" ht="16.5" x14ac:dyDescent="0.25">
      <c r="A36" s="1">
        <v>45645</v>
      </c>
      <c r="B36" s="5">
        <v>18.87</v>
      </c>
      <c r="C36" s="4">
        <v>18.989999999999998</v>
      </c>
      <c r="D36" s="4">
        <v>19.190000000000001</v>
      </c>
      <c r="E36" s="4">
        <v>18.79</v>
      </c>
      <c r="F36" s="4" t="s">
        <v>1627</v>
      </c>
      <c r="G36" s="2" t="s">
        <v>1178</v>
      </c>
      <c r="I36">
        <f t="shared" si="0"/>
        <v>19.559999999999999</v>
      </c>
      <c r="J36">
        <f t="shared" si="1"/>
        <v>21.272750000000002</v>
      </c>
      <c r="L36">
        <f t="shared" si="2"/>
        <v>0</v>
      </c>
      <c r="M36">
        <f t="shared" si="3"/>
        <v>1</v>
      </c>
      <c r="O36">
        <f t="shared" si="4"/>
        <v>0</v>
      </c>
      <c r="P36">
        <f t="shared" si="5"/>
        <v>0.11999999999999744</v>
      </c>
      <c r="R36">
        <f t="shared" si="6"/>
        <v>0.18833333333333435</v>
      </c>
      <c r="S36">
        <f t="shared" si="7"/>
        <v>0.14124999999999988</v>
      </c>
      <c r="U36">
        <f t="shared" si="8"/>
        <v>57.142857142857302</v>
      </c>
      <c r="AH36">
        <f t="shared" si="11"/>
        <v>13.03939852404827</v>
      </c>
      <c r="AI36">
        <f t="shared" si="12"/>
        <v>6.1094666356675162</v>
      </c>
      <c r="AJ36">
        <f t="shared" si="13"/>
        <v>33.010533364332481</v>
      </c>
      <c r="AL36">
        <f t="shared" si="14"/>
        <v>45.638797048096535</v>
      </c>
      <c r="AM36">
        <f t="shared" si="15"/>
        <v>-6.5187970480965411</v>
      </c>
    </row>
    <row r="37" spans="1:39" ht="16.5" x14ac:dyDescent="0.25">
      <c r="A37" s="1">
        <v>45644</v>
      </c>
      <c r="B37" s="5">
        <v>19.22</v>
      </c>
      <c r="C37" s="4">
        <v>19.27</v>
      </c>
      <c r="D37" s="4">
        <v>19.37</v>
      </c>
      <c r="E37" s="4">
        <v>19.079999999999998</v>
      </c>
      <c r="F37" s="4" t="s">
        <v>1480</v>
      </c>
      <c r="G37" s="2" t="s">
        <v>1210</v>
      </c>
      <c r="I37">
        <f t="shared" si="0"/>
        <v>19.592499999999998</v>
      </c>
      <c r="J37">
        <f t="shared" si="1"/>
        <v>21.444250000000004</v>
      </c>
      <c r="L37">
        <f t="shared" si="2"/>
        <v>0</v>
      </c>
      <c r="M37">
        <f t="shared" si="3"/>
        <v>1</v>
      </c>
      <c r="O37">
        <f t="shared" si="4"/>
        <v>0</v>
      </c>
      <c r="P37">
        <f t="shared" si="5"/>
        <v>5.0000000000000711E-2</v>
      </c>
      <c r="R37">
        <f t="shared" si="6"/>
        <v>0.18000000000000074</v>
      </c>
      <c r="S37">
        <f t="shared" si="7"/>
        <v>0.14428571428571452</v>
      </c>
      <c r="U37">
        <f t="shared" si="8"/>
        <v>55.506607929515475</v>
      </c>
      <c r="AH37">
        <f t="shared" si="11"/>
        <v>13.022840755520724</v>
      </c>
      <c r="AI37">
        <f t="shared" si="12"/>
        <v>6.1419666356675151</v>
      </c>
      <c r="AJ37">
        <f t="shared" si="13"/>
        <v>33.04303336433248</v>
      </c>
      <c r="AL37">
        <f t="shared" si="14"/>
        <v>45.638181511041445</v>
      </c>
      <c r="AM37">
        <f t="shared" si="15"/>
        <v>-6.4531815110414499</v>
      </c>
    </row>
    <row r="38" spans="1:39" ht="16.5" x14ac:dyDescent="0.25">
      <c r="A38" s="1">
        <v>45643</v>
      </c>
      <c r="B38" s="5">
        <v>19.329999999999998</v>
      </c>
      <c r="C38" s="4">
        <v>19.260000000000002</v>
      </c>
      <c r="D38" s="4">
        <v>19.489999999999998</v>
      </c>
      <c r="E38" s="4">
        <v>19.16</v>
      </c>
      <c r="F38" s="4" t="s">
        <v>1495</v>
      </c>
      <c r="G38" s="2" t="s">
        <v>542</v>
      </c>
      <c r="I38">
        <f t="shared" si="0"/>
        <v>19.608499999999999</v>
      </c>
      <c r="J38">
        <f t="shared" si="1"/>
        <v>21.604250000000004</v>
      </c>
      <c r="L38">
        <f t="shared" si="2"/>
        <v>1</v>
      </c>
      <c r="M38">
        <f t="shared" si="3"/>
        <v>0</v>
      </c>
      <c r="O38">
        <f t="shared" si="4"/>
        <v>6.9999999999996732E-2</v>
      </c>
      <c r="P38">
        <f t="shared" si="5"/>
        <v>0</v>
      </c>
      <c r="R38">
        <f t="shared" si="6"/>
        <v>0.16625000000000068</v>
      </c>
      <c r="S38">
        <f t="shared" si="7"/>
        <v>0.16000000000000014</v>
      </c>
      <c r="U38">
        <f t="shared" si="8"/>
        <v>50.957854406130352</v>
      </c>
      <c r="AH38">
        <f t="shared" si="11"/>
        <v>13.006173069383397</v>
      </c>
      <c r="AI38">
        <f t="shared" si="12"/>
        <v>6.1579666356675169</v>
      </c>
      <c r="AJ38">
        <f t="shared" si="13"/>
        <v>33.059033364332478</v>
      </c>
      <c r="AL38">
        <f t="shared" si="14"/>
        <v>45.620846138766794</v>
      </c>
      <c r="AM38">
        <f t="shared" si="15"/>
        <v>-6.4038461387667951</v>
      </c>
    </row>
    <row r="39" spans="1:39" ht="16.5" x14ac:dyDescent="0.25">
      <c r="A39" s="1">
        <v>45642</v>
      </c>
      <c r="B39" s="5">
        <v>19.5</v>
      </c>
      <c r="C39" s="4">
        <v>19.64</v>
      </c>
      <c r="D39" s="4">
        <v>19.78</v>
      </c>
      <c r="E39" s="4">
        <v>19.22</v>
      </c>
      <c r="F39" s="4" t="s">
        <v>1628</v>
      </c>
      <c r="G39" s="2" t="s">
        <v>570</v>
      </c>
      <c r="I39">
        <f t="shared" si="0"/>
        <v>19.650000000000002</v>
      </c>
      <c r="J39">
        <f t="shared" si="1"/>
        <v>21.768000000000004</v>
      </c>
      <c r="L39">
        <f t="shared" si="2"/>
        <v>0</v>
      </c>
      <c r="M39">
        <f t="shared" si="3"/>
        <v>1</v>
      </c>
      <c r="O39">
        <f t="shared" si="4"/>
        <v>0</v>
      </c>
      <c r="P39">
        <f t="shared" si="5"/>
        <v>0.14000000000000057</v>
      </c>
      <c r="R39">
        <f t="shared" si="6"/>
        <v>0.18000000000000105</v>
      </c>
      <c r="S39">
        <f t="shared" si="7"/>
        <v>0.16000000000000014</v>
      </c>
      <c r="U39">
        <f t="shared" si="8"/>
        <v>52.941176470588353</v>
      </c>
      <c r="AH39">
        <f t="shared" si="11"/>
        <v>12.98934355237891</v>
      </c>
      <c r="AI39">
        <f t="shared" si="12"/>
        <v>6.1994666356675197</v>
      </c>
      <c r="AJ39">
        <f t="shared" si="13"/>
        <v>33.100533364332485</v>
      </c>
      <c r="AL39">
        <f t="shared" si="14"/>
        <v>45.628687104757823</v>
      </c>
      <c r="AM39">
        <f t="shared" si="15"/>
        <v>-6.3286871047578188</v>
      </c>
    </row>
    <row r="40" spans="1:39" ht="16.5" x14ac:dyDescent="0.25">
      <c r="A40" s="1">
        <v>45639</v>
      </c>
      <c r="B40" s="5">
        <v>19.760000000000002</v>
      </c>
      <c r="C40" s="4">
        <v>20.02</v>
      </c>
      <c r="D40" s="4">
        <v>20.11</v>
      </c>
      <c r="E40" s="4">
        <v>19.73</v>
      </c>
      <c r="F40" s="4" t="s">
        <v>1629</v>
      </c>
      <c r="G40" s="2" t="s">
        <v>377</v>
      </c>
      <c r="I40">
        <f t="shared" si="0"/>
        <v>19.686</v>
      </c>
      <c r="J40">
        <f t="shared" si="1"/>
        <v>21.933000000000003</v>
      </c>
      <c r="L40">
        <f t="shared" si="2"/>
        <v>0</v>
      </c>
      <c r="M40">
        <f t="shared" si="3"/>
        <v>1</v>
      </c>
      <c r="O40">
        <f t="shared" si="4"/>
        <v>0</v>
      </c>
      <c r="P40">
        <f t="shared" si="5"/>
        <v>0.25999999999999801</v>
      </c>
      <c r="R40">
        <f t="shared" si="6"/>
        <v>0.18000000000000105</v>
      </c>
      <c r="S40">
        <f t="shared" si="7"/>
        <v>0.2783333333333336</v>
      </c>
      <c r="U40">
        <f t="shared" si="8"/>
        <v>39.272727272727387</v>
      </c>
      <c r="AH40">
        <f t="shared" si="11"/>
        <v>12.972428848712765</v>
      </c>
      <c r="AI40">
        <f t="shared" si="12"/>
        <v>6.2354666356675175</v>
      </c>
      <c r="AJ40">
        <f t="shared" si="13"/>
        <v>33.136533364332479</v>
      </c>
      <c r="AL40">
        <f t="shared" si="14"/>
        <v>45.630857697425526</v>
      </c>
      <c r="AM40">
        <f t="shared" si="15"/>
        <v>-6.2588576974255297</v>
      </c>
    </row>
    <row r="41" spans="1:39" ht="16.5" x14ac:dyDescent="0.25">
      <c r="A41" s="1">
        <v>45638</v>
      </c>
      <c r="B41" s="5">
        <v>20.170000000000002</v>
      </c>
      <c r="C41" s="4">
        <v>20.02</v>
      </c>
      <c r="D41" s="4">
        <v>20.170000000000002</v>
      </c>
      <c r="E41" s="4">
        <v>19.93</v>
      </c>
      <c r="F41" s="4" t="s">
        <v>1496</v>
      </c>
      <c r="G41" s="2" t="s">
        <v>550</v>
      </c>
      <c r="I41">
        <f t="shared" si="0"/>
        <v>19.713500000000003</v>
      </c>
      <c r="J41">
        <f t="shared" si="1"/>
        <v>22.098500000000001</v>
      </c>
      <c r="L41">
        <f t="shared" si="2"/>
        <v>1</v>
      </c>
      <c r="M41">
        <f t="shared" si="3"/>
        <v>0</v>
      </c>
      <c r="O41">
        <f t="shared" si="4"/>
        <v>0.15000000000000213</v>
      </c>
      <c r="P41">
        <f t="shared" si="5"/>
        <v>0</v>
      </c>
      <c r="R41">
        <f t="shared" si="6"/>
        <v>0.18000000000000105</v>
      </c>
      <c r="S41">
        <f t="shared" si="7"/>
        <v>0.23833333333333387</v>
      </c>
      <c r="U41">
        <f t="shared" si="8"/>
        <v>43.027888446215229</v>
      </c>
      <c r="AH41">
        <f t="shared" si="11"/>
        <v>12.955410993399527</v>
      </c>
      <c r="AI41">
        <f t="shared" si="12"/>
        <v>6.2629666356675209</v>
      </c>
      <c r="AJ41">
        <f t="shared" si="13"/>
        <v>33.164033364332482</v>
      </c>
      <c r="AL41">
        <f t="shared" si="14"/>
        <v>45.62432198679906</v>
      </c>
      <c r="AM41">
        <f t="shared" si="15"/>
        <v>-6.1973219867990501</v>
      </c>
    </row>
    <row r="42" spans="1:39" ht="16.5" x14ac:dyDescent="0.25">
      <c r="A42" s="1">
        <v>45637</v>
      </c>
      <c r="B42" s="5">
        <v>20</v>
      </c>
      <c r="C42" s="4">
        <v>20.25</v>
      </c>
      <c r="D42" s="4">
        <v>20.25</v>
      </c>
      <c r="E42" s="4">
        <v>19.98</v>
      </c>
      <c r="F42" s="4" t="s">
        <v>1579</v>
      </c>
      <c r="G42" s="2" t="s">
        <v>727</v>
      </c>
      <c r="I42">
        <f t="shared" si="0"/>
        <v>19.730000000000004</v>
      </c>
      <c r="J42">
        <f t="shared" si="1"/>
        <v>22.256750000000004</v>
      </c>
      <c r="L42">
        <f t="shared" si="2"/>
        <v>0</v>
      </c>
      <c r="M42">
        <f t="shared" si="3"/>
        <v>1</v>
      </c>
      <c r="O42">
        <f t="shared" si="4"/>
        <v>0</v>
      </c>
      <c r="P42">
        <f t="shared" si="5"/>
        <v>0.25</v>
      </c>
      <c r="R42">
        <f t="shared" si="6"/>
        <v>0.19250000000000078</v>
      </c>
      <c r="S42">
        <f t="shared" si="7"/>
        <v>0.23833333333333387</v>
      </c>
      <c r="U42">
        <f t="shared" si="8"/>
        <v>44.680851063829834</v>
      </c>
      <c r="AH42">
        <f t="shared" si="11"/>
        <v>12.938262421334185</v>
      </c>
      <c r="AI42">
        <f t="shared" si="12"/>
        <v>6.2794666356675215</v>
      </c>
      <c r="AJ42">
        <f t="shared" si="13"/>
        <v>33.18053336433249</v>
      </c>
      <c r="AL42">
        <f t="shared" si="14"/>
        <v>45.606524842668378</v>
      </c>
      <c r="AM42">
        <f t="shared" si="15"/>
        <v>-6.1465248426683665</v>
      </c>
    </row>
    <row r="43" spans="1:39" ht="16.5" x14ac:dyDescent="0.25">
      <c r="A43" s="1">
        <v>45636</v>
      </c>
      <c r="B43" s="5">
        <v>20.28</v>
      </c>
      <c r="C43" s="4">
        <v>20.2</v>
      </c>
      <c r="D43" s="4">
        <v>20.55</v>
      </c>
      <c r="E43" s="4">
        <v>20.11</v>
      </c>
      <c r="F43" s="4" t="s">
        <v>1487</v>
      </c>
      <c r="G43" s="2" t="s">
        <v>459</v>
      </c>
      <c r="I43">
        <f t="shared" si="0"/>
        <v>19.737500000000004</v>
      </c>
      <c r="J43">
        <f t="shared" si="1"/>
        <v>22.417250000000003</v>
      </c>
      <c r="L43">
        <f t="shared" si="2"/>
        <v>1</v>
      </c>
      <c r="M43">
        <f t="shared" si="3"/>
        <v>0</v>
      </c>
      <c r="O43">
        <f t="shared" si="4"/>
        <v>8.0000000000001847E-2</v>
      </c>
      <c r="P43">
        <f t="shared" si="5"/>
        <v>0</v>
      </c>
      <c r="R43">
        <f t="shared" si="6"/>
        <v>0.1900000000000005</v>
      </c>
      <c r="S43">
        <f t="shared" si="7"/>
        <v>0.23600000000000065</v>
      </c>
      <c r="U43">
        <f t="shared" si="8"/>
        <v>44.600938967136145</v>
      </c>
      <c r="AH43">
        <f t="shared" si="11"/>
        <v>12.920947291657159</v>
      </c>
      <c r="AI43">
        <f t="shared" si="12"/>
        <v>6.2869666356675218</v>
      </c>
      <c r="AJ43">
        <f t="shared" si="13"/>
        <v>33.188033364332483</v>
      </c>
      <c r="AL43">
        <f t="shared" si="14"/>
        <v>45.579394583314325</v>
      </c>
      <c r="AM43">
        <f t="shared" si="15"/>
        <v>-6.1043945833143134</v>
      </c>
    </row>
    <row r="44" spans="1:39" ht="16.5" x14ac:dyDescent="0.25">
      <c r="A44" s="1">
        <v>45635</v>
      </c>
      <c r="B44" s="5">
        <v>20.23</v>
      </c>
      <c r="C44" s="4">
        <v>20.48</v>
      </c>
      <c r="D44" s="4">
        <v>20.48</v>
      </c>
      <c r="E44" s="4">
        <v>19.989999999999998</v>
      </c>
      <c r="F44" s="4" t="s">
        <v>983</v>
      </c>
      <c r="G44" s="2" t="s">
        <v>614</v>
      </c>
      <c r="I44">
        <f t="shared" si="0"/>
        <v>19.767500000000005</v>
      </c>
      <c r="J44">
        <f t="shared" si="1"/>
        <v>22.573500000000003</v>
      </c>
      <c r="L44">
        <f t="shared" si="2"/>
        <v>0</v>
      </c>
      <c r="M44">
        <f t="shared" si="3"/>
        <v>1</v>
      </c>
      <c r="O44">
        <f t="shared" si="4"/>
        <v>0</v>
      </c>
      <c r="P44">
        <f t="shared" si="5"/>
        <v>0.25</v>
      </c>
      <c r="R44">
        <f t="shared" si="6"/>
        <v>0.20375000000000032</v>
      </c>
      <c r="S44">
        <f t="shared" si="7"/>
        <v>0.32333333333333414</v>
      </c>
      <c r="U44">
        <f t="shared" si="8"/>
        <v>38.656126482213423</v>
      </c>
      <c r="AH44">
        <f t="shared" si="11"/>
        <v>12.903435346495437</v>
      </c>
      <c r="AI44">
        <f t="shared" si="12"/>
        <v>6.3169666356675229</v>
      </c>
      <c r="AJ44">
        <f t="shared" si="13"/>
        <v>33.218033364332484</v>
      </c>
      <c r="AL44">
        <f t="shared" si="14"/>
        <v>45.574370692990883</v>
      </c>
      <c r="AM44">
        <f t="shared" si="15"/>
        <v>-6.0393706929908682</v>
      </c>
    </row>
    <row r="45" spans="1:39" ht="16.5" x14ac:dyDescent="0.25">
      <c r="A45" s="1">
        <v>45632</v>
      </c>
      <c r="B45" s="5">
        <v>20.010000000000002</v>
      </c>
      <c r="C45" s="4">
        <v>19.61</v>
      </c>
      <c r="D45" s="4">
        <v>20.3</v>
      </c>
      <c r="E45" s="4">
        <v>19.600000000000001</v>
      </c>
      <c r="F45" s="4" t="s">
        <v>1630</v>
      </c>
      <c r="G45" s="2" t="s">
        <v>575</v>
      </c>
      <c r="I45">
        <f t="shared" si="0"/>
        <v>19.977000000000004</v>
      </c>
      <c r="J45">
        <f t="shared" si="1"/>
        <v>22.72025</v>
      </c>
      <c r="L45">
        <f t="shared" si="2"/>
        <v>1</v>
      </c>
      <c r="M45">
        <f t="shared" si="3"/>
        <v>0</v>
      </c>
      <c r="O45">
        <f t="shared" si="4"/>
        <v>0.40000000000000213</v>
      </c>
      <c r="P45">
        <f t="shared" si="5"/>
        <v>0</v>
      </c>
      <c r="R45">
        <f t="shared" si="6"/>
        <v>0.20375000000000032</v>
      </c>
      <c r="S45">
        <f t="shared" si="7"/>
        <v>0.28500000000000075</v>
      </c>
      <c r="U45">
        <f t="shared" si="8"/>
        <v>41.687979539641915</v>
      </c>
      <c r="AH45">
        <f t="shared" si="11"/>
        <v>12.885794915640254</v>
      </c>
      <c r="AI45">
        <f t="shared" si="12"/>
        <v>6.5264666356675214</v>
      </c>
      <c r="AJ45">
        <f t="shared" si="13"/>
        <v>33.42753336433249</v>
      </c>
      <c r="AL45">
        <f t="shared" si="14"/>
        <v>45.748589831280512</v>
      </c>
      <c r="AM45">
        <f t="shared" si="15"/>
        <v>-5.7945898312805042</v>
      </c>
    </row>
    <row r="46" spans="1:39" ht="16.5" x14ac:dyDescent="0.25">
      <c r="A46" s="1">
        <v>45631</v>
      </c>
      <c r="B46" s="5">
        <v>19.5</v>
      </c>
      <c r="C46" s="4">
        <v>19.27</v>
      </c>
      <c r="D46" s="4">
        <v>19.55</v>
      </c>
      <c r="E46" s="4">
        <v>19.25</v>
      </c>
      <c r="F46" s="4" t="s">
        <v>1012</v>
      </c>
      <c r="G46" s="2" t="s">
        <v>1546</v>
      </c>
      <c r="I46">
        <f t="shared" si="0"/>
        <v>20.180500000000002</v>
      </c>
      <c r="J46">
        <f t="shared" si="1"/>
        <v>22.8765</v>
      </c>
      <c r="L46">
        <f t="shared" si="2"/>
        <v>1</v>
      </c>
      <c r="M46">
        <f t="shared" si="3"/>
        <v>0</v>
      </c>
      <c r="O46">
        <f t="shared" si="4"/>
        <v>0.23000000000000043</v>
      </c>
      <c r="P46">
        <f t="shared" si="5"/>
        <v>0</v>
      </c>
      <c r="R46">
        <f t="shared" si="6"/>
        <v>0.17571428571428577</v>
      </c>
      <c r="S46">
        <f t="shared" si="7"/>
        <v>0.27714285714285786</v>
      </c>
      <c r="U46">
        <f t="shared" si="8"/>
        <v>38.801261829652944</v>
      </c>
      <c r="AH46">
        <f t="shared" si="11"/>
        <v>12.868589000155032</v>
      </c>
      <c r="AI46">
        <f t="shared" si="12"/>
        <v>6.7299666356675196</v>
      </c>
      <c r="AJ46">
        <f t="shared" si="13"/>
        <v>33.631033364332481</v>
      </c>
      <c r="AL46">
        <f t="shared" si="14"/>
        <v>45.917678000310062</v>
      </c>
      <c r="AM46">
        <f t="shared" si="15"/>
        <v>-5.5566780003100611</v>
      </c>
    </row>
    <row r="47" spans="1:39" ht="16.5" x14ac:dyDescent="0.25">
      <c r="A47" s="1">
        <v>45630</v>
      </c>
      <c r="B47" s="5">
        <v>19.260000000000002</v>
      </c>
      <c r="C47" s="4">
        <v>19.059999999999999</v>
      </c>
      <c r="D47" s="4">
        <v>19.399999999999999</v>
      </c>
      <c r="E47" s="4">
        <v>19.010000000000002</v>
      </c>
      <c r="F47" s="4" t="s">
        <v>1477</v>
      </c>
      <c r="G47" s="2" t="s">
        <v>438</v>
      </c>
      <c r="I47">
        <f t="shared" si="0"/>
        <v>20.423499999999997</v>
      </c>
      <c r="J47">
        <f t="shared" si="1"/>
        <v>23.058249999999997</v>
      </c>
      <c r="L47">
        <f t="shared" si="2"/>
        <v>1</v>
      </c>
      <c r="M47">
        <f t="shared" si="3"/>
        <v>0</v>
      </c>
      <c r="O47">
        <f t="shared" si="4"/>
        <v>0.20000000000000284</v>
      </c>
      <c r="P47">
        <f t="shared" si="5"/>
        <v>0</v>
      </c>
      <c r="R47">
        <f t="shared" si="6"/>
        <v>0.16142857142857128</v>
      </c>
      <c r="S47">
        <f t="shared" si="7"/>
        <v>0.27714285714285786</v>
      </c>
      <c r="U47">
        <f t="shared" si="8"/>
        <v>36.807817589576466</v>
      </c>
      <c r="AH47">
        <f t="shared" si="11"/>
        <v>12.851799727808523</v>
      </c>
      <c r="AI47">
        <f t="shared" si="12"/>
        <v>6.9729666356675146</v>
      </c>
      <c r="AJ47">
        <f t="shared" si="13"/>
        <v>33.874033364332476</v>
      </c>
      <c r="AL47">
        <f t="shared" si="14"/>
        <v>46.127099455617042</v>
      </c>
      <c r="AM47">
        <f t="shared" si="15"/>
        <v>-5.280099455617048</v>
      </c>
    </row>
    <row r="48" spans="1:39" ht="16.5" x14ac:dyDescent="0.25">
      <c r="A48" s="1">
        <v>45629</v>
      </c>
      <c r="B48" s="5">
        <v>19.23</v>
      </c>
      <c r="C48" s="4">
        <v>19.28</v>
      </c>
      <c r="D48" s="4">
        <v>19.510000000000002</v>
      </c>
      <c r="E48" s="4">
        <v>19.16</v>
      </c>
      <c r="F48" s="4" t="s">
        <v>1511</v>
      </c>
      <c r="G48" s="2" t="s">
        <v>544</v>
      </c>
      <c r="I48">
        <f t="shared" si="0"/>
        <v>20.657500000000002</v>
      </c>
      <c r="J48">
        <f t="shared" si="1"/>
        <v>23.257999999999999</v>
      </c>
      <c r="L48">
        <f t="shared" si="2"/>
        <v>0</v>
      </c>
      <c r="M48">
        <f t="shared" si="3"/>
        <v>1</v>
      </c>
      <c r="O48">
        <f t="shared" si="4"/>
        <v>0</v>
      </c>
      <c r="P48">
        <f t="shared" si="5"/>
        <v>5.0000000000000711E-2</v>
      </c>
      <c r="R48">
        <f t="shared" si="6"/>
        <v>0.20428571428571374</v>
      </c>
      <c r="S48">
        <f t="shared" si="7"/>
        <v>0.27714285714285786</v>
      </c>
      <c r="U48">
        <f t="shared" si="8"/>
        <v>42.433234421364851</v>
      </c>
      <c r="AH48">
        <f t="shared" si="11"/>
        <v>12.835550218795582</v>
      </c>
      <c r="AI48">
        <f t="shared" si="12"/>
        <v>7.2069666356675199</v>
      </c>
      <c r="AJ48">
        <f t="shared" si="13"/>
        <v>34.108033364332485</v>
      </c>
      <c r="AL48">
        <f t="shared" si="14"/>
        <v>46.328600437591163</v>
      </c>
      <c r="AM48">
        <f t="shared" si="15"/>
        <v>-5.0136004375911618</v>
      </c>
    </row>
    <row r="49" spans="1:39" ht="16.5" x14ac:dyDescent="0.25">
      <c r="A49" s="1">
        <v>45628</v>
      </c>
      <c r="B49" s="5">
        <v>19.29</v>
      </c>
      <c r="C49" s="4">
        <v>19.3</v>
      </c>
      <c r="D49" s="4">
        <v>19.420000000000002</v>
      </c>
      <c r="E49" s="4">
        <v>18.93</v>
      </c>
      <c r="F49" s="4" t="s">
        <v>947</v>
      </c>
      <c r="G49" s="2" t="s">
        <v>413</v>
      </c>
      <c r="I49">
        <f t="shared" si="0"/>
        <v>20.925000000000001</v>
      </c>
      <c r="J49">
        <f t="shared" si="1"/>
        <v>23.50825</v>
      </c>
      <c r="L49">
        <f t="shared" si="2"/>
        <v>0</v>
      </c>
      <c r="M49">
        <f t="shared" si="3"/>
        <v>1</v>
      </c>
      <c r="O49">
        <f t="shared" si="4"/>
        <v>0</v>
      </c>
      <c r="P49">
        <f t="shared" si="5"/>
        <v>1.0000000000001563E-2</v>
      </c>
      <c r="R49">
        <f t="shared" si="6"/>
        <v>0.20428571428571374</v>
      </c>
      <c r="S49">
        <f t="shared" si="7"/>
        <v>0.35571428571428648</v>
      </c>
      <c r="U49">
        <f t="shared" si="8"/>
        <v>36.479591836734585</v>
      </c>
      <c r="AH49">
        <f t="shared" si="11"/>
        <v>12.819812741977252</v>
      </c>
      <c r="AI49">
        <f t="shared" si="12"/>
        <v>7.4744666356675182</v>
      </c>
      <c r="AJ49">
        <f t="shared" si="13"/>
        <v>34.375533364332483</v>
      </c>
      <c r="AL49">
        <f t="shared" si="14"/>
        <v>46.564625483954501</v>
      </c>
      <c r="AM49">
        <f t="shared" si="15"/>
        <v>-4.714625483954503</v>
      </c>
    </row>
    <row r="50" spans="1:39" ht="16.5" x14ac:dyDescent="0.25">
      <c r="A50" s="1">
        <v>45625</v>
      </c>
      <c r="B50" s="5">
        <v>19.39</v>
      </c>
      <c r="C50" s="4">
        <v>19.260000000000002</v>
      </c>
      <c r="D50" s="4">
        <v>19.440000000000001</v>
      </c>
      <c r="E50" s="4">
        <v>19.16</v>
      </c>
      <c r="F50" s="4" t="s">
        <v>1631</v>
      </c>
      <c r="G50" s="2" t="s">
        <v>336</v>
      </c>
      <c r="I50">
        <f t="shared" si="0"/>
        <v>21.198</v>
      </c>
      <c r="J50">
        <f t="shared" si="1"/>
        <v>23.770249999999997</v>
      </c>
      <c r="L50">
        <f t="shared" si="2"/>
        <v>1</v>
      </c>
      <c r="M50">
        <f t="shared" si="3"/>
        <v>0</v>
      </c>
      <c r="O50">
        <f t="shared" si="4"/>
        <v>0.12999999999999901</v>
      </c>
      <c r="P50">
        <f t="shared" si="5"/>
        <v>0</v>
      </c>
      <c r="R50">
        <f t="shared" si="6"/>
        <v>0.20428571428571374</v>
      </c>
      <c r="S50">
        <f t="shared" si="7"/>
        <v>0.66285714285714348</v>
      </c>
      <c r="U50">
        <f t="shared" si="8"/>
        <v>23.558484349258592</v>
      </c>
      <c r="AH50">
        <f t="shared" si="11"/>
        <v>12.804689404011517</v>
      </c>
      <c r="AI50">
        <f t="shared" si="12"/>
        <v>7.7474666356675179</v>
      </c>
      <c r="AJ50">
        <f t="shared" si="13"/>
        <v>34.648533364332479</v>
      </c>
      <c r="AL50">
        <f t="shared" si="14"/>
        <v>46.807378808023032</v>
      </c>
      <c r="AM50">
        <f t="shared" si="15"/>
        <v>-4.4113788080230343</v>
      </c>
    </row>
    <row r="51" spans="1:39" ht="16.5" x14ac:dyDescent="0.25">
      <c r="A51" s="1">
        <v>45624</v>
      </c>
      <c r="B51" s="5">
        <v>19.37</v>
      </c>
      <c r="C51" s="4">
        <v>19.3</v>
      </c>
      <c r="D51" s="4">
        <v>19.52</v>
      </c>
      <c r="E51" s="4">
        <v>19.11</v>
      </c>
      <c r="F51" s="4" t="s">
        <v>1426</v>
      </c>
      <c r="G51" s="2" t="s">
        <v>311</v>
      </c>
      <c r="I51">
        <f t="shared" si="0"/>
        <v>21.483499999999999</v>
      </c>
      <c r="J51">
        <f t="shared" si="1"/>
        <v>24.030749999999998</v>
      </c>
      <c r="L51">
        <f t="shared" si="2"/>
        <v>1</v>
      </c>
      <c r="M51">
        <f t="shared" si="3"/>
        <v>0</v>
      </c>
      <c r="O51">
        <f t="shared" si="4"/>
        <v>7.0000000000000284E-2</v>
      </c>
      <c r="P51">
        <f t="shared" si="5"/>
        <v>0</v>
      </c>
      <c r="R51">
        <f t="shared" si="6"/>
        <v>0.20571428571428538</v>
      </c>
      <c r="S51">
        <f t="shared" si="7"/>
        <v>0.66285714285714348</v>
      </c>
      <c r="U51">
        <f t="shared" si="8"/>
        <v>23.684210526315738</v>
      </c>
      <c r="AH51">
        <f t="shared" si="11"/>
        <v>12.790195616867337</v>
      </c>
      <c r="AI51">
        <f t="shared" si="12"/>
        <v>8.0329666356675169</v>
      </c>
      <c r="AJ51">
        <f t="shared" si="13"/>
        <v>34.934033364332478</v>
      </c>
      <c r="AL51">
        <f t="shared" si="14"/>
        <v>47.063891233734672</v>
      </c>
      <c r="AM51">
        <f t="shared" si="15"/>
        <v>-4.0968912337346737</v>
      </c>
    </row>
    <row r="52" spans="1:39" ht="16.5" x14ac:dyDescent="0.25">
      <c r="A52" s="1">
        <v>45623</v>
      </c>
      <c r="B52" s="5">
        <v>19.16</v>
      </c>
      <c r="C52" s="4">
        <v>18.98</v>
      </c>
      <c r="D52" s="4">
        <v>19.190000000000001</v>
      </c>
      <c r="E52" s="4">
        <v>18.41</v>
      </c>
      <c r="F52" s="4" t="s">
        <v>1632</v>
      </c>
      <c r="G52" s="2" t="s">
        <v>1035</v>
      </c>
      <c r="I52">
        <f t="shared" si="0"/>
        <v>21.755000000000003</v>
      </c>
      <c r="J52">
        <f t="shared" si="1"/>
        <v>24.292999999999999</v>
      </c>
      <c r="L52">
        <f t="shared" si="2"/>
        <v>1</v>
      </c>
      <c r="M52">
        <f t="shared" si="3"/>
        <v>0</v>
      </c>
      <c r="O52">
        <f t="shared" si="4"/>
        <v>0.17999999999999972</v>
      </c>
      <c r="P52">
        <f t="shared" si="5"/>
        <v>0</v>
      </c>
      <c r="R52">
        <f t="shared" si="6"/>
        <v>0.22833333333333292</v>
      </c>
      <c r="S52">
        <f t="shared" si="7"/>
        <v>0.61375000000000091</v>
      </c>
      <c r="U52">
        <f t="shared" si="8"/>
        <v>27.115289460662964</v>
      </c>
      <c r="AH52">
        <f t="shared" si="11"/>
        <v>12.77636714172375</v>
      </c>
      <c r="AI52">
        <f t="shared" si="12"/>
        <v>8.3044666356675201</v>
      </c>
      <c r="AJ52">
        <f t="shared" si="13"/>
        <v>35.205533364332481</v>
      </c>
      <c r="AL52">
        <f t="shared" si="14"/>
        <v>47.307734283447502</v>
      </c>
      <c r="AM52">
        <f t="shared" si="15"/>
        <v>-3.7977342834474968</v>
      </c>
    </row>
    <row r="53" spans="1:39" ht="16.5" x14ac:dyDescent="0.25">
      <c r="A53" s="1">
        <v>45622</v>
      </c>
      <c r="B53" s="5">
        <v>18.899999999999999</v>
      </c>
      <c r="C53" s="4">
        <v>19.75</v>
      </c>
      <c r="D53" s="4">
        <v>19.77</v>
      </c>
      <c r="E53" s="4">
        <v>18.89</v>
      </c>
      <c r="F53" s="4" t="s">
        <v>817</v>
      </c>
      <c r="G53" s="2" t="s">
        <v>1633</v>
      </c>
      <c r="I53">
        <f t="shared" si="0"/>
        <v>22.047000000000001</v>
      </c>
      <c r="J53">
        <f t="shared" si="1"/>
        <v>24.573999999999998</v>
      </c>
      <c r="L53">
        <f t="shared" si="2"/>
        <v>0</v>
      </c>
      <c r="M53">
        <f t="shared" si="3"/>
        <v>1</v>
      </c>
      <c r="O53">
        <f t="shared" si="4"/>
        <v>0</v>
      </c>
      <c r="P53">
        <f t="shared" si="5"/>
        <v>0.85000000000000142</v>
      </c>
      <c r="R53">
        <f t="shared" si="6"/>
        <v>0.25833333333333286</v>
      </c>
      <c r="S53">
        <f t="shared" si="7"/>
        <v>0.61375000000000091</v>
      </c>
      <c r="U53">
        <f t="shared" si="8"/>
        <v>29.62255136168173</v>
      </c>
      <c r="AH53">
        <f t="shared" si="11"/>
        <v>12.763160323144728</v>
      </c>
      <c r="AI53">
        <f t="shared" si="12"/>
        <v>8.5964666356675181</v>
      </c>
      <c r="AJ53">
        <f t="shared" si="13"/>
        <v>35.497533364332483</v>
      </c>
      <c r="AL53">
        <f t="shared" si="14"/>
        <v>47.57332064628946</v>
      </c>
      <c r="AM53">
        <f t="shared" si="15"/>
        <v>-3.4793206462894553</v>
      </c>
    </row>
    <row r="54" spans="1:39" ht="16.5" x14ac:dyDescent="0.25">
      <c r="A54" s="1">
        <v>45621</v>
      </c>
      <c r="B54" s="5">
        <v>19.93</v>
      </c>
      <c r="C54" s="4">
        <v>19.95</v>
      </c>
      <c r="D54" s="4">
        <v>20.12</v>
      </c>
      <c r="E54" s="4">
        <v>19.670000000000002</v>
      </c>
      <c r="F54" s="4" t="s">
        <v>833</v>
      </c>
      <c r="G54" s="2" t="s">
        <v>825</v>
      </c>
      <c r="I54">
        <f t="shared" si="0"/>
        <v>22.3795</v>
      </c>
      <c r="J54">
        <f t="shared" si="1"/>
        <v>24.862500000000001</v>
      </c>
      <c r="L54">
        <f t="shared" si="2"/>
        <v>0</v>
      </c>
      <c r="M54">
        <f t="shared" si="3"/>
        <v>1</v>
      </c>
      <c r="O54">
        <f t="shared" si="4"/>
        <v>0</v>
      </c>
      <c r="P54">
        <f t="shared" si="5"/>
        <v>1.9999999999999574E-2</v>
      </c>
      <c r="R54">
        <f t="shared" si="6"/>
        <v>0.25833333333333286</v>
      </c>
      <c r="S54">
        <f t="shared" si="7"/>
        <v>0.59500000000000064</v>
      </c>
      <c r="U54">
        <f t="shared" si="8"/>
        <v>30.273437499999929</v>
      </c>
      <c r="AH54">
        <f t="shared" si="11"/>
        <v>12.750633268328381</v>
      </c>
      <c r="AI54">
        <f t="shared" si="12"/>
        <v>8.9289666356675177</v>
      </c>
      <c r="AJ54">
        <f t="shared" si="13"/>
        <v>35.830033364332479</v>
      </c>
      <c r="AL54">
        <f t="shared" si="14"/>
        <v>47.880766536656765</v>
      </c>
      <c r="AM54">
        <f t="shared" si="15"/>
        <v>-3.1217665366567608</v>
      </c>
    </row>
    <row r="55" spans="1:39" ht="16.5" x14ac:dyDescent="0.25">
      <c r="A55" s="1">
        <v>45618</v>
      </c>
      <c r="B55" s="5">
        <v>19.8</v>
      </c>
      <c r="C55" s="4">
        <v>19.55</v>
      </c>
      <c r="D55" s="4">
        <v>19.899999999999999</v>
      </c>
      <c r="E55" s="4">
        <v>19.260000000000002</v>
      </c>
      <c r="F55" s="4" t="s">
        <v>1585</v>
      </c>
      <c r="G55" s="2" t="s">
        <v>1386</v>
      </c>
      <c r="I55">
        <f t="shared" si="0"/>
        <v>22.688000000000002</v>
      </c>
      <c r="J55">
        <f t="shared" si="1"/>
        <v>25.122499999999999</v>
      </c>
      <c r="L55">
        <f t="shared" si="2"/>
        <v>1</v>
      </c>
      <c r="M55">
        <f t="shared" si="3"/>
        <v>0</v>
      </c>
      <c r="O55">
        <f t="shared" si="4"/>
        <v>0.25</v>
      </c>
      <c r="P55">
        <f t="shared" si="5"/>
        <v>0</v>
      </c>
      <c r="R55">
        <f t="shared" si="6"/>
        <v>0.25833333333333286</v>
      </c>
      <c r="S55">
        <f t="shared" si="7"/>
        <v>0.62625000000000108</v>
      </c>
      <c r="U55">
        <f t="shared" si="8"/>
        <v>29.203956665096484</v>
      </c>
      <c r="AH55">
        <f t="shared" si="11"/>
        <v>12.738899867424507</v>
      </c>
      <c r="AI55">
        <f t="shared" si="12"/>
        <v>9.2374666356675199</v>
      </c>
      <c r="AJ55">
        <f t="shared" si="13"/>
        <v>36.138533364332488</v>
      </c>
      <c r="AL55">
        <f t="shared" si="14"/>
        <v>48.165799734849017</v>
      </c>
      <c r="AM55">
        <f t="shared" si="15"/>
        <v>-2.7897997348490122</v>
      </c>
    </row>
    <row r="56" spans="1:39" ht="16.5" x14ac:dyDescent="0.25">
      <c r="A56" s="1">
        <v>45617</v>
      </c>
      <c r="B56" s="5">
        <v>19.52</v>
      </c>
      <c r="C56" s="4">
        <v>19.350000000000001</v>
      </c>
      <c r="D56" s="4">
        <v>19.57</v>
      </c>
      <c r="E56" s="4">
        <v>18.97</v>
      </c>
      <c r="F56" s="4" t="s">
        <v>1634</v>
      </c>
      <c r="G56" s="2" t="s">
        <v>530</v>
      </c>
      <c r="I56">
        <f t="shared" si="0"/>
        <v>22.985500000000002</v>
      </c>
      <c r="J56">
        <f t="shared" si="1"/>
        <v>25.387250000000002</v>
      </c>
      <c r="L56">
        <f t="shared" si="2"/>
        <v>1</v>
      </c>
      <c r="M56">
        <f t="shared" si="3"/>
        <v>0</v>
      </c>
      <c r="O56">
        <f t="shared" si="4"/>
        <v>0.16999999999999815</v>
      </c>
      <c r="P56">
        <f t="shared" si="5"/>
        <v>0</v>
      </c>
      <c r="R56">
        <f t="shared" si="6"/>
        <v>0.25999999999999945</v>
      </c>
      <c r="S56">
        <f t="shared" si="7"/>
        <v>0.59000000000000108</v>
      </c>
      <c r="U56">
        <f t="shared" si="8"/>
        <v>30.588235294117567</v>
      </c>
      <c r="AH56">
        <f t="shared" si="11"/>
        <v>12.72788622866274</v>
      </c>
      <c r="AI56">
        <f t="shared" si="12"/>
        <v>9.5349666356675193</v>
      </c>
      <c r="AJ56">
        <f t="shared" si="13"/>
        <v>36.436033364332488</v>
      </c>
      <c r="AL56">
        <f t="shared" si="14"/>
        <v>48.441272457325482</v>
      </c>
      <c r="AM56">
        <f t="shared" si="15"/>
        <v>-2.4702724573254784</v>
      </c>
    </row>
    <row r="57" spans="1:39" ht="16.5" x14ac:dyDescent="0.25">
      <c r="A57" s="1">
        <v>45616</v>
      </c>
      <c r="B57" s="5">
        <v>19.54</v>
      </c>
      <c r="C57" s="4">
        <v>20.3</v>
      </c>
      <c r="D57" s="4">
        <v>20.420000000000002</v>
      </c>
      <c r="E57" s="4">
        <v>19.53</v>
      </c>
      <c r="F57" s="4" t="s">
        <v>1635</v>
      </c>
      <c r="G57" s="2" t="s">
        <v>1636</v>
      </c>
      <c r="I57">
        <f t="shared" si="0"/>
        <v>23.296000000000003</v>
      </c>
      <c r="J57">
        <f t="shared" si="1"/>
        <v>25.626999999999999</v>
      </c>
      <c r="L57">
        <f t="shared" si="2"/>
        <v>0</v>
      </c>
      <c r="M57">
        <f t="shared" si="3"/>
        <v>1</v>
      </c>
      <c r="O57">
        <f t="shared" si="4"/>
        <v>0</v>
      </c>
      <c r="P57">
        <f t="shared" si="5"/>
        <v>0.76000000000000156</v>
      </c>
      <c r="R57">
        <f t="shared" si="6"/>
        <v>0.2960000000000001</v>
      </c>
      <c r="S57">
        <f t="shared" si="7"/>
        <v>0.59000000000000108</v>
      </c>
      <c r="U57">
        <f t="shared" si="8"/>
        <v>33.408577878103799</v>
      </c>
      <c r="AH57">
        <f t="shared" si="11"/>
        <v>12.71755703900501</v>
      </c>
      <c r="AI57">
        <f t="shared" si="12"/>
        <v>9.8454666356675204</v>
      </c>
      <c r="AJ57">
        <f t="shared" si="13"/>
        <v>36.746533364332485</v>
      </c>
      <c r="AL57">
        <f t="shared" si="14"/>
        <v>48.731114078010023</v>
      </c>
      <c r="AM57">
        <f t="shared" si="15"/>
        <v>-2.1391140780100173</v>
      </c>
    </row>
    <row r="58" spans="1:39" ht="16.5" x14ac:dyDescent="0.25">
      <c r="A58" s="1">
        <v>45615</v>
      </c>
      <c r="B58" s="5">
        <v>20.16</v>
      </c>
      <c r="C58" s="4">
        <v>20.18</v>
      </c>
      <c r="D58" s="4">
        <v>20.55</v>
      </c>
      <c r="E58" s="4">
        <v>19.93</v>
      </c>
      <c r="F58" s="4" t="s">
        <v>1637</v>
      </c>
      <c r="G58" s="2" t="s">
        <v>219</v>
      </c>
      <c r="I58">
        <f t="shared" si="0"/>
        <v>23.6</v>
      </c>
      <c r="J58">
        <f t="shared" si="1"/>
        <v>25.856249999999999</v>
      </c>
      <c r="L58">
        <f t="shared" si="2"/>
        <v>0</v>
      </c>
      <c r="M58">
        <f t="shared" si="3"/>
        <v>1</v>
      </c>
      <c r="O58">
        <f t="shared" si="4"/>
        <v>0</v>
      </c>
      <c r="P58">
        <f t="shared" si="5"/>
        <v>1.9999999999999574E-2</v>
      </c>
      <c r="R58">
        <f t="shared" si="6"/>
        <v>0.2960000000000001</v>
      </c>
      <c r="S58">
        <f t="shared" si="7"/>
        <v>0.51444444444444515</v>
      </c>
      <c r="U58">
        <f t="shared" si="8"/>
        <v>36.523169728543984</v>
      </c>
      <c r="AH58">
        <f t="shared" si="11"/>
        <v>12.707944371039282</v>
      </c>
      <c r="AI58">
        <f t="shared" si="12"/>
        <v>10.149466635667519</v>
      </c>
      <c r="AJ58">
        <f t="shared" si="13"/>
        <v>37.05053336433248</v>
      </c>
      <c r="AL58">
        <f t="shared" si="14"/>
        <v>49.015888742078566</v>
      </c>
      <c r="AM58">
        <f t="shared" si="15"/>
        <v>-1.8158887420785632</v>
      </c>
    </row>
    <row r="59" spans="1:39" ht="16.5" x14ac:dyDescent="0.25">
      <c r="A59" s="1">
        <v>45614</v>
      </c>
      <c r="B59" s="5">
        <v>20.22</v>
      </c>
      <c r="C59" s="4">
        <v>20.45</v>
      </c>
      <c r="D59" s="4">
        <v>20.63</v>
      </c>
      <c r="E59" s="4">
        <v>19.760000000000002</v>
      </c>
      <c r="F59" s="4" t="s">
        <v>1275</v>
      </c>
      <c r="G59" s="2" t="s">
        <v>647</v>
      </c>
      <c r="I59">
        <f t="shared" si="0"/>
        <v>23.886000000000003</v>
      </c>
      <c r="J59">
        <f t="shared" si="1"/>
        <v>26.077250000000003</v>
      </c>
      <c r="L59">
        <f t="shared" si="2"/>
        <v>0</v>
      </c>
      <c r="M59">
        <f t="shared" si="3"/>
        <v>1</v>
      </c>
      <c r="O59">
        <f t="shared" si="4"/>
        <v>0</v>
      </c>
      <c r="P59">
        <f t="shared" si="5"/>
        <v>0.23000000000000043</v>
      </c>
      <c r="R59">
        <f t="shared" si="6"/>
        <v>0.2960000000000001</v>
      </c>
      <c r="S59">
        <f t="shared" si="7"/>
        <v>0.55777777777777848</v>
      </c>
      <c r="U59">
        <f t="shared" si="8"/>
        <v>34.669442998438285</v>
      </c>
      <c r="AH59">
        <f t="shared" si="11"/>
        <v>12.699025432723683</v>
      </c>
      <c r="AI59">
        <f t="shared" si="12"/>
        <v>10.43546663566752</v>
      </c>
      <c r="AJ59">
        <f t="shared" si="13"/>
        <v>37.336533364332482</v>
      </c>
      <c r="AL59">
        <f t="shared" si="14"/>
        <v>49.284050865447369</v>
      </c>
      <c r="AM59">
        <f t="shared" si="15"/>
        <v>-1.5120508654473639</v>
      </c>
    </row>
    <row r="60" spans="1:39" ht="16.5" x14ac:dyDescent="0.25">
      <c r="A60" s="1">
        <v>45611</v>
      </c>
      <c r="B60" s="5">
        <v>20.309999999999999</v>
      </c>
      <c r="C60" s="4">
        <v>20.18</v>
      </c>
      <c r="D60" s="4">
        <v>20.55</v>
      </c>
      <c r="E60" s="4">
        <v>20.100000000000001</v>
      </c>
      <c r="F60" s="4" t="s">
        <v>1638</v>
      </c>
      <c r="G60" s="2" t="s">
        <v>721</v>
      </c>
      <c r="I60">
        <f t="shared" si="0"/>
        <v>24.18</v>
      </c>
      <c r="J60">
        <f t="shared" si="1"/>
        <v>26.286250000000003</v>
      </c>
      <c r="L60">
        <f t="shared" si="2"/>
        <v>1</v>
      </c>
      <c r="M60">
        <f t="shared" si="3"/>
        <v>0</v>
      </c>
      <c r="O60">
        <f t="shared" si="4"/>
        <v>0.12999999999999901</v>
      </c>
      <c r="P60">
        <f t="shared" si="5"/>
        <v>0</v>
      </c>
      <c r="R60">
        <f t="shared" si="6"/>
        <v>0.2960000000000001</v>
      </c>
      <c r="S60">
        <f t="shared" si="7"/>
        <v>0.60222222222222277</v>
      </c>
      <c r="U60">
        <f t="shared" si="8"/>
        <v>32.95398317664521</v>
      </c>
      <c r="AH60">
        <f t="shared" si="11"/>
        <v>12.690746766048093</v>
      </c>
      <c r="AI60">
        <f t="shared" si="12"/>
        <v>10.729466635667517</v>
      </c>
      <c r="AJ60">
        <f t="shared" si="13"/>
        <v>37.630533364332479</v>
      </c>
      <c r="AL60">
        <f t="shared" si="14"/>
        <v>49.561493532096186</v>
      </c>
      <c r="AM60">
        <f t="shared" si="15"/>
        <v>-1.2014935320961868</v>
      </c>
    </row>
    <row r="61" spans="1:39" ht="16.5" x14ac:dyDescent="0.25">
      <c r="A61" s="1">
        <v>45610</v>
      </c>
      <c r="B61" s="5">
        <v>20.5</v>
      </c>
      <c r="C61" s="4">
        <v>20</v>
      </c>
      <c r="D61" s="4">
        <v>20.77</v>
      </c>
      <c r="E61" s="4">
        <v>19.399999999999999</v>
      </c>
      <c r="F61" s="4" t="s">
        <v>1639</v>
      </c>
      <c r="G61" s="2" t="s">
        <v>1640</v>
      </c>
      <c r="I61">
        <f t="shared" si="0"/>
        <v>24.483499999999999</v>
      </c>
      <c r="J61">
        <f t="shared" si="1"/>
        <v>26.495000000000005</v>
      </c>
      <c r="L61">
        <f t="shared" si="2"/>
        <v>1</v>
      </c>
      <c r="M61">
        <f t="shared" si="3"/>
        <v>0</v>
      </c>
      <c r="O61">
        <f t="shared" si="4"/>
        <v>0.5</v>
      </c>
      <c r="P61">
        <f t="shared" si="5"/>
        <v>0</v>
      </c>
      <c r="R61">
        <f t="shared" si="6"/>
        <v>0.31200000000000044</v>
      </c>
      <c r="S61">
        <f t="shared" si="7"/>
        <v>0.60222222222222277</v>
      </c>
      <c r="U61">
        <f t="shared" si="8"/>
        <v>34.12736995624698</v>
      </c>
      <c r="AH61">
        <f t="shared" si="11"/>
        <v>12.683125689745708</v>
      </c>
      <c r="AI61">
        <f t="shared" si="12"/>
        <v>11.032966635667517</v>
      </c>
      <c r="AJ61">
        <f t="shared" si="13"/>
        <v>37.934033364332478</v>
      </c>
      <c r="AL61">
        <f t="shared" si="14"/>
        <v>49.849751379491416</v>
      </c>
      <c r="AM61">
        <f t="shared" si="15"/>
        <v>-0.8827513794914168</v>
      </c>
    </row>
    <row r="62" spans="1:39" ht="16.5" x14ac:dyDescent="0.25">
      <c r="A62" s="1">
        <v>45609</v>
      </c>
      <c r="B62" s="5">
        <v>20.149999999999999</v>
      </c>
      <c r="C62" s="4">
        <v>20.75</v>
      </c>
      <c r="D62" s="4">
        <v>20.84</v>
      </c>
      <c r="E62" s="4">
        <v>20.05</v>
      </c>
      <c r="F62" s="4" t="s">
        <v>1054</v>
      </c>
      <c r="G62" s="2" t="s">
        <v>1641</v>
      </c>
      <c r="I62">
        <f t="shared" si="0"/>
        <v>24.783500000000007</v>
      </c>
      <c r="J62">
        <f t="shared" si="1"/>
        <v>26.706750000000007</v>
      </c>
      <c r="L62">
        <f t="shared" si="2"/>
        <v>0</v>
      </c>
      <c r="M62">
        <f t="shared" si="3"/>
        <v>1</v>
      </c>
      <c r="O62">
        <f t="shared" si="4"/>
        <v>0</v>
      </c>
      <c r="P62">
        <f t="shared" si="5"/>
        <v>0.60000000000000142</v>
      </c>
      <c r="R62">
        <f t="shared" si="6"/>
        <v>0.26500000000000057</v>
      </c>
      <c r="S62">
        <f t="shared" si="7"/>
        <v>0.55000000000000038</v>
      </c>
      <c r="U62">
        <f t="shared" si="8"/>
        <v>32.515337423312914</v>
      </c>
      <c r="AH62">
        <f t="shared" si="11"/>
        <v>12.676182482651365</v>
      </c>
      <c r="AI62">
        <f t="shared" si="12"/>
        <v>11.332966635667525</v>
      </c>
      <c r="AJ62">
        <f t="shared" si="13"/>
        <v>38.23403336433249</v>
      </c>
      <c r="AL62">
        <f t="shared" si="14"/>
        <v>50.135864965302737</v>
      </c>
      <c r="AM62">
        <f t="shared" si="15"/>
        <v>-0.56886496530272268</v>
      </c>
    </row>
    <row r="63" spans="1:39" ht="16.5" x14ac:dyDescent="0.25">
      <c r="A63" s="1">
        <v>45608</v>
      </c>
      <c r="B63" s="5">
        <v>20.88</v>
      </c>
      <c r="C63" s="4">
        <v>23.04</v>
      </c>
      <c r="D63" s="4">
        <v>23.04</v>
      </c>
      <c r="E63" s="4">
        <v>20.57</v>
      </c>
      <c r="F63" s="4" t="s">
        <v>1642</v>
      </c>
      <c r="G63" s="2" t="s">
        <v>1643</v>
      </c>
      <c r="I63">
        <f t="shared" si="0"/>
        <v>25.097000000000001</v>
      </c>
      <c r="J63">
        <f t="shared" si="1"/>
        <v>26.901000000000003</v>
      </c>
      <c r="L63">
        <f t="shared" si="2"/>
        <v>0</v>
      </c>
      <c r="M63">
        <f t="shared" si="3"/>
        <v>1</v>
      </c>
      <c r="O63">
        <f t="shared" si="4"/>
        <v>0</v>
      </c>
      <c r="P63">
        <f t="shared" si="5"/>
        <v>2.16</v>
      </c>
      <c r="R63">
        <f t="shared" si="6"/>
        <v>0.26500000000000057</v>
      </c>
      <c r="S63">
        <f t="shared" si="7"/>
        <v>0.49600000000000011</v>
      </c>
      <c r="U63">
        <f t="shared" si="8"/>
        <v>34.822601839684665</v>
      </c>
      <c r="AH63">
        <f t="shared" si="11"/>
        <v>12.669902576413307</v>
      </c>
      <c r="AI63">
        <f t="shared" si="12"/>
        <v>11.646466635667519</v>
      </c>
      <c r="AJ63">
        <f t="shared" si="13"/>
        <v>38.54753336433248</v>
      </c>
      <c r="AL63">
        <f t="shared" si="14"/>
        <v>50.436805152826615</v>
      </c>
      <c r="AM63">
        <f t="shared" si="15"/>
        <v>-0.24280515282661241</v>
      </c>
    </row>
    <row r="64" spans="1:39" ht="16.5" x14ac:dyDescent="0.25">
      <c r="A64" s="1">
        <v>45607</v>
      </c>
      <c r="B64" s="5">
        <v>24.42</v>
      </c>
      <c r="C64" s="4">
        <v>24.28</v>
      </c>
      <c r="D64" s="4">
        <v>24.6</v>
      </c>
      <c r="E64" s="4">
        <v>24.11</v>
      </c>
      <c r="F64" s="4" t="s">
        <v>1555</v>
      </c>
      <c r="G64" s="2" t="s">
        <v>1644</v>
      </c>
      <c r="I64">
        <f t="shared" si="0"/>
        <v>25.3795</v>
      </c>
      <c r="J64">
        <f t="shared" si="1"/>
        <v>27.065750000000001</v>
      </c>
      <c r="L64">
        <f t="shared" si="2"/>
        <v>1</v>
      </c>
      <c r="M64">
        <f t="shared" si="3"/>
        <v>0</v>
      </c>
      <c r="O64">
        <f t="shared" si="4"/>
        <v>0.14000000000000057</v>
      </c>
      <c r="P64">
        <f t="shared" si="5"/>
        <v>0</v>
      </c>
      <c r="R64">
        <f t="shared" si="6"/>
        <v>0.26500000000000057</v>
      </c>
      <c r="S64">
        <f t="shared" si="7"/>
        <v>0.29800000000000004</v>
      </c>
      <c r="U64">
        <f t="shared" si="8"/>
        <v>47.069271758436997</v>
      </c>
      <c r="AH64">
        <f t="shared" si="11"/>
        <v>12.664314872598974</v>
      </c>
      <c r="AI64">
        <f t="shared" si="12"/>
        <v>11.928966635667518</v>
      </c>
      <c r="AJ64">
        <f t="shared" si="13"/>
        <v>38.830033364332479</v>
      </c>
      <c r="AL64">
        <f t="shared" si="14"/>
        <v>50.708129745197951</v>
      </c>
      <c r="AM64">
        <f t="shared" si="15"/>
        <v>5.0870254802052983E-2</v>
      </c>
    </row>
    <row r="65" spans="1:39" ht="16.5" x14ac:dyDescent="0.25">
      <c r="A65" s="1">
        <v>45604</v>
      </c>
      <c r="B65" s="5">
        <v>24.08</v>
      </c>
      <c r="C65" s="4">
        <v>24.35</v>
      </c>
      <c r="D65" s="4">
        <v>24.35</v>
      </c>
      <c r="E65" s="4">
        <v>23.94</v>
      </c>
      <c r="F65" s="4" t="s">
        <v>1544</v>
      </c>
      <c r="G65" s="2" t="s">
        <v>404</v>
      </c>
      <c r="I65">
        <f t="shared" si="0"/>
        <v>25.463500000000003</v>
      </c>
      <c r="J65">
        <f t="shared" si="1"/>
        <v>27.123000000000008</v>
      </c>
      <c r="L65">
        <f t="shared" si="2"/>
        <v>0</v>
      </c>
      <c r="M65">
        <f t="shared" si="3"/>
        <v>1</v>
      </c>
      <c r="O65">
        <f t="shared" si="4"/>
        <v>0</v>
      </c>
      <c r="P65">
        <f t="shared" si="5"/>
        <v>0.27000000000000313</v>
      </c>
      <c r="R65">
        <f t="shared" si="6"/>
        <v>0.30666666666666725</v>
      </c>
      <c r="S65">
        <f t="shared" si="7"/>
        <v>0.28454545454545477</v>
      </c>
      <c r="U65">
        <f t="shared" si="8"/>
        <v>51.870835468990293</v>
      </c>
      <c r="AH65">
        <f t="shared" si="11"/>
        <v>12.659334909434488</v>
      </c>
      <c r="AI65">
        <f t="shared" si="12"/>
        <v>12.012966635667521</v>
      </c>
      <c r="AJ65">
        <f t="shared" si="13"/>
        <v>38.914033364332482</v>
      </c>
      <c r="AL65">
        <f t="shared" si="14"/>
        <v>50.782169818868979</v>
      </c>
      <c r="AM65">
        <f t="shared" si="15"/>
        <v>0.1448301811310273</v>
      </c>
    </row>
    <row r="66" spans="1:39" ht="16.5" x14ac:dyDescent="0.25">
      <c r="A66" s="1">
        <v>45603</v>
      </c>
      <c r="B66" s="5">
        <v>24.36</v>
      </c>
      <c r="C66" s="4">
        <v>24</v>
      </c>
      <c r="D66" s="4">
        <v>24.76</v>
      </c>
      <c r="E66" s="4">
        <v>23.99</v>
      </c>
      <c r="F66" s="4" t="s">
        <v>1496</v>
      </c>
      <c r="G66" s="2" t="s">
        <v>182</v>
      </c>
      <c r="I66">
        <f t="shared" ref="I66:I129" si="16">AVERAGE(B66:B85)</f>
        <v>25.572500000000002</v>
      </c>
      <c r="J66">
        <f t="shared" ref="J66:J129" si="17">AVERAGE(B66:B105)</f>
        <v>27.195500000000003</v>
      </c>
      <c r="L66">
        <f t="shared" ref="L66:L129" si="18">IF($C66&lt;$B66,1,0)</f>
        <v>1</v>
      </c>
      <c r="M66">
        <f t="shared" ref="M66:M129" si="19">IF($C66&lt;$B66,0,1)</f>
        <v>0</v>
      </c>
      <c r="O66">
        <f t="shared" ref="O66:O129" si="20">IF($C66&lt;$B66,B66-C66,0)</f>
        <v>0.35999999999999943</v>
      </c>
      <c r="P66">
        <f t="shared" ref="P66:P129" si="21">IF($B66&lt;$C66,C66-B66,0)</f>
        <v>0</v>
      </c>
      <c r="R66">
        <f t="shared" ref="R66:R129" si="22">SUM(O66:O79)/SUM(L66:L79)</f>
        <v>0.30666666666666725</v>
      </c>
      <c r="S66">
        <f t="shared" ref="S66:S129" si="23">SUM(P66:P79)/SUM(M66:M79)</f>
        <v>0.27818181818181809</v>
      </c>
      <c r="U66">
        <f t="shared" ref="U66:U129" si="24">100-(100/(1+(R66/S66)))</f>
        <v>52.43523316062182</v>
      </c>
      <c r="AH66">
        <f t="shared" si="11"/>
        <v>12.654463040432328</v>
      </c>
      <c r="AI66">
        <f t="shared" si="12"/>
        <v>12.121966635667519</v>
      </c>
      <c r="AJ66">
        <f t="shared" si="13"/>
        <v>39.023033364332484</v>
      </c>
      <c r="AL66">
        <f t="shared" si="14"/>
        <v>50.881426080864657</v>
      </c>
      <c r="AM66">
        <f t="shared" si="15"/>
        <v>0.26357391913534656</v>
      </c>
    </row>
    <row r="67" spans="1:39" ht="16.5" x14ac:dyDescent="0.25">
      <c r="A67" s="1">
        <v>45602</v>
      </c>
      <c r="B67" s="5">
        <v>23.94</v>
      </c>
      <c r="C67" s="4">
        <v>24.64</v>
      </c>
      <c r="D67" s="4">
        <v>25.24</v>
      </c>
      <c r="E67" s="4">
        <v>23.62</v>
      </c>
      <c r="F67" s="4" t="s">
        <v>1475</v>
      </c>
      <c r="G67" s="2" t="s">
        <v>1645</v>
      </c>
      <c r="I67">
        <f t="shared" si="16"/>
        <v>25.693000000000001</v>
      </c>
      <c r="J67">
        <f t="shared" si="17"/>
        <v>27.256250000000001</v>
      </c>
      <c r="L67">
        <f t="shared" si="18"/>
        <v>0</v>
      </c>
      <c r="M67">
        <f t="shared" si="19"/>
        <v>1</v>
      </c>
      <c r="O67">
        <f t="shared" si="20"/>
        <v>0</v>
      </c>
      <c r="P67">
        <f t="shared" si="21"/>
        <v>0.69999999999999929</v>
      </c>
      <c r="R67">
        <f t="shared" si="22"/>
        <v>0.28000000000000114</v>
      </c>
      <c r="S67">
        <f t="shared" si="23"/>
        <v>0.26583333333333342</v>
      </c>
      <c r="U67">
        <f t="shared" si="24"/>
        <v>51.297709923664208</v>
      </c>
      <c r="AH67">
        <f t="shared" ref="AH67:AH130" si="25">_xlfn.STDEV.S(I67:I597)</f>
        <v>12.649762368640685</v>
      </c>
      <c r="AI67">
        <f t="shared" ref="AI67:AI130" si="26">I67-$AH$2</f>
        <v>12.242466635667519</v>
      </c>
      <c r="AJ67">
        <f t="shared" ref="AJ67:AJ130" si="27">I67+$AH$2</f>
        <v>39.143533364332484</v>
      </c>
      <c r="AL67">
        <f t="shared" ref="AL67:AL130" si="28">I67+(AH67*2)</f>
        <v>50.992524737281371</v>
      </c>
      <c r="AM67">
        <f t="shared" ref="AM67:AM130" si="29">I67-(AH67*2)</f>
        <v>0.39347526271863131</v>
      </c>
    </row>
    <row r="68" spans="1:39" ht="16.5" x14ac:dyDescent="0.25">
      <c r="A68" s="1">
        <v>45601</v>
      </c>
      <c r="B68" s="5">
        <v>24.58</v>
      </c>
      <c r="C68" s="4">
        <v>24.85</v>
      </c>
      <c r="D68" s="4">
        <v>25.06</v>
      </c>
      <c r="E68" s="4">
        <v>24.43</v>
      </c>
      <c r="F68" s="4" t="s">
        <v>1408</v>
      </c>
      <c r="G68" s="2" t="s">
        <v>327</v>
      </c>
      <c r="I68">
        <f t="shared" si="16"/>
        <v>25.858500000000003</v>
      </c>
      <c r="J68">
        <f t="shared" si="17"/>
        <v>27.333000000000006</v>
      </c>
      <c r="L68">
        <f t="shared" si="18"/>
        <v>0</v>
      </c>
      <c r="M68">
        <f t="shared" si="19"/>
        <v>1</v>
      </c>
      <c r="O68">
        <f t="shared" si="20"/>
        <v>0</v>
      </c>
      <c r="P68">
        <f t="shared" si="21"/>
        <v>0.27000000000000313</v>
      </c>
      <c r="R68">
        <f t="shared" si="22"/>
        <v>0.19000000000000128</v>
      </c>
      <c r="S68">
        <f t="shared" si="23"/>
        <v>0.22636363636363654</v>
      </c>
      <c r="U68">
        <f t="shared" si="24"/>
        <v>45.633187772925915</v>
      </c>
      <c r="AH68">
        <f t="shared" si="25"/>
        <v>12.645262119194946</v>
      </c>
      <c r="AI68">
        <f t="shared" si="26"/>
        <v>12.40796663566752</v>
      </c>
      <c r="AJ68">
        <f t="shared" si="27"/>
        <v>39.309033364332485</v>
      </c>
      <c r="AL68">
        <f t="shared" si="28"/>
        <v>51.149024238389899</v>
      </c>
      <c r="AM68">
        <f t="shared" si="29"/>
        <v>0.56797576161011065</v>
      </c>
    </row>
    <row r="69" spans="1:39" ht="16.5" x14ac:dyDescent="0.25">
      <c r="A69" s="1">
        <v>45600</v>
      </c>
      <c r="B69" s="5">
        <v>24.75</v>
      </c>
      <c r="C69" s="4">
        <v>25.05</v>
      </c>
      <c r="D69" s="4">
        <v>25.39</v>
      </c>
      <c r="E69" s="4">
        <v>24.75</v>
      </c>
      <c r="F69" s="4" t="s">
        <v>1381</v>
      </c>
      <c r="G69" s="2" t="s">
        <v>361</v>
      </c>
      <c r="I69">
        <f t="shared" si="16"/>
        <v>26.091500000000003</v>
      </c>
      <c r="J69">
        <f t="shared" si="17"/>
        <v>27.408750000000005</v>
      </c>
      <c r="L69">
        <f t="shared" si="18"/>
        <v>0</v>
      </c>
      <c r="M69">
        <f t="shared" si="19"/>
        <v>1</v>
      </c>
      <c r="O69">
        <f t="shared" si="20"/>
        <v>0</v>
      </c>
      <c r="P69">
        <f t="shared" si="21"/>
        <v>0.30000000000000071</v>
      </c>
      <c r="R69">
        <f t="shared" si="22"/>
        <v>0.19000000000000128</v>
      </c>
      <c r="S69">
        <f t="shared" si="23"/>
        <v>0.21181818181818166</v>
      </c>
      <c r="U69">
        <f t="shared" si="24"/>
        <v>47.285067873303355</v>
      </c>
      <c r="AH69">
        <f t="shared" si="25"/>
        <v>12.641074411364713</v>
      </c>
      <c r="AI69">
        <f t="shared" si="26"/>
        <v>12.640966635667521</v>
      </c>
      <c r="AJ69">
        <f t="shared" si="27"/>
        <v>39.542033364332482</v>
      </c>
      <c r="AL69">
        <f t="shared" si="28"/>
        <v>51.373648822729429</v>
      </c>
      <c r="AM69">
        <f t="shared" si="29"/>
        <v>0.80935117727057815</v>
      </c>
    </row>
    <row r="70" spans="1:39" ht="16.5" x14ac:dyDescent="0.25">
      <c r="A70" s="1">
        <v>45597</v>
      </c>
      <c r="B70" s="5">
        <v>25.1</v>
      </c>
      <c r="C70" s="4">
        <v>24.75</v>
      </c>
      <c r="D70" s="4">
        <v>25.17</v>
      </c>
      <c r="E70" s="4">
        <v>24.72</v>
      </c>
      <c r="F70" s="4" t="s">
        <v>720</v>
      </c>
      <c r="G70" s="2" t="s">
        <v>176</v>
      </c>
      <c r="I70">
        <f t="shared" si="16"/>
        <v>26.342500000000001</v>
      </c>
      <c r="J70">
        <f t="shared" si="17"/>
        <v>27.507000000000005</v>
      </c>
      <c r="L70">
        <f t="shared" si="18"/>
        <v>1</v>
      </c>
      <c r="M70">
        <f t="shared" si="19"/>
        <v>0</v>
      </c>
      <c r="O70">
        <f t="shared" si="20"/>
        <v>0.35000000000000142</v>
      </c>
      <c r="P70">
        <f t="shared" si="21"/>
        <v>0</v>
      </c>
      <c r="R70">
        <f t="shared" si="22"/>
        <v>0.22500000000000142</v>
      </c>
      <c r="S70">
        <f t="shared" si="23"/>
        <v>0.20299999999999976</v>
      </c>
      <c r="U70">
        <f t="shared" si="24"/>
        <v>52.570093457944118</v>
      </c>
      <c r="AH70">
        <f t="shared" si="25"/>
        <v>12.637364718275487</v>
      </c>
      <c r="AI70">
        <f t="shared" si="26"/>
        <v>12.891966635667519</v>
      </c>
      <c r="AJ70">
        <f t="shared" si="27"/>
        <v>39.793033364332487</v>
      </c>
      <c r="AL70">
        <f t="shared" si="28"/>
        <v>51.617229436550971</v>
      </c>
      <c r="AM70">
        <f t="shared" si="29"/>
        <v>1.0677705634490273</v>
      </c>
    </row>
    <row r="71" spans="1:39" ht="16.5" x14ac:dyDescent="0.25">
      <c r="A71" s="1">
        <v>45596</v>
      </c>
      <c r="B71" s="5">
        <v>24.8</v>
      </c>
      <c r="C71" s="4">
        <v>24.88</v>
      </c>
      <c r="D71" s="4">
        <v>25.11</v>
      </c>
      <c r="E71" s="4">
        <v>24.79</v>
      </c>
      <c r="F71" s="4" t="s">
        <v>930</v>
      </c>
      <c r="G71" s="2" t="s">
        <v>792</v>
      </c>
      <c r="I71">
        <f t="shared" si="16"/>
        <v>26.577999999999996</v>
      </c>
      <c r="J71">
        <f t="shared" si="17"/>
        <v>27.602250000000005</v>
      </c>
      <c r="L71">
        <f t="shared" si="18"/>
        <v>0</v>
      </c>
      <c r="M71">
        <f t="shared" si="19"/>
        <v>1</v>
      </c>
      <c r="O71">
        <f t="shared" si="20"/>
        <v>0</v>
      </c>
      <c r="P71">
        <f t="shared" si="21"/>
        <v>7.9999999999998295E-2</v>
      </c>
      <c r="R71">
        <f t="shared" si="22"/>
        <v>0.18333333333333476</v>
      </c>
      <c r="S71">
        <f t="shared" si="23"/>
        <v>0.2127272727272724</v>
      </c>
      <c r="U71">
        <f t="shared" si="24"/>
        <v>46.289211935730911</v>
      </c>
      <c r="AH71">
        <f t="shared" si="25"/>
        <v>12.634173986014439</v>
      </c>
      <c r="AI71">
        <f t="shared" si="26"/>
        <v>13.127466635667513</v>
      </c>
      <c r="AJ71">
        <f t="shared" si="27"/>
        <v>40.028533364332475</v>
      </c>
      <c r="AL71">
        <f t="shared" si="28"/>
        <v>51.846347972028873</v>
      </c>
      <c r="AM71">
        <f t="shared" si="29"/>
        <v>1.3096520279711186</v>
      </c>
    </row>
    <row r="72" spans="1:39" ht="16.5" x14ac:dyDescent="0.25">
      <c r="A72" s="1">
        <v>45595</v>
      </c>
      <c r="B72" s="5">
        <v>25</v>
      </c>
      <c r="C72" s="4">
        <v>25.41</v>
      </c>
      <c r="D72" s="4">
        <v>25.5</v>
      </c>
      <c r="E72" s="4">
        <v>24.7</v>
      </c>
      <c r="F72" s="4" t="s">
        <v>1628</v>
      </c>
      <c r="G72" s="2" t="s">
        <v>615</v>
      </c>
      <c r="I72">
        <f t="shared" si="16"/>
        <v>26.831</v>
      </c>
      <c r="J72">
        <f t="shared" si="17"/>
        <v>27.706750000000007</v>
      </c>
      <c r="L72">
        <f t="shared" si="18"/>
        <v>0</v>
      </c>
      <c r="M72">
        <f t="shared" si="19"/>
        <v>1</v>
      </c>
      <c r="O72">
        <f t="shared" si="20"/>
        <v>0</v>
      </c>
      <c r="P72">
        <f t="shared" si="21"/>
        <v>0.41000000000000014</v>
      </c>
      <c r="R72">
        <f t="shared" si="22"/>
        <v>0.18333333333333476</v>
      </c>
      <c r="S72">
        <f t="shared" si="23"/>
        <v>0.23818181818181794</v>
      </c>
      <c r="U72">
        <f t="shared" si="24"/>
        <v>43.493889288282027</v>
      </c>
      <c r="AH72">
        <f t="shared" si="25"/>
        <v>12.631461636940417</v>
      </c>
      <c r="AI72">
        <f t="shared" si="26"/>
        <v>13.380466635667517</v>
      </c>
      <c r="AJ72">
        <f t="shared" si="27"/>
        <v>40.281533364332482</v>
      </c>
      <c r="AL72">
        <f t="shared" si="28"/>
        <v>52.093923273880833</v>
      </c>
      <c r="AM72">
        <f t="shared" si="29"/>
        <v>1.5680767261191662</v>
      </c>
    </row>
    <row r="73" spans="1:39" ht="16.5" x14ac:dyDescent="0.25">
      <c r="A73" s="1">
        <v>45594</v>
      </c>
      <c r="B73" s="5">
        <v>25.55</v>
      </c>
      <c r="C73" s="4">
        <v>26.18</v>
      </c>
      <c r="D73" s="4">
        <v>26.25</v>
      </c>
      <c r="E73" s="4">
        <v>25.47</v>
      </c>
      <c r="F73" s="4" t="s">
        <v>1399</v>
      </c>
      <c r="G73" s="2" t="s">
        <v>1441</v>
      </c>
      <c r="I73">
        <f t="shared" si="16"/>
        <v>27.100999999999999</v>
      </c>
      <c r="J73">
        <f t="shared" si="17"/>
        <v>27.779000000000007</v>
      </c>
      <c r="L73">
        <f t="shared" si="18"/>
        <v>0</v>
      </c>
      <c r="M73">
        <f t="shared" si="19"/>
        <v>1</v>
      </c>
      <c r="O73">
        <f t="shared" si="20"/>
        <v>0</v>
      </c>
      <c r="P73">
        <f t="shared" si="21"/>
        <v>0.62999999999999901</v>
      </c>
      <c r="R73">
        <f t="shared" si="22"/>
        <v>0.18333333333333476</v>
      </c>
      <c r="S73">
        <f t="shared" si="23"/>
        <v>0.22818181818181801</v>
      </c>
      <c r="U73">
        <f t="shared" si="24"/>
        <v>44.550810014727752</v>
      </c>
      <c r="AH73">
        <f t="shared" si="25"/>
        <v>12.62926594695095</v>
      </c>
      <c r="AI73">
        <f t="shared" si="26"/>
        <v>13.650466635667517</v>
      </c>
      <c r="AJ73">
        <f t="shared" si="27"/>
        <v>40.551533364332485</v>
      </c>
      <c r="AL73">
        <f t="shared" si="28"/>
        <v>52.359531893901902</v>
      </c>
      <c r="AM73">
        <f t="shared" si="29"/>
        <v>1.8424681060980994</v>
      </c>
    </row>
    <row r="74" spans="1:39" ht="16.5" x14ac:dyDescent="0.25">
      <c r="A74" s="1">
        <v>45593</v>
      </c>
      <c r="B74" s="5">
        <v>26.1</v>
      </c>
      <c r="C74" s="4">
        <v>25.89</v>
      </c>
      <c r="D74" s="4">
        <v>26.1</v>
      </c>
      <c r="E74" s="4">
        <v>25.57</v>
      </c>
      <c r="F74" s="4" t="s">
        <v>1434</v>
      </c>
      <c r="G74" s="2" t="s">
        <v>1035</v>
      </c>
      <c r="I74">
        <f t="shared" si="16"/>
        <v>27.345500000000005</v>
      </c>
      <c r="J74">
        <f t="shared" si="17"/>
        <v>27.835500000000007</v>
      </c>
      <c r="L74">
        <f t="shared" si="18"/>
        <v>1</v>
      </c>
      <c r="M74">
        <f t="shared" si="19"/>
        <v>0</v>
      </c>
      <c r="O74">
        <f t="shared" si="20"/>
        <v>0.21000000000000085</v>
      </c>
      <c r="P74">
        <f t="shared" si="21"/>
        <v>0</v>
      </c>
      <c r="R74">
        <f t="shared" si="22"/>
        <v>0.18333333333333476</v>
      </c>
      <c r="S74">
        <f t="shared" si="23"/>
        <v>0.34636363636363626</v>
      </c>
      <c r="U74">
        <f t="shared" si="24"/>
        <v>34.610983981693551</v>
      </c>
      <c r="AH74">
        <f t="shared" si="25"/>
        <v>12.627622349306378</v>
      </c>
      <c r="AI74">
        <f t="shared" si="26"/>
        <v>13.894966635667522</v>
      </c>
      <c r="AJ74">
        <f t="shared" si="27"/>
        <v>40.796033364332487</v>
      </c>
      <c r="AL74">
        <f t="shared" si="28"/>
        <v>52.600744698612758</v>
      </c>
      <c r="AM74">
        <f t="shared" si="29"/>
        <v>2.0902553013872485</v>
      </c>
    </row>
    <row r="75" spans="1:39" ht="16.5" x14ac:dyDescent="0.25">
      <c r="A75" s="1">
        <v>45590</v>
      </c>
      <c r="B75" s="5">
        <v>25.75</v>
      </c>
      <c r="C75" s="4">
        <v>25.83</v>
      </c>
      <c r="D75" s="4">
        <v>25.84</v>
      </c>
      <c r="E75" s="4">
        <v>25.55</v>
      </c>
      <c r="F75" s="4" t="s">
        <v>132</v>
      </c>
      <c r="G75" s="2" t="s">
        <v>1149</v>
      </c>
      <c r="I75">
        <f t="shared" si="16"/>
        <v>27.556999999999999</v>
      </c>
      <c r="J75">
        <f t="shared" si="17"/>
        <v>27.883749999999999</v>
      </c>
      <c r="L75">
        <f t="shared" si="18"/>
        <v>0</v>
      </c>
      <c r="M75">
        <f t="shared" si="19"/>
        <v>1</v>
      </c>
      <c r="O75">
        <f t="shared" si="20"/>
        <v>0</v>
      </c>
      <c r="P75">
        <f t="shared" si="21"/>
        <v>7.9999999999998295E-2</v>
      </c>
      <c r="R75">
        <f t="shared" si="22"/>
        <v>0.17000000000000171</v>
      </c>
      <c r="S75">
        <f t="shared" si="23"/>
        <v>0.33499999999999996</v>
      </c>
      <c r="U75">
        <f t="shared" si="24"/>
        <v>33.663366336633885</v>
      </c>
      <c r="AH75">
        <f t="shared" si="25"/>
        <v>12.626467471197895</v>
      </c>
      <c r="AI75">
        <f t="shared" si="26"/>
        <v>14.106466635667516</v>
      </c>
      <c r="AJ75">
        <f t="shared" si="27"/>
        <v>41.007533364332481</v>
      </c>
      <c r="AL75">
        <f t="shared" si="28"/>
        <v>52.809934942395785</v>
      </c>
      <c r="AM75">
        <f t="shared" si="29"/>
        <v>2.304065057604209</v>
      </c>
    </row>
    <row r="76" spans="1:39" ht="16.5" x14ac:dyDescent="0.25">
      <c r="A76" s="1">
        <v>45589</v>
      </c>
      <c r="B76" s="5">
        <v>25.73</v>
      </c>
      <c r="C76" s="4">
        <v>25.79</v>
      </c>
      <c r="D76" s="4">
        <v>26.24</v>
      </c>
      <c r="E76" s="4">
        <v>25.73</v>
      </c>
      <c r="F76" s="4" t="s">
        <v>1378</v>
      </c>
      <c r="G76" s="2" t="s">
        <v>251</v>
      </c>
      <c r="I76">
        <f t="shared" si="16"/>
        <v>27.788999999999998</v>
      </c>
      <c r="J76">
        <f t="shared" si="17"/>
        <v>27.936499999999995</v>
      </c>
      <c r="L76">
        <f t="shared" si="18"/>
        <v>0</v>
      </c>
      <c r="M76">
        <f t="shared" si="19"/>
        <v>1</v>
      </c>
      <c r="O76">
        <f t="shared" si="20"/>
        <v>0</v>
      </c>
      <c r="P76">
        <f t="shared" si="21"/>
        <v>5.9999999999998721E-2</v>
      </c>
      <c r="R76">
        <f t="shared" si="22"/>
        <v>0.17000000000000171</v>
      </c>
      <c r="S76">
        <f t="shared" si="23"/>
        <v>0.33083333333333353</v>
      </c>
      <c r="U76">
        <f t="shared" si="24"/>
        <v>33.943427620632491</v>
      </c>
      <c r="AH76">
        <f t="shared" si="25"/>
        <v>12.625723063325891</v>
      </c>
      <c r="AI76">
        <f t="shared" si="26"/>
        <v>14.338466635667515</v>
      </c>
      <c r="AJ76">
        <f t="shared" si="27"/>
        <v>41.23953336433248</v>
      </c>
      <c r="AL76">
        <f t="shared" si="28"/>
        <v>53.04044612665178</v>
      </c>
      <c r="AM76">
        <f t="shared" si="29"/>
        <v>2.5375538733482159</v>
      </c>
    </row>
    <row r="77" spans="1:39" ht="16.5" x14ac:dyDescent="0.25">
      <c r="A77" s="1">
        <v>45588</v>
      </c>
      <c r="B77" s="5">
        <v>25.62</v>
      </c>
      <c r="C77" s="4">
        <v>25.8</v>
      </c>
      <c r="D77" s="4">
        <v>26.1</v>
      </c>
      <c r="E77" s="4">
        <v>25.62</v>
      </c>
      <c r="F77" s="4" t="s">
        <v>1377</v>
      </c>
      <c r="G77" s="2" t="s">
        <v>274</v>
      </c>
      <c r="I77">
        <f t="shared" si="16"/>
        <v>27.957999999999998</v>
      </c>
      <c r="J77">
        <f t="shared" si="17"/>
        <v>27.988499999999995</v>
      </c>
      <c r="L77">
        <f t="shared" si="18"/>
        <v>0</v>
      </c>
      <c r="M77">
        <f t="shared" si="19"/>
        <v>1</v>
      </c>
      <c r="O77">
        <f t="shared" si="20"/>
        <v>0</v>
      </c>
      <c r="P77">
        <f t="shared" si="21"/>
        <v>0.17999999999999972</v>
      </c>
      <c r="R77">
        <f t="shared" si="22"/>
        <v>0.17000000000000171</v>
      </c>
      <c r="S77">
        <f t="shared" si="23"/>
        <v>0.33000000000000035</v>
      </c>
      <c r="U77">
        <f t="shared" si="24"/>
        <v>34.000000000000199</v>
      </c>
      <c r="AH77">
        <f t="shared" si="25"/>
        <v>12.625432539670165</v>
      </c>
      <c r="AI77">
        <f t="shared" si="26"/>
        <v>14.507466635667516</v>
      </c>
      <c r="AJ77">
        <f t="shared" si="27"/>
        <v>41.408533364332484</v>
      </c>
      <c r="AL77">
        <f t="shared" si="28"/>
        <v>53.208865079340327</v>
      </c>
      <c r="AM77">
        <f t="shared" si="29"/>
        <v>2.7071349206596693</v>
      </c>
    </row>
    <row r="78" spans="1:39" ht="16.5" x14ac:dyDescent="0.25">
      <c r="A78" s="1">
        <v>45587</v>
      </c>
      <c r="B78" s="5">
        <v>25.88</v>
      </c>
      <c r="C78" s="4">
        <v>26.03</v>
      </c>
      <c r="D78" s="4">
        <v>26.07</v>
      </c>
      <c r="E78" s="4">
        <v>25.53</v>
      </c>
      <c r="F78" s="4" t="s">
        <v>1505</v>
      </c>
      <c r="G78" s="2" t="s">
        <v>542</v>
      </c>
      <c r="I78">
        <f t="shared" si="16"/>
        <v>28.112500000000001</v>
      </c>
      <c r="J78">
        <f t="shared" si="17"/>
        <v>28.038249999999994</v>
      </c>
      <c r="L78">
        <f t="shared" si="18"/>
        <v>0</v>
      </c>
      <c r="M78">
        <f t="shared" si="19"/>
        <v>1</v>
      </c>
      <c r="O78">
        <f t="shared" si="20"/>
        <v>0</v>
      </c>
      <c r="P78">
        <f t="shared" si="21"/>
        <v>0.15000000000000213</v>
      </c>
      <c r="R78">
        <f t="shared" si="22"/>
        <v>0.17000000000000171</v>
      </c>
      <c r="S78">
        <f t="shared" si="23"/>
        <v>0.36500000000000049</v>
      </c>
      <c r="U78">
        <f t="shared" si="24"/>
        <v>31.775700934579632</v>
      </c>
      <c r="AH78">
        <f t="shared" si="25"/>
        <v>12.625453752330538</v>
      </c>
      <c r="AI78">
        <f t="shared" si="26"/>
        <v>14.661966635667518</v>
      </c>
      <c r="AJ78">
        <f t="shared" si="27"/>
        <v>41.563033364332483</v>
      </c>
      <c r="AL78">
        <f t="shared" si="28"/>
        <v>53.363407504661076</v>
      </c>
      <c r="AM78">
        <f t="shared" si="29"/>
        <v>2.8615924953389253</v>
      </c>
    </row>
    <row r="79" spans="1:39" ht="16.5" x14ac:dyDescent="0.25">
      <c r="A79" s="1">
        <v>45586</v>
      </c>
      <c r="B79" s="5">
        <v>26.1</v>
      </c>
      <c r="C79" s="4">
        <v>26.3</v>
      </c>
      <c r="D79" s="4">
        <v>26.51</v>
      </c>
      <c r="E79" s="4">
        <v>26.07</v>
      </c>
      <c r="F79" s="4" t="s">
        <v>738</v>
      </c>
      <c r="G79" s="2" t="s">
        <v>63</v>
      </c>
      <c r="I79">
        <f t="shared" si="16"/>
        <v>28.2685</v>
      </c>
      <c r="J79">
        <f t="shared" si="17"/>
        <v>28.07974999999999</v>
      </c>
      <c r="L79">
        <f t="shared" si="18"/>
        <v>0</v>
      </c>
      <c r="M79">
        <f t="shared" si="19"/>
        <v>1</v>
      </c>
      <c r="O79">
        <f t="shared" si="20"/>
        <v>0</v>
      </c>
      <c r="P79">
        <f t="shared" si="21"/>
        <v>0.19999999999999929</v>
      </c>
      <c r="R79">
        <f t="shared" si="22"/>
        <v>0.11666666666666714</v>
      </c>
      <c r="S79">
        <f t="shared" si="23"/>
        <v>0.38454545454545491</v>
      </c>
      <c r="U79">
        <f t="shared" si="24"/>
        <v>23.276904474002478</v>
      </c>
      <c r="AH79">
        <f t="shared" si="25"/>
        <v>12.62575407641387</v>
      </c>
      <c r="AI79">
        <f t="shared" si="26"/>
        <v>14.817966635667517</v>
      </c>
      <c r="AJ79">
        <f t="shared" si="27"/>
        <v>41.719033364332482</v>
      </c>
      <c r="AL79">
        <f t="shared" si="28"/>
        <v>53.520008152827742</v>
      </c>
      <c r="AM79">
        <f t="shared" si="29"/>
        <v>3.0169918471722603</v>
      </c>
    </row>
    <row r="80" spans="1:39" ht="16.5" x14ac:dyDescent="0.25">
      <c r="A80" s="1">
        <v>45583</v>
      </c>
      <c r="B80" s="5">
        <v>26.38</v>
      </c>
      <c r="C80" s="4">
        <v>26.51</v>
      </c>
      <c r="D80" s="4">
        <v>26.64</v>
      </c>
      <c r="E80" s="4">
        <v>26.33</v>
      </c>
      <c r="F80" s="4" t="s">
        <v>1384</v>
      </c>
      <c r="G80" s="2" t="s">
        <v>370</v>
      </c>
      <c r="I80">
        <f t="shared" si="16"/>
        <v>28.392500000000002</v>
      </c>
      <c r="J80">
        <f t="shared" si="17"/>
        <v>28.11624999999999</v>
      </c>
      <c r="L80">
        <f t="shared" si="18"/>
        <v>0</v>
      </c>
      <c r="M80">
        <f t="shared" si="19"/>
        <v>1</v>
      </c>
      <c r="O80">
        <f t="shared" si="20"/>
        <v>0</v>
      </c>
      <c r="P80">
        <f t="shared" si="21"/>
        <v>0.13000000000000256</v>
      </c>
      <c r="R80">
        <f t="shared" si="22"/>
        <v>0.11666666666666714</v>
      </c>
      <c r="S80">
        <f t="shared" si="23"/>
        <v>0.37636363636363673</v>
      </c>
      <c r="U80">
        <f t="shared" si="24"/>
        <v>23.663183773816897</v>
      </c>
      <c r="AH80">
        <f t="shared" si="25"/>
        <v>12.626336258354383</v>
      </c>
      <c r="AI80">
        <f t="shared" si="26"/>
        <v>14.941966635667519</v>
      </c>
      <c r="AJ80">
        <f t="shared" si="27"/>
        <v>41.843033364332484</v>
      </c>
      <c r="AL80">
        <f t="shared" si="28"/>
        <v>53.645172516708769</v>
      </c>
      <c r="AM80">
        <f t="shared" si="29"/>
        <v>3.139827483291235</v>
      </c>
    </row>
    <row r="81" spans="1:39" ht="16.5" x14ac:dyDescent="0.25">
      <c r="A81" s="1">
        <v>45582</v>
      </c>
      <c r="B81" s="5">
        <v>26.5</v>
      </c>
      <c r="C81" s="4">
        <v>26.49</v>
      </c>
      <c r="D81" s="4">
        <v>26.59</v>
      </c>
      <c r="E81" s="4">
        <v>26.27</v>
      </c>
      <c r="F81" s="4" t="s">
        <v>1466</v>
      </c>
      <c r="G81" s="2" t="s">
        <v>399</v>
      </c>
      <c r="I81">
        <f t="shared" si="16"/>
        <v>28.506499999999999</v>
      </c>
      <c r="J81">
        <f t="shared" si="17"/>
        <v>28.153249999999993</v>
      </c>
      <c r="L81">
        <f t="shared" si="18"/>
        <v>1</v>
      </c>
      <c r="M81">
        <f t="shared" si="19"/>
        <v>0</v>
      </c>
      <c r="O81">
        <f t="shared" si="20"/>
        <v>1.0000000000001563E-2</v>
      </c>
      <c r="P81">
        <f t="shared" si="21"/>
        <v>0</v>
      </c>
      <c r="R81">
        <f t="shared" si="22"/>
        <v>0.11666666666666714</v>
      </c>
      <c r="S81">
        <f t="shared" si="23"/>
        <v>0.38545454545454566</v>
      </c>
      <c r="U81">
        <f t="shared" si="24"/>
        <v>23.234761617380869</v>
      </c>
      <c r="AH81">
        <f t="shared" si="25"/>
        <v>12.627130661056052</v>
      </c>
      <c r="AI81">
        <f t="shared" si="26"/>
        <v>15.055966635667517</v>
      </c>
      <c r="AJ81">
        <f t="shared" si="27"/>
        <v>41.957033364332482</v>
      </c>
      <c r="AL81">
        <f t="shared" si="28"/>
        <v>53.760761322112103</v>
      </c>
      <c r="AM81">
        <f t="shared" si="29"/>
        <v>3.2522386778878953</v>
      </c>
    </row>
    <row r="82" spans="1:39" ht="16.5" x14ac:dyDescent="0.25">
      <c r="A82" s="1">
        <v>45581</v>
      </c>
      <c r="B82" s="5">
        <v>26.42</v>
      </c>
      <c r="C82" s="4">
        <v>26.53</v>
      </c>
      <c r="D82" s="4">
        <v>26.8</v>
      </c>
      <c r="E82" s="4">
        <v>26.18</v>
      </c>
      <c r="F82" s="4" t="s">
        <v>1646</v>
      </c>
      <c r="G82" s="2" t="s">
        <v>814</v>
      </c>
      <c r="I82">
        <f t="shared" si="16"/>
        <v>28.630000000000003</v>
      </c>
      <c r="J82">
        <f t="shared" si="17"/>
        <v>28.183499999999992</v>
      </c>
      <c r="L82">
        <f t="shared" si="18"/>
        <v>0</v>
      </c>
      <c r="M82">
        <f t="shared" si="19"/>
        <v>1</v>
      </c>
      <c r="O82">
        <f t="shared" si="20"/>
        <v>0</v>
      </c>
      <c r="P82">
        <f t="shared" si="21"/>
        <v>0.10999999999999943</v>
      </c>
      <c r="R82">
        <f t="shared" si="22"/>
        <v>0.47666666666666657</v>
      </c>
      <c r="S82">
        <f t="shared" si="23"/>
        <v>0.38545454545454566</v>
      </c>
      <c r="U82">
        <f t="shared" si="24"/>
        <v>55.289982425307542</v>
      </c>
      <c r="AH82">
        <f t="shared" si="25"/>
        <v>12.62811585174807</v>
      </c>
      <c r="AI82">
        <f t="shared" si="26"/>
        <v>15.17946663566752</v>
      </c>
      <c r="AJ82">
        <f t="shared" si="27"/>
        <v>42.080533364332481</v>
      </c>
      <c r="AL82">
        <f t="shared" si="28"/>
        <v>53.886231703496144</v>
      </c>
      <c r="AM82">
        <f t="shared" si="29"/>
        <v>3.3737682965038616</v>
      </c>
    </row>
    <row r="83" spans="1:39" ht="16.5" x14ac:dyDescent="0.25">
      <c r="A83" s="1">
        <v>45580</v>
      </c>
      <c r="B83" s="5">
        <v>26.53</v>
      </c>
      <c r="C83" s="4">
        <v>26.2</v>
      </c>
      <c r="D83" s="4">
        <v>26.68</v>
      </c>
      <c r="E83" s="4">
        <v>26.07</v>
      </c>
      <c r="F83" s="4" t="s">
        <v>966</v>
      </c>
      <c r="G83" s="2" t="s">
        <v>672</v>
      </c>
      <c r="I83">
        <f t="shared" si="16"/>
        <v>28.704999999999995</v>
      </c>
      <c r="J83">
        <f t="shared" si="17"/>
        <v>28.225749999999987</v>
      </c>
      <c r="L83">
        <f t="shared" si="18"/>
        <v>1</v>
      </c>
      <c r="M83">
        <f t="shared" si="19"/>
        <v>0</v>
      </c>
      <c r="O83">
        <f t="shared" si="20"/>
        <v>0.33000000000000185</v>
      </c>
      <c r="P83">
        <f t="shared" si="21"/>
        <v>0</v>
      </c>
      <c r="R83">
        <f t="shared" si="22"/>
        <v>0.41249999999999964</v>
      </c>
      <c r="S83">
        <f t="shared" si="23"/>
        <v>0.41300000000000026</v>
      </c>
      <c r="U83">
        <f t="shared" si="24"/>
        <v>49.969715324046</v>
      </c>
      <c r="AH83">
        <f t="shared" si="25"/>
        <v>12.629312326988723</v>
      </c>
      <c r="AI83">
        <f t="shared" si="26"/>
        <v>15.254466635667512</v>
      </c>
      <c r="AJ83">
        <f t="shared" si="27"/>
        <v>42.155533364332477</v>
      </c>
      <c r="AL83">
        <f t="shared" si="28"/>
        <v>53.96362465397744</v>
      </c>
      <c r="AM83">
        <f t="shared" si="29"/>
        <v>3.446375346022549</v>
      </c>
    </row>
    <row r="84" spans="1:39" ht="16.5" x14ac:dyDescent="0.25">
      <c r="A84" s="1">
        <v>45579</v>
      </c>
      <c r="B84" s="5">
        <v>26.1</v>
      </c>
      <c r="C84" s="4">
        <v>26.41</v>
      </c>
      <c r="D84" s="4">
        <v>26.49</v>
      </c>
      <c r="E84" s="4">
        <v>25.96</v>
      </c>
      <c r="F84" s="4" t="s">
        <v>1647</v>
      </c>
      <c r="G84" s="2" t="s">
        <v>1463</v>
      </c>
      <c r="I84">
        <f t="shared" si="16"/>
        <v>28.751999999999999</v>
      </c>
      <c r="J84">
        <f t="shared" si="17"/>
        <v>28.269249999999989</v>
      </c>
      <c r="L84">
        <f t="shared" si="18"/>
        <v>0</v>
      </c>
      <c r="M84">
        <f t="shared" si="19"/>
        <v>1</v>
      </c>
      <c r="O84">
        <f t="shared" si="20"/>
        <v>0</v>
      </c>
      <c r="P84">
        <f t="shared" si="21"/>
        <v>0.30999999999999872</v>
      </c>
      <c r="R84">
        <f t="shared" si="22"/>
        <v>0.43999999999999889</v>
      </c>
      <c r="S84">
        <f t="shared" si="23"/>
        <v>0.40727272727272729</v>
      </c>
      <c r="U84">
        <f t="shared" si="24"/>
        <v>51.931330472102943</v>
      </c>
      <c r="AH84">
        <f t="shared" si="25"/>
        <v>12.630616858267963</v>
      </c>
      <c r="AI84">
        <f t="shared" si="26"/>
        <v>15.301466635667516</v>
      </c>
      <c r="AJ84">
        <f t="shared" si="27"/>
        <v>42.202533364332481</v>
      </c>
      <c r="AL84">
        <f t="shared" si="28"/>
        <v>54.013233716535922</v>
      </c>
      <c r="AM84">
        <f t="shared" si="29"/>
        <v>3.4907662834640725</v>
      </c>
    </row>
    <row r="85" spans="1:39" ht="16.5" x14ac:dyDescent="0.25">
      <c r="A85" s="1">
        <v>45576</v>
      </c>
      <c r="B85" s="5">
        <v>26.26</v>
      </c>
      <c r="C85" s="4">
        <v>26.62</v>
      </c>
      <c r="D85" s="4">
        <v>26.67</v>
      </c>
      <c r="E85" s="4">
        <v>26.13</v>
      </c>
      <c r="F85" s="4" t="s">
        <v>891</v>
      </c>
      <c r="G85" s="2" t="s">
        <v>1648</v>
      </c>
      <c r="I85">
        <f t="shared" si="16"/>
        <v>28.782499999999999</v>
      </c>
      <c r="J85">
        <f t="shared" si="17"/>
        <v>28.343749999999989</v>
      </c>
      <c r="L85">
        <f t="shared" si="18"/>
        <v>0</v>
      </c>
      <c r="M85">
        <f t="shared" si="19"/>
        <v>1</v>
      </c>
      <c r="O85">
        <f t="shared" si="20"/>
        <v>0</v>
      </c>
      <c r="P85">
        <f t="shared" si="21"/>
        <v>0.35999999999999943</v>
      </c>
      <c r="R85">
        <f t="shared" si="22"/>
        <v>0.36249999999999893</v>
      </c>
      <c r="S85">
        <f t="shared" si="23"/>
        <v>0.41700000000000015</v>
      </c>
      <c r="U85">
        <f t="shared" si="24"/>
        <v>46.504169339320001</v>
      </c>
      <c r="AH85">
        <f t="shared" si="25"/>
        <v>12.631970134105142</v>
      </c>
      <c r="AI85">
        <f t="shared" si="26"/>
        <v>15.331966635667516</v>
      </c>
      <c r="AJ85">
        <f t="shared" si="27"/>
        <v>42.233033364332485</v>
      </c>
      <c r="AL85">
        <f t="shared" si="28"/>
        <v>54.046440268210283</v>
      </c>
      <c r="AM85">
        <f t="shared" si="29"/>
        <v>3.5185597317897148</v>
      </c>
    </row>
    <row r="86" spans="1:39" ht="16.5" x14ac:dyDescent="0.25">
      <c r="A86" s="1">
        <v>45575</v>
      </c>
      <c r="B86" s="5">
        <v>26.77</v>
      </c>
      <c r="C86" s="4">
        <v>27.07</v>
      </c>
      <c r="D86" s="4">
        <v>27.33</v>
      </c>
      <c r="E86" s="4">
        <v>26.68</v>
      </c>
      <c r="F86" s="4" t="s">
        <v>998</v>
      </c>
      <c r="G86" s="2" t="s">
        <v>1262</v>
      </c>
      <c r="I86">
        <f t="shared" si="16"/>
        <v>28.8185</v>
      </c>
      <c r="J86">
        <f t="shared" si="17"/>
        <v>28.41224999999999</v>
      </c>
      <c r="L86">
        <f t="shared" si="18"/>
        <v>0</v>
      </c>
      <c r="M86">
        <f t="shared" si="19"/>
        <v>1</v>
      </c>
      <c r="O86">
        <f t="shared" si="20"/>
        <v>0</v>
      </c>
      <c r="P86">
        <f t="shared" si="21"/>
        <v>0.30000000000000071</v>
      </c>
      <c r="R86">
        <f t="shared" si="22"/>
        <v>0.36249999999999893</v>
      </c>
      <c r="S86">
        <f t="shared" si="23"/>
        <v>0.39600000000000046</v>
      </c>
      <c r="U86">
        <f t="shared" si="24"/>
        <v>47.791694133157449</v>
      </c>
      <c r="AH86">
        <f t="shared" si="25"/>
        <v>12.633337104966877</v>
      </c>
      <c r="AI86">
        <f t="shared" si="26"/>
        <v>15.367966635667518</v>
      </c>
      <c r="AJ86">
        <f t="shared" si="27"/>
        <v>42.269033364332486</v>
      </c>
      <c r="AL86">
        <f t="shared" si="28"/>
        <v>54.085174209933754</v>
      </c>
      <c r="AM86">
        <f t="shared" si="29"/>
        <v>3.5518257900662462</v>
      </c>
    </row>
    <row r="87" spans="1:39" ht="16.5" x14ac:dyDescent="0.25">
      <c r="A87" s="1">
        <v>45574</v>
      </c>
      <c r="B87" s="5">
        <v>27.25</v>
      </c>
      <c r="C87" s="4">
        <v>29.18</v>
      </c>
      <c r="D87" s="4">
        <v>29.22</v>
      </c>
      <c r="E87" s="4">
        <v>26.83</v>
      </c>
      <c r="F87" s="4" t="s">
        <v>1649</v>
      </c>
      <c r="G87" s="2" t="s">
        <v>1650</v>
      </c>
      <c r="I87">
        <f t="shared" si="16"/>
        <v>28.819499999999998</v>
      </c>
      <c r="J87">
        <f t="shared" si="17"/>
        <v>28.399749999999994</v>
      </c>
      <c r="L87">
        <f t="shared" si="18"/>
        <v>0</v>
      </c>
      <c r="M87">
        <f t="shared" si="19"/>
        <v>1</v>
      </c>
      <c r="O87">
        <f t="shared" si="20"/>
        <v>0</v>
      </c>
      <c r="P87">
        <f t="shared" si="21"/>
        <v>1.9299999999999997</v>
      </c>
      <c r="R87">
        <f t="shared" si="22"/>
        <v>0.36249999999999893</v>
      </c>
      <c r="S87">
        <f t="shared" si="23"/>
        <v>0.3760000000000005</v>
      </c>
      <c r="U87">
        <f t="shared" si="24"/>
        <v>49.085985104942345</v>
      </c>
      <c r="AH87">
        <f t="shared" si="25"/>
        <v>12.63472952611448</v>
      </c>
      <c r="AI87">
        <f t="shared" si="26"/>
        <v>15.368966635667515</v>
      </c>
      <c r="AJ87">
        <f t="shared" si="27"/>
        <v>42.270033364332477</v>
      </c>
      <c r="AL87">
        <f t="shared" si="28"/>
        <v>54.088959052228958</v>
      </c>
      <c r="AM87">
        <f t="shared" si="29"/>
        <v>3.5500409477710377</v>
      </c>
    </row>
    <row r="88" spans="1:39" ht="16.5" x14ac:dyDescent="0.25">
      <c r="A88" s="1">
        <v>45573</v>
      </c>
      <c r="B88" s="5">
        <v>29.24</v>
      </c>
      <c r="C88" s="4">
        <v>29.45</v>
      </c>
      <c r="D88" s="4">
        <v>29.46</v>
      </c>
      <c r="E88" s="4">
        <v>29.09</v>
      </c>
      <c r="F88" s="4" t="s">
        <v>1466</v>
      </c>
      <c r="G88" s="2" t="s">
        <v>674</v>
      </c>
      <c r="I88">
        <f t="shared" si="16"/>
        <v>28.807499999999994</v>
      </c>
      <c r="J88">
        <f t="shared" si="17"/>
        <v>28.364249999999988</v>
      </c>
      <c r="L88">
        <f t="shared" si="18"/>
        <v>0</v>
      </c>
      <c r="M88">
        <f t="shared" si="19"/>
        <v>1</v>
      </c>
      <c r="O88">
        <f t="shared" si="20"/>
        <v>0</v>
      </c>
      <c r="P88">
        <f t="shared" si="21"/>
        <v>0.21000000000000085</v>
      </c>
      <c r="R88">
        <f t="shared" si="22"/>
        <v>0.41599999999999893</v>
      </c>
      <c r="S88">
        <f t="shared" si="23"/>
        <v>0.20333333333333392</v>
      </c>
      <c r="U88">
        <f t="shared" si="24"/>
        <v>67.168998923573611</v>
      </c>
      <c r="AH88">
        <f t="shared" si="25"/>
        <v>12.636072300120897</v>
      </c>
      <c r="AI88">
        <f t="shared" si="26"/>
        <v>15.356966635667511</v>
      </c>
      <c r="AJ88">
        <f t="shared" si="27"/>
        <v>42.258033364332476</v>
      </c>
      <c r="AL88">
        <f t="shared" si="28"/>
        <v>54.079644600241792</v>
      </c>
      <c r="AM88">
        <f t="shared" si="29"/>
        <v>3.535355399758199</v>
      </c>
    </row>
    <row r="89" spans="1:39" ht="16.5" x14ac:dyDescent="0.25">
      <c r="A89" s="1">
        <v>45572</v>
      </c>
      <c r="B89" s="5">
        <v>29.77</v>
      </c>
      <c r="C89" s="4">
        <v>29.8</v>
      </c>
      <c r="D89" s="4">
        <v>29.86</v>
      </c>
      <c r="E89" s="4">
        <v>28.91</v>
      </c>
      <c r="F89" s="4" t="s">
        <v>1552</v>
      </c>
      <c r="G89" s="2" t="s">
        <v>121</v>
      </c>
      <c r="I89">
        <f t="shared" si="16"/>
        <v>28.725999999999999</v>
      </c>
      <c r="J89">
        <f t="shared" si="17"/>
        <v>28.282999999999994</v>
      </c>
      <c r="L89">
        <f t="shared" si="18"/>
        <v>0</v>
      </c>
      <c r="M89">
        <f t="shared" si="19"/>
        <v>1</v>
      </c>
      <c r="O89">
        <f t="shared" si="20"/>
        <v>0</v>
      </c>
      <c r="P89">
        <f t="shared" si="21"/>
        <v>3.0000000000001137E-2</v>
      </c>
      <c r="R89">
        <f t="shared" si="22"/>
        <v>0.41499999999999915</v>
      </c>
      <c r="S89">
        <f t="shared" si="23"/>
        <v>0.20250000000000057</v>
      </c>
      <c r="U89">
        <f t="shared" si="24"/>
        <v>67.206477732793417</v>
      </c>
      <c r="AH89">
        <f t="shared" si="25"/>
        <v>12.637336633673746</v>
      </c>
      <c r="AI89">
        <f t="shared" si="26"/>
        <v>15.275466635667517</v>
      </c>
      <c r="AJ89">
        <f t="shared" si="27"/>
        <v>42.176533364332485</v>
      </c>
      <c r="AL89">
        <f t="shared" si="28"/>
        <v>54.000673267347494</v>
      </c>
      <c r="AM89">
        <f t="shared" si="29"/>
        <v>3.4513267326525074</v>
      </c>
    </row>
    <row r="90" spans="1:39" ht="16.5" x14ac:dyDescent="0.25">
      <c r="A90" s="1">
        <v>45569</v>
      </c>
      <c r="B90" s="5">
        <v>29.81</v>
      </c>
      <c r="C90" s="4">
        <v>29.86</v>
      </c>
      <c r="D90" s="4">
        <v>29.99</v>
      </c>
      <c r="E90" s="4">
        <v>29.67</v>
      </c>
      <c r="F90" s="4" t="s">
        <v>141</v>
      </c>
      <c r="G90" s="2" t="s">
        <v>321</v>
      </c>
      <c r="I90">
        <f t="shared" si="16"/>
        <v>28.671499999999998</v>
      </c>
      <c r="J90">
        <f t="shared" si="17"/>
        <v>28.187749999999994</v>
      </c>
      <c r="L90">
        <f t="shared" si="18"/>
        <v>0</v>
      </c>
      <c r="M90">
        <f t="shared" si="19"/>
        <v>1</v>
      </c>
      <c r="O90">
        <f t="shared" si="20"/>
        <v>0</v>
      </c>
      <c r="P90">
        <f t="shared" si="21"/>
        <v>5.0000000000000711E-2</v>
      </c>
      <c r="R90">
        <f t="shared" si="22"/>
        <v>0.45428571428571324</v>
      </c>
      <c r="S90">
        <f t="shared" si="23"/>
        <v>0.22714285714285762</v>
      </c>
      <c r="U90">
        <f t="shared" si="24"/>
        <v>66.666666666666572</v>
      </c>
      <c r="AH90">
        <f t="shared" si="25"/>
        <v>12.638369886530704</v>
      </c>
      <c r="AI90">
        <f t="shared" si="26"/>
        <v>15.220966635667516</v>
      </c>
      <c r="AJ90">
        <f t="shared" si="27"/>
        <v>42.122033364332481</v>
      </c>
      <c r="AL90">
        <f t="shared" si="28"/>
        <v>53.948239773061403</v>
      </c>
      <c r="AM90">
        <f t="shared" si="29"/>
        <v>3.3947602269385904</v>
      </c>
    </row>
    <row r="91" spans="1:39" ht="16.5" x14ac:dyDescent="0.25">
      <c r="A91" s="1">
        <v>45568</v>
      </c>
      <c r="B91" s="5">
        <v>29.86</v>
      </c>
      <c r="C91" s="4">
        <v>30.46</v>
      </c>
      <c r="D91" s="4">
        <v>30.51</v>
      </c>
      <c r="E91" s="4">
        <v>29.7</v>
      </c>
      <c r="F91" s="4" t="s">
        <v>139</v>
      </c>
      <c r="G91" s="2" t="s">
        <v>1651</v>
      </c>
      <c r="I91">
        <f t="shared" si="16"/>
        <v>28.6265</v>
      </c>
      <c r="J91">
        <f t="shared" si="17"/>
        <v>28.091749999999998</v>
      </c>
      <c r="L91">
        <f t="shared" si="18"/>
        <v>0</v>
      </c>
      <c r="M91">
        <f t="shared" si="19"/>
        <v>1</v>
      </c>
      <c r="O91">
        <f t="shared" si="20"/>
        <v>0</v>
      </c>
      <c r="P91">
        <f t="shared" si="21"/>
        <v>0.60000000000000142</v>
      </c>
      <c r="R91">
        <f t="shared" si="22"/>
        <v>0.45428571428571324</v>
      </c>
      <c r="S91">
        <f t="shared" si="23"/>
        <v>0.27285714285714285</v>
      </c>
      <c r="U91">
        <f t="shared" si="24"/>
        <v>62.475442043221946</v>
      </c>
      <c r="AH91">
        <f t="shared" si="25"/>
        <v>12.639227361355557</v>
      </c>
      <c r="AI91">
        <f t="shared" si="26"/>
        <v>15.175966635667518</v>
      </c>
      <c r="AJ91">
        <f t="shared" si="27"/>
        <v>42.077033364332479</v>
      </c>
      <c r="AL91">
        <f t="shared" si="28"/>
        <v>53.904954722711111</v>
      </c>
      <c r="AM91">
        <f t="shared" si="29"/>
        <v>3.348045277288886</v>
      </c>
    </row>
    <row r="92" spans="1:39" ht="16.5" x14ac:dyDescent="0.25">
      <c r="A92" s="1">
        <v>45567</v>
      </c>
      <c r="B92" s="5">
        <v>30.4</v>
      </c>
      <c r="C92" s="4">
        <v>30.39</v>
      </c>
      <c r="D92" s="4">
        <v>30.7</v>
      </c>
      <c r="E92" s="4">
        <v>30.13</v>
      </c>
      <c r="F92" s="4" t="s">
        <v>1383</v>
      </c>
      <c r="G92" s="2" t="s">
        <v>536</v>
      </c>
      <c r="I92">
        <f t="shared" si="16"/>
        <v>28.5825</v>
      </c>
      <c r="J92">
        <f t="shared" si="17"/>
        <v>28.003999999999998</v>
      </c>
      <c r="L92">
        <f t="shared" si="18"/>
        <v>1</v>
      </c>
      <c r="M92">
        <f t="shared" si="19"/>
        <v>0</v>
      </c>
      <c r="O92">
        <f t="shared" si="20"/>
        <v>9.9999999999980105E-3</v>
      </c>
      <c r="P92">
        <f t="shared" si="21"/>
        <v>0</v>
      </c>
      <c r="R92">
        <f t="shared" si="22"/>
        <v>0.40874999999999906</v>
      </c>
      <c r="S92">
        <f t="shared" si="23"/>
        <v>0.21833333333333313</v>
      </c>
      <c r="U92">
        <f t="shared" si="24"/>
        <v>65.182724252491667</v>
      </c>
      <c r="AH92">
        <f t="shared" si="25"/>
        <v>12.639927261983349</v>
      </c>
      <c r="AI92">
        <f t="shared" si="26"/>
        <v>15.131966635667517</v>
      </c>
      <c r="AJ92">
        <f t="shared" si="27"/>
        <v>42.033033364332482</v>
      </c>
      <c r="AL92">
        <f t="shared" si="28"/>
        <v>53.862354523966701</v>
      </c>
      <c r="AM92">
        <f t="shared" si="29"/>
        <v>3.3026454760333017</v>
      </c>
    </row>
    <row r="93" spans="1:39" ht="16.5" x14ac:dyDescent="0.25">
      <c r="A93" s="1">
        <v>45566</v>
      </c>
      <c r="B93" s="5">
        <v>30.44</v>
      </c>
      <c r="C93" s="4">
        <v>30.55</v>
      </c>
      <c r="D93" s="4">
        <v>31.03</v>
      </c>
      <c r="E93" s="4">
        <v>30.14</v>
      </c>
      <c r="F93" s="4" t="s">
        <v>1652</v>
      </c>
      <c r="G93" s="2" t="s">
        <v>233</v>
      </c>
      <c r="I93">
        <f t="shared" si="16"/>
        <v>28.457000000000004</v>
      </c>
      <c r="J93">
        <f t="shared" si="17"/>
        <v>27.896749999999997</v>
      </c>
      <c r="L93">
        <f t="shared" si="18"/>
        <v>0</v>
      </c>
      <c r="M93">
        <f t="shared" si="19"/>
        <v>1</v>
      </c>
      <c r="O93">
        <f t="shared" si="20"/>
        <v>0</v>
      </c>
      <c r="P93">
        <f t="shared" si="21"/>
        <v>0.10999999999999943</v>
      </c>
      <c r="R93">
        <f t="shared" si="22"/>
        <v>0.46571428571428491</v>
      </c>
      <c r="S93">
        <f t="shared" si="23"/>
        <v>0.26000000000000006</v>
      </c>
      <c r="U93">
        <f t="shared" si="24"/>
        <v>64.173228346456654</v>
      </c>
      <c r="AH93">
        <f t="shared" si="25"/>
        <v>12.640469305512234</v>
      </c>
      <c r="AI93">
        <f t="shared" si="26"/>
        <v>15.006466635667522</v>
      </c>
      <c r="AJ93">
        <f t="shared" si="27"/>
        <v>41.907533364332487</v>
      </c>
      <c r="AL93">
        <f t="shared" si="28"/>
        <v>53.737938611024475</v>
      </c>
      <c r="AM93">
        <f t="shared" si="29"/>
        <v>3.1760613889755369</v>
      </c>
    </row>
    <row r="94" spans="1:39" ht="16.5" x14ac:dyDescent="0.25">
      <c r="A94" s="1">
        <v>45565</v>
      </c>
      <c r="B94" s="5">
        <v>30.33</v>
      </c>
      <c r="C94" s="4">
        <v>30.56</v>
      </c>
      <c r="D94" s="4">
        <v>30.99</v>
      </c>
      <c r="E94" s="4">
        <v>30.33</v>
      </c>
      <c r="F94" s="4" t="s">
        <v>1138</v>
      </c>
      <c r="G94" s="2" t="s">
        <v>321</v>
      </c>
      <c r="I94">
        <f t="shared" si="16"/>
        <v>28.325499999999998</v>
      </c>
      <c r="J94">
        <f t="shared" si="17"/>
        <v>27.768749999999994</v>
      </c>
      <c r="L94">
        <f t="shared" si="18"/>
        <v>0</v>
      </c>
      <c r="M94">
        <f t="shared" si="19"/>
        <v>1</v>
      </c>
      <c r="O94">
        <f t="shared" si="20"/>
        <v>0</v>
      </c>
      <c r="P94">
        <f t="shared" si="21"/>
        <v>0.23000000000000043</v>
      </c>
      <c r="R94">
        <f t="shared" si="22"/>
        <v>0.46571428571428491</v>
      </c>
      <c r="S94">
        <f t="shared" si="23"/>
        <v>0.32999999999999979</v>
      </c>
      <c r="U94">
        <f t="shared" si="24"/>
        <v>58.527827648114879</v>
      </c>
      <c r="AH94">
        <f t="shared" si="25"/>
        <v>12.640666141975753</v>
      </c>
      <c r="AI94">
        <f t="shared" si="26"/>
        <v>14.874966635667516</v>
      </c>
      <c r="AJ94">
        <f t="shared" si="27"/>
        <v>41.776033364332477</v>
      </c>
      <c r="AL94">
        <f t="shared" si="28"/>
        <v>53.606832283951505</v>
      </c>
      <c r="AM94">
        <f t="shared" si="29"/>
        <v>3.0441677160484915</v>
      </c>
    </row>
    <row r="95" spans="1:39" ht="16.5" x14ac:dyDescent="0.25">
      <c r="A95" s="1">
        <v>45562</v>
      </c>
      <c r="B95" s="5">
        <v>30.39</v>
      </c>
      <c r="C95" s="4">
        <v>29.3</v>
      </c>
      <c r="D95" s="4">
        <v>30.52</v>
      </c>
      <c r="E95" s="4">
        <v>29.2</v>
      </c>
      <c r="F95" s="4" t="s">
        <v>891</v>
      </c>
      <c r="G95" s="2" t="s">
        <v>1653</v>
      </c>
      <c r="I95">
        <f t="shared" si="16"/>
        <v>28.210500000000003</v>
      </c>
      <c r="J95">
        <f t="shared" si="17"/>
        <v>27.683999999999997</v>
      </c>
      <c r="L95">
        <f t="shared" si="18"/>
        <v>1</v>
      </c>
      <c r="M95">
        <f t="shared" si="19"/>
        <v>0</v>
      </c>
      <c r="O95">
        <f t="shared" si="20"/>
        <v>1.0899999999999999</v>
      </c>
      <c r="P95">
        <f t="shared" si="21"/>
        <v>0</v>
      </c>
      <c r="R95">
        <f t="shared" si="22"/>
        <v>0.46571428571428491</v>
      </c>
      <c r="S95">
        <f t="shared" si="23"/>
        <v>0.43857142857142861</v>
      </c>
      <c r="U95">
        <f t="shared" si="24"/>
        <v>51.500789889415429</v>
      </c>
      <c r="AH95">
        <f t="shared" si="25"/>
        <v>12.640496297851044</v>
      </c>
      <c r="AI95">
        <f t="shared" si="26"/>
        <v>14.759966635667521</v>
      </c>
      <c r="AJ95">
        <f t="shared" si="27"/>
        <v>41.661033364332482</v>
      </c>
      <c r="AL95">
        <f t="shared" si="28"/>
        <v>53.491492595702091</v>
      </c>
      <c r="AM95">
        <f t="shared" si="29"/>
        <v>2.9295074042979152</v>
      </c>
    </row>
    <row r="96" spans="1:39" ht="16.5" x14ac:dyDescent="0.25">
      <c r="A96" s="1">
        <v>45561</v>
      </c>
      <c r="B96" s="5">
        <v>29.11</v>
      </c>
      <c r="C96" s="4">
        <v>28.89</v>
      </c>
      <c r="D96" s="4">
        <v>29.43</v>
      </c>
      <c r="E96" s="4">
        <v>28.67</v>
      </c>
      <c r="F96" s="4" t="s">
        <v>616</v>
      </c>
      <c r="G96" s="2" t="s">
        <v>1644</v>
      </c>
      <c r="I96">
        <f t="shared" si="16"/>
        <v>28.084000000000003</v>
      </c>
      <c r="J96">
        <f t="shared" si="17"/>
        <v>27.607999999999997</v>
      </c>
      <c r="L96">
        <f t="shared" si="18"/>
        <v>1</v>
      </c>
      <c r="M96">
        <f t="shared" si="19"/>
        <v>0</v>
      </c>
      <c r="O96">
        <f t="shared" si="20"/>
        <v>0.21999999999999886</v>
      </c>
      <c r="P96">
        <f t="shared" si="21"/>
        <v>0</v>
      </c>
      <c r="R96">
        <f t="shared" si="22"/>
        <v>0.36166666666666575</v>
      </c>
      <c r="S96">
        <f t="shared" si="23"/>
        <v>0.43000000000000016</v>
      </c>
      <c r="U96">
        <f t="shared" si="24"/>
        <v>45.684210526315717</v>
      </c>
      <c r="AH96">
        <f t="shared" si="25"/>
        <v>12.639990195068927</v>
      </c>
      <c r="AI96">
        <f t="shared" si="26"/>
        <v>14.633466635667521</v>
      </c>
      <c r="AJ96">
        <f t="shared" si="27"/>
        <v>41.534533364332489</v>
      </c>
      <c r="AL96">
        <f t="shared" si="28"/>
        <v>53.363980390137854</v>
      </c>
      <c r="AM96">
        <f t="shared" si="29"/>
        <v>2.8040196098621486</v>
      </c>
    </row>
    <row r="97" spans="1:39" ht="16.5" x14ac:dyDescent="0.25">
      <c r="A97" s="1">
        <v>45560</v>
      </c>
      <c r="B97" s="5">
        <v>28.71</v>
      </c>
      <c r="C97" s="4">
        <v>29.06</v>
      </c>
      <c r="D97" s="4">
        <v>29.33</v>
      </c>
      <c r="E97" s="4">
        <v>28.62</v>
      </c>
      <c r="F97" s="4" t="s">
        <v>1654</v>
      </c>
      <c r="G97" s="2" t="s">
        <v>902</v>
      </c>
      <c r="I97">
        <f t="shared" si="16"/>
        <v>28.018999999999998</v>
      </c>
      <c r="J97">
        <f t="shared" si="17"/>
        <v>27.562000000000001</v>
      </c>
      <c r="L97">
        <f t="shared" si="18"/>
        <v>0</v>
      </c>
      <c r="M97">
        <f t="shared" si="19"/>
        <v>1</v>
      </c>
      <c r="O97">
        <f t="shared" si="20"/>
        <v>0</v>
      </c>
      <c r="P97">
        <f t="shared" si="21"/>
        <v>0.34999999999999787</v>
      </c>
      <c r="R97">
        <f t="shared" si="22"/>
        <v>0.38999999999999913</v>
      </c>
      <c r="S97">
        <f t="shared" si="23"/>
        <v>0.42444444444444446</v>
      </c>
      <c r="U97">
        <f t="shared" si="24"/>
        <v>47.885402455661605</v>
      </c>
      <c r="AH97">
        <f t="shared" si="25"/>
        <v>12.639113425461103</v>
      </c>
      <c r="AI97">
        <f t="shared" si="26"/>
        <v>14.568466635667516</v>
      </c>
      <c r="AJ97">
        <f t="shared" si="27"/>
        <v>41.469533364332477</v>
      </c>
      <c r="AL97">
        <f t="shared" si="28"/>
        <v>53.2972268509222</v>
      </c>
      <c r="AM97">
        <f t="shared" si="29"/>
        <v>2.7407731490777927</v>
      </c>
    </row>
    <row r="98" spans="1:39" ht="16.5" x14ac:dyDescent="0.25">
      <c r="A98" s="1">
        <v>45559</v>
      </c>
      <c r="B98" s="5">
        <v>29</v>
      </c>
      <c r="C98" s="4">
        <v>28.87</v>
      </c>
      <c r="D98" s="4">
        <v>29.16</v>
      </c>
      <c r="E98" s="4">
        <v>28.75</v>
      </c>
      <c r="F98" s="4" t="s">
        <v>1412</v>
      </c>
      <c r="G98" s="2" t="s">
        <v>1154</v>
      </c>
      <c r="I98">
        <f t="shared" si="16"/>
        <v>27.963999999999999</v>
      </c>
      <c r="J98">
        <f t="shared" si="17"/>
        <v>27.531750000000006</v>
      </c>
      <c r="L98">
        <f t="shared" si="18"/>
        <v>1</v>
      </c>
      <c r="M98">
        <f t="shared" si="19"/>
        <v>0</v>
      </c>
      <c r="O98">
        <f t="shared" si="20"/>
        <v>0.12999999999999901</v>
      </c>
      <c r="P98">
        <f t="shared" si="21"/>
        <v>0</v>
      </c>
      <c r="R98">
        <f t="shared" si="22"/>
        <v>0.51166666666666616</v>
      </c>
      <c r="S98">
        <f t="shared" si="23"/>
        <v>0.4337500000000003</v>
      </c>
      <c r="U98">
        <f t="shared" si="24"/>
        <v>54.120758043190797</v>
      </c>
      <c r="AH98">
        <f t="shared" si="25"/>
        <v>12.63800571040278</v>
      </c>
      <c r="AI98">
        <f t="shared" si="26"/>
        <v>14.513466635667516</v>
      </c>
      <c r="AJ98">
        <f t="shared" si="27"/>
        <v>41.414533364332485</v>
      </c>
      <c r="AL98">
        <f t="shared" si="28"/>
        <v>53.240011420805558</v>
      </c>
      <c r="AM98">
        <f t="shared" si="29"/>
        <v>2.6879885791944389</v>
      </c>
    </row>
    <row r="99" spans="1:39" ht="16.5" x14ac:dyDescent="0.25">
      <c r="A99" s="1">
        <v>45558</v>
      </c>
      <c r="B99" s="5">
        <v>28.58</v>
      </c>
      <c r="C99" s="4">
        <v>28.73</v>
      </c>
      <c r="D99" s="4">
        <v>29</v>
      </c>
      <c r="E99" s="4">
        <v>28.46</v>
      </c>
      <c r="F99" s="4" t="s">
        <v>262</v>
      </c>
      <c r="G99" s="2" t="s">
        <v>843</v>
      </c>
      <c r="I99">
        <f t="shared" si="16"/>
        <v>27.890999999999998</v>
      </c>
      <c r="J99">
        <f t="shared" si="17"/>
        <v>27.496750000000002</v>
      </c>
      <c r="L99">
        <f t="shared" si="18"/>
        <v>0</v>
      </c>
      <c r="M99">
        <f t="shared" si="19"/>
        <v>1</v>
      </c>
      <c r="O99">
        <f t="shared" si="20"/>
        <v>0</v>
      </c>
      <c r="P99">
        <f t="shared" si="21"/>
        <v>0.15000000000000213</v>
      </c>
      <c r="R99">
        <f t="shared" si="22"/>
        <v>0.53166666666666629</v>
      </c>
      <c r="S99">
        <f t="shared" si="23"/>
        <v>0.4337500000000003</v>
      </c>
      <c r="U99">
        <f t="shared" si="24"/>
        <v>55.071212775140232</v>
      </c>
      <c r="AH99">
        <f t="shared" si="25"/>
        <v>12.636687242030696</v>
      </c>
      <c r="AI99">
        <f t="shared" si="26"/>
        <v>14.440466635667516</v>
      </c>
      <c r="AJ99">
        <f t="shared" si="27"/>
        <v>41.341533364332477</v>
      </c>
      <c r="AL99">
        <f t="shared" si="28"/>
        <v>53.164374484061391</v>
      </c>
      <c r="AM99">
        <f t="shared" si="29"/>
        <v>2.6176255159386059</v>
      </c>
    </row>
    <row r="100" spans="1:39" ht="16.5" x14ac:dyDescent="0.25">
      <c r="A100" s="1">
        <v>45555</v>
      </c>
      <c r="B100" s="5">
        <v>28.66</v>
      </c>
      <c r="C100" s="4">
        <v>28.76</v>
      </c>
      <c r="D100" s="4">
        <v>29.08</v>
      </c>
      <c r="E100" s="4">
        <v>28.52</v>
      </c>
      <c r="F100" s="4" t="s">
        <v>1203</v>
      </c>
      <c r="G100" s="2" t="s">
        <v>53</v>
      </c>
      <c r="I100">
        <f t="shared" si="16"/>
        <v>27.839999999999996</v>
      </c>
      <c r="J100">
        <f t="shared" si="17"/>
        <v>27.468000000000007</v>
      </c>
      <c r="L100">
        <f t="shared" si="18"/>
        <v>0</v>
      </c>
      <c r="M100">
        <f t="shared" si="19"/>
        <v>1</v>
      </c>
      <c r="O100">
        <f t="shared" si="20"/>
        <v>0</v>
      </c>
      <c r="P100">
        <f t="shared" si="21"/>
        <v>0.10000000000000142</v>
      </c>
      <c r="R100">
        <f t="shared" si="22"/>
        <v>0.53166666666666629</v>
      </c>
      <c r="S100">
        <f t="shared" si="23"/>
        <v>0.4650000000000003</v>
      </c>
      <c r="U100">
        <f t="shared" si="24"/>
        <v>53.344481605351142</v>
      </c>
      <c r="AH100">
        <f t="shared" si="25"/>
        <v>12.635110521498566</v>
      </c>
      <c r="AI100">
        <f t="shared" si="26"/>
        <v>14.389466635667514</v>
      </c>
      <c r="AJ100">
        <f t="shared" si="27"/>
        <v>41.290533364332475</v>
      </c>
      <c r="AL100">
        <f t="shared" si="28"/>
        <v>53.110221042997125</v>
      </c>
      <c r="AM100">
        <f t="shared" si="29"/>
        <v>2.569778957002864</v>
      </c>
    </row>
    <row r="101" spans="1:39" ht="16.5" x14ac:dyDescent="0.25">
      <c r="A101" s="1">
        <v>45554</v>
      </c>
      <c r="B101" s="5">
        <v>28.97</v>
      </c>
      <c r="C101" s="4">
        <v>28.34</v>
      </c>
      <c r="D101" s="4">
        <v>29.06</v>
      </c>
      <c r="E101" s="4">
        <v>28.17</v>
      </c>
      <c r="F101" s="4" t="s">
        <v>1189</v>
      </c>
      <c r="G101" s="2" t="s">
        <v>1602</v>
      </c>
      <c r="I101">
        <f t="shared" si="16"/>
        <v>27.8</v>
      </c>
      <c r="J101">
        <f t="shared" si="17"/>
        <v>27.438250000000011</v>
      </c>
      <c r="L101">
        <f t="shared" si="18"/>
        <v>1</v>
      </c>
      <c r="M101">
        <f t="shared" si="19"/>
        <v>0</v>
      </c>
      <c r="O101">
        <f t="shared" si="20"/>
        <v>0.62999999999999901</v>
      </c>
      <c r="P101">
        <f t="shared" si="21"/>
        <v>0</v>
      </c>
      <c r="R101">
        <f t="shared" si="22"/>
        <v>0.53166666666666629</v>
      </c>
      <c r="S101">
        <f t="shared" si="23"/>
        <v>0.47624999999999984</v>
      </c>
      <c r="U101">
        <f t="shared" si="24"/>
        <v>52.749069863579976</v>
      </c>
      <c r="AH101">
        <f t="shared" si="25"/>
        <v>12.633325205548019</v>
      </c>
      <c r="AI101">
        <f t="shared" si="26"/>
        <v>14.349466635667518</v>
      </c>
      <c r="AJ101">
        <f t="shared" si="27"/>
        <v>41.250533364332483</v>
      </c>
      <c r="AL101">
        <f t="shared" si="28"/>
        <v>53.066650411096035</v>
      </c>
      <c r="AM101">
        <f t="shared" si="29"/>
        <v>2.5333495889039632</v>
      </c>
    </row>
    <row r="102" spans="1:39" ht="16.5" x14ac:dyDescent="0.25">
      <c r="A102" s="1">
        <v>45553</v>
      </c>
      <c r="B102" s="5">
        <v>27.92</v>
      </c>
      <c r="C102" s="4">
        <v>27.51</v>
      </c>
      <c r="D102" s="4">
        <v>27.98</v>
      </c>
      <c r="E102" s="4">
        <v>27.33</v>
      </c>
      <c r="F102" s="4" t="s">
        <v>197</v>
      </c>
      <c r="G102" s="2" t="s">
        <v>939</v>
      </c>
      <c r="I102">
        <f t="shared" si="16"/>
        <v>27.737000000000002</v>
      </c>
      <c r="J102">
        <f t="shared" si="17"/>
        <v>27.402250000000009</v>
      </c>
      <c r="L102">
        <f t="shared" si="18"/>
        <v>1</v>
      </c>
      <c r="M102">
        <f t="shared" si="19"/>
        <v>0</v>
      </c>
      <c r="O102">
        <f t="shared" si="20"/>
        <v>0.41000000000000014</v>
      </c>
      <c r="P102">
        <f t="shared" si="21"/>
        <v>0</v>
      </c>
      <c r="R102">
        <f t="shared" si="22"/>
        <v>0.42833333333333279</v>
      </c>
      <c r="S102">
        <f t="shared" si="23"/>
        <v>0.47624999999999984</v>
      </c>
      <c r="U102">
        <f t="shared" si="24"/>
        <v>47.351450944265288</v>
      </c>
      <c r="AH102">
        <f t="shared" si="25"/>
        <v>12.631355209798594</v>
      </c>
      <c r="AI102">
        <f t="shared" si="26"/>
        <v>14.286466635667519</v>
      </c>
      <c r="AJ102">
        <f t="shared" si="27"/>
        <v>41.187533364332481</v>
      </c>
      <c r="AL102">
        <f t="shared" si="28"/>
        <v>52.999710419597193</v>
      </c>
      <c r="AM102">
        <f t="shared" si="29"/>
        <v>2.4742895804028144</v>
      </c>
    </row>
    <row r="103" spans="1:39" ht="16.5" x14ac:dyDescent="0.25">
      <c r="A103" s="1">
        <v>45552</v>
      </c>
      <c r="B103" s="5">
        <v>27.47</v>
      </c>
      <c r="C103" s="4">
        <v>26.78</v>
      </c>
      <c r="D103" s="4">
        <v>27.55</v>
      </c>
      <c r="E103" s="4">
        <v>26.75</v>
      </c>
      <c r="F103" s="4" t="s">
        <v>1448</v>
      </c>
      <c r="G103" s="2" t="s">
        <v>1655</v>
      </c>
      <c r="I103">
        <f t="shared" si="16"/>
        <v>27.746500000000005</v>
      </c>
      <c r="J103">
        <f t="shared" si="17"/>
        <v>27.378750000000007</v>
      </c>
      <c r="L103">
        <f t="shared" si="18"/>
        <v>1</v>
      </c>
      <c r="M103">
        <f t="shared" si="19"/>
        <v>0</v>
      </c>
      <c r="O103">
        <f t="shared" si="20"/>
        <v>0.68999999999999773</v>
      </c>
      <c r="P103">
        <f t="shared" si="21"/>
        <v>0</v>
      </c>
      <c r="R103">
        <f t="shared" si="22"/>
        <v>0.38333333333333225</v>
      </c>
      <c r="S103">
        <f t="shared" si="23"/>
        <v>0.47624999999999984</v>
      </c>
      <c r="U103">
        <f t="shared" si="24"/>
        <v>44.595249636451705</v>
      </c>
      <c r="AH103">
        <f t="shared" si="25"/>
        <v>12.629139964522773</v>
      </c>
      <c r="AI103">
        <f t="shared" si="26"/>
        <v>14.295966635667522</v>
      </c>
      <c r="AJ103">
        <f t="shared" si="27"/>
        <v>41.197033364332484</v>
      </c>
      <c r="AL103">
        <f t="shared" si="28"/>
        <v>53.004779929045554</v>
      </c>
      <c r="AM103">
        <f t="shared" si="29"/>
        <v>2.4882200709544584</v>
      </c>
    </row>
    <row r="104" spans="1:39" ht="16.5" x14ac:dyDescent="0.25">
      <c r="A104" s="1">
        <v>45551</v>
      </c>
      <c r="B104" s="5">
        <v>26.71</v>
      </c>
      <c r="C104" s="4">
        <v>27.08</v>
      </c>
      <c r="D104" s="4">
        <v>27.08</v>
      </c>
      <c r="E104" s="4">
        <v>26.5</v>
      </c>
      <c r="F104" s="4" t="s">
        <v>400</v>
      </c>
      <c r="G104" s="2" t="s">
        <v>1503</v>
      </c>
      <c r="I104">
        <f t="shared" si="16"/>
        <v>27.7865</v>
      </c>
      <c r="J104">
        <f t="shared" si="17"/>
        <v>27.366250000000008</v>
      </c>
      <c r="L104">
        <f t="shared" si="18"/>
        <v>0</v>
      </c>
      <c r="M104">
        <f t="shared" si="19"/>
        <v>1</v>
      </c>
      <c r="O104">
        <f t="shared" si="20"/>
        <v>0</v>
      </c>
      <c r="P104">
        <f t="shared" si="21"/>
        <v>0.36999999999999744</v>
      </c>
      <c r="R104">
        <f t="shared" si="22"/>
        <v>0.32199999999999918</v>
      </c>
      <c r="S104">
        <f t="shared" si="23"/>
        <v>0.42888888888888882</v>
      </c>
      <c r="U104">
        <f t="shared" si="24"/>
        <v>42.882509618230188</v>
      </c>
      <c r="AH104">
        <f t="shared" si="25"/>
        <v>12.626858376389418</v>
      </c>
      <c r="AI104">
        <f t="shared" si="26"/>
        <v>14.335966635667518</v>
      </c>
      <c r="AJ104">
        <f t="shared" si="27"/>
        <v>41.237033364332483</v>
      </c>
      <c r="AL104">
        <f t="shared" si="28"/>
        <v>53.040216752778832</v>
      </c>
      <c r="AM104">
        <f t="shared" si="29"/>
        <v>2.5327832472211647</v>
      </c>
    </row>
    <row r="105" spans="1:39" ht="16.5" x14ac:dyDescent="0.25">
      <c r="A105" s="1">
        <v>45548</v>
      </c>
      <c r="B105" s="5">
        <v>26.98</v>
      </c>
      <c r="C105" s="4">
        <v>26.89</v>
      </c>
      <c r="D105" s="4">
        <v>27.25</v>
      </c>
      <c r="E105" s="4">
        <v>26.8</v>
      </c>
      <c r="F105" s="4" t="s">
        <v>1555</v>
      </c>
      <c r="G105" s="2" t="s">
        <v>424</v>
      </c>
      <c r="I105">
        <f t="shared" si="16"/>
        <v>27.905000000000001</v>
      </c>
      <c r="J105">
        <f t="shared" si="17"/>
        <v>27.381250000000005</v>
      </c>
      <c r="L105">
        <f t="shared" si="18"/>
        <v>1</v>
      </c>
      <c r="M105">
        <f t="shared" si="19"/>
        <v>0</v>
      </c>
      <c r="O105">
        <f t="shared" si="20"/>
        <v>8.9999999999999858E-2</v>
      </c>
      <c r="P105">
        <f t="shared" si="21"/>
        <v>0</v>
      </c>
      <c r="R105">
        <f t="shared" si="22"/>
        <v>0.32199999999999918</v>
      </c>
      <c r="S105">
        <f t="shared" si="23"/>
        <v>0.38888888888888928</v>
      </c>
      <c r="U105">
        <f t="shared" si="24"/>
        <v>45.295404814004293</v>
      </c>
      <c r="AH105">
        <f t="shared" si="25"/>
        <v>12.624586614964553</v>
      </c>
      <c r="AI105">
        <f t="shared" si="26"/>
        <v>14.454466635667519</v>
      </c>
      <c r="AJ105">
        <f t="shared" si="27"/>
        <v>41.355533364332487</v>
      </c>
      <c r="AL105">
        <f t="shared" si="28"/>
        <v>53.154173229929107</v>
      </c>
      <c r="AM105">
        <f t="shared" si="29"/>
        <v>2.6558267700708953</v>
      </c>
    </row>
    <row r="106" spans="1:39" ht="16.5" x14ac:dyDescent="0.25">
      <c r="A106" s="1">
        <v>45547</v>
      </c>
      <c r="B106" s="5">
        <v>26.79</v>
      </c>
      <c r="C106" s="4">
        <v>27.3</v>
      </c>
      <c r="D106" s="4">
        <v>27.32</v>
      </c>
      <c r="E106" s="4">
        <v>26.7</v>
      </c>
      <c r="F106" s="4" t="s">
        <v>1408</v>
      </c>
      <c r="G106" s="2" t="s">
        <v>127</v>
      </c>
      <c r="I106">
        <f t="shared" si="16"/>
        <v>28.006</v>
      </c>
      <c r="J106">
        <f t="shared" si="17"/>
        <v>27.363250000000004</v>
      </c>
      <c r="L106">
        <f t="shared" si="18"/>
        <v>0</v>
      </c>
      <c r="M106">
        <f t="shared" si="19"/>
        <v>1</v>
      </c>
      <c r="O106">
        <f t="shared" si="20"/>
        <v>0</v>
      </c>
      <c r="P106">
        <f t="shared" si="21"/>
        <v>0.51000000000000156</v>
      </c>
      <c r="R106">
        <f t="shared" si="22"/>
        <v>0.37999999999999901</v>
      </c>
      <c r="S106">
        <f t="shared" si="23"/>
        <v>0.38400000000000034</v>
      </c>
      <c r="U106">
        <f t="shared" si="24"/>
        <v>49.73821989528787</v>
      </c>
      <c r="AH106">
        <f t="shared" si="25"/>
        <v>12.622522569038876</v>
      </c>
      <c r="AI106">
        <f t="shared" si="26"/>
        <v>14.555466635667518</v>
      </c>
      <c r="AJ106">
        <f t="shared" si="27"/>
        <v>41.456533364332486</v>
      </c>
      <c r="AL106">
        <f t="shared" si="28"/>
        <v>53.251045138077757</v>
      </c>
      <c r="AM106">
        <f t="shared" si="29"/>
        <v>2.7609548619222473</v>
      </c>
    </row>
    <row r="107" spans="1:39" ht="16.5" x14ac:dyDescent="0.25">
      <c r="A107" s="1">
        <v>45546</v>
      </c>
      <c r="B107" s="5">
        <v>27.01</v>
      </c>
      <c r="C107" s="4">
        <v>27.61</v>
      </c>
      <c r="D107" s="4">
        <v>27.63</v>
      </c>
      <c r="E107" s="4">
        <v>26.69</v>
      </c>
      <c r="F107" s="4" t="s">
        <v>1656</v>
      </c>
      <c r="G107" s="2" t="s">
        <v>1002</v>
      </c>
      <c r="I107">
        <f t="shared" si="16"/>
        <v>27.979999999999997</v>
      </c>
      <c r="J107">
        <f t="shared" si="17"/>
        <v>27.367750000000008</v>
      </c>
      <c r="L107">
        <f t="shared" si="18"/>
        <v>0</v>
      </c>
      <c r="M107">
        <f t="shared" si="19"/>
        <v>1</v>
      </c>
      <c r="O107">
        <f t="shared" si="20"/>
        <v>0</v>
      </c>
      <c r="P107">
        <f t="shared" si="21"/>
        <v>0.59999999999999787</v>
      </c>
      <c r="R107">
        <f t="shared" si="22"/>
        <v>0.30799999999999911</v>
      </c>
      <c r="S107">
        <f t="shared" si="23"/>
        <v>0.37000000000000022</v>
      </c>
      <c r="U107">
        <f t="shared" si="24"/>
        <v>45.427728613569236</v>
      </c>
      <c r="AH107">
        <f t="shared" si="25"/>
        <v>12.620622870875865</v>
      </c>
      <c r="AI107">
        <f t="shared" si="26"/>
        <v>14.529466635667514</v>
      </c>
      <c r="AJ107">
        <f t="shared" si="27"/>
        <v>41.430533364332476</v>
      </c>
      <c r="AL107">
        <f t="shared" si="28"/>
        <v>53.22124574175173</v>
      </c>
      <c r="AM107">
        <f t="shared" si="29"/>
        <v>2.7387542582482673</v>
      </c>
    </row>
    <row r="108" spans="1:39" ht="16.5" x14ac:dyDescent="0.25">
      <c r="A108" s="1">
        <v>45545</v>
      </c>
      <c r="B108" s="5">
        <v>27.61</v>
      </c>
      <c r="C108" s="4">
        <v>28.6</v>
      </c>
      <c r="D108" s="4">
        <v>28.65</v>
      </c>
      <c r="E108" s="4">
        <v>27.5</v>
      </c>
      <c r="F108" s="4" t="s">
        <v>1410</v>
      </c>
      <c r="G108" s="2" t="s">
        <v>1657</v>
      </c>
      <c r="I108">
        <f t="shared" si="16"/>
        <v>27.921000000000003</v>
      </c>
      <c r="J108">
        <f t="shared" si="17"/>
        <v>27.359500000000008</v>
      </c>
      <c r="L108">
        <f t="shared" si="18"/>
        <v>0</v>
      </c>
      <c r="M108">
        <f t="shared" si="19"/>
        <v>1</v>
      </c>
      <c r="O108">
        <f t="shared" si="20"/>
        <v>0</v>
      </c>
      <c r="P108">
        <f t="shared" si="21"/>
        <v>0.99000000000000199</v>
      </c>
      <c r="R108">
        <f t="shared" si="22"/>
        <v>0.30799999999999911</v>
      </c>
      <c r="S108">
        <f t="shared" si="23"/>
        <v>0.33666666666666717</v>
      </c>
      <c r="U108">
        <f t="shared" si="24"/>
        <v>47.776628748707232</v>
      </c>
      <c r="AH108">
        <f t="shared" si="25"/>
        <v>12.618568933970257</v>
      </c>
      <c r="AI108">
        <f t="shared" si="26"/>
        <v>14.47046663566752</v>
      </c>
      <c r="AJ108">
        <f t="shared" si="27"/>
        <v>41.371533364332485</v>
      </c>
      <c r="AL108">
        <f t="shared" si="28"/>
        <v>53.158137867940518</v>
      </c>
      <c r="AM108">
        <f t="shared" si="29"/>
        <v>2.6838621320594882</v>
      </c>
    </row>
    <row r="109" spans="1:39" ht="16.5" x14ac:dyDescent="0.25">
      <c r="A109" s="1">
        <v>45544</v>
      </c>
      <c r="B109" s="5">
        <v>28.68</v>
      </c>
      <c r="C109" s="4">
        <v>29.05</v>
      </c>
      <c r="D109" s="4">
        <v>29.25</v>
      </c>
      <c r="E109" s="4">
        <v>28.55</v>
      </c>
      <c r="F109" s="4" t="s">
        <v>1406</v>
      </c>
      <c r="G109" s="2" t="s">
        <v>792</v>
      </c>
      <c r="I109">
        <f t="shared" si="16"/>
        <v>27.840000000000003</v>
      </c>
      <c r="J109">
        <f t="shared" si="17"/>
        <v>27.320750000000004</v>
      </c>
      <c r="L109">
        <f t="shared" si="18"/>
        <v>0</v>
      </c>
      <c r="M109">
        <f t="shared" si="19"/>
        <v>1</v>
      </c>
      <c r="O109">
        <f t="shared" si="20"/>
        <v>0</v>
      </c>
      <c r="P109">
        <f t="shared" si="21"/>
        <v>0.37000000000000099</v>
      </c>
      <c r="R109">
        <f t="shared" si="22"/>
        <v>0.30799999999999911</v>
      </c>
      <c r="S109">
        <f t="shared" si="23"/>
        <v>0.22666666666666696</v>
      </c>
      <c r="U109">
        <f t="shared" si="24"/>
        <v>57.605985037406384</v>
      </c>
      <c r="AH109">
        <f t="shared" si="25"/>
        <v>12.616274433422278</v>
      </c>
      <c r="AI109">
        <f t="shared" si="26"/>
        <v>14.389466635667521</v>
      </c>
      <c r="AJ109">
        <f t="shared" si="27"/>
        <v>41.290533364332489</v>
      </c>
      <c r="AL109">
        <f t="shared" si="28"/>
        <v>53.072548866844556</v>
      </c>
      <c r="AM109">
        <f t="shared" si="29"/>
        <v>2.6074511331554469</v>
      </c>
    </row>
    <row r="110" spans="1:39" ht="16.5" x14ac:dyDescent="0.25">
      <c r="A110" s="1">
        <v>45541</v>
      </c>
      <c r="B110" s="5">
        <v>28.91</v>
      </c>
      <c r="C110" s="4">
        <v>29.29</v>
      </c>
      <c r="D110" s="4">
        <v>29.89</v>
      </c>
      <c r="E110" s="4">
        <v>28.91</v>
      </c>
      <c r="F110" s="4" t="s">
        <v>1658</v>
      </c>
      <c r="G110" s="2" t="s">
        <v>563</v>
      </c>
      <c r="I110">
        <f t="shared" si="16"/>
        <v>27.703999999999997</v>
      </c>
      <c r="J110">
        <f t="shared" si="17"/>
        <v>27.263500000000004</v>
      </c>
      <c r="L110">
        <f t="shared" si="18"/>
        <v>0</v>
      </c>
      <c r="M110">
        <f t="shared" si="19"/>
        <v>1</v>
      </c>
      <c r="O110">
        <f t="shared" si="20"/>
        <v>0</v>
      </c>
      <c r="P110">
        <f t="shared" si="21"/>
        <v>0.37999999999999901</v>
      </c>
      <c r="R110">
        <f t="shared" si="22"/>
        <v>0.30799999999999911</v>
      </c>
      <c r="S110">
        <f t="shared" si="23"/>
        <v>0.2600000000000004</v>
      </c>
      <c r="U110">
        <f t="shared" si="24"/>
        <v>54.225352112675949</v>
      </c>
      <c r="AH110">
        <f t="shared" si="25"/>
        <v>12.613678590246108</v>
      </c>
      <c r="AI110">
        <f t="shared" si="26"/>
        <v>14.253466635667515</v>
      </c>
      <c r="AJ110">
        <f t="shared" si="27"/>
        <v>41.15453336433248</v>
      </c>
      <c r="AL110">
        <f t="shared" si="28"/>
        <v>52.931357180492213</v>
      </c>
      <c r="AM110">
        <f t="shared" si="29"/>
        <v>2.4766428195077808</v>
      </c>
    </row>
    <row r="111" spans="1:39" ht="16.5" x14ac:dyDescent="0.25">
      <c r="A111" s="1">
        <v>45540</v>
      </c>
      <c r="B111" s="5">
        <v>28.98</v>
      </c>
      <c r="C111" s="4">
        <v>27.86</v>
      </c>
      <c r="D111" s="4">
        <v>29.49</v>
      </c>
      <c r="E111" s="4">
        <v>27.74</v>
      </c>
      <c r="F111" s="4" t="s">
        <v>1659</v>
      </c>
      <c r="G111" s="2" t="s">
        <v>1660</v>
      </c>
      <c r="I111">
        <f t="shared" si="16"/>
        <v>27.556999999999999</v>
      </c>
      <c r="J111">
        <f t="shared" si="17"/>
        <v>27.214000000000006</v>
      </c>
      <c r="L111">
        <f t="shared" si="18"/>
        <v>1</v>
      </c>
      <c r="M111">
        <f t="shared" si="19"/>
        <v>0</v>
      </c>
      <c r="O111">
        <f t="shared" si="20"/>
        <v>1.120000000000001</v>
      </c>
      <c r="P111">
        <f t="shared" si="21"/>
        <v>0</v>
      </c>
      <c r="R111">
        <f t="shared" si="22"/>
        <v>0.30799999999999911</v>
      </c>
      <c r="S111">
        <f t="shared" si="23"/>
        <v>0.23888888888888951</v>
      </c>
      <c r="U111">
        <f t="shared" si="24"/>
        <v>56.318569687118924</v>
      </c>
      <c r="AH111">
        <f t="shared" si="25"/>
        <v>12.610632213772384</v>
      </c>
      <c r="AI111">
        <f t="shared" si="26"/>
        <v>14.106466635667516</v>
      </c>
      <c r="AJ111">
        <f t="shared" si="27"/>
        <v>41.007533364332481</v>
      </c>
      <c r="AL111">
        <f t="shared" si="28"/>
        <v>52.778264427544769</v>
      </c>
      <c r="AM111">
        <f t="shared" si="29"/>
        <v>2.3357355724552313</v>
      </c>
    </row>
    <row r="112" spans="1:39" ht="16.5" x14ac:dyDescent="0.25">
      <c r="A112" s="1">
        <v>45539</v>
      </c>
      <c r="B112" s="5">
        <v>27.89</v>
      </c>
      <c r="C112" s="4">
        <v>27.64</v>
      </c>
      <c r="D112" s="4">
        <v>28.01</v>
      </c>
      <c r="E112" s="4">
        <v>27.38</v>
      </c>
      <c r="F112" s="4" t="s">
        <v>1377</v>
      </c>
      <c r="G112" s="2" t="s">
        <v>1076</v>
      </c>
      <c r="I112">
        <f t="shared" si="16"/>
        <v>27.425499999999992</v>
      </c>
      <c r="J112">
        <f t="shared" si="17"/>
        <v>27.1555</v>
      </c>
      <c r="L112">
        <f t="shared" si="18"/>
        <v>1</v>
      </c>
      <c r="M112">
        <f t="shared" si="19"/>
        <v>0</v>
      </c>
      <c r="O112">
        <f t="shared" si="20"/>
        <v>0.25</v>
      </c>
      <c r="P112">
        <f t="shared" si="21"/>
        <v>0</v>
      </c>
      <c r="R112">
        <f t="shared" si="22"/>
        <v>0.44399999999999906</v>
      </c>
      <c r="S112">
        <f t="shared" si="23"/>
        <v>0.23888888888888951</v>
      </c>
      <c r="U112">
        <f t="shared" si="24"/>
        <v>65.017897819720048</v>
      </c>
      <c r="AH112">
        <f t="shared" si="25"/>
        <v>12.607095900181843</v>
      </c>
      <c r="AI112">
        <f t="shared" si="26"/>
        <v>13.97496663566751</v>
      </c>
      <c r="AJ112">
        <f t="shared" si="27"/>
        <v>40.876033364332471</v>
      </c>
      <c r="AL112">
        <f t="shared" si="28"/>
        <v>52.639691800363678</v>
      </c>
      <c r="AM112">
        <f t="shared" si="29"/>
        <v>2.2113081996363064</v>
      </c>
    </row>
    <row r="113" spans="1:39" ht="16.5" x14ac:dyDescent="0.25">
      <c r="A113" s="1">
        <v>45538</v>
      </c>
      <c r="B113" s="5">
        <v>27.81</v>
      </c>
      <c r="C113" s="4">
        <v>28.21</v>
      </c>
      <c r="D113" s="4">
        <v>28.3</v>
      </c>
      <c r="E113" s="4">
        <v>27.69</v>
      </c>
      <c r="F113" s="4" t="s">
        <v>1523</v>
      </c>
      <c r="G113" s="2" t="s">
        <v>379</v>
      </c>
      <c r="I113">
        <f t="shared" si="16"/>
        <v>27.336499999999994</v>
      </c>
      <c r="J113">
        <f t="shared" si="17"/>
        <v>27.111499999999999</v>
      </c>
      <c r="L113">
        <f t="shared" si="18"/>
        <v>0</v>
      </c>
      <c r="M113">
        <f t="shared" si="19"/>
        <v>1</v>
      </c>
      <c r="O113">
        <f t="shared" si="20"/>
        <v>0</v>
      </c>
      <c r="P113">
        <f t="shared" si="21"/>
        <v>0.40000000000000213</v>
      </c>
      <c r="R113">
        <f t="shared" si="22"/>
        <v>0.44999999999999929</v>
      </c>
      <c r="S113">
        <f t="shared" si="23"/>
        <v>0.23888888888888951</v>
      </c>
      <c r="U113">
        <f t="shared" si="24"/>
        <v>65.322580645161196</v>
      </c>
      <c r="AH113">
        <f t="shared" si="25"/>
        <v>12.603099991553218</v>
      </c>
      <c r="AI113">
        <f t="shared" si="26"/>
        <v>13.885966635667511</v>
      </c>
      <c r="AJ113">
        <f t="shared" si="27"/>
        <v>40.787033364332473</v>
      </c>
      <c r="AL113">
        <f t="shared" si="28"/>
        <v>52.542699983106431</v>
      </c>
      <c r="AM113">
        <f t="shared" si="29"/>
        <v>2.1303000168935569</v>
      </c>
    </row>
    <row r="114" spans="1:39" ht="16.5" x14ac:dyDescent="0.25">
      <c r="A114" s="1">
        <v>45537</v>
      </c>
      <c r="B114" s="5">
        <v>28.03</v>
      </c>
      <c r="C114" s="4">
        <v>28.22</v>
      </c>
      <c r="D114" s="4">
        <v>28.25</v>
      </c>
      <c r="E114" s="4">
        <v>27.74</v>
      </c>
      <c r="F114" s="4" t="s">
        <v>259</v>
      </c>
      <c r="G114" s="2" t="s">
        <v>1058</v>
      </c>
      <c r="I114">
        <f t="shared" si="16"/>
        <v>27.212</v>
      </c>
      <c r="J114">
        <f t="shared" si="17"/>
        <v>27.05</v>
      </c>
      <c r="L114">
        <f t="shared" si="18"/>
        <v>0</v>
      </c>
      <c r="M114">
        <f t="shared" si="19"/>
        <v>1</v>
      </c>
      <c r="O114">
        <f t="shared" si="20"/>
        <v>0</v>
      </c>
      <c r="P114">
        <f t="shared" si="21"/>
        <v>0.18999999999999773</v>
      </c>
      <c r="R114">
        <f t="shared" si="22"/>
        <v>0.44999999999999929</v>
      </c>
      <c r="S114">
        <f t="shared" si="23"/>
        <v>0.21888888888888955</v>
      </c>
      <c r="U114">
        <f t="shared" si="24"/>
        <v>67.275747508305557</v>
      </c>
      <c r="AH114">
        <f t="shared" si="25"/>
        <v>12.598750277030687</v>
      </c>
      <c r="AI114">
        <f t="shared" si="26"/>
        <v>13.761466635667517</v>
      </c>
      <c r="AJ114">
        <f t="shared" si="27"/>
        <v>40.662533364332482</v>
      </c>
      <c r="AL114">
        <f t="shared" si="28"/>
        <v>52.409500554061374</v>
      </c>
      <c r="AM114">
        <f t="shared" si="29"/>
        <v>2.0144994459386254</v>
      </c>
    </row>
    <row r="115" spans="1:39" ht="16.5" x14ac:dyDescent="0.25">
      <c r="A115" s="1">
        <v>45534</v>
      </c>
      <c r="B115" s="5">
        <v>27.86</v>
      </c>
      <c r="C115" s="4">
        <v>27.85</v>
      </c>
      <c r="D115" s="4">
        <v>28.07</v>
      </c>
      <c r="E115" s="4">
        <v>27.8</v>
      </c>
      <c r="F115" s="4" t="s">
        <v>726</v>
      </c>
      <c r="G115" s="2" t="s">
        <v>1024</v>
      </c>
      <c r="I115">
        <f t="shared" si="16"/>
        <v>27.157500000000006</v>
      </c>
      <c r="J115">
        <f t="shared" si="17"/>
        <v>27.000749999999993</v>
      </c>
      <c r="L115">
        <f t="shared" si="18"/>
        <v>1</v>
      </c>
      <c r="M115">
        <f t="shared" si="19"/>
        <v>0</v>
      </c>
      <c r="O115">
        <f t="shared" si="20"/>
        <v>9.9999999999980105E-3</v>
      </c>
      <c r="P115">
        <f t="shared" si="21"/>
        <v>0</v>
      </c>
      <c r="R115">
        <f t="shared" si="22"/>
        <v>0.44999999999999929</v>
      </c>
      <c r="S115">
        <f t="shared" si="23"/>
        <v>0.20444444444444562</v>
      </c>
      <c r="U115">
        <f t="shared" si="24"/>
        <v>68.760611205432781</v>
      </c>
      <c r="AH115">
        <f t="shared" si="25"/>
        <v>12.593941940129151</v>
      </c>
      <c r="AI115">
        <f t="shared" si="26"/>
        <v>13.706966635667523</v>
      </c>
      <c r="AJ115">
        <f t="shared" si="27"/>
        <v>40.608033364332485</v>
      </c>
      <c r="AL115">
        <f t="shared" si="28"/>
        <v>52.345383880258311</v>
      </c>
      <c r="AM115">
        <f t="shared" si="29"/>
        <v>1.9696161197417048</v>
      </c>
    </row>
    <row r="116" spans="1:39" ht="16.5" x14ac:dyDescent="0.25">
      <c r="A116" s="1">
        <v>45533</v>
      </c>
      <c r="B116" s="5">
        <v>27.81</v>
      </c>
      <c r="C116" s="4">
        <v>27.67</v>
      </c>
      <c r="D116" s="4">
        <v>28.3</v>
      </c>
      <c r="E116" s="4">
        <v>27.61</v>
      </c>
      <c r="F116" s="4" t="s">
        <v>349</v>
      </c>
      <c r="G116" s="2" t="s">
        <v>1071</v>
      </c>
      <c r="I116">
        <f t="shared" si="16"/>
        <v>27.131999999999998</v>
      </c>
      <c r="J116">
        <f t="shared" si="17"/>
        <v>26.958499999999994</v>
      </c>
      <c r="L116">
        <f t="shared" si="18"/>
        <v>1</v>
      </c>
      <c r="M116">
        <f t="shared" si="19"/>
        <v>0</v>
      </c>
      <c r="O116">
        <f t="shared" si="20"/>
        <v>0.13999999999999702</v>
      </c>
      <c r="P116">
        <f t="shared" si="21"/>
        <v>0</v>
      </c>
      <c r="R116">
        <f t="shared" si="22"/>
        <v>0.55999999999999961</v>
      </c>
      <c r="S116">
        <f t="shared" si="23"/>
        <v>0.18800000000000097</v>
      </c>
      <c r="U116">
        <f t="shared" si="24"/>
        <v>74.866310160427702</v>
      </c>
      <c r="AH116">
        <f t="shared" si="25"/>
        <v>12.588860678279996</v>
      </c>
      <c r="AI116">
        <f t="shared" si="26"/>
        <v>13.681466635667515</v>
      </c>
      <c r="AJ116">
        <f t="shared" si="27"/>
        <v>40.582533364332477</v>
      </c>
      <c r="AL116">
        <f t="shared" si="28"/>
        <v>52.30972135655999</v>
      </c>
      <c r="AM116">
        <f t="shared" si="29"/>
        <v>1.9542786434400057</v>
      </c>
    </row>
    <row r="117" spans="1:39" ht="16.5" x14ac:dyDescent="0.25">
      <c r="A117" s="1">
        <v>45532</v>
      </c>
      <c r="B117" s="5">
        <v>27.61</v>
      </c>
      <c r="C117" s="4">
        <v>27.66</v>
      </c>
      <c r="D117" s="4">
        <v>27.7</v>
      </c>
      <c r="E117" s="4">
        <v>27.32</v>
      </c>
      <c r="F117" s="4" t="s">
        <v>107</v>
      </c>
      <c r="G117" s="2" t="s">
        <v>463</v>
      </c>
      <c r="I117">
        <f t="shared" si="16"/>
        <v>27.105</v>
      </c>
      <c r="J117">
        <f t="shared" si="17"/>
        <v>26.91825</v>
      </c>
      <c r="L117">
        <f t="shared" si="18"/>
        <v>0</v>
      </c>
      <c r="M117">
        <f t="shared" si="19"/>
        <v>1</v>
      </c>
      <c r="O117">
        <f t="shared" si="20"/>
        <v>0</v>
      </c>
      <c r="P117">
        <f t="shared" si="21"/>
        <v>5.0000000000000711E-2</v>
      </c>
      <c r="R117">
        <f t="shared" si="22"/>
        <v>0.70000000000000051</v>
      </c>
      <c r="S117">
        <f t="shared" si="23"/>
        <v>0.20272727272727373</v>
      </c>
      <c r="U117">
        <f t="shared" si="24"/>
        <v>77.542799597180192</v>
      </c>
      <c r="AH117">
        <f t="shared" si="25"/>
        <v>12.583583338631147</v>
      </c>
      <c r="AI117">
        <f t="shared" si="26"/>
        <v>13.654466635667518</v>
      </c>
      <c r="AJ117">
        <f t="shared" si="27"/>
        <v>40.555533364332483</v>
      </c>
      <c r="AL117">
        <f t="shared" si="28"/>
        <v>52.272166677262291</v>
      </c>
      <c r="AM117">
        <f t="shared" si="29"/>
        <v>1.9378333227377063</v>
      </c>
    </row>
    <row r="118" spans="1:39" ht="16.5" x14ac:dyDescent="0.25">
      <c r="A118" s="1">
        <v>45531</v>
      </c>
      <c r="B118" s="5">
        <v>27.54</v>
      </c>
      <c r="C118" s="4">
        <v>27.55</v>
      </c>
      <c r="D118" s="4">
        <v>27.72</v>
      </c>
      <c r="E118" s="4">
        <v>27.45</v>
      </c>
      <c r="F118" s="4" t="s">
        <v>288</v>
      </c>
      <c r="G118" s="2" t="s">
        <v>226</v>
      </c>
      <c r="I118">
        <f t="shared" si="16"/>
        <v>27.099499999999999</v>
      </c>
      <c r="J118">
        <f t="shared" si="17"/>
        <v>26.883749999999992</v>
      </c>
      <c r="L118">
        <f t="shared" si="18"/>
        <v>0</v>
      </c>
      <c r="M118">
        <f t="shared" si="19"/>
        <v>1</v>
      </c>
      <c r="O118">
        <f t="shared" si="20"/>
        <v>0</v>
      </c>
      <c r="P118">
        <f t="shared" si="21"/>
        <v>1.0000000000001563E-2</v>
      </c>
      <c r="R118">
        <f t="shared" si="22"/>
        <v>0.61250000000000071</v>
      </c>
      <c r="S118">
        <f t="shared" si="23"/>
        <v>0.21800000000000103</v>
      </c>
      <c r="U118">
        <f t="shared" si="24"/>
        <v>73.750752558699503</v>
      </c>
      <c r="AH118">
        <f t="shared" si="25"/>
        <v>12.578102665421182</v>
      </c>
      <c r="AI118">
        <f t="shared" si="26"/>
        <v>13.648966635667517</v>
      </c>
      <c r="AJ118">
        <f t="shared" si="27"/>
        <v>40.550033364332478</v>
      </c>
      <c r="AL118">
        <f t="shared" si="28"/>
        <v>52.25570533084236</v>
      </c>
      <c r="AM118">
        <f t="shared" si="29"/>
        <v>1.943294669157634</v>
      </c>
    </row>
    <row r="119" spans="1:39" ht="16.5" x14ac:dyDescent="0.25">
      <c r="A119" s="1">
        <v>45530</v>
      </c>
      <c r="B119" s="5">
        <v>27.56</v>
      </c>
      <c r="C119" s="4">
        <v>27.9</v>
      </c>
      <c r="D119" s="4">
        <v>27.9</v>
      </c>
      <c r="E119" s="4">
        <v>27.51</v>
      </c>
      <c r="F119" s="4" t="s">
        <v>286</v>
      </c>
      <c r="G119" s="2" t="s">
        <v>82</v>
      </c>
      <c r="I119">
        <f t="shared" si="16"/>
        <v>27.102500000000003</v>
      </c>
      <c r="J119">
        <f t="shared" si="17"/>
        <v>26.841499999999989</v>
      </c>
      <c r="L119">
        <f t="shared" si="18"/>
        <v>0</v>
      </c>
      <c r="M119">
        <f t="shared" si="19"/>
        <v>1</v>
      </c>
      <c r="O119">
        <f t="shared" si="20"/>
        <v>0</v>
      </c>
      <c r="P119">
        <f t="shared" si="21"/>
        <v>0.33999999999999986</v>
      </c>
      <c r="R119">
        <f t="shared" si="22"/>
        <v>0.58200000000000074</v>
      </c>
      <c r="S119">
        <f t="shared" si="23"/>
        <v>0.24111111111111208</v>
      </c>
      <c r="U119">
        <f t="shared" si="24"/>
        <v>70.707343412526939</v>
      </c>
      <c r="AH119">
        <f t="shared" si="25"/>
        <v>12.572476700015734</v>
      </c>
      <c r="AI119">
        <f t="shared" si="26"/>
        <v>13.65196663566752</v>
      </c>
      <c r="AJ119">
        <f t="shared" si="27"/>
        <v>40.553033364332485</v>
      </c>
      <c r="AL119">
        <f t="shared" si="28"/>
        <v>52.247453400031475</v>
      </c>
      <c r="AM119">
        <f t="shared" si="29"/>
        <v>1.9575465999685342</v>
      </c>
    </row>
    <row r="120" spans="1:39" ht="16.5" x14ac:dyDescent="0.25">
      <c r="A120" s="1">
        <v>45527</v>
      </c>
      <c r="B120" s="5">
        <v>27.86</v>
      </c>
      <c r="C120" s="4">
        <v>27.84</v>
      </c>
      <c r="D120" s="4">
        <v>28.02</v>
      </c>
      <c r="E120" s="4">
        <v>27.69</v>
      </c>
      <c r="F120" s="4" t="s">
        <v>204</v>
      </c>
      <c r="G120" s="2" t="s">
        <v>696</v>
      </c>
      <c r="I120">
        <f t="shared" si="16"/>
        <v>27.095999999999997</v>
      </c>
      <c r="J120">
        <f t="shared" si="17"/>
        <v>26.806749999999994</v>
      </c>
      <c r="L120">
        <f t="shared" si="18"/>
        <v>1</v>
      </c>
      <c r="M120">
        <f t="shared" si="19"/>
        <v>0</v>
      </c>
      <c r="O120">
        <f t="shared" si="20"/>
        <v>1.9999999999999574E-2</v>
      </c>
      <c r="P120">
        <f t="shared" si="21"/>
        <v>0</v>
      </c>
      <c r="R120">
        <f t="shared" si="22"/>
        <v>0.58200000000000074</v>
      </c>
      <c r="S120">
        <f t="shared" si="23"/>
        <v>0.35111111111111193</v>
      </c>
      <c r="U120">
        <f t="shared" si="24"/>
        <v>62.371993331745628</v>
      </c>
      <c r="AH120">
        <f t="shared" si="25"/>
        <v>12.566727654153741</v>
      </c>
      <c r="AI120">
        <f t="shared" si="26"/>
        <v>13.645466635667514</v>
      </c>
      <c r="AJ120">
        <f t="shared" si="27"/>
        <v>40.546533364332475</v>
      </c>
      <c r="AL120">
        <f t="shared" si="28"/>
        <v>52.229455308307479</v>
      </c>
      <c r="AM120">
        <f t="shared" si="29"/>
        <v>1.9625446916925142</v>
      </c>
    </row>
    <row r="121" spans="1:39" ht="16.5" x14ac:dyDescent="0.25">
      <c r="A121" s="1">
        <v>45526</v>
      </c>
      <c r="B121" s="5">
        <v>27.71</v>
      </c>
      <c r="C121" s="4">
        <v>28.01</v>
      </c>
      <c r="D121" s="4">
        <v>28.08</v>
      </c>
      <c r="E121" s="4">
        <v>27.67</v>
      </c>
      <c r="F121" s="4" t="s">
        <v>97</v>
      </c>
      <c r="G121" s="2" t="s">
        <v>727</v>
      </c>
      <c r="I121">
        <f t="shared" si="16"/>
        <v>27.076500000000003</v>
      </c>
      <c r="J121">
        <f t="shared" si="17"/>
        <v>26.769749999999998</v>
      </c>
      <c r="L121">
        <f t="shared" si="18"/>
        <v>0</v>
      </c>
      <c r="M121">
        <f t="shared" si="19"/>
        <v>1</v>
      </c>
      <c r="O121">
        <f t="shared" si="20"/>
        <v>0</v>
      </c>
      <c r="P121">
        <f t="shared" si="21"/>
        <v>0.30000000000000071</v>
      </c>
      <c r="R121">
        <f t="shared" si="22"/>
        <v>0.72250000000000103</v>
      </c>
      <c r="S121">
        <f t="shared" si="23"/>
        <v>0.34200000000000053</v>
      </c>
      <c r="U121">
        <f t="shared" si="24"/>
        <v>67.872240488492253</v>
      </c>
      <c r="AH121">
        <f t="shared" si="25"/>
        <v>12.56082648688823</v>
      </c>
      <c r="AI121">
        <f t="shared" si="26"/>
        <v>13.62596663566752</v>
      </c>
      <c r="AJ121">
        <f t="shared" si="27"/>
        <v>40.527033364332482</v>
      </c>
      <c r="AL121">
        <f t="shared" si="28"/>
        <v>52.198152973776459</v>
      </c>
      <c r="AM121">
        <f t="shared" si="29"/>
        <v>1.9548470262235433</v>
      </c>
    </row>
    <row r="122" spans="1:39" ht="16.5" x14ac:dyDescent="0.25">
      <c r="A122" s="1">
        <v>45525</v>
      </c>
      <c r="B122" s="5">
        <v>28.11</v>
      </c>
      <c r="C122" s="4">
        <v>28.11</v>
      </c>
      <c r="D122" s="4">
        <v>28.32</v>
      </c>
      <c r="E122" s="4">
        <v>27.95</v>
      </c>
      <c r="F122" s="4" t="s">
        <v>77</v>
      </c>
      <c r="G122" s="2" t="s">
        <v>313</v>
      </c>
      <c r="I122">
        <f t="shared" si="16"/>
        <v>27.067500000000003</v>
      </c>
      <c r="J122">
        <f t="shared" si="17"/>
        <v>26.729749999999996</v>
      </c>
      <c r="L122">
        <f t="shared" si="18"/>
        <v>0</v>
      </c>
      <c r="M122">
        <f t="shared" si="19"/>
        <v>1</v>
      </c>
      <c r="O122">
        <f t="shared" si="20"/>
        <v>0</v>
      </c>
      <c r="P122">
        <f t="shared" si="21"/>
        <v>0</v>
      </c>
      <c r="R122">
        <f t="shared" si="22"/>
        <v>0.6160000000000011</v>
      </c>
      <c r="S122">
        <f t="shared" si="23"/>
        <v>0.34666666666666718</v>
      </c>
      <c r="U122">
        <f t="shared" si="24"/>
        <v>63.988919667590039</v>
      </c>
      <c r="AH122">
        <f t="shared" si="25"/>
        <v>12.554733375775669</v>
      </c>
      <c r="AI122">
        <f t="shared" si="26"/>
        <v>13.61696663566752</v>
      </c>
      <c r="AJ122">
        <f t="shared" si="27"/>
        <v>40.518033364332481</v>
      </c>
      <c r="AL122">
        <f t="shared" si="28"/>
        <v>52.17696675155134</v>
      </c>
      <c r="AM122">
        <f t="shared" si="29"/>
        <v>1.9580332484486647</v>
      </c>
    </row>
    <row r="123" spans="1:39" ht="16.5" x14ac:dyDescent="0.25">
      <c r="A123" s="1">
        <v>45524</v>
      </c>
      <c r="B123" s="5">
        <v>28.27</v>
      </c>
      <c r="C123" s="4">
        <v>28.94</v>
      </c>
      <c r="D123" s="4">
        <v>28.98</v>
      </c>
      <c r="E123" s="4">
        <v>28.16</v>
      </c>
      <c r="F123" s="4" t="s">
        <v>1470</v>
      </c>
      <c r="G123" s="2" t="s">
        <v>1661</v>
      </c>
      <c r="I123">
        <f t="shared" si="16"/>
        <v>27.011000000000003</v>
      </c>
      <c r="J123">
        <f t="shared" si="17"/>
        <v>26.676749999999991</v>
      </c>
      <c r="L123">
        <f t="shared" si="18"/>
        <v>0</v>
      </c>
      <c r="M123">
        <f t="shared" si="19"/>
        <v>1</v>
      </c>
      <c r="O123">
        <f t="shared" si="20"/>
        <v>0</v>
      </c>
      <c r="P123">
        <f t="shared" si="21"/>
        <v>0.67000000000000171</v>
      </c>
      <c r="R123">
        <f t="shared" si="22"/>
        <v>0.52833333333333421</v>
      </c>
      <c r="S123">
        <f t="shared" si="23"/>
        <v>0.39000000000000057</v>
      </c>
      <c r="U123">
        <f t="shared" si="24"/>
        <v>57.531760435571698</v>
      </c>
      <c r="AH123">
        <f t="shared" si="25"/>
        <v>12.548475981247309</v>
      </c>
      <c r="AI123">
        <f t="shared" si="26"/>
        <v>13.56046663566752</v>
      </c>
      <c r="AJ123">
        <f t="shared" si="27"/>
        <v>40.461533364332482</v>
      </c>
      <c r="AL123">
        <f t="shared" si="28"/>
        <v>52.107951962494624</v>
      </c>
      <c r="AM123">
        <f t="shared" si="29"/>
        <v>1.9140480375053848</v>
      </c>
    </row>
    <row r="124" spans="1:39" ht="16.5" x14ac:dyDescent="0.25">
      <c r="A124" s="1">
        <v>45523</v>
      </c>
      <c r="B124" s="5">
        <v>29.08</v>
      </c>
      <c r="C124" s="4">
        <v>29.27</v>
      </c>
      <c r="D124" s="4">
        <v>29.56</v>
      </c>
      <c r="E124" s="4">
        <v>28.94</v>
      </c>
      <c r="F124" s="4" t="s">
        <v>1523</v>
      </c>
      <c r="G124" s="2" t="s">
        <v>1076</v>
      </c>
      <c r="I124">
        <f t="shared" si="16"/>
        <v>26.946000000000005</v>
      </c>
      <c r="J124">
        <f t="shared" si="17"/>
        <v>26.623749999999994</v>
      </c>
      <c r="L124">
        <f t="shared" si="18"/>
        <v>0</v>
      </c>
      <c r="M124">
        <f t="shared" si="19"/>
        <v>1</v>
      </c>
      <c r="O124">
        <f t="shared" si="20"/>
        <v>0</v>
      </c>
      <c r="P124">
        <f t="shared" si="21"/>
        <v>0.19000000000000128</v>
      </c>
      <c r="R124">
        <f t="shared" si="22"/>
        <v>0.52833333333333421</v>
      </c>
      <c r="S124">
        <f t="shared" si="23"/>
        <v>0.3412500000000005</v>
      </c>
      <c r="U124">
        <f t="shared" si="24"/>
        <v>60.757067561092484</v>
      </c>
      <c r="AH124">
        <f t="shared" si="25"/>
        <v>12.541912511462652</v>
      </c>
      <c r="AI124">
        <f t="shared" si="26"/>
        <v>13.495466635667523</v>
      </c>
      <c r="AJ124">
        <f t="shared" si="27"/>
        <v>40.396533364332484</v>
      </c>
      <c r="AL124">
        <f t="shared" si="28"/>
        <v>52.029825022925309</v>
      </c>
      <c r="AM124">
        <f t="shared" si="29"/>
        <v>1.8621749770747016</v>
      </c>
    </row>
    <row r="125" spans="1:39" ht="16.5" x14ac:dyDescent="0.25">
      <c r="A125" s="1">
        <v>45520</v>
      </c>
      <c r="B125" s="5">
        <v>29</v>
      </c>
      <c r="C125" s="4">
        <v>27.2</v>
      </c>
      <c r="D125" s="4">
        <v>29.74</v>
      </c>
      <c r="E125" s="4">
        <v>27.2</v>
      </c>
      <c r="F125" s="4" t="s">
        <v>1662</v>
      </c>
      <c r="G125" s="2" t="s">
        <v>1663</v>
      </c>
      <c r="I125">
        <f t="shared" si="16"/>
        <v>26.857499999999998</v>
      </c>
      <c r="J125">
        <f t="shared" si="17"/>
        <v>26.56325</v>
      </c>
      <c r="L125">
        <f t="shared" si="18"/>
        <v>1</v>
      </c>
      <c r="M125">
        <f t="shared" si="19"/>
        <v>0</v>
      </c>
      <c r="O125">
        <f t="shared" si="20"/>
        <v>1.8000000000000007</v>
      </c>
      <c r="P125">
        <f t="shared" si="21"/>
        <v>0</v>
      </c>
      <c r="R125">
        <f t="shared" si="22"/>
        <v>0.46571428571428647</v>
      </c>
      <c r="S125">
        <f t="shared" si="23"/>
        <v>0.36285714285714327</v>
      </c>
      <c r="U125">
        <f t="shared" si="24"/>
        <v>56.206896551724142</v>
      </c>
      <c r="AH125">
        <f t="shared" si="25"/>
        <v>12.535012385505041</v>
      </c>
      <c r="AI125">
        <f t="shared" si="26"/>
        <v>13.406966635667516</v>
      </c>
      <c r="AJ125">
        <f t="shared" si="27"/>
        <v>40.308033364332481</v>
      </c>
      <c r="AL125">
        <f t="shared" si="28"/>
        <v>51.927524771010084</v>
      </c>
      <c r="AM125">
        <f t="shared" si="29"/>
        <v>1.7874752289899156</v>
      </c>
    </row>
    <row r="126" spans="1:39" ht="16.5" x14ac:dyDescent="0.25">
      <c r="A126" s="1">
        <v>45519</v>
      </c>
      <c r="B126" s="5">
        <v>26.27</v>
      </c>
      <c r="C126" s="4">
        <v>25.99</v>
      </c>
      <c r="D126" s="4">
        <v>26.27</v>
      </c>
      <c r="E126" s="4">
        <v>25.89</v>
      </c>
      <c r="F126" s="4" t="s">
        <v>1529</v>
      </c>
      <c r="G126" s="2" t="s">
        <v>34</v>
      </c>
      <c r="I126">
        <f t="shared" si="16"/>
        <v>26.720500000000005</v>
      </c>
      <c r="J126">
        <f t="shared" si="17"/>
        <v>26.488250000000001</v>
      </c>
      <c r="L126">
        <f t="shared" si="18"/>
        <v>1</v>
      </c>
      <c r="M126">
        <f t="shared" si="19"/>
        <v>0</v>
      </c>
      <c r="O126">
        <f t="shared" si="20"/>
        <v>0.28000000000000114</v>
      </c>
      <c r="P126">
        <f t="shared" si="21"/>
        <v>0</v>
      </c>
      <c r="R126">
        <f t="shared" si="22"/>
        <v>0.24333333333333407</v>
      </c>
      <c r="S126">
        <f t="shared" si="23"/>
        <v>0.35625000000000018</v>
      </c>
      <c r="U126">
        <f t="shared" si="24"/>
        <v>40.583738707435785</v>
      </c>
      <c r="AH126">
        <f t="shared" si="25"/>
        <v>12.52769902891721</v>
      </c>
      <c r="AI126">
        <f t="shared" si="26"/>
        <v>13.269966635667522</v>
      </c>
      <c r="AJ126">
        <f t="shared" si="27"/>
        <v>40.171033364332487</v>
      </c>
      <c r="AL126">
        <f t="shared" si="28"/>
        <v>51.775898057834425</v>
      </c>
      <c r="AM126">
        <f t="shared" si="29"/>
        <v>1.6651019421655846</v>
      </c>
    </row>
    <row r="127" spans="1:39" ht="16.5" x14ac:dyDescent="0.25">
      <c r="A127" s="1">
        <v>45518</v>
      </c>
      <c r="B127" s="5">
        <v>25.83</v>
      </c>
      <c r="C127" s="4">
        <v>26.05</v>
      </c>
      <c r="D127" s="4">
        <v>26.19</v>
      </c>
      <c r="E127" s="4">
        <v>25.69</v>
      </c>
      <c r="F127" s="4" t="s">
        <v>99</v>
      </c>
      <c r="G127" s="2" t="s">
        <v>1565</v>
      </c>
      <c r="I127">
        <f t="shared" si="16"/>
        <v>26.755500000000001</v>
      </c>
      <c r="J127">
        <f t="shared" si="17"/>
        <v>26.481499999999993</v>
      </c>
      <c r="L127">
        <f t="shared" si="18"/>
        <v>0</v>
      </c>
      <c r="M127">
        <f t="shared" si="19"/>
        <v>1</v>
      </c>
      <c r="O127">
        <f t="shared" si="20"/>
        <v>0</v>
      </c>
      <c r="P127">
        <f t="shared" si="21"/>
        <v>0.22000000000000242</v>
      </c>
      <c r="R127">
        <f t="shared" si="22"/>
        <v>0.23600000000000065</v>
      </c>
      <c r="S127">
        <f t="shared" si="23"/>
        <v>0.32666666666666683</v>
      </c>
      <c r="U127">
        <f t="shared" si="24"/>
        <v>41.943127962085363</v>
      </c>
      <c r="AH127">
        <f t="shared" si="25"/>
        <v>12.519816859204376</v>
      </c>
      <c r="AI127">
        <f t="shared" si="26"/>
        <v>13.304966635667519</v>
      </c>
      <c r="AJ127">
        <f t="shared" si="27"/>
        <v>40.206033364332484</v>
      </c>
      <c r="AL127">
        <f t="shared" si="28"/>
        <v>51.795133718408749</v>
      </c>
      <c r="AM127">
        <f t="shared" si="29"/>
        <v>1.71586628159125</v>
      </c>
    </row>
    <row r="128" spans="1:39" ht="16.5" x14ac:dyDescent="0.25">
      <c r="A128" s="1">
        <v>45517</v>
      </c>
      <c r="B128" s="5">
        <v>25.99</v>
      </c>
      <c r="C128" s="4">
        <v>26.05</v>
      </c>
      <c r="D128" s="4">
        <v>26.12</v>
      </c>
      <c r="E128" s="4">
        <v>25.7</v>
      </c>
      <c r="F128" s="4" t="s">
        <v>1383</v>
      </c>
      <c r="G128" s="2" t="s">
        <v>180</v>
      </c>
      <c r="I128">
        <f t="shared" si="16"/>
        <v>26.797999999999995</v>
      </c>
      <c r="J128">
        <f t="shared" si="17"/>
        <v>26.476249999999993</v>
      </c>
      <c r="L128">
        <f t="shared" si="18"/>
        <v>0</v>
      </c>
      <c r="M128">
        <f t="shared" si="19"/>
        <v>1</v>
      </c>
      <c r="O128">
        <f t="shared" si="20"/>
        <v>0</v>
      </c>
      <c r="P128">
        <f t="shared" si="21"/>
        <v>6.0000000000002274E-2</v>
      </c>
      <c r="R128">
        <f t="shared" si="22"/>
        <v>0.27666666666666728</v>
      </c>
      <c r="S128">
        <f t="shared" si="23"/>
        <v>0.33999999999999986</v>
      </c>
      <c r="U128">
        <f t="shared" si="24"/>
        <v>44.864864864864927</v>
      </c>
      <c r="AH128">
        <f t="shared" si="25"/>
        <v>12.511881439623398</v>
      </c>
      <c r="AI128">
        <f t="shared" si="26"/>
        <v>13.347466635667512</v>
      </c>
      <c r="AJ128">
        <f t="shared" si="27"/>
        <v>40.248533364332474</v>
      </c>
      <c r="AL128">
        <f t="shared" si="28"/>
        <v>51.821762879246791</v>
      </c>
      <c r="AM128">
        <f t="shared" si="29"/>
        <v>1.7742371207531988</v>
      </c>
    </row>
    <row r="129" spans="1:39" ht="16.5" x14ac:dyDescent="0.25">
      <c r="A129" s="1">
        <v>45516</v>
      </c>
      <c r="B129" s="5">
        <v>25.96</v>
      </c>
      <c r="C129" s="4">
        <v>26</v>
      </c>
      <c r="D129" s="4">
        <v>26.28</v>
      </c>
      <c r="E129" s="4">
        <v>25.81</v>
      </c>
      <c r="F129" s="4" t="s">
        <v>492</v>
      </c>
      <c r="G129" s="2" t="s">
        <v>231</v>
      </c>
      <c r="I129">
        <f t="shared" si="16"/>
        <v>26.801499999999997</v>
      </c>
      <c r="J129">
        <f t="shared" si="17"/>
        <v>26.479999999999997</v>
      </c>
      <c r="L129">
        <f t="shared" si="18"/>
        <v>0</v>
      </c>
      <c r="M129">
        <f t="shared" si="19"/>
        <v>1</v>
      </c>
      <c r="O129">
        <f t="shared" si="20"/>
        <v>0</v>
      </c>
      <c r="P129">
        <f t="shared" si="21"/>
        <v>3.9999999999999147E-2</v>
      </c>
      <c r="R129">
        <f t="shared" si="22"/>
        <v>0.29571428571428626</v>
      </c>
      <c r="S129">
        <f t="shared" si="23"/>
        <v>0.3799999999999995</v>
      </c>
      <c r="U129">
        <f t="shared" si="24"/>
        <v>43.76321353065547</v>
      </c>
      <c r="AH129">
        <f t="shared" si="25"/>
        <v>12.503914983207038</v>
      </c>
      <c r="AI129">
        <f t="shared" si="26"/>
        <v>13.350966635667515</v>
      </c>
      <c r="AJ129">
        <f t="shared" si="27"/>
        <v>40.252033364332476</v>
      </c>
      <c r="AL129">
        <f t="shared" si="28"/>
        <v>51.809329966414069</v>
      </c>
      <c r="AM129">
        <f t="shared" si="29"/>
        <v>1.7936700335859221</v>
      </c>
    </row>
    <row r="130" spans="1:39" ht="16.5" x14ac:dyDescent="0.25">
      <c r="A130" s="1">
        <v>45513</v>
      </c>
      <c r="B130" s="5">
        <v>25.97</v>
      </c>
      <c r="C130" s="4">
        <v>26.32</v>
      </c>
      <c r="D130" s="4">
        <v>26.42</v>
      </c>
      <c r="E130" s="4">
        <v>25.6</v>
      </c>
      <c r="F130" s="4" t="s">
        <v>1462</v>
      </c>
      <c r="G130" s="2" t="s">
        <v>229</v>
      </c>
      <c r="I130">
        <f t="shared" ref="I130:I193" si="30">AVERAGE(B130:B149)</f>
        <v>26.822999999999997</v>
      </c>
      <c r="J130">
        <f t="shared" ref="J130:J193" si="31">AVERAGE(B130:B169)</f>
        <v>26.484249999999996</v>
      </c>
      <c r="L130">
        <f t="shared" ref="L130:L193" si="32">IF($C130&lt;$B130,1,0)</f>
        <v>0</v>
      </c>
      <c r="M130">
        <f t="shared" ref="M130:M193" si="33">IF($C130&lt;$B130,0,1)</f>
        <v>1</v>
      </c>
      <c r="O130">
        <f t="shared" ref="O130:O193" si="34">IF($C130&lt;$B130,B130-C130,0)</f>
        <v>0</v>
      </c>
      <c r="P130">
        <f t="shared" ref="P130:P193" si="35">IF($B130&lt;$C130,C130-B130,0)</f>
        <v>0.35000000000000142</v>
      </c>
      <c r="R130">
        <f t="shared" ref="R130:R193" si="36">SUM(O130:O143)/SUM(L130:L143)</f>
        <v>0.29571428571428626</v>
      </c>
      <c r="S130">
        <f t="shared" ref="S130:S193" si="37">SUM(P130:P143)/SUM(M130:M143)</f>
        <v>0.39857142857142847</v>
      </c>
      <c r="U130">
        <f t="shared" ref="U130:U193" si="38">100-(100/(1+(R130/S130)))</f>
        <v>42.592592592592645</v>
      </c>
      <c r="AH130">
        <f t="shared" si="25"/>
        <v>12.495796974182257</v>
      </c>
      <c r="AI130">
        <f t="shared" si="26"/>
        <v>13.372466635667514</v>
      </c>
      <c r="AJ130">
        <f t="shared" si="27"/>
        <v>40.273533364332479</v>
      </c>
      <c r="AL130">
        <f t="shared" si="28"/>
        <v>51.814593948364511</v>
      </c>
      <c r="AM130">
        <f t="shared" si="29"/>
        <v>1.8314060516354829</v>
      </c>
    </row>
    <row r="131" spans="1:39" ht="16.5" x14ac:dyDescent="0.25">
      <c r="A131" s="1">
        <v>45512</v>
      </c>
      <c r="B131" s="5">
        <v>26.35</v>
      </c>
      <c r="C131" s="4">
        <v>26</v>
      </c>
      <c r="D131" s="4">
        <v>26.44</v>
      </c>
      <c r="E131" s="4">
        <v>25.89</v>
      </c>
      <c r="F131" s="4" t="s">
        <v>1590</v>
      </c>
      <c r="G131" s="2" t="s">
        <v>550</v>
      </c>
      <c r="I131">
        <f t="shared" si="30"/>
        <v>26.870999999999999</v>
      </c>
      <c r="J131">
        <f t="shared" si="31"/>
        <v>26.511749999999996</v>
      </c>
      <c r="L131">
        <f t="shared" si="32"/>
        <v>1</v>
      </c>
      <c r="M131">
        <f t="shared" si="33"/>
        <v>0</v>
      </c>
      <c r="O131">
        <f t="shared" si="34"/>
        <v>0.35000000000000142</v>
      </c>
      <c r="P131">
        <f t="shared" si="35"/>
        <v>0</v>
      </c>
      <c r="R131">
        <f t="shared" si="36"/>
        <v>0.36000000000000032</v>
      </c>
      <c r="S131">
        <f t="shared" si="37"/>
        <v>0.40666666666666629</v>
      </c>
      <c r="U131">
        <f t="shared" si="38"/>
        <v>46.95652173913048</v>
      </c>
      <c r="AH131">
        <f t="shared" ref="AH131:AH194" si="39">_xlfn.STDEV.S(I131:I661)</f>
        <v>12.48758093897313</v>
      </c>
      <c r="AI131">
        <f t="shared" ref="AI131:AI194" si="40">I131-$AH$2</f>
        <v>13.420466635667516</v>
      </c>
      <c r="AJ131">
        <f t="shared" ref="AJ131:AJ194" si="41">I131+$AH$2</f>
        <v>40.321533364332481</v>
      </c>
      <c r="AL131">
        <f t="shared" ref="AL131:AL194" si="42">I131+(AH131*2)</f>
        <v>51.846161877946258</v>
      </c>
      <c r="AM131">
        <f t="shared" ref="AM131:AM194" si="43">I131-(AH131*2)</f>
        <v>1.895838122053739</v>
      </c>
    </row>
    <row r="132" spans="1:39" ht="16.5" x14ac:dyDescent="0.25">
      <c r="A132" s="1">
        <v>45511</v>
      </c>
      <c r="B132" s="5">
        <v>26.11</v>
      </c>
      <c r="C132" s="4">
        <v>25.65</v>
      </c>
      <c r="D132" s="4">
        <v>26.33</v>
      </c>
      <c r="E132" s="4">
        <v>25.34</v>
      </c>
      <c r="F132" s="4" t="s">
        <v>1505</v>
      </c>
      <c r="G132" s="2" t="s">
        <v>1664</v>
      </c>
      <c r="I132">
        <f t="shared" si="30"/>
        <v>26.8855</v>
      </c>
      <c r="J132">
        <f t="shared" si="31"/>
        <v>26.536499999999997</v>
      </c>
      <c r="L132">
        <f t="shared" si="32"/>
        <v>1</v>
      </c>
      <c r="M132">
        <f t="shared" si="33"/>
        <v>0</v>
      </c>
      <c r="O132">
        <f t="shared" si="34"/>
        <v>0.46000000000000085</v>
      </c>
      <c r="P132">
        <f t="shared" si="35"/>
        <v>0</v>
      </c>
      <c r="R132">
        <f t="shared" si="36"/>
        <v>0.3614285714285716</v>
      </c>
      <c r="S132">
        <f t="shared" si="37"/>
        <v>0.40714285714285686</v>
      </c>
      <c r="U132">
        <f t="shared" si="38"/>
        <v>47.026022304832743</v>
      </c>
      <c r="AH132">
        <f t="shared" si="39"/>
        <v>12.479347771897965</v>
      </c>
      <c r="AI132">
        <f t="shared" si="40"/>
        <v>13.434966635667518</v>
      </c>
      <c r="AJ132">
        <f t="shared" si="41"/>
        <v>40.336033364332479</v>
      </c>
      <c r="AL132">
        <f t="shared" si="42"/>
        <v>51.844195543795934</v>
      </c>
      <c r="AM132">
        <f t="shared" si="43"/>
        <v>1.9268044562040707</v>
      </c>
    </row>
    <row r="133" spans="1:39" ht="16.5" x14ac:dyDescent="0.25">
      <c r="A133" s="1">
        <v>45510</v>
      </c>
      <c r="B133" s="5">
        <v>25.32</v>
      </c>
      <c r="C133" s="4">
        <v>26.65</v>
      </c>
      <c r="D133" s="4">
        <v>27.32</v>
      </c>
      <c r="E133" s="4">
        <v>25.32</v>
      </c>
      <c r="F133" s="4" t="s">
        <v>1093</v>
      </c>
      <c r="G133" s="2" t="s">
        <v>1665</v>
      </c>
      <c r="I133">
        <f t="shared" si="30"/>
        <v>26.886500000000002</v>
      </c>
      <c r="J133">
        <f t="shared" si="31"/>
        <v>26.579499999999996</v>
      </c>
      <c r="L133">
        <f t="shared" si="32"/>
        <v>0</v>
      </c>
      <c r="M133">
        <f t="shared" si="33"/>
        <v>1</v>
      </c>
      <c r="O133">
        <f t="shared" si="34"/>
        <v>0</v>
      </c>
      <c r="P133">
        <f t="shared" si="35"/>
        <v>1.3299999999999983</v>
      </c>
      <c r="R133">
        <f t="shared" si="36"/>
        <v>0.30142857142857132</v>
      </c>
      <c r="S133">
        <f t="shared" si="37"/>
        <v>0.40714285714285686</v>
      </c>
      <c r="U133">
        <f t="shared" si="38"/>
        <v>42.540322580645174</v>
      </c>
      <c r="AH133">
        <f t="shared" si="39"/>
        <v>12.470992813576803</v>
      </c>
      <c r="AI133">
        <f t="shared" si="40"/>
        <v>13.435966635667519</v>
      </c>
      <c r="AJ133">
        <f t="shared" si="41"/>
        <v>40.337033364332484</v>
      </c>
      <c r="AL133">
        <f t="shared" si="42"/>
        <v>51.828485627153611</v>
      </c>
      <c r="AM133">
        <f t="shared" si="43"/>
        <v>1.9445143728463954</v>
      </c>
    </row>
    <row r="134" spans="1:39" ht="16.5" x14ac:dyDescent="0.25">
      <c r="A134" s="1">
        <v>45509</v>
      </c>
      <c r="B134" s="5">
        <v>26.94</v>
      </c>
      <c r="C134" s="4">
        <v>27.2</v>
      </c>
      <c r="D134" s="4">
        <v>27.65</v>
      </c>
      <c r="E134" s="4">
        <v>26.68</v>
      </c>
      <c r="F134" s="4" t="s">
        <v>1107</v>
      </c>
      <c r="G134" s="2" t="s">
        <v>1666</v>
      </c>
      <c r="I134">
        <f t="shared" si="30"/>
        <v>26.887999999999998</v>
      </c>
      <c r="J134">
        <f t="shared" si="31"/>
        <v>26.623499999999996</v>
      </c>
      <c r="L134">
        <f t="shared" si="32"/>
        <v>0</v>
      </c>
      <c r="M134">
        <f t="shared" si="33"/>
        <v>1</v>
      </c>
      <c r="O134">
        <f t="shared" si="34"/>
        <v>0</v>
      </c>
      <c r="P134">
        <f t="shared" si="35"/>
        <v>0.25999999999999801</v>
      </c>
      <c r="R134">
        <f t="shared" si="36"/>
        <v>0.33624999999999972</v>
      </c>
      <c r="S134">
        <f t="shared" si="37"/>
        <v>0.25333333333333324</v>
      </c>
      <c r="U134">
        <f t="shared" si="38"/>
        <v>57.031802120141336</v>
      </c>
      <c r="AH134">
        <f t="shared" si="39"/>
        <v>12.462472035618401</v>
      </c>
      <c r="AI134">
        <f t="shared" si="40"/>
        <v>13.437466635667516</v>
      </c>
      <c r="AJ134">
        <f t="shared" si="41"/>
        <v>40.338533364332477</v>
      </c>
      <c r="AL134">
        <f t="shared" si="42"/>
        <v>51.812944071236799</v>
      </c>
      <c r="AM134">
        <f t="shared" si="43"/>
        <v>1.9630559287631968</v>
      </c>
    </row>
    <row r="135" spans="1:39" ht="16.5" x14ac:dyDescent="0.25">
      <c r="A135" s="1">
        <v>45506</v>
      </c>
      <c r="B135" s="5">
        <v>27.35</v>
      </c>
      <c r="C135" s="4">
        <v>27.16</v>
      </c>
      <c r="D135" s="4">
        <v>27.92</v>
      </c>
      <c r="E135" s="4">
        <v>27.07</v>
      </c>
      <c r="F135" s="4" t="s">
        <v>1511</v>
      </c>
      <c r="G135" s="2" t="s">
        <v>958</v>
      </c>
      <c r="I135">
        <f t="shared" si="30"/>
        <v>26.844000000000001</v>
      </c>
      <c r="J135">
        <f t="shared" si="31"/>
        <v>26.637</v>
      </c>
      <c r="L135">
        <f t="shared" si="32"/>
        <v>1</v>
      </c>
      <c r="M135">
        <f t="shared" si="33"/>
        <v>0</v>
      </c>
      <c r="O135">
        <f t="shared" si="34"/>
        <v>0.19000000000000128</v>
      </c>
      <c r="P135">
        <f t="shared" si="35"/>
        <v>0</v>
      </c>
      <c r="R135">
        <f t="shared" si="36"/>
        <v>0.30222222222222173</v>
      </c>
      <c r="S135">
        <f t="shared" si="37"/>
        <v>0.25200000000000033</v>
      </c>
      <c r="U135">
        <f t="shared" si="38"/>
        <v>54.530874097834726</v>
      </c>
      <c r="AH135">
        <f t="shared" si="39"/>
        <v>12.453784563640864</v>
      </c>
      <c r="AI135">
        <f t="shared" si="40"/>
        <v>13.393466635667519</v>
      </c>
      <c r="AJ135">
        <f t="shared" si="41"/>
        <v>40.29453336433248</v>
      </c>
      <c r="AL135">
        <f t="shared" si="42"/>
        <v>51.751569127281726</v>
      </c>
      <c r="AM135">
        <f t="shared" si="43"/>
        <v>1.9364308727182724</v>
      </c>
    </row>
    <row r="136" spans="1:39" ht="16.5" x14ac:dyDescent="0.25">
      <c r="A136" s="1">
        <v>45505</v>
      </c>
      <c r="B136" s="5">
        <v>27.27</v>
      </c>
      <c r="C136" s="4">
        <v>27.18</v>
      </c>
      <c r="D136" s="4">
        <v>27.5</v>
      </c>
      <c r="E136" s="4">
        <v>27.13</v>
      </c>
      <c r="F136" s="4" t="s">
        <v>1424</v>
      </c>
      <c r="G136" s="2" t="s">
        <v>88</v>
      </c>
      <c r="I136">
        <f t="shared" si="30"/>
        <v>26.784999999999997</v>
      </c>
      <c r="J136">
        <f t="shared" si="31"/>
        <v>26.6555</v>
      </c>
      <c r="L136">
        <f t="shared" si="32"/>
        <v>1</v>
      </c>
      <c r="M136">
        <f t="shared" si="33"/>
        <v>0</v>
      </c>
      <c r="O136">
        <f t="shared" si="34"/>
        <v>8.9999999999999858E-2</v>
      </c>
      <c r="P136">
        <f t="shared" si="35"/>
        <v>0</v>
      </c>
      <c r="R136">
        <f t="shared" si="36"/>
        <v>0.31624999999999925</v>
      </c>
      <c r="S136">
        <f t="shared" si="37"/>
        <v>0.27333333333333343</v>
      </c>
      <c r="U136">
        <f t="shared" si="38"/>
        <v>53.639575971731375</v>
      </c>
      <c r="AH136">
        <f t="shared" si="39"/>
        <v>12.44478348745908</v>
      </c>
      <c r="AI136">
        <f t="shared" si="40"/>
        <v>13.334466635667514</v>
      </c>
      <c r="AJ136">
        <f t="shared" si="41"/>
        <v>40.235533364332483</v>
      </c>
      <c r="AL136">
        <f t="shared" si="42"/>
        <v>51.674566974918157</v>
      </c>
      <c r="AM136">
        <f t="shared" si="43"/>
        <v>1.8954330250818359</v>
      </c>
    </row>
    <row r="137" spans="1:39" ht="16.5" x14ac:dyDescent="0.25">
      <c r="A137" s="1">
        <v>45504</v>
      </c>
      <c r="B137" s="5">
        <v>27.5</v>
      </c>
      <c r="C137" s="4">
        <v>27.78</v>
      </c>
      <c r="D137" s="4">
        <v>28.07</v>
      </c>
      <c r="E137" s="4">
        <v>27.41</v>
      </c>
      <c r="F137" s="4" t="s">
        <v>200</v>
      </c>
      <c r="G137" s="2" t="s">
        <v>388</v>
      </c>
      <c r="I137">
        <f t="shared" si="30"/>
        <v>26.7315</v>
      </c>
      <c r="J137">
        <f t="shared" si="31"/>
        <v>26.683500000000002</v>
      </c>
      <c r="L137">
        <f t="shared" si="32"/>
        <v>0</v>
      </c>
      <c r="M137">
        <f t="shared" si="33"/>
        <v>1</v>
      </c>
      <c r="O137">
        <f t="shared" si="34"/>
        <v>0</v>
      </c>
      <c r="P137">
        <f t="shared" si="35"/>
        <v>0.28000000000000114</v>
      </c>
      <c r="R137">
        <f t="shared" si="36"/>
        <v>0.30874999999999941</v>
      </c>
      <c r="S137">
        <f t="shared" si="37"/>
        <v>0.27333333333333343</v>
      </c>
      <c r="U137">
        <f t="shared" si="38"/>
        <v>53.042233357193936</v>
      </c>
      <c r="AH137">
        <f t="shared" si="39"/>
        <v>12.435415253551099</v>
      </c>
      <c r="AI137">
        <f t="shared" si="40"/>
        <v>13.280966635667518</v>
      </c>
      <c r="AJ137">
        <f t="shared" si="41"/>
        <v>40.182033364332483</v>
      </c>
      <c r="AL137">
        <f t="shared" si="42"/>
        <v>51.602330507102195</v>
      </c>
      <c r="AM137">
        <f t="shared" si="43"/>
        <v>1.8606694928978023</v>
      </c>
    </row>
    <row r="138" spans="1:39" ht="16.5" x14ac:dyDescent="0.25">
      <c r="A138" s="1">
        <v>45503</v>
      </c>
      <c r="B138" s="5">
        <v>27.6</v>
      </c>
      <c r="C138" s="4">
        <v>27.51</v>
      </c>
      <c r="D138" s="4">
        <v>27.8</v>
      </c>
      <c r="E138" s="4">
        <v>27.26</v>
      </c>
      <c r="F138" s="4" t="s">
        <v>1478</v>
      </c>
      <c r="G138" s="2" t="s">
        <v>706</v>
      </c>
      <c r="I138">
        <f t="shared" si="30"/>
        <v>26.667999999999999</v>
      </c>
      <c r="J138">
        <f t="shared" si="31"/>
        <v>26.710750000000001</v>
      </c>
      <c r="L138">
        <f t="shared" si="32"/>
        <v>1</v>
      </c>
      <c r="M138">
        <f t="shared" si="33"/>
        <v>0</v>
      </c>
      <c r="O138">
        <f t="shared" si="34"/>
        <v>8.9999999999999858E-2</v>
      </c>
      <c r="P138">
        <f t="shared" si="35"/>
        <v>0</v>
      </c>
      <c r="R138">
        <f t="shared" si="36"/>
        <v>0.27555555555555522</v>
      </c>
      <c r="S138">
        <f t="shared" si="37"/>
        <v>0.27199999999999991</v>
      </c>
      <c r="U138">
        <f t="shared" si="38"/>
        <v>50.324675324675304</v>
      </c>
      <c r="AH138">
        <f t="shared" si="39"/>
        <v>12.425690976365084</v>
      </c>
      <c r="AI138">
        <f t="shared" si="40"/>
        <v>13.217466635667517</v>
      </c>
      <c r="AJ138">
        <f t="shared" si="41"/>
        <v>40.118533364332478</v>
      </c>
      <c r="AL138">
        <f t="shared" si="42"/>
        <v>51.519381952730171</v>
      </c>
      <c r="AM138">
        <f t="shared" si="43"/>
        <v>1.8166180472698308</v>
      </c>
    </row>
    <row r="139" spans="1:39" ht="16.5" x14ac:dyDescent="0.25">
      <c r="A139" s="1">
        <v>45502</v>
      </c>
      <c r="B139" s="5">
        <v>27.43</v>
      </c>
      <c r="C139" s="4">
        <v>27.74</v>
      </c>
      <c r="D139" s="4">
        <v>27.88</v>
      </c>
      <c r="E139" s="4">
        <v>27.3</v>
      </c>
      <c r="F139" s="4" t="s">
        <v>46</v>
      </c>
      <c r="G139" s="2" t="s">
        <v>114</v>
      </c>
      <c r="I139">
        <f t="shared" si="30"/>
        <v>26.580500000000001</v>
      </c>
      <c r="J139">
        <f t="shared" si="31"/>
        <v>26.729000000000003</v>
      </c>
      <c r="L139">
        <f t="shared" si="32"/>
        <v>0</v>
      </c>
      <c r="M139">
        <f t="shared" si="33"/>
        <v>1</v>
      </c>
      <c r="O139">
        <f t="shared" si="34"/>
        <v>0</v>
      </c>
      <c r="P139">
        <f t="shared" si="35"/>
        <v>0.30999999999999872</v>
      </c>
      <c r="R139">
        <f t="shared" si="36"/>
        <v>0.34555555555555512</v>
      </c>
      <c r="S139">
        <f t="shared" si="37"/>
        <v>0.27199999999999991</v>
      </c>
      <c r="U139">
        <f t="shared" si="38"/>
        <v>55.955379632961467</v>
      </c>
      <c r="AH139">
        <f t="shared" si="39"/>
        <v>12.415571539442082</v>
      </c>
      <c r="AI139">
        <f t="shared" si="40"/>
        <v>13.129966635667518</v>
      </c>
      <c r="AJ139">
        <f t="shared" si="41"/>
        <v>40.031033364332487</v>
      </c>
      <c r="AL139">
        <f t="shared" si="42"/>
        <v>51.411643078884168</v>
      </c>
      <c r="AM139">
        <f t="shared" si="43"/>
        <v>1.7493569211158366</v>
      </c>
    </row>
    <row r="140" spans="1:39" ht="16.5" x14ac:dyDescent="0.25">
      <c r="A140" s="1">
        <v>45499</v>
      </c>
      <c r="B140" s="5">
        <v>27.47</v>
      </c>
      <c r="C140" s="4">
        <v>27.56</v>
      </c>
      <c r="D140" s="4">
        <v>27.6</v>
      </c>
      <c r="E140" s="4">
        <v>27.18</v>
      </c>
      <c r="F140" s="4" t="s">
        <v>1406</v>
      </c>
      <c r="G140" s="2" t="s">
        <v>406</v>
      </c>
      <c r="I140">
        <f t="shared" si="30"/>
        <v>26.517500000000002</v>
      </c>
      <c r="J140">
        <f t="shared" si="31"/>
        <v>26.759000000000007</v>
      </c>
      <c r="L140">
        <f t="shared" si="32"/>
        <v>0</v>
      </c>
      <c r="M140">
        <f t="shared" si="33"/>
        <v>1</v>
      </c>
      <c r="O140">
        <f t="shared" si="34"/>
        <v>0</v>
      </c>
      <c r="P140">
        <f t="shared" si="35"/>
        <v>8.9999999999999858E-2</v>
      </c>
      <c r="R140">
        <f t="shared" si="36"/>
        <v>0.34555555555555512</v>
      </c>
      <c r="S140">
        <f t="shared" si="37"/>
        <v>0.31599999999999967</v>
      </c>
      <c r="U140">
        <f t="shared" si="38"/>
        <v>52.2337924084649</v>
      </c>
      <c r="AH140">
        <f t="shared" si="39"/>
        <v>12.404970200376349</v>
      </c>
      <c r="AI140">
        <f t="shared" si="40"/>
        <v>13.066966635667519</v>
      </c>
      <c r="AJ140">
        <f t="shared" si="41"/>
        <v>39.968033364332484</v>
      </c>
      <c r="AL140">
        <f t="shared" si="42"/>
        <v>51.3274404007527</v>
      </c>
      <c r="AM140">
        <f t="shared" si="43"/>
        <v>1.707559599247304</v>
      </c>
    </row>
    <row r="141" spans="1:39" ht="16.5" x14ac:dyDescent="0.25">
      <c r="A141" s="1">
        <v>45498</v>
      </c>
      <c r="B141" s="5">
        <v>27.53</v>
      </c>
      <c r="C141" s="4">
        <v>27.05</v>
      </c>
      <c r="D141" s="4">
        <v>27.73</v>
      </c>
      <c r="E141" s="4">
        <v>26.89</v>
      </c>
      <c r="F141" s="4" t="s">
        <v>982</v>
      </c>
      <c r="G141" s="2" t="s">
        <v>1667</v>
      </c>
      <c r="I141">
        <f t="shared" si="30"/>
        <v>26.463000000000005</v>
      </c>
      <c r="J141">
        <f t="shared" si="31"/>
        <v>26.778250000000007</v>
      </c>
      <c r="L141">
        <f t="shared" si="32"/>
        <v>1</v>
      </c>
      <c r="M141">
        <f t="shared" si="33"/>
        <v>0</v>
      </c>
      <c r="O141">
        <f t="shared" si="34"/>
        <v>0.48000000000000043</v>
      </c>
      <c r="P141">
        <f t="shared" si="35"/>
        <v>0</v>
      </c>
      <c r="R141">
        <f t="shared" si="36"/>
        <v>0.31799999999999962</v>
      </c>
      <c r="S141">
        <f t="shared" si="37"/>
        <v>0.37249999999999961</v>
      </c>
      <c r="U141">
        <f t="shared" si="38"/>
        <v>46.05358435916002</v>
      </c>
      <c r="AH141">
        <f t="shared" si="39"/>
        <v>12.393959193660704</v>
      </c>
      <c r="AI141">
        <f t="shared" si="40"/>
        <v>13.012466635667522</v>
      </c>
      <c r="AJ141">
        <f t="shared" si="41"/>
        <v>39.913533364332487</v>
      </c>
      <c r="AL141">
        <f t="shared" si="42"/>
        <v>51.250918387321413</v>
      </c>
      <c r="AM141">
        <f t="shared" si="43"/>
        <v>1.6750816126785963</v>
      </c>
    </row>
    <row r="142" spans="1:39" ht="16.5" x14ac:dyDescent="0.25">
      <c r="A142" s="1">
        <v>45497</v>
      </c>
      <c r="B142" s="5">
        <v>26.98</v>
      </c>
      <c r="C142" s="4">
        <v>26.57</v>
      </c>
      <c r="D142" s="4">
        <v>27.13</v>
      </c>
      <c r="E142" s="4">
        <v>26.25</v>
      </c>
      <c r="F142" s="4" t="s">
        <v>1668</v>
      </c>
      <c r="G142" s="2" t="s">
        <v>949</v>
      </c>
      <c r="I142">
        <f t="shared" si="30"/>
        <v>26.392000000000003</v>
      </c>
      <c r="J142">
        <f t="shared" si="31"/>
        <v>26.791500000000003</v>
      </c>
      <c r="L142">
        <f t="shared" si="32"/>
        <v>1</v>
      </c>
      <c r="M142">
        <f t="shared" si="33"/>
        <v>0</v>
      </c>
      <c r="O142">
        <f t="shared" si="34"/>
        <v>0.41000000000000014</v>
      </c>
      <c r="P142">
        <f t="shared" si="35"/>
        <v>0</v>
      </c>
      <c r="R142">
        <f t="shared" si="36"/>
        <v>0.29999999999999954</v>
      </c>
      <c r="S142">
        <f t="shared" si="37"/>
        <v>0.32199999999999918</v>
      </c>
      <c r="U142">
        <f t="shared" si="38"/>
        <v>48.231511254019324</v>
      </c>
      <c r="AH142">
        <f t="shared" si="39"/>
        <v>12.382559522998095</v>
      </c>
      <c r="AI142">
        <f t="shared" si="40"/>
        <v>12.941466635667521</v>
      </c>
      <c r="AJ142">
        <f t="shared" si="41"/>
        <v>39.842533364332482</v>
      </c>
      <c r="AL142">
        <f t="shared" si="42"/>
        <v>51.157119045996197</v>
      </c>
      <c r="AM142">
        <f t="shared" si="43"/>
        <v>1.6268809540038127</v>
      </c>
    </row>
    <row r="143" spans="1:39" ht="16.5" x14ac:dyDescent="0.25">
      <c r="A143" s="1">
        <v>45496</v>
      </c>
      <c r="B143" s="5">
        <v>26.97</v>
      </c>
      <c r="C143" s="4">
        <v>27.14</v>
      </c>
      <c r="D143" s="4">
        <v>27.31</v>
      </c>
      <c r="E143" s="4">
        <v>26.89</v>
      </c>
      <c r="F143" s="4" t="s">
        <v>1504</v>
      </c>
      <c r="G143" s="2" t="s">
        <v>495</v>
      </c>
      <c r="I143">
        <f t="shared" si="30"/>
        <v>26.342500000000001</v>
      </c>
      <c r="J143">
        <f t="shared" si="31"/>
        <v>26.79000000000001</v>
      </c>
      <c r="L143">
        <f t="shared" si="32"/>
        <v>0</v>
      </c>
      <c r="M143">
        <f t="shared" si="33"/>
        <v>1</v>
      </c>
      <c r="O143">
        <f t="shared" si="34"/>
        <v>0</v>
      </c>
      <c r="P143">
        <f t="shared" si="35"/>
        <v>0.17000000000000171</v>
      </c>
      <c r="R143">
        <f t="shared" si="36"/>
        <v>0.26111111111111046</v>
      </c>
      <c r="S143">
        <f t="shared" si="37"/>
        <v>0.32199999999999918</v>
      </c>
      <c r="U143">
        <f t="shared" si="38"/>
        <v>44.778963414634148</v>
      </c>
      <c r="AH143">
        <f t="shared" si="39"/>
        <v>12.370707835906202</v>
      </c>
      <c r="AI143">
        <f t="shared" si="40"/>
        <v>12.891966635667519</v>
      </c>
      <c r="AJ143">
        <f t="shared" si="41"/>
        <v>39.793033364332487</v>
      </c>
      <c r="AL143">
        <f t="shared" si="42"/>
        <v>51.083915671812406</v>
      </c>
      <c r="AM143">
        <f t="shared" si="43"/>
        <v>1.6010843281875964</v>
      </c>
    </row>
    <row r="144" spans="1:39" ht="16.5" x14ac:dyDescent="0.25">
      <c r="A144" s="1">
        <v>45495</v>
      </c>
      <c r="B144" s="5">
        <v>27.31</v>
      </c>
      <c r="C144" s="4">
        <v>26.5</v>
      </c>
      <c r="D144" s="4">
        <v>27.4</v>
      </c>
      <c r="E144" s="4">
        <v>26.47</v>
      </c>
      <c r="F144" s="4" t="s">
        <v>1669</v>
      </c>
      <c r="G144" s="2" t="s">
        <v>1670</v>
      </c>
      <c r="I144">
        <f t="shared" si="30"/>
        <v>26.301500000000004</v>
      </c>
      <c r="J144">
        <f t="shared" si="31"/>
        <v>26.810750000000006</v>
      </c>
      <c r="L144">
        <f t="shared" si="32"/>
        <v>1</v>
      </c>
      <c r="M144">
        <f t="shared" si="33"/>
        <v>0</v>
      </c>
      <c r="O144">
        <f t="shared" si="34"/>
        <v>0.80999999999999872</v>
      </c>
      <c r="P144">
        <f t="shared" si="35"/>
        <v>0</v>
      </c>
      <c r="R144">
        <f t="shared" si="36"/>
        <v>0.26099999999999957</v>
      </c>
      <c r="S144">
        <f t="shared" si="37"/>
        <v>0.35999999999999854</v>
      </c>
      <c r="U144">
        <f t="shared" si="38"/>
        <v>42.028985507246439</v>
      </c>
      <c r="AH144">
        <f t="shared" si="39"/>
        <v>12.358469409903012</v>
      </c>
      <c r="AI144">
        <f t="shared" si="40"/>
        <v>12.850966635667522</v>
      </c>
      <c r="AJ144">
        <f t="shared" si="41"/>
        <v>39.75203336433249</v>
      </c>
      <c r="AL144">
        <f t="shared" si="42"/>
        <v>51.018438819806029</v>
      </c>
      <c r="AM144">
        <f t="shared" si="43"/>
        <v>1.5845611801939796</v>
      </c>
    </row>
    <row r="145" spans="1:39" ht="16.5" x14ac:dyDescent="0.25">
      <c r="A145" s="1">
        <v>45492</v>
      </c>
      <c r="B145" s="5">
        <v>26.26</v>
      </c>
      <c r="C145" s="4">
        <v>26.67</v>
      </c>
      <c r="D145" s="4">
        <v>26.69</v>
      </c>
      <c r="E145" s="4">
        <v>26.13</v>
      </c>
      <c r="F145" s="4" t="s">
        <v>1671</v>
      </c>
      <c r="G145" s="2" t="s">
        <v>1672</v>
      </c>
      <c r="I145">
        <f t="shared" si="30"/>
        <v>26.268999999999998</v>
      </c>
      <c r="J145">
        <f t="shared" si="31"/>
        <v>26.834750000000003</v>
      </c>
      <c r="L145">
        <f t="shared" si="32"/>
        <v>0</v>
      </c>
      <c r="M145">
        <f t="shared" si="33"/>
        <v>1</v>
      </c>
      <c r="O145">
        <f t="shared" si="34"/>
        <v>0</v>
      </c>
      <c r="P145">
        <f t="shared" si="35"/>
        <v>0.41000000000000014</v>
      </c>
      <c r="R145">
        <f t="shared" si="36"/>
        <v>0.19999999999999968</v>
      </c>
      <c r="S145">
        <f t="shared" si="37"/>
        <v>0.31799999999999856</v>
      </c>
      <c r="U145">
        <f t="shared" si="38"/>
        <v>38.610038610038679</v>
      </c>
      <c r="AH145">
        <f t="shared" si="39"/>
        <v>12.345866726594343</v>
      </c>
      <c r="AI145">
        <f t="shared" si="40"/>
        <v>12.818466635667516</v>
      </c>
      <c r="AJ145">
        <f t="shared" si="41"/>
        <v>39.719533364332477</v>
      </c>
      <c r="AL145">
        <f t="shared" si="42"/>
        <v>50.960733453188681</v>
      </c>
      <c r="AM145">
        <f t="shared" si="43"/>
        <v>1.5772665468113125</v>
      </c>
    </row>
    <row r="146" spans="1:39" ht="16.5" x14ac:dyDescent="0.25">
      <c r="A146" s="1">
        <v>45491</v>
      </c>
      <c r="B146" s="5">
        <v>26.97</v>
      </c>
      <c r="C146" s="4">
        <v>26.93</v>
      </c>
      <c r="D146" s="4">
        <v>27.3</v>
      </c>
      <c r="E146" s="4">
        <v>26.79</v>
      </c>
      <c r="F146" s="4" t="s">
        <v>1392</v>
      </c>
      <c r="G146" s="2" t="s">
        <v>239</v>
      </c>
      <c r="I146">
        <f t="shared" si="30"/>
        <v>26.256000000000007</v>
      </c>
      <c r="J146">
        <f t="shared" si="31"/>
        <v>26.86900000000001</v>
      </c>
      <c r="L146">
        <f t="shared" si="32"/>
        <v>1</v>
      </c>
      <c r="M146">
        <f t="shared" si="33"/>
        <v>0</v>
      </c>
      <c r="O146">
        <f t="shared" si="34"/>
        <v>3.9999999999999147E-2</v>
      </c>
      <c r="P146">
        <f t="shared" si="35"/>
        <v>0</v>
      </c>
      <c r="R146">
        <f t="shared" si="36"/>
        <v>0.19999999999999968</v>
      </c>
      <c r="S146">
        <f t="shared" si="37"/>
        <v>0.37999999999999828</v>
      </c>
      <c r="U146">
        <f t="shared" si="38"/>
        <v>34.482758620689722</v>
      </c>
      <c r="AH146">
        <f t="shared" si="39"/>
        <v>12.332923070060245</v>
      </c>
      <c r="AI146">
        <f t="shared" si="40"/>
        <v>12.805466635667525</v>
      </c>
      <c r="AJ146">
        <f t="shared" si="41"/>
        <v>39.706533364332486</v>
      </c>
      <c r="AL146">
        <f t="shared" si="42"/>
        <v>50.921846140120493</v>
      </c>
      <c r="AM146">
        <f t="shared" si="43"/>
        <v>1.5901538598795177</v>
      </c>
    </row>
    <row r="147" spans="1:39" ht="16.5" x14ac:dyDescent="0.25">
      <c r="A147" s="1">
        <v>45490</v>
      </c>
      <c r="B147" s="5">
        <v>26.68</v>
      </c>
      <c r="C147" s="4">
        <v>26.1</v>
      </c>
      <c r="D147" s="4">
        <v>26.79</v>
      </c>
      <c r="E147" s="4">
        <v>25.85</v>
      </c>
      <c r="F147" s="4" t="s">
        <v>1575</v>
      </c>
      <c r="G147" s="2" t="s">
        <v>110</v>
      </c>
      <c r="I147">
        <f t="shared" si="30"/>
        <v>26.207500000000003</v>
      </c>
      <c r="J147">
        <f t="shared" si="31"/>
        <v>26.884250000000002</v>
      </c>
      <c r="L147">
        <f t="shared" si="32"/>
        <v>1</v>
      </c>
      <c r="M147">
        <f t="shared" si="33"/>
        <v>0</v>
      </c>
      <c r="O147">
        <f t="shared" si="34"/>
        <v>0.57999999999999829</v>
      </c>
      <c r="P147">
        <f t="shared" si="35"/>
        <v>0</v>
      </c>
      <c r="R147">
        <f t="shared" si="36"/>
        <v>0.21777777777777749</v>
      </c>
      <c r="S147">
        <f t="shared" si="37"/>
        <v>0.37999999999999828</v>
      </c>
      <c r="U147">
        <f t="shared" si="38"/>
        <v>36.43122676579933</v>
      </c>
      <c r="AH147">
        <f t="shared" si="39"/>
        <v>12.319701287707749</v>
      </c>
      <c r="AI147">
        <f t="shared" si="40"/>
        <v>12.756966635667521</v>
      </c>
      <c r="AJ147">
        <f t="shared" si="41"/>
        <v>39.658033364332482</v>
      </c>
      <c r="AL147">
        <f t="shared" si="42"/>
        <v>50.846902575415498</v>
      </c>
      <c r="AM147">
        <f t="shared" si="43"/>
        <v>1.5680974245845043</v>
      </c>
    </row>
    <row r="148" spans="1:39" ht="16.5" x14ac:dyDescent="0.25">
      <c r="A148" s="1">
        <v>45489</v>
      </c>
      <c r="B148" s="5">
        <v>26.06</v>
      </c>
      <c r="C148" s="4">
        <v>26.03</v>
      </c>
      <c r="D148" s="4">
        <v>26.33</v>
      </c>
      <c r="E148" s="4">
        <v>25.84</v>
      </c>
      <c r="F148" s="4" t="s">
        <v>942</v>
      </c>
      <c r="G148" s="2" t="s">
        <v>221</v>
      </c>
      <c r="I148">
        <f t="shared" si="30"/>
        <v>26.154500000000002</v>
      </c>
      <c r="J148">
        <f t="shared" si="31"/>
        <v>26.927250000000004</v>
      </c>
      <c r="L148">
        <f t="shared" si="32"/>
        <v>1</v>
      </c>
      <c r="M148">
        <f t="shared" si="33"/>
        <v>0</v>
      </c>
      <c r="O148">
        <f t="shared" si="34"/>
        <v>2.9999999999997584E-2</v>
      </c>
      <c r="P148">
        <f t="shared" si="35"/>
        <v>0</v>
      </c>
      <c r="R148">
        <f t="shared" si="36"/>
        <v>0.17111111111111102</v>
      </c>
      <c r="S148">
        <f t="shared" si="37"/>
        <v>0.37999999999999828</v>
      </c>
      <c r="U148">
        <f t="shared" si="38"/>
        <v>31.048387096774277</v>
      </c>
      <c r="AH148">
        <f t="shared" si="39"/>
        <v>12.306070688881512</v>
      </c>
      <c r="AI148">
        <f t="shared" si="40"/>
        <v>12.70396663566752</v>
      </c>
      <c r="AJ148">
        <f t="shared" si="41"/>
        <v>39.605033364332485</v>
      </c>
      <c r="AL148">
        <f t="shared" si="42"/>
        <v>50.766641377763023</v>
      </c>
      <c r="AM148">
        <f t="shared" si="43"/>
        <v>1.5423586222369785</v>
      </c>
    </row>
    <row r="149" spans="1:39" ht="16.5" x14ac:dyDescent="0.25">
      <c r="A149" s="1">
        <v>45488</v>
      </c>
      <c r="B149" s="5">
        <v>26.39</v>
      </c>
      <c r="C149" s="4">
        <v>26.77</v>
      </c>
      <c r="D149" s="4">
        <v>26.8</v>
      </c>
      <c r="E149" s="4">
        <v>26.33</v>
      </c>
      <c r="F149" s="4" t="s">
        <v>1408</v>
      </c>
      <c r="G149" s="2" t="s">
        <v>829</v>
      </c>
      <c r="I149">
        <f t="shared" si="30"/>
        <v>26.158500000000004</v>
      </c>
      <c r="J149">
        <f t="shared" si="31"/>
        <v>26.983750000000004</v>
      </c>
      <c r="L149">
        <f t="shared" si="32"/>
        <v>0</v>
      </c>
      <c r="M149">
        <f t="shared" si="33"/>
        <v>1</v>
      </c>
      <c r="O149">
        <f t="shared" si="34"/>
        <v>0</v>
      </c>
      <c r="P149">
        <f t="shared" si="35"/>
        <v>0.37999999999999901</v>
      </c>
      <c r="R149">
        <f t="shared" si="36"/>
        <v>0.1887500000000002</v>
      </c>
      <c r="S149">
        <f t="shared" si="37"/>
        <v>0.35166666666666541</v>
      </c>
      <c r="U149">
        <f t="shared" si="38"/>
        <v>34.926754047802731</v>
      </c>
      <c r="AH149">
        <f t="shared" si="39"/>
        <v>12.292007591635594</v>
      </c>
      <c r="AI149">
        <f t="shared" si="40"/>
        <v>12.707966635667521</v>
      </c>
      <c r="AJ149">
        <f t="shared" si="41"/>
        <v>39.60903336433249</v>
      </c>
      <c r="AL149">
        <f t="shared" si="42"/>
        <v>50.742515183271195</v>
      </c>
      <c r="AM149">
        <f t="shared" si="43"/>
        <v>1.5744848167288161</v>
      </c>
    </row>
    <row r="150" spans="1:39" ht="16.5" x14ac:dyDescent="0.25">
      <c r="A150" s="1">
        <v>45485</v>
      </c>
      <c r="B150" s="5">
        <v>26.93</v>
      </c>
      <c r="C150" s="4">
        <v>26.9</v>
      </c>
      <c r="D150" s="4">
        <v>27.05</v>
      </c>
      <c r="E150" s="4">
        <v>26.5</v>
      </c>
      <c r="F150" s="4" t="s">
        <v>1477</v>
      </c>
      <c r="G150" s="2" t="s">
        <v>879</v>
      </c>
      <c r="I150">
        <f t="shared" si="30"/>
        <v>26.145500000000006</v>
      </c>
      <c r="J150">
        <f t="shared" si="31"/>
        <v>27.04075000000001</v>
      </c>
      <c r="L150">
        <f t="shared" si="32"/>
        <v>1</v>
      </c>
      <c r="M150">
        <f t="shared" si="33"/>
        <v>0</v>
      </c>
      <c r="O150">
        <f t="shared" si="34"/>
        <v>3.0000000000001137E-2</v>
      </c>
      <c r="P150">
        <f t="shared" si="35"/>
        <v>0</v>
      </c>
      <c r="R150">
        <f t="shared" si="36"/>
        <v>0.1887500000000002</v>
      </c>
      <c r="S150">
        <f t="shared" si="37"/>
        <v>0.38833333333333248</v>
      </c>
      <c r="U150">
        <f t="shared" si="38"/>
        <v>32.70758122743689</v>
      </c>
      <c r="AH150">
        <f t="shared" si="39"/>
        <v>12.277710193905579</v>
      </c>
      <c r="AI150">
        <f t="shared" si="40"/>
        <v>12.694966635667523</v>
      </c>
      <c r="AJ150">
        <f t="shared" si="41"/>
        <v>39.596033364332484</v>
      </c>
      <c r="AL150">
        <f t="shared" si="42"/>
        <v>50.700920387811166</v>
      </c>
      <c r="AM150">
        <f t="shared" si="43"/>
        <v>1.5900796121888483</v>
      </c>
    </row>
    <row r="151" spans="1:39" ht="16.5" x14ac:dyDescent="0.25">
      <c r="A151" s="1">
        <v>45484</v>
      </c>
      <c r="B151" s="5">
        <v>26.64</v>
      </c>
      <c r="C151" s="4">
        <v>26.63</v>
      </c>
      <c r="D151" s="4">
        <v>26.9</v>
      </c>
      <c r="E151" s="4">
        <v>26.36</v>
      </c>
      <c r="F151" s="4" t="s">
        <v>1652</v>
      </c>
      <c r="G151" s="2" t="s">
        <v>1673</v>
      </c>
      <c r="I151">
        <f t="shared" si="30"/>
        <v>26.152500000000003</v>
      </c>
      <c r="J151">
        <f t="shared" si="31"/>
        <v>27.082000000000004</v>
      </c>
      <c r="L151">
        <f t="shared" si="32"/>
        <v>1</v>
      </c>
      <c r="M151">
        <f t="shared" si="33"/>
        <v>0</v>
      </c>
      <c r="O151">
        <f t="shared" si="34"/>
        <v>1.0000000000001563E-2</v>
      </c>
      <c r="P151">
        <f t="shared" si="35"/>
        <v>0</v>
      </c>
      <c r="R151">
        <f t="shared" si="36"/>
        <v>0.26374999999999993</v>
      </c>
      <c r="S151">
        <f t="shared" si="37"/>
        <v>0.38833333333333248</v>
      </c>
      <c r="U151">
        <f t="shared" si="38"/>
        <v>40.447284345047969</v>
      </c>
      <c r="AH151">
        <f t="shared" si="39"/>
        <v>12.263112969908804</v>
      </c>
      <c r="AI151">
        <f t="shared" si="40"/>
        <v>12.701966635667521</v>
      </c>
      <c r="AJ151">
        <f t="shared" si="41"/>
        <v>39.603033364332489</v>
      </c>
      <c r="AL151">
        <f t="shared" si="42"/>
        <v>50.67872593981761</v>
      </c>
      <c r="AM151">
        <f t="shared" si="43"/>
        <v>1.6262740601823964</v>
      </c>
    </row>
    <row r="152" spans="1:39" ht="16.5" x14ac:dyDescent="0.25">
      <c r="A152" s="1">
        <v>45483</v>
      </c>
      <c r="B152" s="5">
        <v>26.13</v>
      </c>
      <c r="C152" s="4">
        <v>25.41</v>
      </c>
      <c r="D152" s="4">
        <v>26.16</v>
      </c>
      <c r="E152" s="4">
        <v>25.3</v>
      </c>
      <c r="F152" s="4" t="s">
        <v>1629</v>
      </c>
      <c r="G152" s="2" t="s">
        <v>961</v>
      </c>
      <c r="I152">
        <f t="shared" si="30"/>
        <v>26.1875</v>
      </c>
      <c r="J152">
        <f t="shared" si="31"/>
        <v>27.132250000000006</v>
      </c>
      <c r="L152">
        <f t="shared" si="32"/>
        <v>1</v>
      </c>
      <c r="M152">
        <f t="shared" si="33"/>
        <v>0</v>
      </c>
      <c r="O152">
        <f t="shared" si="34"/>
        <v>0.71999999999999886</v>
      </c>
      <c r="P152">
        <f t="shared" si="35"/>
        <v>0</v>
      </c>
      <c r="R152">
        <f t="shared" si="36"/>
        <v>0.26499999999999968</v>
      </c>
      <c r="S152">
        <f t="shared" si="37"/>
        <v>0.38833333333333248</v>
      </c>
      <c r="U152">
        <f t="shared" si="38"/>
        <v>40.56122448979594</v>
      </c>
      <c r="AH152">
        <f t="shared" si="39"/>
        <v>12.248284193642759</v>
      </c>
      <c r="AI152">
        <f t="shared" si="40"/>
        <v>12.736966635667518</v>
      </c>
      <c r="AJ152">
        <f t="shared" si="41"/>
        <v>39.638033364332486</v>
      </c>
      <c r="AL152">
        <f t="shared" si="42"/>
        <v>50.684068387285521</v>
      </c>
      <c r="AM152">
        <f t="shared" si="43"/>
        <v>1.6909316127144827</v>
      </c>
    </row>
    <row r="153" spans="1:39" ht="16.5" x14ac:dyDescent="0.25">
      <c r="A153" s="1">
        <v>45482</v>
      </c>
      <c r="B153" s="5">
        <v>25.35</v>
      </c>
      <c r="C153" s="4">
        <v>25.88</v>
      </c>
      <c r="D153" s="4">
        <v>25.97</v>
      </c>
      <c r="E153" s="4">
        <v>25.35</v>
      </c>
      <c r="F153" s="4" t="s">
        <v>1674</v>
      </c>
      <c r="G153" s="2" t="s">
        <v>1675</v>
      </c>
      <c r="I153">
        <f t="shared" si="30"/>
        <v>26.272499999999997</v>
      </c>
      <c r="J153">
        <f t="shared" si="31"/>
        <v>27.212250000000001</v>
      </c>
      <c r="L153">
        <f t="shared" si="32"/>
        <v>0</v>
      </c>
      <c r="M153">
        <f t="shared" si="33"/>
        <v>1</v>
      </c>
      <c r="O153">
        <f t="shared" si="34"/>
        <v>0</v>
      </c>
      <c r="P153">
        <f t="shared" si="35"/>
        <v>0.52999999999999758</v>
      </c>
      <c r="R153">
        <f t="shared" si="36"/>
        <v>0.22750000000000004</v>
      </c>
      <c r="S153">
        <f t="shared" si="37"/>
        <v>0.38833333333333248</v>
      </c>
      <c r="U153">
        <f t="shared" si="38"/>
        <v>36.941813261163787</v>
      </c>
      <c r="AH153">
        <f t="shared" si="39"/>
        <v>12.233323285408447</v>
      </c>
      <c r="AI153">
        <f t="shared" si="40"/>
        <v>12.821966635667515</v>
      </c>
      <c r="AJ153">
        <f t="shared" si="41"/>
        <v>39.72303336433248</v>
      </c>
      <c r="AL153">
        <f t="shared" si="42"/>
        <v>50.739146570816892</v>
      </c>
      <c r="AM153">
        <f t="shared" si="43"/>
        <v>1.8058534291831023</v>
      </c>
    </row>
    <row r="154" spans="1:39" ht="16.5" x14ac:dyDescent="0.25">
      <c r="A154" s="1">
        <v>45481</v>
      </c>
      <c r="B154" s="5">
        <v>26.06</v>
      </c>
      <c r="C154" s="4">
        <v>25.99</v>
      </c>
      <c r="D154" s="4">
        <v>26.38</v>
      </c>
      <c r="E154" s="4">
        <v>25.83</v>
      </c>
      <c r="F154" s="4" t="s">
        <v>1676</v>
      </c>
      <c r="G154" s="2" t="s">
        <v>736</v>
      </c>
      <c r="I154">
        <f t="shared" si="30"/>
        <v>26.358999999999998</v>
      </c>
      <c r="J154">
        <f t="shared" si="31"/>
        <v>27.308999999999997</v>
      </c>
      <c r="L154">
        <f t="shared" si="32"/>
        <v>1</v>
      </c>
      <c r="M154">
        <f t="shared" si="33"/>
        <v>0</v>
      </c>
      <c r="O154">
        <f t="shared" si="34"/>
        <v>7.0000000000000284E-2</v>
      </c>
      <c r="P154">
        <f t="shared" si="35"/>
        <v>0</v>
      </c>
      <c r="R154">
        <f t="shared" si="36"/>
        <v>0.22750000000000004</v>
      </c>
      <c r="S154">
        <f t="shared" si="37"/>
        <v>0.36333333333333268</v>
      </c>
      <c r="U154">
        <f t="shared" si="38"/>
        <v>38.504936530324443</v>
      </c>
      <c r="AH154">
        <f t="shared" si="39"/>
        <v>12.218412738575708</v>
      </c>
      <c r="AI154">
        <f t="shared" si="40"/>
        <v>12.908466635667516</v>
      </c>
      <c r="AJ154">
        <f t="shared" si="41"/>
        <v>39.809533364332481</v>
      </c>
      <c r="AL154">
        <f t="shared" si="42"/>
        <v>50.795825477151411</v>
      </c>
      <c r="AM154">
        <f t="shared" si="43"/>
        <v>1.9221745228485823</v>
      </c>
    </row>
    <row r="155" spans="1:39" ht="16.5" x14ac:dyDescent="0.25">
      <c r="A155" s="1">
        <v>45478</v>
      </c>
      <c r="B155" s="5">
        <v>26.17</v>
      </c>
      <c r="C155" s="4">
        <v>26.29</v>
      </c>
      <c r="D155" s="4">
        <v>26.61</v>
      </c>
      <c r="E155" s="4">
        <v>25.98</v>
      </c>
      <c r="F155" s="4" t="s">
        <v>722</v>
      </c>
      <c r="G155" s="2" t="s">
        <v>186</v>
      </c>
      <c r="I155">
        <f t="shared" si="30"/>
        <v>26.429999999999996</v>
      </c>
      <c r="J155">
        <f t="shared" si="31"/>
        <v>27.392000000000003</v>
      </c>
      <c r="L155">
        <f t="shared" si="32"/>
        <v>0</v>
      </c>
      <c r="M155">
        <f t="shared" si="33"/>
        <v>1</v>
      </c>
      <c r="O155">
        <f t="shared" si="34"/>
        <v>0</v>
      </c>
      <c r="P155">
        <f t="shared" si="35"/>
        <v>0.11999999999999744</v>
      </c>
      <c r="R155">
        <f t="shared" si="36"/>
        <v>0.25</v>
      </c>
      <c r="S155">
        <f t="shared" si="37"/>
        <v>0.32285714285714207</v>
      </c>
      <c r="U155">
        <f t="shared" si="38"/>
        <v>43.640897755611036</v>
      </c>
      <c r="AH155">
        <f t="shared" si="39"/>
        <v>12.203558422384084</v>
      </c>
      <c r="AI155">
        <f t="shared" si="40"/>
        <v>12.979466635667514</v>
      </c>
      <c r="AJ155">
        <f t="shared" si="41"/>
        <v>39.880533364332479</v>
      </c>
      <c r="AL155">
        <f t="shared" si="42"/>
        <v>50.837116844768161</v>
      </c>
      <c r="AM155">
        <f t="shared" si="43"/>
        <v>2.0228831552318276</v>
      </c>
    </row>
    <row r="156" spans="1:39" ht="16.5" x14ac:dyDescent="0.25">
      <c r="A156" s="1">
        <v>45477</v>
      </c>
      <c r="B156" s="5">
        <v>26.2</v>
      </c>
      <c r="C156" s="4">
        <v>26.14</v>
      </c>
      <c r="D156" s="4">
        <v>26.42</v>
      </c>
      <c r="E156" s="4">
        <v>26.05</v>
      </c>
      <c r="F156" s="4" t="s">
        <v>157</v>
      </c>
      <c r="G156" s="2" t="s">
        <v>513</v>
      </c>
      <c r="I156">
        <f t="shared" si="30"/>
        <v>26.526</v>
      </c>
      <c r="J156">
        <f t="shared" si="31"/>
        <v>27.461500000000001</v>
      </c>
      <c r="L156">
        <f t="shared" si="32"/>
        <v>1</v>
      </c>
      <c r="M156">
        <f t="shared" si="33"/>
        <v>0</v>
      </c>
      <c r="O156">
        <f t="shared" si="34"/>
        <v>5.9999999999998721E-2</v>
      </c>
      <c r="P156">
        <f t="shared" si="35"/>
        <v>0</v>
      </c>
      <c r="R156">
        <f t="shared" si="36"/>
        <v>0.25</v>
      </c>
      <c r="S156">
        <f t="shared" si="37"/>
        <v>0.43857142857142811</v>
      </c>
      <c r="U156">
        <f t="shared" si="38"/>
        <v>36.307053941908741</v>
      </c>
      <c r="AH156">
        <f t="shared" si="39"/>
        <v>12.188703449143047</v>
      </c>
      <c r="AI156">
        <f t="shared" si="40"/>
        <v>13.075466635667517</v>
      </c>
      <c r="AJ156">
        <f t="shared" si="41"/>
        <v>39.976533364332482</v>
      </c>
      <c r="AL156">
        <f t="shared" si="42"/>
        <v>50.903406898286093</v>
      </c>
      <c r="AM156">
        <f t="shared" si="43"/>
        <v>2.1485931017139066</v>
      </c>
    </row>
    <row r="157" spans="1:39" ht="16.5" x14ac:dyDescent="0.25">
      <c r="A157" s="1">
        <v>45476</v>
      </c>
      <c r="B157" s="5">
        <v>26.23</v>
      </c>
      <c r="C157" s="4">
        <v>25.97</v>
      </c>
      <c r="D157" s="4">
        <v>26.36</v>
      </c>
      <c r="E157" s="4">
        <v>25.82</v>
      </c>
      <c r="F157" s="4" t="s">
        <v>1482</v>
      </c>
      <c r="G157" s="2" t="s">
        <v>1154</v>
      </c>
      <c r="I157">
        <f t="shared" si="30"/>
        <v>26.635499999999997</v>
      </c>
      <c r="J157">
        <f t="shared" si="31"/>
        <v>27.52375</v>
      </c>
      <c r="L157">
        <f t="shared" si="32"/>
        <v>1</v>
      </c>
      <c r="M157">
        <f t="shared" si="33"/>
        <v>0</v>
      </c>
      <c r="O157">
        <f t="shared" si="34"/>
        <v>0.26000000000000156</v>
      </c>
      <c r="P157">
        <f t="shared" si="35"/>
        <v>0</v>
      </c>
      <c r="R157">
        <f t="shared" si="36"/>
        <v>0.2816666666666669</v>
      </c>
      <c r="S157">
        <f t="shared" si="37"/>
        <v>0.42499999999999938</v>
      </c>
      <c r="U157">
        <f t="shared" si="38"/>
        <v>39.858490566037794</v>
      </c>
      <c r="AH157">
        <f t="shared" si="39"/>
        <v>12.173940197984246</v>
      </c>
      <c r="AI157">
        <f t="shared" si="40"/>
        <v>13.184966635667514</v>
      </c>
      <c r="AJ157">
        <f t="shared" si="41"/>
        <v>40.086033364332479</v>
      </c>
      <c r="AL157">
        <f t="shared" si="42"/>
        <v>50.983380395968489</v>
      </c>
      <c r="AM157">
        <f t="shared" si="43"/>
        <v>2.2876196040315051</v>
      </c>
    </row>
    <row r="158" spans="1:39" ht="16.5" x14ac:dyDescent="0.25">
      <c r="A158" s="1">
        <v>45475</v>
      </c>
      <c r="B158" s="5">
        <v>25.85</v>
      </c>
      <c r="C158" s="4">
        <v>26</v>
      </c>
      <c r="D158" s="4">
        <v>26.21</v>
      </c>
      <c r="E158" s="4">
        <v>25.02</v>
      </c>
      <c r="F158" s="4" t="s">
        <v>1085</v>
      </c>
      <c r="G158" s="2" t="s">
        <v>1380</v>
      </c>
      <c r="I158">
        <f t="shared" si="30"/>
        <v>26.753499999999995</v>
      </c>
      <c r="J158">
        <f t="shared" si="31"/>
        <v>27.580000000000002</v>
      </c>
      <c r="L158">
        <f t="shared" si="32"/>
        <v>0</v>
      </c>
      <c r="M158">
        <f t="shared" si="33"/>
        <v>1</v>
      </c>
      <c r="O158">
        <f t="shared" si="34"/>
        <v>0</v>
      </c>
      <c r="P158">
        <f t="shared" si="35"/>
        <v>0.14999999999999858</v>
      </c>
      <c r="R158">
        <f t="shared" si="36"/>
        <v>0.28599999999999992</v>
      </c>
      <c r="S158">
        <f t="shared" si="37"/>
        <v>0.4211111111111106</v>
      </c>
      <c r="U158">
        <f t="shared" si="38"/>
        <v>40.446260213702097</v>
      </c>
      <c r="AH158">
        <f t="shared" si="39"/>
        <v>12.159319347917261</v>
      </c>
      <c r="AI158">
        <f t="shared" si="40"/>
        <v>13.302966635667513</v>
      </c>
      <c r="AJ158">
        <f t="shared" si="41"/>
        <v>40.204033364332474</v>
      </c>
      <c r="AL158">
        <f t="shared" si="42"/>
        <v>51.072138695834518</v>
      </c>
      <c r="AM158">
        <f t="shared" si="43"/>
        <v>2.434861304165473</v>
      </c>
    </row>
    <row r="159" spans="1:39" ht="16.5" x14ac:dyDescent="0.25">
      <c r="A159" s="1">
        <v>45474</v>
      </c>
      <c r="B159" s="5">
        <v>26.17</v>
      </c>
      <c r="C159" s="4">
        <v>26.89</v>
      </c>
      <c r="D159" s="4">
        <v>26.94</v>
      </c>
      <c r="E159" s="4">
        <v>26.04</v>
      </c>
      <c r="F159" s="4" t="s">
        <v>1507</v>
      </c>
      <c r="G159" s="2" t="s">
        <v>792</v>
      </c>
      <c r="I159">
        <f t="shared" si="30"/>
        <v>26.877499999999991</v>
      </c>
      <c r="J159">
        <f t="shared" si="31"/>
        <v>27.645999999999997</v>
      </c>
      <c r="L159">
        <f t="shared" si="32"/>
        <v>0</v>
      </c>
      <c r="M159">
        <f t="shared" si="33"/>
        <v>1</v>
      </c>
      <c r="O159">
        <f t="shared" si="34"/>
        <v>0</v>
      </c>
      <c r="P159">
        <f t="shared" si="35"/>
        <v>0.71999999999999886</v>
      </c>
      <c r="R159">
        <f t="shared" si="36"/>
        <v>0.34833333333333272</v>
      </c>
      <c r="S159">
        <f t="shared" si="37"/>
        <v>0.45499999999999963</v>
      </c>
      <c r="U159">
        <f t="shared" si="38"/>
        <v>43.36099585062238</v>
      </c>
      <c r="AH159">
        <f t="shared" si="39"/>
        <v>12.144873423111649</v>
      </c>
      <c r="AI159">
        <f t="shared" si="40"/>
        <v>13.426966635667508</v>
      </c>
      <c r="AJ159">
        <f t="shared" si="41"/>
        <v>40.32803336433247</v>
      </c>
      <c r="AL159">
        <f t="shared" si="42"/>
        <v>51.167246846223293</v>
      </c>
      <c r="AM159">
        <f t="shared" si="43"/>
        <v>2.587753153776692</v>
      </c>
    </row>
    <row r="160" spans="1:39" ht="16.5" x14ac:dyDescent="0.25">
      <c r="A160" s="1">
        <v>45471</v>
      </c>
      <c r="B160" s="5">
        <v>26.38</v>
      </c>
      <c r="C160" s="4">
        <v>26.18</v>
      </c>
      <c r="D160" s="4">
        <v>26.64</v>
      </c>
      <c r="E160" s="4">
        <v>26.14</v>
      </c>
      <c r="F160" s="4" t="s">
        <v>1489</v>
      </c>
      <c r="G160" s="2" t="s">
        <v>444</v>
      </c>
      <c r="I160">
        <f t="shared" si="30"/>
        <v>27.000499999999995</v>
      </c>
      <c r="J160">
        <f t="shared" si="31"/>
        <v>27.693249999999995</v>
      </c>
      <c r="L160">
        <f t="shared" si="32"/>
        <v>1</v>
      </c>
      <c r="M160">
        <f t="shared" si="33"/>
        <v>0</v>
      </c>
      <c r="O160">
        <f t="shared" si="34"/>
        <v>0.19999999999999929</v>
      </c>
      <c r="P160">
        <f t="shared" si="35"/>
        <v>0</v>
      </c>
      <c r="R160">
        <f t="shared" si="36"/>
        <v>0.34833333333333272</v>
      </c>
      <c r="S160">
        <f t="shared" si="37"/>
        <v>0.41624999999999979</v>
      </c>
      <c r="U160">
        <f t="shared" si="38"/>
        <v>45.558583106266994</v>
      </c>
      <c r="AH160">
        <f t="shared" si="39"/>
        <v>12.130625871969293</v>
      </c>
      <c r="AI160">
        <f t="shared" si="40"/>
        <v>13.549966635667513</v>
      </c>
      <c r="AJ160">
        <f t="shared" si="41"/>
        <v>40.451033364332474</v>
      </c>
      <c r="AL160">
        <f t="shared" si="42"/>
        <v>51.261751743938582</v>
      </c>
      <c r="AM160">
        <f t="shared" si="43"/>
        <v>2.7392482560614084</v>
      </c>
    </row>
    <row r="161" spans="1:39" ht="16.5" x14ac:dyDescent="0.25">
      <c r="A161" s="1">
        <v>45470</v>
      </c>
      <c r="B161" s="5">
        <v>26.11</v>
      </c>
      <c r="C161" s="4">
        <v>25.95</v>
      </c>
      <c r="D161" s="4">
        <v>26.22</v>
      </c>
      <c r="E161" s="4">
        <v>25.81</v>
      </c>
      <c r="F161" s="4" t="s">
        <v>262</v>
      </c>
      <c r="G161" s="2" t="s">
        <v>298</v>
      </c>
      <c r="I161">
        <f t="shared" si="30"/>
        <v>27.093499999999995</v>
      </c>
      <c r="J161">
        <f t="shared" si="31"/>
        <v>27.734249999999996</v>
      </c>
      <c r="L161">
        <f t="shared" si="32"/>
        <v>1</v>
      </c>
      <c r="M161">
        <f t="shared" si="33"/>
        <v>0</v>
      </c>
      <c r="O161">
        <f t="shared" si="34"/>
        <v>0.16000000000000014</v>
      </c>
      <c r="P161">
        <f t="shared" si="35"/>
        <v>0</v>
      </c>
      <c r="R161">
        <f t="shared" si="36"/>
        <v>0.37799999999999939</v>
      </c>
      <c r="S161">
        <f t="shared" si="37"/>
        <v>0.4166666666666663</v>
      </c>
      <c r="U161">
        <f t="shared" si="38"/>
        <v>47.567114093959717</v>
      </c>
      <c r="AH161">
        <f t="shared" si="39"/>
        <v>12.116574391978881</v>
      </c>
      <c r="AI161">
        <f t="shared" si="40"/>
        <v>13.642966635667513</v>
      </c>
      <c r="AJ161">
        <f t="shared" si="41"/>
        <v>40.544033364332478</v>
      </c>
      <c r="AL161">
        <f t="shared" si="42"/>
        <v>51.326648783957758</v>
      </c>
      <c r="AM161">
        <f t="shared" si="43"/>
        <v>2.8603512160422326</v>
      </c>
    </row>
    <row r="162" spans="1:39" ht="16.5" x14ac:dyDescent="0.25">
      <c r="A162" s="1">
        <v>45469</v>
      </c>
      <c r="B162" s="5">
        <v>25.99</v>
      </c>
      <c r="C162" s="4">
        <v>26.2</v>
      </c>
      <c r="D162" s="4">
        <v>26.31</v>
      </c>
      <c r="E162" s="4">
        <v>25.78</v>
      </c>
      <c r="F162" s="4" t="s">
        <v>193</v>
      </c>
      <c r="G162" s="2" t="s">
        <v>147</v>
      </c>
      <c r="I162">
        <f t="shared" si="30"/>
        <v>27.190999999999992</v>
      </c>
      <c r="J162">
        <f t="shared" si="31"/>
        <v>27.784749999999995</v>
      </c>
      <c r="L162">
        <f t="shared" si="32"/>
        <v>0</v>
      </c>
      <c r="M162">
        <f t="shared" si="33"/>
        <v>1</v>
      </c>
      <c r="O162">
        <f t="shared" si="34"/>
        <v>0</v>
      </c>
      <c r="P162">
        <f t="shared" si="35"/>
        <v>0.21000000000000085</v>
      </c>
      <c r="R162">
        <f t="shared" si="36"/>
        <v>0.43249999999999922</v>
      </c>
      <c r="S162">
        <f t="shared" si="37"/>
        <v>0.39099999999999968</v>
      </c>
      <c r="U162">
        <f t="shared" si="38"/>
        <v>52.519732847601674</v>
      </c>
      <c r="AH162">
        <f t="shared" si="39"/>
        <v>12.102609598033299</v>
      </c>
      <c r="AI162">
        <f t="shared" si="40"/>
        <v>13.740466635667509</v>
      </c>
      <c r="AJ162">
        <f t="shared" si="41"/>
        <v>40.641533364332474</v>
      </c>
      <c r="AL162">
        <f t="shared" si="42"/>
        <v>51.396219196066589</v>
      </c>
      <c r="AM162">
        <f t="shared" si="43"/>
        <v>2.9857808039333946</v>
      </c>
    </row>
    <row r="163" spans="1:39" ht="16.5" x14ac:dyDescent="0.25">
      <c r="A163" s="1">
        <v>45468</v>
      </c>
      <c r="B163" s="5">
        <v>26.15</v>
      </c>
      <c r="C163" s="4">
        <v>26.75</v>
      </c>
      <c r="D163" s="4">
        <v>26.93</v>
      </c>
      <c r="E163" s="4">
        <v>25.99</v>
      </c>
      <c r="F163" s="4" t="s">
        <v>1436</v>
      </c>
      <c r="G163" s="2" t="s">
        <v>1648</v>
      </c>
      <c r="I163">
        <f t="shared" si="30"/>
        <v>27.237499999999994</v>
      </c>
      <c r="J163">
        <f t="shared" si="31"/>
        <v>27.818750000000001</v>
      </c>
      <c r="L163">
        <f t="shared" si="32"/>
        <v>0</v>
      </c>
      <c r="M163">
        <f t="shared" si="33"/>
        <v>1</v>
      </c>
      <c r="O163">
        <f t="shared" si="34"/>
        <v>0</v>
      </c>
      <c r="P163">
        <f t="shared" si="35"/>
        <v>0.60000000000000142</v>
      </c>
      <c r="R163">
        <f t="shared" si="36"/>
        <v>0.43249999999999922</v>
      </c>
      <c r="S163">
        <f t="shared" si="37"/>
        <v>0.37599999999999945</v>
      </c>
      <c r="U163">
        <f t="shared" si="38"/>
        <v>53.494124922696344</v>
      </c>
      <c r="AH163">
        <f t="shared" si="39"/>
        <v>12.088748784433884</v>
      </c>
      <c r="AI163">
        <f t="shared" si="40"/>
        <v>13.786966635667511</v>
      </c>
      <c r="AJ163">
        <f t="shared" si="41"/>
        <v>40.688033364332476</v>
      </c>
      <c r="AL163">
        <f t="shared" si="42"/>
        <v>51.414997568867761</v>
      </c>
      <c r="AM163">
        <f t="shared" si="43"/>
        <v>3.0600024311322258</v>
      </c>
    </row>
    <row r="164" spans="1:39" ht="16.5" x14ac:dyDescent="0.25">
      <c r="A164" s="1">
        <v>45467</v>
      </c>
      <c r="B164" s="5">
        <v>26.66</v>
      </c>
      <c r="C164" s="4">
        <v>26.03</v>
      </c>
      <c r="D164" s="4">
        <v>26.75</v>
      </c>
      <c r="E164" s="4">
        <v>25.97</v>
      </c>
      <c r="F164" s="4" t="s">
        <v>1654</v>
      </c>
      <c r="G164" s="2" t="s">
        <v>1677</v>
      </c>
      <c r="I164">
        <f t="shared" si="30"/>
        <v>27.319999999999993</v>
      </c>
      <c r="J164">
        <f t="shared" si="31"/>
        <v>27.854750000000003</v>
      </c>
      <c r="L164">
        <f t="shared" si="32"/>
        <v>1</v>
      </c>
      <c r="M164">
        <f t="shared" si="33"/>
        <v>0</v>
      </c>
      <c r="O164">
        <f t="shared" si="34"/>
        <v>0.62999999999999901</v>
      </c>
      <c r="P164">
        <f t="shared" si="35"/>
        <v>0</v>
      </c>
      <c r="R164">
        <f t="shared" si="36"/>
        <v>0.43249999999999922</v>
      </c>
      <c r="S164">
        <f t="shared" si="37"/>
        <v>0.3469999999999992</v>
      </c>
      <c r="U164">
        <f t="shared" si="38"/>
        <v>55.484284797947417</v>
      </c>
      <c r="AH164">
        <f t="shared" si="39"/>
        <v>12.07480374535627</v>
      </c>
      <c r="AI164">
        <f t="shared" si="40"/>
        <v>13.869466635667511</v>
      </c>
      <c r="AJ164">
        <f t="shared" si="41"/>
        <v>40.770533364332479</v>
      </c>
      <c r="AL164">
        <f t="shared" si="42"/>
        <v>51.469607490712534</v>
      </c>
      <c r="AM164">
        <f t="shared" si="43"/>
        <v>3.1703925092874528</v>
      </c>
    </row>
    <row r="165" spans="1:39" ht="16.5" x14ac:dyDescent="0.25">
      <c r="A165" s="1">
        <v>45464</v>
      </c>
      <c r="B165" s="5">
        <v>26</v>
      </c>
      <c r="C165" s="4">
        <v>25.98</v>
      </c>
      <c r="D165" s="4">
        <v>26.13</v>
      </c>
      <c r="E165" s="4">
        <v>25.8</v>
      </c>
      <c r="F165" s="4" t="s">
        <v>1678</v>
      </c>
      <c r="G165" s="2" t="s">
        <v>365</v>
      </c>
      <c r="I165">
        <f t="shared" si="30"/>
        <v>27.400499999999994</v>
      </c>
      <c r="J165">
        <f t="shared" si="31"/>
        <v>27.873250000000002</v>
      </c>
      <c r="L165">
        <f t="shared" si="32"/>
        <v>1</v>
      </c>
      <c r="M165">
        <f t="shared" si="33"/>
        <v>0</v>
      </c>
      <c r="O165">
        <f t="shared" si="34"/>
        <v>1.9999999999999574E-2</v>
      </c>
      <c r="P165">
        <f t="shared" si="35"/>
        <v>0</v>
      </c>
      <c r="R165">
        <f t="shared" si="36"/>
        <v>0.36666666666666597</v>
      </c>
      <c r="S165">
        <f t="shared" si="37"/>
        <v>0.35636363636363588</v>
      </c>
      <c r="U165">
        <f t="shared" si="38"/>
        <v>50.712489522212898</v>
      </c>
      <c r="AH165">
        <f t="shared" si="39"/>
        <v>12.060907173973442</v>
      </c>
      <c r="AI165">
        <f t="shared" si="40"/>
        <v>13.949966635667511</v>
      </c>
      <c r="AJ165">
        <f t="shared" si="41"/>
        <v>40.85103336433248</v>
      </c>
      <c r="AL165">
        <f t="shared" si="42"/>
        <v>51.522314347946875</v>
      </c>
      <c r="AM165">
        <f t="shared" si="43"/>
        <v>3.2786856520531096</v>
      </c>
    </row>
    <row r="166" spans="1:39" ht="16.5" x14ac:dyDescent="0.25">
      <c r="A166" s="1">
        <v>45463</v>
      </c>
      <c r="B166" s="5">
        <v>26</v>
      </c>
      <c r="C166" s="4">
        <v>25.58</v>
      </c>
      <c r="D166" s="4">
        <v>26.09</v>
      </c>
      <c r="E166" s="4">
        <v>25.46</v>
      </c>
      <c r="F166" s="4" t="s">
        <v>1538</v>
      </c>
      <c r="G166" s="2" t="s">
        <v>1212</v>
      </c>
      <c r="I166">
        <f t="shared" si="30"/>
        <v>27.481999999999999</v>
      </c>
      <c r="J166">
        <f t="shared" si="31"/>
        <v>27.895750000000003</v>
      </c>
      <c r="L166">
        <f t="shared" si="32"/>
        <v>1</v>
      </c>
      <c r="M166">
        <f t="shared" si="33"/>
        <v>0</v>
      </c>
      <c r="O166">
        <f t="shared" si="34"/>
        <v>0.42000000000000171</v>
      </c>
      <c r="P166">
        <f t="shared" si="35"/>
        <v>0</v>
      </c>
      <c r="R166">
        <f t="shared" si="36"/>
        <v>0.47666666666666541</v>
      </c>
      <c r="S166">
        <f t="shared" si="37"/>
        <v>0.35636363636363588</v>
      </c>
      <c r="U166">
        <f t="shared" si="38"/>
        <v>57.220807566387748</v>
      </c>
      <c r="AH166">
        <f t="shared" si="39"/>
        <v>12.047051927780664</v>
      </c>
      <c r="AI166">
        <f t="shared" si="40"/>
        <v>14.031466635667517</v>
      </c>
      <c r="AJ166">
        <f t="shared" si="41"/>
        <v>40.932533364332485</v>
      </c>
      <c r="AL166">
        <f t="shared" si="42"/>
        <v>51.576103855561328</v>
      </c>
      <c r="AM166">
        <f t="shared" si="43"/>
        <v>3.3878961444386704</v>
      </c>
    </row>
    <row r="167" spans="1:39" ht="16.5" x14ac:dyDescent="0.25">
      <c r="A167" s="1">
        <v>45462</v>
      </c>
      <c r="B167" s="5">
        <v>25.62</v>
      </c>
      <c r="C167" s="4">
        <v>26</v>
      </c>
      <c r="D167" s="4">
        <v>26.06</v>
      </c>
      <c r="E167" s="4">
        <v>25.62</v>
      </c>
      <c r="F167" s="4" t="s">
        <v>1434</v>
      </c>
      <c r="G167" s="2" t="s">
        <v>1679</v>
      </c>
      <c r="I167">
        <f t="shared" si="30"/>
        <v>27.561</v>
      </c>
      <c r="J167">
        <f t="shared" si="31"/>
        <v>27.920000000000009</v>
      </c>
      <c r="L167">
        <f t="shared" si="32"/>
        <v>0</v>
      </c>
      <c r="M167">
        <f t="shared" si="33"/>
        <v>1</v>
      </c>
      <c r="O167">
        <f t="shared" si="34"/>
        <v>0</v>
      </c>
      <c r="P167">
        <f t="shared" si="35"/>
        <v>0.37999999999999901</v>
      </c>
      <c r="R167">
        <f t="shared" si="36"/>
        <v>0.3733333333333313</v>
      </c>
      <c r="S167">
        <f t="shared" si="37"/>
        <v>0.35636363636363588</v>
      </c>
      <c r="U167">
        <f t="shared" si="38"/>
        <v>51.162790697674311</v>
      </c>
      <c r="AH167">
        <f t="shared" si="39"/>
        <v>12.033241969860711</v>
      </c>
      <c r="AI167">
        <f t="shared" si="40"/>
        <v>14.110466635667517</v>
      </c>
      <c r="AJ167">
        <f t="shared" si="41"/>
        <v>41.011533364332479</v>
      </c>
      <c r="AL167">
        <f t="shared" si="42"/>
        <v>51.627483939721422</v>
      </c>
      <c r="AM167">
        <f t="shared" si="43"/>
        <v>3.4945160602785776</v>
      </c>
    </row>
    <row r="168" spans="1:39" ht="16.5" x14ac:dyDescent="0.25">
      <c r="A168" s="1">
        <v>45461</v>
      </c>
      <c r="B168" s="5">
        <v>26.14</v>
      </c>
      <c r="C168" s="4">
        <v>26.22</v>
      </c>
      <c r="D168" s="4">
        <v>26.41</v>
      </c>
      <c r="E168" s="4">
        <v>26.08</v>
      </c>
      <c r="F168" s="4" t="s">
        <v>1466</v>
      </c>
      <c r="G168" s="2" t="s">
        <v>440</v>
      </c>
      <c r="I168">
        <f t="shared" si="30"/>
        <v>27.699999999999996</v>
      </c>
      <c r="J168">
        <f t="shared" si="31"/>
        <v>27.963000000000005</v>
      </c>
      <c r="L168">
        <f t="shared" si="32"/>
        <v>0</v>
      </c>
      <c r="M168">
        <f t="shared" si="33"/>
        <v>1</v>
      </c>
      <c r="O168">
        <f t="shared" si="34"/>
        <v>0</v>
      </c>
      <c r="P168">
        <f t="shared" si="35"/>
        <v>7.9999999999998295E-2</v>
      </c>
      <c r="R168">
        <f t="shared" si="36"/>
        <v>0.54499999999999815</v>
      </c>
      <c r="S168">
        <f t="shared" si="37"/>
        <v>0.35399999999999954</v>
      </c>
      <c r="U168">
        <f t="shared" si="38"/>
        <v>60.622914349276925</v>
      </c>
      <c r="AH168">
        <f t="shared" si="39"/>
        <v>12.019468231286018</v>
      </c>
      <c r="AI168">
        <f t="shared" si="40"/>
        <v>14.249466635667513</v>
      </c>
      <c r="AJ168">
        <f t="shared" si="41"/>
        <v>41.150533364332475</v>
      </c>
      <c r="AL168">
        <f t="shared" si="42"/>
        <v>51.738936462572028</v>
      </c>
      <c r="AM168">
        <f t="shared" si="43"/>
        <v>3.6610635374279603</v>
      </c>
    </row>
    <row r="169" spans="1:39" ht="16.5" x14ac:dyDescent="0.25">
      <c r="A169" s="1">
        <v>45460</v>
      </c>
      <c r="B169" s="5">
        <v>26.13</v>
      </c>
      <c r="C169" s="4">
        <v>27.06</v>
      </c>
      <c r="D169" s="4">
        <v>27.06</v>
      </c>
      <c r="E169" s="4">
        <v>25.99</v>
      </c>
      <c r="F169" s="4" t="s">
        <v>1485</v>
      </c>
      <c r="G169" s="2" t="s">
        <v>1680</v>
      </c>
      <c r="I169">
        <f t="shared" si="30"/>
        <v>27.809000000000005</v>
      </c>
      <c r="J169">
        <f t="shared" si="31"/>
        <v>27.9925</v>
      </c>
      <c r="L169">
        <f t="shared" si="32"/>
        <v>0</v>
      </c>
      <c r="M169">
        <f t="shared" si="33"/>
        <v>1</v>
      </c>
      <c r="O169">
        <f t="shared" si="34"/>
        <v>0</v>
      </c>
      <c r="P169">
        <f t="shared" si="35"/>
        <v>0.92999999999999972</v>
      </c>
      <c r="R169">
        <f t="shared" si="36"/>
        <v>0.54499999999999815</v>
      </c>
      <c r="S169">
        <f t="shared" si="37"/>
        <v>0.41599999999999965</v>
      </c>
      <c r="U169">
        <f t="shared" si="38"/>
        <v>56.711758584807434</v>
      </c>
      <c r="AH169">
        <f t="shared" si="39"/>
        <v>12.0059550723496</v>
      </c>
      <c r="AI169">
        <f t="shared" si="40"/>
        <v>14.358466635667522</v>
      </c>
      <c r="AJ169">
        <f t="shared" si="41"/>
        <v>41.259533364332484</v>
      </c>
      <c r="AL169">
        <f t="shared" si="42"/>
        <v>51.820910144699205</v>
      </c>
      <c r="AM169">
        <f t="shared" si="43"/>
        <v>3.7970898553008041</v>
      </c>
    </row>
    <row r="170" spans="1:39" ht="16.5" x14ac:dyDescent="0.25">
      <c r="A170" s="1">
        <v>45457</v>
      </c>
      <c r="B170" s="5">
        <v>27.07</v>
      </c>
      <c r="C170" s="4">
        <v>27.4</v>
      </c>
      <c r="D170" s="4">
        <v>27.72</v>
      </c>
      <c r="E170" s="4">
        <v>27.02</v>
      </c>
      <c r="F170" s="4" t="s">
        <v>1481</v>
      </c>
      <c r="G170" s="2" t="s">
        <v>272</v>
      </c>
      <c r="I170">
        <f t="shared" si="30"/>
        <v>27.935999999999996</v>
      </c>
      <c r="J170">
        <f t="shared" si="31"/>
        <v>27.997499999999995</v>
      </c>
      <c r="L170">
        <f t="shared" si="32"/>
        <v>0</v>
      </c>
      <c r="M170">
        <f t="shared" si="33"/>
        <v>1</v>
      </c>
      <c r="O170">
        <f t="shared" si="34"/>
        <v>0</v>
      </c>
      <c r="P170">
        <f t="shared" si="35"/>
        <v>0.32999999999999829</v>
      </c>
      <c r="R170">
        <f t="shared" si="36"/>
        <v>0.54499999999999815</v>
      </c>
      <c r="S170">
        <f t="shared" si="37"/>
        <v>0.36599999999999966</v>
      </c>
      <c r="U170">
        <f t="shared" si="38"/>
        <v>59.824368825466465</v>
      </c>
      <c r="AH170">
        <f t="shared" si="39"/>
        <v>11.992592360620334</v>
      </c>
      <c r="AI170">
        <f t="shared" si="40"/>
        <v>14.485466635667514</v>
      </c>
      <c r="AJ170">
        <f t="shared" si="41"/>
        <v>41.386533364332479</v>
      </c>
      <c r="AL170">
        <f t="shared" si="42"/>
        <v>51.921184721240664</v>
      </c>
      <c r="AM170">
        <f t="shared" si="43"/>
        <v>3.9508152787593289</v>
      </c>
    </row>
    <row r="171" spans="1:39" ht="16.5" x14ac:dyDescent="0.25">
      <c r="A171" s="1">
        <v>45456</v>
      </c>
      <c r="B171" s="5">
        <v>27.34</v>
      </c>
      <c r="C171" s="4">
        <v>27.73</v>
      </c>
      <c r="D171" s="4">
        <v>27.82</v>
      </c>
      <c r="E171" s="4">
        <v>26.92</v>
      </c>
      <c r="F171" s="4" t="s">
        <v>1585</v>
      </c>
      <c r="G171" s="2" t="s">
        <v>1569</v>
      </c>
      <c r="I171">
        <f t="shared" si="30"/>
        <v>28.011500000000002</v>
      </c>
      <c r="J171">
        <f t="shared" si="31"/>
        <v>27.976749999999999</v>
      </c>
      <c r="L171">
        <f t="shared" si="32"/>
        <v>0</v>
      </c>
      <c r="M171">
        <f t="shared" si="33"/>
        <v>1</v>
      </c>
      <c r="O171">
        <f t="shared" si="34"/>
        <v>0</v>
      </c>
      <c r="P171">
        <f t="shared" si="35"/>
        <v>0.39000000000000057</v>
      </c>
      <c r="R171">
        <f t="shared" si="36"/>
        <v>0.58999999999999841</v>
      </c>
      <c r="S171">
        <f t="shared" si="37"/>
        <v>0.36999999999999983</v>
      </c>
      <c r="U171">
        <f t="shared" si="38"/>
        <v>61.458333333333286</v>
      </c>
      <c r="AH171">
        <f t="shared" si="39"/>
        <v>11.979448298017527</v>
      </c>
      <c r="AI171">
        <f t="shared" si="40"/>
        <v>14.560966635667519</v>
      </c>
      <c r="AJ171">
        <f t="shared" si="41"/>
        <v>41.462033364332484</v>
      </c>
      <c r="AL171">
        <f t="shared" si="42"/>
        <v>51.970396596035059</v>
      </c>
      <c r="AM171">
        <f t="shared" si="43"/>
        <v>4.0526034039649481</v>
      </c>
    </row>
    <row r="172" spans="1:39" ht="16.5" x14ac:dyDescent="0.25">
      <c r="A172" s="1">
        <v>45455</v>
      </c>
      <c r="B172" s="5">
        <v>27.83</v>
      </c>
      <c r="C172" s="4">
        <v>27.17</v>
      </c>
      <c r="D172" s="4">
        <v>28.08</v>
      </c>
      <c r="E172" s="4">
        <v>27.17</v>
      </c>
      <c r="F172" s="4" t="s">
        <v>824</v>
      </c>
      <c r="G172" s="2" t="s">
        <v>209</v>
      </c>
      <c r="I172">
        <f t="shared" si="30"/>
        <v>28.076999999999998</v>
      </c>
      <c r="J172">
        <f t="shared" si="31"/>
        <v>27.9495</v>
      </c>
      <c r="L172">
        <f t="shared" si="32"/>
        <v>1</v>
      </c>
      <c r="M172">
        <f t="shared" si="33"/>
        <v>0</v>
      </c>
      <c r="O172">
        <f t="shared" si="34"/>
        <v>0.65999999999999659</v>
      </c>
      <c r="P172">
        <f t="shared" si="35"/>
        <v>0</v>
      </c>
      <c r="R172">
        <f t="shared" si="36"/>
        <v>0.51333333333333186</v>
      </c>
      <c r="S172">
        <f t="shared" si="37"/>
        <v>0.36749999999999972</v>
      </c>
      <c r="U172">
        <f t="shared" si="38"/>
        <v>58.278145695364181</v>
      </c>
      <c r="AH172">
        <f t="shared" si="39"/>
        <v>11.966332502690733</v>
      </c>
      <c r="AI172">
        <f t="shared" si="40"/>
        <v>14.626466635667516</v>
      </c>
      <c r="AJ172">
        <f t="shared" si="41"/>
        <v>41.527533364332484</v>
      </c>
      <c r="AL172">
        <f t="shared" si="42"/>
        <v>52.009665005381464</v>
      </c>
      <c r="AM172">
        <f t="shared" si="43"/>
        <v>4.1443349946185322</v>
      </c>
    </row>
    <row r="173" spans="1:39" ht="16.5" x14ac:dyDescent="0.25">
      <c r="A173" s="1">
        <v>45454</v>
      </c>
      <c r="B173" s="5">
        <v>27.08</v>
      </c>
      <c r="C173" s="4">
        <v>27.49</v>
      </c>
      <c r="D173" s="4">
        <v>27.56</v>
      </c>
      <c r="E173" s="4">
        <v>26.88</v>
      </c>
      <c r="F173" s="4" t="s">
        <v>1469</v>
      </c>
      <c r="G173" s="2" t="s">
        <v>446</v>
      </c>
      <c r="I173">
        <f t="shared" si="30"/>
        <v>28.151999999999997</v>
      </c>
      <c r="J173">
        <f t="shared" si="31"/>
        <v>27.905750000000001</v>
      </c>
      <c r="L173">
        <f t="shared" si="32"/>
        <v>0</v>
      </c>
      <c r="M173">
        <f t="shared" si="33"/>
        <v>1</v>
      </c>
      <c r="O173">
        <f t="shared" si="34"/>
        <v>0</v>
      </c>
      <c r="P173">
        <f t="shared" si="35"/>
        <v>0.41000000000000014</v>
      </c>
      <c r="R173">
        <f t="shared" si="36"/>
        <v>0.48399999999999893</v>
      </c>
      <c r="S173">
        <f t="shared" si="37"/>
        <v>0.39888888888888885</v>
      </c>
      <c r="U173">
        <f t="shared" si="38"/>
        <v>54.820035237855471</v>
      </c>
      <c r="AH173">
        <f t="shared" si="39"/>
        <v>11.953207662326438</v>
      </c>
      <c r="AI173">
        <f t="shared" si="40"/>
        <v>14.701466635667515</v>
      </c>
      <c r="AJ173">
        <f t="shared" si="41"/>
        <v>41.60253336433248</v>
      </c>
      <c r="AL173">
        <f t="shared" si="42"/>
        <v>52.05841532465287</v>
      </c>
      <c r="AM173">
        <f t="shared" si="43"/>
        <v>4.2455846753471214</v>
      </c>
    </row>
    <row r="174" spans="1:39" ht="16.5" x14ac:dyDescent="0.25">
      <c r="A174" s="1">
        <v>45453</v>
      </c>
      <c r="B174" s="5">
        <v>27.48</v>
      </c>
      <c r="C174" s="4">
        <v>27.9</v>
      </c>
      <c r="D174" s="4">
        <v>27.97</v>
      </c>
      <c r="E174" s="4">
        <v>27.42</v>
      </c>
      <c r="F174" s="4" t="s">
        <v>930</v>
      </c>
      <c r="G174" s="2" t="s">
        <v>1002</v>
      </c>
      <c r="I174">
        <f t="shared" si="30"/>
        <v>28.258999999999997</v>
      </c>
      <c r="J174">
        <f t="shared" si="31"/>
        <v>27.890250000000002</v>
      </c>
      <c r="L174">
        <f t="shared" si="32"/>
        <v>0</v>
      </c>
      <c r="M174">
        <f t="shared" si="33"/>
        <v>1</v>
      </c>
      <c r="O174">
        <f t="shared" si="34"/>
        <v>0</v>
      </c>
      <c r="P174">
        <f t="shared" si="35"/>
        <v>0.41999999999999815</v>
      </c>
      <c r="R174">
        <f t="shared" si="36"/>
        <v>0.44499999999999912</v>
      </c>
      <c r="S174">
        <f t="shared" si="37"/>
        <v>0.39749999999999996</v>
      </c>
      <c r="U174">
        <f t="shared" si="38"/>
        <v>52.818991097922805</v>
      </c>
      <c r="AH174">
        <f t="shared" si="39"/>
        <v>11.940109065903908</v>
      </c>
      <c r="AI174">
        <f t="shared" si="40"/>
        <v>14.808466635667514</v>
      </c>
      <c r="AJ174">
        <f t="shared" si="41"/>
        <v>41.709533364332479</v>
      </c>
      <c r="AL174">
        <f t="shared" si="42"/>
        <v>52.139218131807809</v>
      </c>
      <c r="AM174">
        <f t="shared" si="43"/>
        <v>4.3787818681921813</v>
      </c>
    </row>
    <row r="175" spans="1:39" ht="16.5" x14ac:dyDescent="0.25">
      <c r="A175" s="1">
        <v>45450</v>
      </c>
      <c r="B175" s="5">
        <v>28.09</v>
      </c>
      <c r="C175" s="4">
        <v>28.25</v>
      </c>
      <c r="D175" s="4">
        <v>28.38</v>
      </c>
      <c r="E175" s="4">
        <v>27.75</v>
      </c>
      <c r="F175" s="4" t="s">
        <v>1519</v>
      </c>
      <c r="G175" s="2" t="s">
        <v>63</v>
      </c>
      <c r="I175">
        <f t="shared" si="30"/>
        <v>28.353999999999996</v>
      </c>
      <c r="J175">
        <f t="shared" si="31"/>
        <v>27.877500000000005</v>
      </c>
      <c r="L175">
        <f t="shared" si="32"/>
        <v>0</v>
      </c>
      <c r="M175">
        <f t="shared" si="33"/>
        <v>1</v>
      </c>
      <c r="O175">
        <f t="shared" si="34"/>
        <v>0</v>
      </c>
      <c r="P175">
        <f t="shared" si="35"/>
        <v>0.16000000000000014</v>
      </c>
      <c r="R175">
        <f t="shared" si="36"/>
        <v>0.44499999999999912</v>
      </c>
      <c r="S175">
        <f t="shared" si="37"/>
        <v>0.37375000000000025</v>
      </c>
      <c r="U175">
        <f t="shared" si="38"/>
        <v>54.351145038167864</v>
      </c>
      <c r="AH175">
        <f t="shared" si="39"/>
        <v>11.927156849246343</v>
      </c>
      <c r="AI175">
        <f t="shared" si="40"/>
        <v>14.903466635667513</v>
      </c>
      <c r="AJ175">
        <f t="shared" si="41"/>
        <v>41.804533364332478</v>
      </c>
      <c r="AL175">
        <f t="shared" si="42"/>
        <v>52.208313698492681</v>
      </c>
      <c r="AM175">
        <f t="shared" si="43"/>
        <v>4.4996863015073103</v>
      </c>
    </row>
    <row r="176" spans="1:39" ht="16.5" x14ac:dyDescent="0.25">
      <c r="A176" s="1">
        <v>45449</v>
      </c>
      <c r="B176" s="5">
        <v>28.39</v>
      </c>
      <c r="C176" s="4">
        <v>28.45</v>
      </c>
      <c r="D176" s="4">
        <v>28.59</v>
      </c>
      <c r="E176" s="4">
        <v>27.93</v>
      </c>
      <c r="F176" s="4" t="s">
        <v>1507</v>
      </c>
      <c r="G176" s="2" t="s">
        <v>174</v>
      </c>
      <c r="I176">
        <f t="shared" si="30"/>
        <v>28.397000000000002</v>
      </c>
      <c r="J176">
        <f t="shared" si="31"/>
        <v>27.850750000000005</v>
      </c>
      <c r="L176">
        <f t="shared" si="32"/>
        <v>0</v>
      </c>
      <c r="M176">
        <f t="shared" si="33"/>
        <v>1</v>
      </c>
      <c r="O176">
        <f t="shared" si="34"/>
        <v>0</v>
      </c>
      <c r="P176">
        <f t="shared" si="35"/>
        <v>5.9999999999998721E-2</v>
      </c>
      <c r="R176">
        <f t="shared" si="36"/>
        <v>0.44499999999999912</v>
      </c>
      <c r="S176">
        <f t="shared" si="37"/>
        <v>0.3762500000000002</v>
      </c>
      <c r="U176">
        <f t="shared" si="38"/>
        <v>54.185692541856866</v>
      </c>
      <c r="AH176">
        <f t="shared" si="39"/>
        <v>11.914307118828514</v>
      </c>
      <c r="AI176">
        <f t="shared" si="40"/>
        <v>14.94646663566752</v>
      </c>
      <c r="AJ176">
        <f t="shared" si="41"/>
        <v>41.847533364332484</v>
      </c>
      <c r="AL176">
        <f t="shared" si="42"/>
        <v>52.225614237657027</v>
      </c>
      <c r="AM176">
        <f t="shared" si="43"/>
        <v>4.5683857623429738</v>
      </c>
    </row>
    <row r="177" spans="1:39" ht="16.5" x14ac:dyDescent="0.25">
      <c r="A177" s="1">
        <v>45448</v>
      </c>
      <c r="B177" s="5">
        <v>28.59</v>
      </c>
      <c r="C177" s="4">
        <v>28.9</v>
      </c>
      <c r="D177" s="4">
        <v>29.15</v>
      </c>
      <c r="E177" s="4">
        <v>28.33</v>
      </c>
      <c r="F177" s="4" t="s">
        <v>981</v>
      </c>
      <c r="G177" s="2" t="s">
        <v>281</v>
      </c>
      <c r="I177">
        <f t="shared" si="30"/>
        <v>28.411999999999999</v>
      </c>
      <c r="J177">
        <f t="shared" si="31"/>
        <v>27.830500000000001</v>
      </c>
      <c r="L177">
        <f t="shared" si="32"/>
        <v>0</v>
      </c>
      <c r="M177">
        <f t="shared" si="33"/>
        <v>1</v>
      </c>
      <c r="O177">
        <f t="shared" si="34"/>
        <v>0</v>
      </c>
      <c r="P177">
        <f t="shared" si="35"/>
        <v>0.30999999999999872</v>
      </c>
      <c r="R177">
        <f t="shared" si="36"/>
        <v>0.44499999999999912</v>
      </c>
      <c r="S177">
        <f t="shared" si="37"/>
        <v>0.38375000000000048</v>
      </c>
      <c r="U177">
        <f t="shared" si="38"/>
        <v>53.695324283559493</v>
      </c>
      <c r="AH177">
        <f t="shared" si="39"/>
        <v>11.901365135558699</v>
      </c>
      <c r="AI177">
        <f t="shared" si="40"/>
        <v>14.961466635667517</v>
      </c>
      <c r="AJ177">
        <f t="shared" si="41"/>
        <v>41.862533364332478</v>
      </c>
      <c r="AL177">
        <f t="shared" si="42"/>
        <v>52.214730271117396</v>
      </c>
      <c r="AM177">
        <f t="shared" si="43"/>
        <v>4.6092697288826017</v>
      </c>
    </row>
    <row r="178" spans="1:39" ht="16.5" x14ac:dyDescent="0.25">
      <c r="A178" s="1">
        <v>45447</v>
      </c>
      <c r="B178" s="5">
        <v>28.33</v>
      </c>
      <c r="C178" s="4">
        <v>28.78</v>
      </c>
      <c r="D178" s="4">
        <v>29.28</v>
      </c>
      <c r="E178" s="4">
        <v>28.2</v>
      </c>
      <c r="F178" s="4" t="s">
        <v>1681</v>
      </c>
      <c r="G178" s="2" t="s">
        <v>270</v>
      </c>
      <c r="I178">
        <f t="shared" si="30"/>
        <v>28.406500000000001</v>
      </c>
      <c r="J178">
        <f t="shared" si="31"/>
        <v>27.800750000000004</v>
      </c>
      <c r="L178">
        <f t="shared" si="32"/>
        <v>0</v>
      </c>
      <c r="M178">
        <f t="shared" si="33"/>
        <v>1</v>
      </c>
      <c r="O178">
        <f t="shared" si="34"/>
        <v>0</v>
      </c>
      <c r="P178">
        <f t="shared" si="35"/>
        <v>0.45000000000000284</v>
      </c>
      <c r="R178">
        <f t="shared" si="36"/>
        <v>0.44499999999999912</v>
      </c>
      <c r="S178">
        <f t="shared" si="37"/>
        <v>0.45125000000000082</v>
      </c>
      <c r="U178">
        <f t="shared" si="38"/>
        <v>49.651324965132403</v>
      </c>
      <c r="AH178">
        <f t="shared" si="39"/>
        <v>11.888223467519104</v>
      </c>
      <c r="AI178">
        <f t="shared" si="40"/>
        <v>14.955966635667519</v>
      </c>
      <c r="AJ178">
        <f t="shared" si="41"/>
        <v>41.85703336433248</v>
      </c>
      <c r="AL178">
        <f t="shared" si="42"/>
        <v>52.18294693503821</v>
      </c>
      <c r="AM178">
        <f t="shared" si="43"/>
        <v>4.6300530649617926</v>
      </c>
    </row>
    <row r="179" spans="1:39" ht="16.5" x14ac:dyDescent="0.25">
      <c r="A179" s="1">
        <v>45446</v>
      </c>
      <c r="B179" s="5">
        <v>28.63</v>
      </c>
      <c r="C179" s="4">
        <v>28.28</v>
      </c>
      <c r="D179" s="4">
        <v>28.73</v>
      </c>
      <c r="E179" s="4">
        <v>28.04</v>
      </c>
      <c r="F179" s="4" t="s">
        <v>1385</v>
      </c>
      <c r="G179" s="2" t="s">
        <v>315</v>
      </c>
      <c r="I179">
        <f t="shared" si="30"/>
        <v>28.414499999999997</v>
      </c>
      <c r="J179">
        <f t="shared" si="31"/>
        <v>27.775750000000006</v>
      </c>
      <c r="L179">
        <f t="shared" si="32"/>
        <v>1</v>
      </c>
      <c r="M179">
        <f t="shared" si="33"/>
        <v>0</v>
      </c>
      <c r="O179">
        <f t="shared" si="34"/>
        <v>0.34999999999999787</v>
      </c>
      <c r="P179">
        <f t="shared" si="35"/>
        <v>0</v>
      </c>
      <c r="R179">
        <f t="shared" si="36"/>
        <v>0.42857142857142755</v>
      </c>
      <c r="S179">
        <f t="shared" si="37"/>
        <v>0.45142857142857196</v>
      </c>
      <c r="U179">
        <f t="shared" si="38"/>
        <v>48.701298701298612</v>
      </c>
      <c r="AH179">
        <f t="shared" si="39"/>
        <v>11.874800694927625</v>
      </c>
      <c r="AI179">
        <f t="shared" si="40"/>
        <v>14.963966635667514</v>
      </c>
      <c r="AJ179">
        <f t="shared" si="41"/>
        <v>41.865033364332476</v>
      </c>
      <c r="AL179">
        <f t="shared" si="42"/>
        <v>52.164101389855247</v>
      </c>
      <c r="AM179">
        <f t="shared" si="43"/>
        <v>4.6648986101447463</v>
      </c>
    </row>
    <row r="180" spans="1:39" ht="16.5" x14ac:dyDescent="0.25">
      <c r="A180" s="1">
        <v>45443</v>
      </c>
      <c r="B180" s="5">
        <v>28.24</v>
      </c>
      <c r="C180" s="4">
        <v>28.13</v>
      </c>
      <c r="D180" s="4">
        <v>28.31</v>
      </c>
      <c r="E180" s="4">
        <v>27.85</v>
      </c>
      <c r="F180" s="4" t="s">
        <v>831</v>
      </c>
      <c r="G180" s="2" t="s">
        <v>835</v>
      </c>
      <c r="I180">
        <f t="shared" si="30"/>
        <v>28.385999999999996</v>
      </c>
      <c r="J180">
        <f t="shared" si="31"/>
        <v>27.745750000000005</v>
      </c>
      <c r="L180">
        <f t="shared" si="32"/>
        <v>1</v>
      </c>
      <c r="M180">
        <f t="shared" si="33"/>
        <v>0</v>
      </c>
      <c r="O180">
        <f t="shared" si="34"/>
        <v>0.10999999999999943</v>
      </c>
      <c r="P180">
        <f t="shared" si="35"/>
        <v>0</v>
      </c>
      <c r="R180">
        <f t="shared" si="36"/>
        <v>0.44166666666666582</v>
      </c>
      <c r="S180">
        <f t="shared" si="37"/>
        <v>0.44375000000000053</v>
      </c>
      <c r="U180">
        <f t="shared" si="38"/>
        <v>49.882352941176393</v>
      </c>
      <c r="AH180">
        <f t="shared" si="39"/>
        <v>11.86114378949479</v>
      </c>
      <c r="AI180">
        <f t="shared" si="40"/>
        <v>14.935466635667513</v>
      </c>
      <c r="AJ180">
        <f t="shared" si="41"/>
        <v>41.836533364332482</v>
      </c>
      <c r="AL180">
        <f t="shared" si="42"/>
        <v>52.108287578989575</v>
      </c>
      <c r="AM180">
        <f t="shared" si="43"/>
        <v>4.6637124210104162</v>
      </c>
    </row>
    <row r="181" spans="1:39" ht="16.5" x14ac:dyDescent="0.25">
      <c r="A181" s="1">
        <v>45442</v>
      </c>
      <c r="B181" s="5">
        <v>28.06</v>
      </c>
      <c r="C181" s="4">
        <v>27</v>
      </c>
      <c r="D181" s="4">
        <v>28.17</v>
      </c>
      <c r="E181" s="4">
        <v>26.92</v>
      </c>
      <c r="F181" s="4" t="s">
        <v>945</v>
      </c>
      <c r="G181" s="2" t="s">
        <v>1682</v>
      </c>
      <c r="I181">
        <f t="shared" si="30"/>
        <v>28.374999999999993</v>
      </c>
      <c r="J181">
        <f t="shared" si="31"/>
        <v>27.753750000000004</v>
      </c>
      <c r="L181">
        <f t="shared" si="32"/>
        <v>1</v>
      </c>
      <c r="M181">
        <f t="shared" si="33"/>
        <v>0</v>
      </c>
      <c r="O181">
        <f t="shared" si="34"/>
        <v>1.0599999999999987</v>
      </c>
      <c r="P181">
        <f t="shared" si="35"/>
        <v>0</v>
      </c>
      <c r="R181">
        <f t="shared" si="36"/>
        <v>0.48666666666666575</v>
      </c>
      <c r="S181">
        <f t="shared" si="37"/>
        <v>0.44375000000000053</v>
      </c>
      <c r="U181">
        <f t="shared" si="38"/>
        <v>52.306314375279811</v>
      </c>
      <c r="AH181">
        <f t="shared" si="39"/>
        <v>11.847107626686713</v>
      </c>
      <c r="AI181">
        <f t="shared" si="40"/>
        <v>14.92446663566751</v>
      </c>
      <c r="AJ181">
        <f t="shared" si="41"/>
        <v>41.825533364332472</v>
      </c>
      <c r="AL181">
        <f t="shared" si="42"/>
        <v>52.069215253373414</v>
      </c>
      <c r="AM181">
        <f t="shared" si="43"/>
        <v>4.6807847466265677</v>
      </c>
    </row>
    <row r="182" spans="1:39" ht="16.5" x14ac:dyDescent="0.25">
      <c r="A182" s="1">
        <v>45441</v>
      </c>
      <c r="B182" s="5">
        <v>26.92</v>
      </c>
      <c r="C182" s="4">
        <v>27.62</v>
      </c>
      <c r="D182" s="4">
        <v>27.65</v>
      </c>
      <c r="E182" s="4">
        <v>26.92</v>
      </c>
      <c r="F182" s="4" t="s">
        <v>1445</v>
      </c>
      <c r="G182" s="2" t="s">
        <v>196</v>
      </c>
      <c r="I182">
        <f t="shared" si="30"/>
        <v>28.378499999999995</v>
      </c>
      <c r="J182">
        <f t="shared" si="31"/>
        <v>27.771250000000002</v>
      </c>
      <c r="L182">
        <f t="shared" si="32"/>
        <v>0</v>
      </c>
      <c r="M182">
        <f t="shared" si="33"/>
        <v>1</v>
      </c>
      <c r="O182">
        <f t="shared" si="34"/>
        <v>0</v>
      </c>
      <c r="P182">
        <f t="shared" si="35"/>
        <v>0.69999999999999929</v>
      </c>
      <c r="R182">
        <f t="shared" si="36"/>
        <v>0.33333333333333276</v>
      </c>
      <c r="S182">
        <f t="shared" si="37"/>
        <v>0.44375000000000053</v>
      </c>
      <c r="U182">
        <f t="shared" si="38"/>
        <v>42.895442359249266</v>
      </c>
      <c r="AH182">
        <f t="shared" si="39"/>
        <v>11.832753405949058</v>
      </c>
      <c r="AI182">
        <f t="shared" si="40"/>
        <v>14.927966635667513</v>
      </c>
      <c r="AJ182">
        <f t="shared" si="41"/>
        <v>41.829033364332474</v>
      </c>
      <c r="AL182">
        <f t="shared" si="42"/>
        <v>52.044006811898115</v>
      </c>
      <c r="AM182">
        <f t="shared" si="43"/>
        <v>4.7129931881018798</v>
      </c>
    </row>
    <row r="183" spans="1:39" ht="16.5" x14ac:dyDescent="0.25">
      <c r="A183" s="1">
        <v>45440</v>
      </c>
      <c r="B183" s="5">
        <v>27.8</v>
      </c>
      <c r="C183" s="4">
        <v>28.23</v>
      </c>
      <c r="D183" s="4">
        <v>28.34</v>
      </c>
      <c r="E183" s="4">
        <v>27.54</v>
      </c>
      <c r="F183" s="4" t="s">
        <v>1499</v>
      </c>
      <c r="G183" s="2" t="s">
        <v>1461</v>
      </c>
      <c r="I183">
        <f t="shared" si="30"/>
        <v>28.400000000000006</v>
      </c>
      <c r="J183">
        <f t="shared" si="31"/>
        <v>27.798250000000007</v>
      </c>
      <c r="L183">
        <f t="shared" si="32"/>
        <v>0</v>
      </c>
      <c r="M183">
        <f t="shared" si="33"/>
        <v>1</v>
      </c>
      <c r="O183">
        <f t="shared" si="34"/>
        <v>0</v>
      </c>
      <c r="P183">
        <f t="shared" si="35"/>
        <v>0.42999999999999972</v>
      </c>
      <c r="R183">
        <f t="shared" si="36"/>
        <v>0.32714285714285701</v>
      </c>
      <c r="S183">
        <f t="shared" si="37"/>
        <v>0.40714285714285786</v>
      </c>
      <c r="U183">
        <f t="shared" si="38"/>
        <v>44.552529182879326</v>
      </c>
      <c r="AH183">
        <f t="shared" si="39"/>
        <v>11.818132426303112</v>
      </c>
      <c r="AI183">
        <f t="shared" si="40"/>
        <v>14.949466635667523</v>
      </c>
      <c r="AJ183">
        <f t="shared" si="41"/>
        <v>41.850533364332492</v>
      </c>
      <c r="AL183">
        <f t="shared" si="42"/>
        <v>52.03626485260623</v>
      </c>
      <c r="AM183">
        <f t="shared" si="43"/>
        <v>4.7637351473937812</v>
      </c>
    </row>
    <row r="184" spans="1:39" ht="16.5" x14ac:dyDescent="0.25">
      <c r="A184" s="1">
        <v>45439</v>
      </c>
      <c r="B184" s="5">
        <v>28.27</v>
      </c>
      <c r="C184" s="4">
        <v>27.5</v>
      </c>
      <c r="D184" s="4">
        <v>28.37</v>
      </c>
      <c r="E184" s="4">
        <v>27.49</v>
      </c>
      <c r="F184" s="4" t="s">
        <v>1408</v>
      </c>
      <c r="G184" s="2" t="s">
        <v>1390</v>
      </c>
      <c r="I184">
        <f t="shared" si="30"/>
        <v>28.389500000000005</v>
      </c>
      <c r="J184">
        <f t="shared" si="31"/>
        <v>27.814000000000011</v>
      </c>
      <c r="L184">
        <f t="shared" si="32"/>
        <v>1</v>
      </c>
      <c r="M184">
        <f t="shared" si="33"/>
        <v>0</v>
      </c>
      <c r="O184">
        <f t="shared" si="34"/>
        <v>0.76999999999999957</v>
      </c>
      <c r="P184">
        <f t="shared" si="35"/>
        <v>0</v>
      </c>
      <c r="R184">
        <f t="shared" si="36"/>
        <v>0.32714285714285701</v>
      </c>
      <c r="S184">
        <f t="shared" si="37"/>
        <v>0.35428571428571487</v>
      </c>
      <c r="U184">
        <f t="shared" si="38"/>
        <v>48.008385744234751</v>
      </c>
      <c r="AH184">
        <f t="shared" si="39"/>
        <v>11.803311254988362</v>
      </c>
      <c r="AI184">
        <f t="shared" si="40"/>
        <v>14.938966635667523</v>
      </c>
      <c r="AJ184">
        <f t="shared" si="41"/>
        <v>41.840033364332484</v>
      </c>
      <c r="AL184">
        <f t="shared" si="42"/>
        <v>51.996122509976729</v>
      </c>
      <c r="AM184">
        <f t="shared" si="43"/>
        <v>4.7828774900232816</v>
      </c>
    </row>
    <row r="185" spans="1:39" ht="16.5" x14ac:dyDescent="0.25">
      <c r="A185" s="1">
        <v>45436</v>
      </c>
      <c r="B185" s="5">
        <v>27.63</v>
      </c>
      <c r="C185" s="4">
        <v>27.5</v>
      </c>
      <c r="D185" s="4">
        <v>27.68</v>
      </c>
      <c r="E185" s="4">
        <v>27.09</v>
      </c>
      <c r="F185" s="4" t="s">
        <v>942</v>
      </c>
      <c r="G185" s="2" t="s">
        <v>301</v>
      </c>
      <c r="I185">
        <f t="shared" si="30"/>
        <v>28.345999999999997</v>
      </c>
      <c r="J185">
        <f t="shared" si="31"/>
        <v>27.817750000000007</v>
      </c>
      <c r="L185">
        <f t="shared" si="32"/>
        <v>1</v>
      </c>
      <c r="M185">
        <f t="shared" si="33"/>
        <v>0</v>
      </c>
      <c r="O185">
        <f t="shared" si="34"/>
        <v>0.12999999999999901</v>
      </c>
      <c r="P185">
        <f t="shared" si="35"/>
        <v>0</v>
      </c>
      <c r="R185">
        <f t="shared" si="36"/>
        <v>0.27142857142857124</v>
      </c>
      <c r="S185">
        <f t="shared" si="37"/>
        <v>0.35428571428571487</v>
      </c>
      <c r="U185">
        <f t="shared" si="38"/>
        <v>43.378995433789896</v>
      </c>
      <c r="AH185">
        <f t="shared" si="39"/>
        <v>11.788159303603869</v>
      </c>
      <c r="AI185">
        <f t="shared" si="40"/>
        <v>14.895466635667514</v>
      </c>
      <c r="AJ185">
        <f t="shared" si="41"/>
        <v>41.796533364332475</v>
      </c>
      <c r="AL185">
        <f t="shared" si="42"/>
        <v>51.922318607207735</v>
      </c>
      <c r="AM185">
        <f t="shared" si="43"/>
        <v>4.7696813927922577</v>
      </c>
    </row>
    <row r="186" spans="1:39" ht="16.5" x14ac:dyDescent="0.25">
      <c r="A186" s="1">
        <v>45435</v>
      </c>
      <c r="B186" s="5">
        <v>27.58</v>
      </c>
      <c r="C186" s="4">
        <v>28.23</v>
      </c>
      <c r="D186" s="4">
        <v>28.5</v>
      </c>
      <c r="E186" s="4">
        <v>27.58</v>
      </c>
      <c r="F186" s="4" t="s">
        <v>937</v>
      </c>
      <c r="G186" s="2" t="s">
        <v>1592</v>
      </c>
      <c r="I186">
        <f t="shared" si="30"/>
        <v>28.309500000000003</v>
      </c>
      <c r="J186">
        <f t="shared" si="31"/>
        <v>27.810000000000009</v>
      </c>
      <c r="L186">
        <f t="shared" si="32"/>
        <v>0</v>
      </c>
      <c r="M186">
        <f t="shared" si="33"/>
        <v>1</v>
      </c>
      <c r="O186">
        <f t="shared" si="34"/>
        <v>0</v>
      </c>
      <c r="P186">
        <f t="shared" si="35"/>
        <v>0.65000000000000213</v>
      </c>
      <c r="R186">
        <f t="shared" si="36"/>
        <v>0.29499999999999993</v>
      </c>
      <c r="S186">
        <f t="shared" si="37"/>
        <v>0.31500000000000083</v>
      </c>
      <c r="U186">
        <f t="shared" si="38"/>
        <v>48.360655737704846</v>
      </c>
      <c r="AH186">
        <f t="shared" si="39"/>
        <v>11.772538023549568</v>
      </c>
      <c r="AI186">
        <f t="shared" si="40"/>
        <v>14.858966635667521</v>
      </c>
      <c r="AJ186">
        <f t="shared" si="41"/>
        <v>41.760033364332486</v>
      </c>
      <c r="AL186">
        <f t="shared" si="42"/>
        <v>51.854576047099144</v>
      </c>
      <c r="AM186">
        <f t="shared" si="43"/>
        <v>4.7644239529008665</v>
      </c>
    </row>
    <row r="187" spans="1:39" ht="16.5" x14ac:dyDescent="0.25">
      <c r="A187" s="1">
        <v>45434</v>
      </c>
      <c r="B187" s="5">
        <v>28.4</v>
      </c>
      <c r="C187" s="4">
        <v>28.15</v>
      </c>
      <c r="D187" s="4">
        <v>28.41</v>
      </c>
      <c r="E187" s="4">
        <v>27.86</v>
      </c>
      <c r="F187" s="4" t="s">
        <v>1086</v>
      </c>
      <c r="G187" s="2" t="s">
        <v>399</v>
      </c>
      <c r="I187">
        <f t="shared" si="30"/>
        <v>28.279000000000003</v>
      </c>
      <c r="J187">
        <f t="shared" si="31"/>
        <v>27.791500000000003</v>
      </c>
      <c r="L187">
        <f t="shared" si="32"/>
        <v>1</v>
      </c>
      <c r="M187">
        <f t="shared" si="33"/>
        <v>0</v>
      </c>
      <c r="O187">
        <f t="shared" si="34"/>
        <v>0.25</v>
      </c>
      <c r="P187">
        <f t="shared" si="35"/>
        <v>0</v>
      </c>
      <c r="R187">
        <f t="shared" si="36"/>
        <v>0.29499999999999993</v>
      </c>
      <c r="S187">
        <f t="shared" si="37"/>
        <v>0.26375000000000082</v>
      </c>
      <c r="U187">
        <f t="shared" si="38"/>
        <v>52.79642058165539</v>
      </c>
      <c r="AH187">
        <f t="shared" si="39"/>
        <v>11.756466404271604</v>
      </c>
      <c r="AI187">
        <f t="shared" si="40"/>
        <v>14.828466635667521</v>
      </c>
      <c r="AJ187">
        <f t="shared" si="41"/>
        <v>41.729533364332482</v>
      </c>
      <c r="AL187">
        <f t="shared" si="42"/>
        <v>51.791932808543208</v>
      </c>
      <c r="AM187">
        <f t="shared" si="43"/>
        <v>4.7660671914567949</v>
      </c>
    </row>
    <row r="188" spans="1:39" ht="16.5" x14ac:dyDescent="0.25">
      <c r="A188" s="1">
        <v>45433</v>
      </c>
      <c r="B188" s="5">
        <v>28.32</v>
      </c>
      <c r="C188" s="4">
        <v>28.55</v>
      </c>
      <c r="D188" s="4">
        <v>28.61</v>
      </c>
      <c r="E188" s="4">
        <v>27.93</v>
      </c>
      <c r="F188" s="4" t="s">
        <v>1683</v>
      </c>
      <c r="G188" s="2" t="s">
        <v>540</v>
      </c>
      <c r="I188">
        <f t="shared" si="30"/>
        <v>28.225999999999999</v>
      </c>
      <c r="J188">
        <f t="shared" si="31"/>
        <v>27.750250000000001</v>
      </c>
      <c r="L188">
        <f t="shared" si="32"/>
        <v>0</v>
      </c>
      <c r="M188">
        <f t="shared" si="33"/>
        <v>1</v>
      </c>
      <c r="O188">
        <f t="shared" si="34"/>
        <v>0</v>
      </c>
      <c r="P188">
        <f t="shared" si="35"/>
        <v>0.23000000000000043</v>
      </c>
      <c r="R188">
        <f t="shared" si="36"/>
        <v>0.27333333333333282</v>
      </c>
      <c r="S188">
        <f t="shared" si="37"/>
        <v>0.26375000000000082</v>
      </c>
      <c r="U188">
        <f t="shared" si="38"/>
        <v>50.892164468580177</v>
      </c>
      <c r="AH188">
        <f t="shared" si="39"/>
        <v>11.739960115666333</v>
      </c>
      <c r="AI188">
        <f t="shared" si="40"/>
        <v>14.775466635667517</v>
      </c>
      <c r="AJ188">
        <f t="shared" si="41"/>
        <v>41.676533364332485</v>
      </c>
      <c r="AL188">
        <f t="shared" si="42"/>
        <v>51.705920231332669</v>
      </c>
      <c r="AM188">
        <f t="shared" si="43"/>
        <v>4.7460797686673324</v>
      </c>
    </row>
    <row r="189" spans="1:39" ht="16.5" x14ac:dyDescent="0.25">
      <c r="A189" s="1">
        <v>45432</v>
      </c>
      <c r="B189" s="5">
        <v>28.67</v>
      </c>
      <c r="C189" s="4">
        <v>28.85</v>
      </c>
      <c r="D189" s="4">
        <v>28.96</v>
      </c>
      <c r="E189" s="4">
        <v>28.59</v>
      </c>
      <c r="F189" s="4" t="s">
        <v>316</v>
      </c>
      <c r="G189" s="2" t="s">
        <v>390</v>
      </c>
      <c r="I189">
        <f t="shared" si="30"/>
        <v>28.175999999999998</v>
      </c>
      <c r="J189">
        <f t="shared" si="31"/>
        <v>27.704249999999995</v>
      </c>
      <c r="L189">
        <f t="shared" si="32"/>
        <v>0</v>
      </c>
      <c r="M189">
        <f t="shared" si="33"/>
        <v>1</v>
      </c>
      <c r="O189">
        <f t="shared" si="34"/>
        <v>0</v>
      </c>
      <c r="P189">
        <f t="shared" si="35"/>
        <v>0.17999999999999972</v>
      </c>
      <c r="R189">
        <f t="shared" si="36"/>
        <v>0.27333333333333282</v>
      </c>
      <c r="S189">
        <f t="shared" si="37"/>
        <v>0.26625000000000076</v>
      </c>
      <c r="U189">
        <f t="shared" si="38"/>
        <v>50.656370656370541</v>
      </c>
      <c r="AH189">
        <f t="shared" si="39"/>
        <v>11.722917597180041</v>
      </c>
      <c r="AI189">
        <f t="shared" si="40"/>
        <v>14.725466635667516</v>
      </c>
      <c r="AJ189">
        <f t="shared" si="41"/>
        <v>41.626533364332481</v>
      </c>
      <c r="AL189">
        <f t="shared" si="42"/>
        <v>51.621835194360081</v>
      </c>
      <c r="AM189">
        <f t="shared" si="43"/>
        <v>4.7301648056399159</v>
      </c>
    </row>
    <row r="190" spans="1:39" ht="16.5" x14ac:dyDescent="0.25">
      <c r="A190" s="1">
        <v>45429</v>
      </c>
      <c r="B190" s="5">
        <v>28.58</v>
      </c>
      <c r="C190" s="4">
        <v>28.7</v>
      </c>
      <c r="D190" s="4">
        <v>29.1</v>
      </c>
      <c r="E190" s="4">
        <v>28.48</v>
      </c>
      <c r="F190" s="4" t="s">
        <v>1509</v>
      </c>
      <c r="G190" s="2" t="s">
        <v>406</v>
      </c>
      <c r="I190">
        <f t="shared" si="30"/>
        <v>28.058999999999997</v>
      </c>
      <c r="J190">
        <f t="shared" si="31"/>
        <v>27.643000000000001</v>
      </c>
      <c r="L190">
        <f t="shared" si="32"/>
        <v>0</v>
      </c>
      <c r="M190">
        <f t="shared" si="33"/>
        <v>1</v>
      </c>
      <c r="O190">
        <f t="shared" si="34"/>
        <v>0</v>
      </c>
      <c r="P190">
        <f t="shared" si="35"/>
        <v>0.12000000000000099</v>
      </c>
      <c r="R190">
        <f t="shared" si="36"/>
        <v>0.24428571428571391</v>
      </c>
      <c r="S190">
        <f t="shared" si="37"/>
        <v>0.27857142857142947</v>
      </c>
      <c r="U190">
        <f t="shared" si="38"/>
        <v>46.721311475409721</v>
      </c>
      <c r="AH190">
        <f t="shared" si="39"/>
        <v>11.705340159861317</v>
      </c>
      <c r="AI190">
        <f t="shared" si="40"/>
        <v>14.608466635667515</v>
      </c>
      <c r="AJ190">
        <f t="shared" si="41"/>
        <v>41.509533364332484</v>
      </c>
      <c r="AL190">
        <f t="shared" si="42"/>
        <v>51.469680319722627</v>
      </c>
      <c r="AM190">
        <f t="shared" si="43"/>
        <v>4.6483196802773641</v>
      </c>
    </row>
    <row r="191" spans="1:39" ht="16.5" x14ac:dyDescent="0.25">
      <c r="A191" s="1">
        <v>45428</v>
      </c>
      <c r="B191" s="5">
        <v>28.65</v>
      </c>
      <c r="C191" s="4">
        <v>29.5</v>
      </c>
      <c r="D191" s="4">
        <v>29.84</v>
      </c>
      <c r="E191" s="4">
        <v>28.5</v>
      </c>
      <c r="F191" s="4" t="s">
        <v>1635</v>
      </c>
      <c r="G191" s="2" t="s">
        <v>1218</v>
      </c>
      <c r="I191">
        <f t="shared" si="30"/>
        <v>27.941999999999997</v>
      </c>
      <c r="J191">
        <f t="shared" si="31"/>
        <v>27.57525</v>
      </c>
      <c r="L191">
        <f t="shared" si="32"/>
        <v>0</v>
      </c>
      <c r="M191">
        <f t="shared" si="33"/>
        <v>1</v>
      </c>
      <c r="O191">
        <f t="shared" si="34"/>
        <v>0</v>
      </c>
      <c r="P191">
        <f t="shared" si="35"/>
        <v>0.85000000000000142</v>
      </c>
      <c r="R191">
        <f t="shared" si="36"/>
        <v>0.2574999999999994</v>
      </c>
      <c r="S191">
        <f t="shared" si="37"/>
        <v>0.30500000000000088</v>
      </c>
      <c r="U191">
        <f t="shared" si="38"/>
        <v>45.777777777777651</v>
      </c>
      <c r="AH191">
        <f t="shared" si="39"/>
        <v>11.686932920095748</v>
      </c>
      <c r="AI191">
        <f t="shared" si="40"/>
        <v>14.491466635667514</v>
      </c>
      <c r="AJ191">
        <f t="shared" si="41"/>
        <v>41.392533364332479</v>
      </c>
      <c r="AL191">
        <f t="shared" si="42"/>
        <v>51.315865840191492</v>
      </c>
      <c r="AM191">
        <f t="shared" si="43"/>
        <v>4.5681341598085012</v>
      </c>
    </row>
    <row r="192" spans="1:39" ht="16.5" x14ac:dyDescent="0.25">
      <c r="A192" s="1">
        <v>45427</v>
      </c>
      <c r="B192" s="5">
        <v>29.33</v>
      </c>
      <c r="C192" s="4">
        <v>29</v>
      </c>
      <c r="D192" s="4">
        <v>29.55</v>
      </c>
      <c r="E192" s="4">
        <v>28.41</v>
      </c>
      <c r="F192" s="4" t="s">
        <v>983</v>
      </c>
      <c r="G192" s="2" t="s">
        <v>375</v>
      </c>
      <c r="I192">
        <f t="shared" si="30"/>
        <v>27.821999999999992</v>
      </c>
      <c r="J192">
        <f t="shared" si="31"/>
        <v>27.514499999999991</v>
      </c>
      <c r="L192">
        <f t="shared" si="32"/>
        <v>1</v>
      </c>
      <c r="M192">
        <f t="shared" si="33"/>
        <v>0</v>
      </c>
      <c r="O192">
        <f t="shared" si="34"/>
        <v>0.32999999999999829</v>
      </c>
      <c r="P192">
        <f t="shared" si="35"/>
        <v>0</v>
      </c>
      <c r="R192">
        <f t="shared" si="36"/>
        <v>0.2574999999999994</v>
      </c>
      <c r="S192">
        <f t="shared" si="37"/>
        <v>0.19333333333333394</v>
      </c>
      <c r="U192">
        <f t="shared" si="38"/>
        <v>57.116451016635729</v>
      </c>
      <c r="AH192">
        <f t="shared" si="39"/>
        <v>11.667675150195581</v>
      </c>
      <c r="AI192">
        <f t="shared" si="40"/>
        <v>14.37146663566751</v>
      </c>
      <c r="AJ192">
        <f t="shared" si="41"/>
        <v>41.272533364332475</v>
      </c>
      <c r="AL192">
        <f t="shared" si="42"/>
        <v>51.157350300391158</v>
      </c>
      <c r="AM192">
        <f t="shared" si="43"/>
        <v>4.4866496996088294</v>
      </c>
    </row>
    <row r="193" spans="1:39" ht="16.5" x14ac:dyDescent="0.25">
      <c r="A193" s="1">
        <v>45426</v>
      </c>
      <c r="B193" s="5">
        <v>29.22</v>
      </c>
      <c r="C193" s="4">
        <v>29.61</v>
      </c>
      <c r="D193" s="4">
        <v>30.41</v>
      </c>
      <c r="E193" s="4">
        <v>28.93</v>
      </c>
      <c r="F193" s="4" t="s">
        <v>866</v>
      </c>
      <c r="G193" s="2" t="s">
        <v>650</v>
      </c>
      <c r="I193">
        <f t="shared" si="30"/>
        <v>27.659499999999998</v>
      </c>
      <c r="J193">
        <f t="shared" si="31"/>
        <v>27.437249999999999</v>
      </c>
      <c r="L193">
        <f t="shared" si="32"/>
        <v>0</v>
      </c>
      <c r="M193">
        <f t="shared" si="33"/>
        <v>1</v>
      </c>
      <c r="O193">
        <f t="shared" si="34"/>
        <v>0</v>
      </c>
      <c r="P193">
        <f t="shared" si="35"/>
        <v>0.39000000000000057</v>
      </c>
      <c r="R193">
        <f t="shared" si="36"/>
        <v>0.24714285714285669</v>
      </c>
      <c r="S193">
        <f t="shared" si="37"/>
        <v>0.2057142857142864</v>
      </c>
      <c r="U193">
        <f t="shared" si="38"/>
        <v>54.574132492113435</v>
      </c>
      <c r="AH193">
        <f t="shared" si="39"/>
        <v>11.64753239489997</v>
      </c>
      <c r="AI193">
        <f t="shared" si="40"/>
        <v>14.208966635667515</v>
      </c>
      <c r="AJ193">
        <f t="shared" si="41"/>
        <v>41.11003336433248</v>
      </c>
      <c r="AL193">
        <f t="shared" si="42"/>
        <v>50.954564789799939</v>
      </c>
      <c r="AM193">
        <f t="shared" si="43"/>
        <v>4.3644352102000568</v>
      </c>
    </row>
    <row r="194" spans="1:39" ht="16.5" x14ac:dyDescent="0.25">
      <c r="A194" s="1">
        <v>45425</v>
      </c>
      <c r="B194" s="5">
        <v>29.38</v>
      </c>
      <c r="C194" s="4">
        <v>29</v>
      </c>
      <c r="D194" s="4">
        <v>29.52</v>
      </c>
      <c r="E194" s="4">
        <v>28.99</v>
      </c>
      <c r="F194" s="4" t="s">
        <v>982</v>
      </c>
      <c r="G194" s="2" t="s">
        <v>748</v>
      </c>
      <c r="I194">
        <f t="shared" ref="I194:I257" si="44">AVERAGE(B194:B213)</f>
        <v>27.521499999999996</v>
      </c>
      <c r="J194">
        <f t="shared" ref="J194:J257" si="45">AVERAGE(B194:B233)</f>
        <v>27.357250000000001</v>
      </c>
      <c r="L194">
        <f t="shared" ref="L194:L257" si="46">IF($C194&lt;$B194,1,0)</f>
        <v>1</v>
      </c>
      <c r="M194">
        <f t="shared" ref="M194:M257" si="47">IF($C194&lt;$B194,0,1)</f>
        <v>0</v>
      </c>
      <c r="O194">
        <f t="shared" ref="O194:O257" si="48">IF($C194&lt;$B194,B194-C194,0)</f>
        <v>0.37999999999999901</v>
      </c>
      <c r="P194">
        <f t="shared" ref="P194:P257" si="49">IF($B194&lt;$C194,C194-B194,0)</f>
        <v>0</v>
      </c>
      <c r="R194">
        <f t="shared" ref="R194:R257" si="50">SUM(O194:O207)/SUM(L194:L207)</f>
        <v>0.24714285714285669</v>
      </c>
      <c r="S194">
        <f t="shared" ref="S194:S257" si="51">SUM(P194:P207)/SUM(M194:M207)</f>
        <v>0.17571428571428629</v>
      </c>
      <c r="U194">
        <f t="shared" ref="U194:U257" si="52">100-(100/(1+(R194/S194)))</f>
        <v>58.445945945945816</v>
      </c>
      <c r="AH194">
        <f t="shared" si="39"/>
        <v>11.626293536726896</v>
      </c>
      <c r="AI194">
        <f t="shared" si="40"/>
        <v>14.070966635667514</v>
      </c>
      <c r="AJ194">
        <f t="shared" si="41"/>
        <v>40.972033364332475</v>
      </c>
      <c r="AL194">
        <f t="shared" si="42"/>
        <v>50.774087073453785</v>
      </c>
      <c r="AM194">
        <f t="shared" si="43"/>
        <v>4.2689129265462036</v>
      </c>
    </row>
    <row r="195" spans="1:39" ht="16.5" x14ac:dyDescent="0.25">
      <c r="A195" s="1">
        <v>45422</v>
      </c>
      <c r="B195" s="5">
        <v>28.95</v>
      </c>
      <c r="C195" s="4">
        <v>28.81</v>
      </c>
      <c r="D195" s="4">
        <v>29.26</v>
      </c>
      <c r="E195" s="4">
        <v>28.79</v>
      </c>
      <c r="F195" s="4" t="s">
        <v>1518</v>
      </c>
      <c r="G195" s="2" t="s">
        <v>281</v>
      </c>
      <c r="I195">
        <f t="shared" si="44"/>
        <v>27.401</v>
      </c>
      <c r="J195">
        <f t="shared" si="45"/>
        <v>27.281749999999995</v>
      </c>
      <c r="L195">
        <f t="shared" si="46"/>
        <v>1</v>
      </c>
      <c r="M195">
        <f t="shared" si="47"/>
        <v>0</v>
      </c>
      <c r="O195">
        <f t="shared" si="48"/>
        <v>0.14000000000000057</v>
      </c>
      <c r="P195">
        <f t="shared" si="49"/>
        <v>0</v>
      </c>
      <c r="R195">
        <f t="shared" si="50"/>
        <v>0.27428571428571402</v>
      </c>
      <c r="S195">
        <f t="shared" si="51"/>
        <v>0.17571428571428629</v>
      </c>
      <c r="U195">
        <f t="shared" si="52"/>
        <v>60.95238095238085</v>
      </c>
      <c r="AH195">
        <f t="shared" ref="AH195:AH258" si="53">_xlfn.STDEV.S(I195:I725)</f>
        <v>11.604038516858871</v>
      </c>
      <c r="AI195">
        <f t="shared" ref="AI195:AI258" si="54">I195-$AH$2</f>
        <v>13.950466635667517</v>
      </c>
      <c r="AJ195">
        <f t="shared" ref="AJ195:AJ258" si="55">I195+$AH$2</f>
        <v>40.851533364332482</v>
      </c>
      <c r="AL195">
        <f t="shared" ref="AL195:AL258" si="56">I195+(AH195*2)</f>
        <v>50.609077033717739</v>
      </c>
      <c r="AM195">
        <f t="shared" ref="AM195:AM258" si="57">I195-(AH195*2)</f>
        <v>4.1929229662822571</v>
      </c>
    </row>
    <row r="196" spans="1:39" ht="16.5" x14ac:dyDescent="0.25">
      <c r="A196" s="1">
        <v>45421</v>
      </c>
      <c r="B196" s="5">
        <v>28.69</v>
      </c>
      <c r="C196" s="4">
        <v>28.4</v>
      </c>
      <c r="D196" s="4">
        <v>28.82</v>
      </c>
      <c r="E196" s="4">
        <v>28.26</v>
      </c>
      <c r="F196" s="4" t="s">
        <v>89</v>
      </c>
      <c r="G196" s="2" t="s">
        <v>119</v>
      </c>
      <c r="I196">
        <f t="shared" si="44"/>
        <v>27.304499999999997</v>
      </c>
      <c r="J196">
        <f t="shared" si="45"/>
        <v>27.22025</v>
      </c>
      <c r="L196">
        <f t="shared" si="46"/>
        <v>1</v>
      </c>
      <c r="M196">
        <f t="shared" si="47"/>
        <v>0</v>
      </c>
      <c r="O196">
        <f t="shared" si="48"/>
        <v>0.2900000000000027</v>
      </c>
      <c r="P196">
        <f t="shared" si="49"/>
        <v>0</v>
      </c>
      <c r="R196">
        <f t="shared" si="50"/>
        <v>0.28142857142857075</v>
      </c>
      <c r="S196">
        <f t="shared" si="51"/>
        <v>0.17571428571428629</v>
      </c>
      <c r="U196">
        <f t="shared" si="52"/>
        <v>61.562499999999865</v>
      </c>
      <c r="AH196">
        <f t="shared" si="53"/>
        <v>11.580820360318761</v>
      </c>
      <c r="AI196">
        <f t="shared" si="54"/>
        <v>13.853966635667515</v>
      </c>
      <c r="AJ196">
        <f t="shared" si="55"/>
        <v>40.755033364332476</v>
      </c>
      <c r="AL196">
        <f t="shared" si="56"/>
        <v>50.466140720637519</v>
      </c>
      <c r="AM196">
        <f t="shared" si="57"/>
        <v>4.1428592793624759</v>
      </c>
    </row>
    <row r="197" spans="1:39" ht="16.5" x14ac:dyDescent="0.25">
      <c r="A197" s="1">
        <v>45420</v>
      </c>
      <c r="B197" s="5">
        <v>28.48</v>
      </c>
      <c r="C197" s="4">
        <v>28.54</v>
      </c>
      <c r="D197" s="4">
        <v>28.74</v>
      </c>
      <c r="E197" s="4">
        <v>28.25</v>
      </c>
      <c r="F197" s="4" t="s">
        <v>1552</v>
      </c>
      <c r="G197" s="2" t="s">
        <v>729</v>
      </c>
      <c r="I197">
        <f t="shared" si="44"/>
        <v>27.248999999999995</v>
      </c>
      <c r="J197">
        <f t="shared" si="45"/>
        <v>27.173499999999997</v>
      </c>
      <c r="L197">
        <f t="shared" si="46"/>
        <v>0</v>
      </c>
      <c r="M197">
        <f t="shared" si="47"/>
        <v>1</v>
      </c>
      <c r="O197">
        <f t="shared" si="48"/>
        <v>0</v>
      </c>
      <c r="P197">
        <f t="shared" si="49"/>
        <v>5.9999999999998721E-2</v>
      </c>
      <c r="R197">
        <f t="shared" si="50"/>
        <v>0.27999999999999875</v>
      </c>
      <c r="S197">
        <f t="shared" si="51"/>
        <v>0.17250000000000076</v>
      </c>
      <c r="U197">
        <f t="shared" si="52"/>
        <v>61.878453038673825</v>
      </c>
      <c r="AH197">
        <f t="shared" si="53"/>
        <v>11.556725636193251</v>
      </c>
      <c r="AI197">
        <f t="shared" si="54"/>
        <v>13.798466635667513</v>
      </c>
      <c r="AJ197">
        <f t="shared" si="55"/>
        <v>40.699533364332481</v>
      </c>
      <c r="AL197">
        <f t="shared" si="56"/>
        <v>50.362451272386494</v>
      </c>
      <c r="AM197">
        <f t="shared" si="57"/>
        <v>4.135548727613493</v>
      </c>
    </row>
    <row r="198" spans="1:39" ht="16.5" x14ac:dyDescent="0.25">
      <c r="A198" s="1">
        <v>45419</v>
      </c>
      <c r="B198" s="5">
        <v>28.49</v>
      </c>
      <c r="C198" s="4">
        <v>28.11</v>
      </c>
      <c r="D198" s="4">
        <v>28.66</v>
      </c>
      <c r="E198" s="4">
        <v>28.04</v>
      </c>
      <c r="F198" s="4" t="s">
        <v>1012</v>
      </c>
      <c r="G198" s="2" t="s">
        <v>558</v>
      </c>
      <c r="I198">
        <f t="shared" si="44"/>
        <v>27.195</v>
      </c>
      <c r="J198">
        <f t="shared" si="45"/>
        <v>27.118249999999996</v>
      </c>
      <c r="L198">
        <f t="shared" si="46"/>
        <v>1</v>
      </c>
      <c r="M198">
        <f t="shared" si="47"/>
        <v>0</v>
      </c>
      <c r="O198">
        <f t="shared" si="48"/>
        <v>0.37999999999999901</v>
      </c>
      <c r="P198">
        <f t="shared" si="49"/>
        <v>0</v>
      </c>
      <c r="R198">
        <f t="shared" si="50"/>
        <v>0.27571428571428463</v>
      </c>
      <c r="S198">
        <f t="shared" si="51"/>
        <v>0.18857142857142964</v>
      </c>
      <c r="U198">
        <f t="shared" si="52"/>
        <v>59.384615384615152</v>
      </c>
      <c r="AH198">
        <f t="shared" si="53"/>
        <v>11.531925445847579</v>
      </c>
      <c r="AI198">
        <f t="shared" si="54"/>
        <v>13.744466635667518</v>
      </c>
      <c r="AJ198">
        <f t="shared" si="55"/>
        <v>40.645533364332479</v>
      </c>
      <c r="AL198">
        <f t="shared" si="56"/>
        <v>50.258850891695161</v>
      </c>
      <c r="AM198">
        <f t="shared" si="57"/>
        <v>4.1311491083048431</v>
      </c>
    </row>
    <row r="199" spans="1:39" ht="16.5" x14ac:dyDescent="0.25">
      <c r="A199" s="1">
        <v>45418</v>
      </c>
      <c r="B199" s="5">
        <v>28.06</v>
      </c>
      <c r="C199" s="4">
        <v>28.1</v>
      </c>
      <c r="D199" s="4">
        <v>28.37</v>
      </c>
      <c r="E199" s="4">
        <v>27.92</v>
      </c>
      <c r="F199" s="4" t="s">
        <v>757</v>
      </c>
      <c r="G199" s="2" t="s">
        <v>438</v>
      </c>
      <c r="I199">
        <f t="shared" si="44"/>
        <v>27.137</v>
      </c>
      <c r="J199">
        <f t="shared" si="45"/>
        <v>27.066250000000004</v>
      </c>
      <c r="L199">
        <f t="shared" si="46"/>
        <v>0</v>
      </c>
      <c r="M199">
        <f t="shared" si="47"/>
        <v>1</v>
      </c>
      <c r="O199">
        <f t="shared" si="48"/>
        <v>0</v>
      </c>
      <c r="P199">
        <f t="shared" si="49"/>
        <v>4.00000000000027E-2</v>
      </c>
      <c r="R199">
        <f t="shared" si="50"/>
        <v>0.22285714285714167</v>
      </c>
      <c r="S199">
        <f t="shared" si="51"/>
        <v>0.18857142857142964</v>
      </c>
      <c r="U199">
        <f t="shared" si="52"/>
        <v>54.166666666666394</v>
      </c>
      <c r="AH199">
        <f t="shared" si="53"/>
        <v>11.506410990089003</v>
      </c>
      <c r="AI199">
        <f t="shared" si="54"/>
        <v>13.686466635667518</v>
      </c>
      <c r="AJ199">
        <f t="shared" si="55"/>
        <v>40.587533364332486</v>
      </c>
      <c r="AL199">
        <f t="shared" si="56"/>
        <v>50.149821980178004</v>
      </c>
      <c r="AM199">
        <f t="shared" si="57"/>
        <v>4.1241780198219935</v>
      </c>
    </row>
    <row r="200" spans="1:39" ht="16.5" x14ac:dyDescent="0.25">
      <c r="A200" s="1">
        <v>45415</v>
      </c>
      <c r="B200" s="5">
        <v>28.02</v>
      </c>
      <c r="C200" s="4">
        <v>28.26</v>
      </c>
      <c r="D200" s="4">
        <v>28.49</v>
      </c>
      <c r="E200" s="4">
        <v>27.81</v>
      </c>
      <c r="F200" s="4" t="s">
        <v>1414</v>
      </c>
      <c r="G200" s="2" t="s">
        <v>548</v>
      </c>
      <c r="I200">
        <f t="shared" si="44"/>
        <v>27.105499999999996</v>
      </c>
      <c r="J200">
        <f t="shared" si="45"/>
        <v>27.031000000000006</v>
      </c>
      <c r="L200">
        <f t="shared" si="46"/>
        <v>0</v>
      </c>
      <c r="M200">
        <f t="shared" si="47"/>
        <v>1</v>
      </c>
      <c r="O200">
        <f t="shared" si="48"/>
        <v>0</v>
      </c>
      <c r="P200">
        <f t="shared" si="49"/>
        <v>0.24000000000000199</v>
      </c>
      <c r="R200">
        <f t="shared" si="50"/>
        <v>0.22285714285714167</v>
      </c>
      <c r="S200">
        <f t="shared" si="51"/>
        <v>0.21857142857142925</v>
      </c>
      <c r="U200">
        <f t="shared" si="52"/>
        <v>50.485436893203676</v>
      </c>
      <c r="AH200">
        <f t="shared" si="53"/>
        <v>11.480146877536249</v>
      </c>
      <c r="AI200">
        <f t="shared" si="54"/>
        <v>13.654966635667513</v>
      </c>
      <c r="AJ200">
        <f t="shared" si="55"/>
        <v>40.556033364332478</v>
      </c>
      <c r="AL200">
        <f t="shared" si="56"/>
        <v>50.065793755072491</v>
      </c>
      <c r="AM200">
        <f t="shared" si="57"/>
        <v>4.1452062449274969</v>
      </c>
    </row>
    <row r="201" spans="1:39" ht="16.5" x14ac:dyDescent="0.25">
      <c r="A201" s="1">
        <v>45414</v>
      </c>
      <c r="B201" s="5">
        <v>28.13</v>
      </c>
      <c r="C201" s="4">
        <v>28.01</v>
      </c>
      <c r="D201" s="4">
        <v>28.82</v>
      </c>
      <c r="E201" s="4">
        <v>27.99</v>
      </c>
      <c r="F201" s="4" t="s">
        <v>784</v>
      </c>
      <c r="G201" s="2" t="s">
        <v>1193</v>
      </c>
      <c r="I201">
        <f t="shared" si="44"/>
        <v>27.132499999999986</v>
      </c>
      <c r="J201">
        <f t="shared" si="45"/>
        <v>26.97925</v>
      </c>
      <c r="L201">
        <f t="shared" si="46"/>
        <v>1</v>
      </c>
      <c r="M201">
        <f t="shared" si="47"/>
        <v>0</v>
      </c>
      <c r="O201">
        <f t="shared" si="48"/>
        <v>0.11999999999999744</v>
      </c>
      <c r="P201">
        <f t="shared" si="49"/>
        <v>0</v>
      </c>
      <c r="R201">
        <f t="shared" si="50"/>
        <v>0.22285714285714167</v>
      </c>
      <c r="S201">
        <f t="shared" si="51"/>
        <v>0.23142857142857207</v>
      </c>
      <c r="U201">
        <f t="shared" si="52"/>
        <v>49.056603773584705</v>
      </c>
      <c r="AH201">
        <f t="shared" si="53"/>
        <v>11.453244529035185</v>
      </c>
      <c r="AI201">
        <f t="shared" si="54"/>
        <v>13.681966635667504</v>
      </c>
      <c r="AJ201">
        <f t="shared" si="55"/>
        <v>40.583033364332465</v>
      </c>
      <c r="AL201">
        <f t="shared" si="56"/>
        <v>50.038989058070356</v>
      </c>
      <c r="AM201">
        <f t="shared" si="57"/>
        <v>4.2260109419296157</v>
      </c>
    </row>
    <row r="202" spans="1:39" ht="16.5" x14ac:dyDescent="0.25">
      <c r="A202" s="1">
        <v>45412</v>
      </c>
      <c r="B202" s="5">
        <v>27.35</v>
      </c>
      <c r="C202" s="4">
        <v>27.6</v>
      </c>
      <c r="D202" s="4">
        <v>27.75</v>
      </c>
      <c r="E202" s="4">
        <v>27.28</v>
      </c>
      <c r="F202" s="4" t="s">
        <v>1480</v>
      </c>
      <c r="G202" s="2" t="s">
        <v>484</v>
      </c>
      <c r="I202">
        <f t="shared" si="44"/>
        <v>27.163999999999994</v>
      </c>
      <c r="J202">
        <f t="shared" si="45"/>
        <v>26.977999999999998</v>
      </c>
      <c r="L202">
        <f t="shared" si="46"/>
        <v>0</v>
      </c>
      <c r="M202">
        <f t="shared" si="47"/>
        <v>1</v>
      </c>
      <c r="O202">
        <f t="shared" si="48"/>
        <v>0</v>
      </c>
      <c r="P202">
        <f t="shared" si="49"/>
        <v>0.25</v>
      </c>
      <c r="R202">
        <f t="shared" si="50"/>
        <v>0.23999999999999902</v>
      </c>
      <c r="S202">
        <f t="shared" si="51"/>
        <v>0.25000000000000044</v>
      </c>
      <c r="U202">
        <f t="shared" si="52"/>
        <v>48.979591836734549</v>
      </c>
      <c r="AH202">
        <f t="shared" si="53"/>
        <v>11.425976396565076</v>
      </c>
      <c r="AI202">
        <f t="shared" si="54"/>
        <v>13.713466635667512</v>
      </c>
      <c r="AJ202">
        <f t="shared" si="55"/>
        <v>40.614533364332473</v>
      </c>
      <c r="AL202">
        <f t="shared" si="56"/>
        <v>50.015952793130147</v>
      </c>
      <c r="AM202">
        <f t="shared" si="57"/>
        <v>4.3120472068698419</v>
      </c>
    </row>
    <row r="203" spans="1:39" ht="16.5" x14ac:dyDescent="0.25">
      <c r="A203" s="1">
        <v>45411</v>
      </c>
      <c r="B203" s="5">
        <v>27.59</v>
      </c>
      <c r="C203" s="4">
        <v>27.52</v>
      </c>
      <c r="D203" s="4">
        <v>27.68</v>
      </c>
      <c r="E203" s="4">
        <v>27.27</v>
      </c>
      <c r="F203" s="4" t="s">
        <v>1591</v>
      </c>
      <c r="G203" s="2" t="s">
        <v>1088</v>
      </c>
      <c r="I203">
        <f t="shared" si="44"/>
        <v>27.196499999999993</v>
      </c>
      <c r="J203">
        <f t="shared" si="45"/>
        <v>27.002499999999998</v>
      </c>
      <c r="L203">
        <f t="shared" si="46"/>
        <v>1</v>
      </c>
      <c r="M203">
        <f t="shared" si="47"/>
        <v>0</v>
      </c>
      <c r="O203">
        <f t="shared" si="48"/>
        <v>7.0000000000000284E-2</v>
      </c>
      <c r="P203">
        <f t="shared" si="49"/>
        <v>0</v>
      </c>
      <c r="R203">
        <f t="shared" si="50"/>
        <v>0.23999999999999902</v>
      </c>
      <c r="S203">
        <f t="shared" si="51"/>
        <v>0.22000000000000064</v>
      </c>
      <c r="U203">
        <f t="shared" si="52"/>
        <v>52.173913043478088</v>
      </c>
      <c r="AH203">
        <f t="shared" si="53"/>
        <v>11.398357760384082</v>
      </c>
      <c r="AI203">
        <f t="shared" si="54"/>
        <v>13.745966635667511</v>
      </c>
      <c r="AJ203">
        <f t="shared" si="55"/>
        <v>40.647033364332472</v>
      </c>
      <c r="AL203">
        <f t="shared" si="56"/>
        <v>49.99321552076816</v>
      </c>
      <c r="AM203">
        <f t="shared" si="57"/>
        <v>4.3997844792318297</v>
      </c>
    </row>
    <row r="204" spans="1:39" ht="16.5" x14ac:dyDescent="0.25">
      <c r="A204" s="1">
        <v>45408</v>
      </c>
      <c r="B204" s="5">
        <v>27.4</v>
      </c>
      <c r="C204" s="4">
        <v>27.05</v>
      </c>
      <c r="D204" s="4">
        <v>27.58</v>
      </c>
      <c r="E204" s="4">
        <v>26.97</v>
      </c>
      <c r="F204" s="4" t="s">
        <v>850</v>
      </c>
      <c r="G204" s="2" t="s">
        <v>1684</v>
      </c>
      <c r="I204">
        <f t="shared" si="44"/>
        <v>27.238499999999995</v>
      </c>
      <c r="J204">
        <f t="shared" si="45"/>
        <v>27.014999999999997</v>
      </c>
      <c r="L204">
        <f t="shared" si="46"/>
        <v>1</v>
      </c>
      <c r="M204">
        <f t="shared" si="47"/>
        <v>0</v>
      </c>
      <c r="O204">
        <f t="shared" si="48"/>
        <v>0.34999999999999787</v>
      </c>
      <c r="P204">
        <f t="shared" si="49"/>
        <v>0</v>
      </c>
      <c r="R204">
        <f t="shared" si="50"/>
        <v>0.24666666666666556</v>
      </c>
      <c r="S204">
        <f t="shared" si="51"/>
        <v>0.22000000000000064</v>
      </c>
      <c r="U204">
        <f t="shared" si="52"/>
        <v>52.857142857142676</v>
      </c>
      <c r="AH204">
        <f t="shared" si="53"/>
        <v>11.370387039277382</v>
      </c>
      <c r="AI204">
        <f t="shared" si="54"/>
        <v>13.787966635667512</v>
      </c>
      <c r="AJ204">
        <f t="shared" si="55"/>
        <v>40.689033364332474</v>
      </c>
      <c r="AL204">
        <f t="shared" si="56"/>
        <v>49.979274078554759</v>
      </c>
      <c r="AM204">
        <f t="shared" si="57"/>
        <v>4.4977259214452303</v>
      </c>
    </row>
    <row r="205" spans="1:39" ht="16.5" x14ac:dyDescent="0.25">
      <c r="A205" s="1">
        <v>45407</v>
      </c>
      <c r="B205" s="5">
        <v>26.9</v>
      </c>
      <c r="C205" s="4">
        <v>27.08</v>
      </c>
      <c r="D205" s="4">
        <v>27.51</v>
      </c>
      <c r="E205" s="4">
        <v>26.87</v>
      </c>
      <c r="F205" s="4" t="s">
        <v>1566</v>
      </c>
      <c r="G205" s="2" t="s">
        <v>596</v>
      </c>
      <c r="I205">
        <f t="shared" si="44"/>
        <v>27.289499999999993</v>
      </c>
      <c r="J205">
        <f t="shared" si="45"/>
        <v>27.044</v>
      </c>
      <c r="L205">
        <f t="shared" si="46"/>
        <v>0</v>
      </c>
      <c r="M205">
        <f t="shared" si="47"/>
        <v>1</v>
      </c>
      <c r="O205">
        <f t="shared" si="48"/>
        <v>0</v>
      </c>
      <c r="P205">
        <f t="shared" si="49"/>
        <v>0.17999999999999972</v>
      </c>
      <c r="R205">
        <f t="shared" si="50"/>
        <v>0.22599999999999909</v>
      </c>
      <c r="S205">
        <f t="shared" si="51"/>
        <v>0.20888888888888957</v>
      </c>
      <c r="U205">
        <f t="shared" si="52"/>
        <v>51.96729688298398</v>
      </c>
      <c r="AH205">
        <f t="shared" si="53"/>
        <v>11.342105015701344</v>
      </c>
      <c r="AI205">
        <f t="shared" si="54"/>
        <v>13.838966635667511</v>
      </c>
      <c r="AJ205">
        <f t="shared" si="55"/>
        <v>40.740033364332476</v>
      </c>
      <c r="AL205">
        <f t="shared" si="56"/>
        <v>49.973710031402682</v>
      </c>
      <c r="AM205">
        <f t="shared" si="57"/>
        <v>4.6052899685973046</v>
      </c>
    </row>
    <row r="206" spans="1:39" ht="16.5" x14ac:dyDescent="0.25">
      <c r="A206" s="1">
        <v>45406</v>
      </c>
      <c r="B206" s="5">
        <v>26.97</v>
      </c>
      <c r="C206" s="4">
        <v>27.25</v>
      </c>
      <c r="D206" s="4">
        <v>27.38</v>
      </c>
      <c r="E206" s="4">
        <v>26.88</v>
      </c>
      <c r="F206" s="4" t="s">
        <v>1392</v>
      </c>
      <c r="G206" s="2" t="s">
        <v>261</v>
      </c>
      <c r="I206">
        <f t="shared" si="44"/>
        <v>27.310499999999998</v>
      </c>
      <c r="J206">
        <f t="shared" si="45"/>
        <v>27.100000000000005</v>
      </c>
      <c r="L206">
        <f t="shared" si="46"/>
        <v>0</v>
      </c>
      <c r="M206">
        <f t="shared" si="47"/>
        <v>1</v>
      </c>
      <c r="O206">
        <f t="shared" si="48"/>
        <v>0</v>
      </c>
      <c r="P206">
        <f t="shared" si="49"/>
        <v>0.28000000000000114</v>
      </c>
      <c r="R206">
        <f t="shared" si="50"/>
        <v>0.22599999999999909</v>
      </c>
      <c r="S206">
        <f t="shared" si="51"/>
        <v>0.2744444444444451</v>
      </c>
      <c r="U206">
        <f t="shared" si="52"/>
        <v>45.159857904085101</v>
      </c>
      <c r="AH206">
        <f t="shared" si="53"/>
        <v>11.313551121836326</v>
      </c>
      <c r="AI206">
        <f t="shared" si="54"/>
        <v>13.859966635667515</v>
      </c>
      <c r="AJ206">
        <f t="shared" si="55"/>
        <v>40.761033364332476</v>
      </c>
      <c r="AL206">
        <f t="shared" si="56"/>
        <v>49.93760224367265</v>
      </c>
      <c r="AM206">
        <f t="shared" si="57"/>
        <v>4.683397756327345</v>
      </c>
    </row>
    <row r="207" spans="1:39" ht="16.5" x14ac:dyDescent="0.25">
      <c r="A207" s="1">
        <v>45405</v>
      </c>
      <c r="B207" s="5">
        <v>27.34</v>
      </c>
      <c r="C207" s="4">
        <v>27.52</v>
      </c>
      <c r="D207" s="4">
        <v>27.7</v>
      </c>
      <c r="E207" s="4">
        <v>27.03</v>
      </c>
      <c r="F207" s="4" t="s">
        <v>1668</v>
      </c>
      <c r="G207" s="2" t="s">
        <v>336</v>
      </c>
      <c r="I207">
        <f t="shared" si="44"/>
        <v>27.304000000000002</v>
      </c>
      <c r="J207">
        <f t="shared" si="45"/>
        <v>27.140250000000009</v>
      </c>
      <c r="L207">
        <f t="shared" si="46"/>
        <v>0</v>
      </c>
      <c r="M207">
        <f t="shared" si="47"/>
        <v>1</v>
      </c>
      <c r="O207">
        <f t="shared" si="48"/>
        <v>0</v>
      </c>
      <c r="P207">
        <f t="shared" si="49"/>
        <v>0.17999999999999972</v>
      </c>
      <c r="R207">
        <f t="shared" si="50"/>
        <v>0.22599999999999909</v>
      </c>
      <c r="S207">
        <f t="shared" si="51"/>
        <v>0.27111111111111164</v>
      </c>
      <c r="U207">
        <f t="shared" si="52"/>
        <v>45.46267322306646</v>
      </c>
      <c r="AH207">
        <f t="shared" si="53"/>
        <v>11.284569016816198</v>
      </c>
      <c r="AI207">
        <f t="shared" si="54"/>
        <v>13.85346663566752</v>
      </c>
      <c r="AJ207">
        <f t="shared" si="55"/>
        <v>40.754533364332488</v>
      </c>
      <c r="AL207">
        <f t="shared" si="56"/>
        <v>49.873138033632401</v>
      </c>
      <c r="AM207">
        <f t="shared" si="57"/>
        <v>4.7348619663676068</v>
      </c>
    </row>
    <row r="208" spans="1:39" ht="16.5" x14ac:dyDescent="0.25">
      <c r="A208" s="1">
        <v>45404</v>
      </c>
      <c r="B208" s="5">
        <v>27.32</v>
      </c>
      <c r="C208" s="4">
        <v>26.75</v>
      </c>
      <c r="D208" s="4">
        <v>27.55</v>
      </c>
      <c r="E208" s="4">
        <v>26.72</v>
      </c>
      <c r="F208" s="4" t="s">
        <v>1685</v>
      </c>
      <c r="G208" s="2" t="s">
        <v>1686</v>
      </c>
      <c r="I208">
        <f t="shared" si="44"/>
        <v>27.2745</v>
      </c>
      <c r="J208">
        <f t="shared" si="45"/>
        <v>27.177250000000004</v>
      </c>
      <c r="L208">
        <f t="shared" si="46"/>
        <v>1</v>
      </c>
      <c r="M208">
        <f t="shared" si="47"/>
        <v>0</v>
      </c>
      <c r="O208">
        <f t="shared" si="48"/>
        <v>0.57000000000000028</v>
      </c>
      <c r="P208">
        <f t="shared" si="49"/>
        <v>0</v>
      </c>
      <c r="R208">
        <f t="shared" si="50"/>
        <v>0.30666666666666603</v>
      </c>
      <c r="S208">
        <f t="shared" si="51"/>
        <v>0.28250000000000064</v>
      </c>
      <c r="U208">
        <f t="shared" si="52"/>
        <v>52.050919377651944</v>
      </c>
      <c r="AH208">
        <f t="shared" si="53"/>
        <v>11.255010174629144</v>
      </c>
      <c r="AI208">
        <f t="shared" si="54"/>
        <v>13.823966635667517</v>
      </c>
      <c r="AJ208">
        <f t="shared" si="55"/>
        <v>40.725033364332482</v>
      </c>
      <c r="AL208">
        <f t="shared" si="56"/>
        <v>49.784520349258287</v>
      </c>
      <c r="AM208">
        <f t="shared" si="57"/>
        <v>4.7644796507417126</v>
      </c>
    </row>
    <row r="209" spans="1:39" ht="16.5" x14ac:dyDescent="0.25">
      <c r="A209" s="1">
        <v>45401</v>
      </c>
      <c r="B209" s="5">
        <v>26.33</v>
      </c>
      <c r="C209" s="4">
        <v>26.14</v>
      </c>
      <c r="D209" s="4">
        <v>26.36</v>
      </c>
      <c r="E209" s="4">
        <v>25.61</v>
      </c>
      <c r="F209" s="4" t="s">
        <v>896</v>
      </c>
      <c r="G209" s="2" t="s">
        <v>245</v>
      </c>
      <c r="I209">
        <f t="shared" si="44"/>
        <v>27.232500000000005</v>
      </c>
      <c r="J209">
        <f t="shared" si="45"/>
        <v>27.217000000000006</v>
      </c>
      <c r="L209">
        <f t="shared" si="46"/>
        <v>1</v>
      </c>
      <c r="M209">
        <f t="shared" si="47"/>
        <v>0</v>
      </c>
      <c r="O209">
        <f t="shared" si="48"/>
        <v>0.18999999999999773</v>
      </c>
      <c r="P209">
        <f t="shared" si="49"/>
        <v>0</v>
      </c>
      <c r="R209">
        <f t="shared" si="50"/>
        <v>0.25399999999999923</v>
      </c>
      <c r="S209">
        <f t="shared" si="51"/>
        <v>0.32000000000000067</v>
      </c>
      <c r="U209">
        <f t="shared" si="52"/>
        <v>44.250871080139248</v>
      </c>
      <c r="AH209">
        <f t="shared" si="53"/>
        <v>11.224743893625311</v>
      </c>
      <c r="AI209">
        <f t="shared" si="54"/>
        <v>13.781966635667523</v>
      </c>
      <c r="AJ209">
        <f t="shared" si="55"/>
        <v>40.683033364332488</v>
      </c>
      <c r="AL209">
        <f t="shared" si="56"/>
        <v>49.681987787250627</v>
      </c>
      <c r="AM209">
        <f t="shared" si="57"/>
        <v>4.7830122127493837</v>
      </c>
    </row>
    <row r="210" spans="1:39" ht="16.5" x14ac:dyDescent="0.25">
      <c r="A210" s="1">
        <v>45400</v>
      </c>
      <c r="B210" s="5">
        <v>26.24</v>
      </c>
      <c r="C210" s="4">
        <v>26.39</v>
      </c>
      <c r="D210" s="4">
        <v>26.39</v>
      </c>
      <c r="E210" s="4">
        <v>25.94</v>
      </c>
      <c r="F210" s="4" t="s">
        <v>1509</v>
      </c>
      <c r="G210" s="2" t="s">
        <v>729</v>
      </c>
      <c r="I210">
        <f t="shared" si="44"/>
        <v>27.227000000000004</v>
      </c>
      <c r="J210">
        <f t="shared" si="45"/>
        <v>27.282000000000011</v>
      </c>
      <c r="L210">
        <f t="shared" si="46"/>
        <v>0</v>
      </c>
      <c r="M210">
        <f t="shared" si="47"/>
        <v>1</v>
      </c>
      <c r="O210">
        <f t="shared" si="48"/>
        <v>0</v>
      </c>
      <c r="P210">
        <f t="shared" si="49"/>
        <v>0.15000000000000213</v>
      </c>
      <c r="R210">
        <f t="shared" si="50"/>
        <v>0.26999999999999957</v>
      </c>
      <c r="S210">
        <f t="shared" si="51"/>
        <v>0.2970000000000006</v>
      </c>
      <c r="U210">
        <f t="shared" si="52"/>
        <v>47.619047619047528</v>
      </c>
      <c r="AH210">
        <f t="shared" si="53"/>
        <v>11.193689005471963</v>
      </c>
      <c r="AI210">
        <f t="shared" si="54"/>
        <v>13.776466635667521</v>
      </c>
      <c r="AJ210">
        <f t="shared" si="55"/>
        <v>40.67753336433249</v>
      </c>
      <c r="AL210">
        <f t="shared" si="56"/>
        <v>49.614378010943931</v>
      </c>
      <c r="AM210">
        <f t="shared" si="57"/>
        <v>4.8396219890560772</v>
      </c>
    </row>
    <row r="211" spans="1:39" ht="16.5" x14ac:dyDescent="0.25">
      <c r="A211" s="1">
        <v>45399</v>
      </c>
      <c r="B211" s="5">
        <v>26.25</v>
      </c>
      <c r="C211" s="4">
        <v>26</v>
      </c>
      <c r="D211" s="4">
        <v>26.51</v>
      </c>
      <c r="E211" s="4">
        <v>25.98</v>
      </c>
      <c r="F211" s="4" t="s">
        <v>1600</v>
      </c>
      <c r="G211" s="2" t="s">
        <v>825</v>
      </c>
      <c r="I211">
        <f t="shared" si="44"/>
        <v>27.208500000000004</v>
      </c>
      <c r="J211">
        <f t="shared" si="45"/>
        <v>27.34500000000001</v>
      </c>
      <c r="L211">
        <f t="shared" si="46"/>
        <v>1</v>
      </c>
      <c r="M211">
        <f t="shared" si="47"/>
        <v>0</v>
      </c>
      <c r="O211">
        <f t="shared" si="48"/>
        <v>0.25</v>
      </c>
      <c r="P211">
        <f t="shared" si="49"/>
        <v>0</v>
      </c>
      <c r="R211">
        <f t="shared" si="50"/>
        <v>0.4</v>
      </c>
      <c r="S211">
        <f t="shared" si="51"/>
        <v>0.31333333333333374</v>
      </c>
      <c r="U211">
        <f t="shared" si="52"/>
        <v>56.074766355140163</v>
      </c>
      <c r="AH211">
        <f t="shared" si="53"/>
        <v>11.162019092315562</v>
      </c>
      <c r="AI211">
        <f t="shared" si="54"/>
        <v>13.757966635667522</v>
      </c>
      <c r="AJ211">
        <f t="shared" si="55"/>
        <v>40.659033364332487</v>
      </c>
      <c r="AL211">
        <f t="shared" si="56"/>
        <v>49.532538184631129</v>
      </c>
      <c r="AM211">
        <f t="shared" si="57"/>
        <v>4.8844618153688799</v>
      </c>
    </row>
    <row r="212" spans="1:39" ht="16.5" x14ac:dyDescent="0.25">
      <c r="A212" s="1">
        <v>45398</v>
      </c>
      <c r="B212" s="5">
        <v>26.08</v>
      </c>
      <c r="C212" s="4">
        <v>26.07</v>
      </c>
      <c r="D212" s="4">
        <v>26.36</v>
      </c>
      <c r="E212" s="4">
        <v>25.92</v>
      </c>
      <c r="F212" s="4" t="s">
        <v>211</v>
      </c>
      <c r="G212" s="2" t="s">
        <v>446</v>
      </c>
      <c r="I212">
        <f t="shared" si="44"/>
        <v>27.207000000000001</v>
      </c>
      <c r="J212">
        <f t="shared" si="45"/>
        <v>27.411250000000006</v>
      </c>
      <c r="L212">
        <f t="shared" si="46"/>
        <v>1</v>
      </c>
      <c r="M212">
        <f t="shared" si="47"/>
        <v>0</v>
      </c>
      <c r="O212">
        <f t="shared" si="48"/>
        <v>9.9999999999980105E-3</v>
      </c>
      <c r="P212">
        <f t="shared" si="49"/>
        <v>0</v>
      </c>
      <c r="R212">
        <f t="shared" si="50"/>
        <v>0.46799999999999997</v>
      </c>
      <c r="S212">
        <f t="shared" si="51"/>
        <v>0.31333333333333374</v>
      </c>
      <c r="U212">
        <f t="shared" si="52"/>
        <v>59.897610921501673</v>
      </c>
      <c r="AH212">
        <f t="shared" si="53"/>
        <v>11.129651712024501</v>
      </c>
      <c r="AI212">
        <f t="shared" si="54"/>
        <v>13.756466635667518</v>
      </c>
      <c r="AJ212">
        <f t="shared" si="55"/>
        <v>40.65753336433248</v>
      </c>
      <c r="AL212">
        <f t="shared" si="56"/>
        <v>49.466303424049002</v>
      </c>
      <c r="AM212">
        <f t="shared" si="57"/>
        <v>4.9476965759509994</v>
      </c>
    </row>
    <row r="213" spans="1:39" ht="16.5" x14ac:dyDescent="0.25">
      <c r="A213" s="1">
        <v>45397</v>
      </c>
      <c r="B213" s="5">
        <v>26.46</v>
      </c>
      <c r="C213" s="4">
        <v>26.71</v>
      </c>
      <c r="D213" s="4">
        <v>26.85</v>
      </c>
      <c r="E213" s="4">
        <v>26.05</v>
      </c>
      <c r="F213" s="4" t="s">
        <v>966</v>
      </c>
      <c r="G213" s="2" t="s">
        <v>135</v>
      </c>
      <c r="I213">
        <f t="shared" si="44"/>
        <v>27.215000000000003</v>
      </c>
      <c r="J213">
        <f t="shared" si="45"/>
        <v>27.474500000000006</v>
      </c>
      <c r="L213">
        <f t="shared" si="46"/>
        <v>0</v>
      </c>
      <c r="M213">
        <f t="shared" si="47"/>
        <v>1</v>
      </c>
      <c r="O213">
        <f t="shared" si="48"/>
        <v>0</v>
      </c>
      <c r="P213">
        <f t="shared" si="49"/>
        <v>0.25</v>
      </c>
      <c r="R213">
        <f t="shared" si="50"/>
        <v>0.49400000000000049</v>
      </c>
      <c r="S213">
        <f t="shared" si="51"/>
        <v>0.31333333333333374</v>
      </c>
      <c r="U213">
        <f t="shared" si="52"/>
        <v>61.189099917423611</v>
      </c>
      <c r="AH213">
        <f t="shared" si="53"/>
        <v>11.096662271185641</v>
      </c>
      <c r="AI213">
        <f t="shared" si="54"/>
        <v>13.764466635667521</v>
      </c>
      <c r="AJ213">
        <f t="shared" si="55"/>
        <v>40.665533364332489</v>
      </c>
      <c r="AL213">
        <f t="shared" si="56"/>
        <v>49.40832454237129</v>
      </c>
      <c r="AM213">
        <f t="shared" si="57"/>
        <v>5.0216754576287208</v>
      </c>
    </row>
    <row r="214" spans="1:39" ht="16.5" x14ac:dyDescent="0.25">
      <c r="A214" s="1">
        <v>45394</v>
      </c>
      <c r="B214" s="5">
        <v>26.97</v>
      </c>
      <c r="C214" s="4">
        <v>27.3</v>
      </c>
      <c r="D214" s="4">
        <v>27.83</v>
      </c>
      <c r="E214" s="4">
        <v>26.91</v>
      </c>
      <c r="F214" s="4" t="s">
        <v>1415</v>
      </c>
      <c r="G214" s="2" t="s">
        <v>321</v>
      </c>
      <c r="I214">
        <f t="shared" si="44"/>
        <v>27.193000000000001</v>
      </c>
      <c r="J214">
        <f t="shared" si="45"/>
        <v>27.514499999999998</v>
      </c>
      <c r="L214">
        <f t="shared" si="46"/>
        <v>0</v>
      </c>
      <c r="M214">
        <f t="shared" si="47"/>
        <v>1</v>
      </c>
      <c r="O214">
        <f t="shared" si="48"/>
        <v>0</v>
      </c>
      <c r="P214">
        <f t="shared" si="49"/>
        <v>0.33000000000000185</v>
      </c>
      <c r="R214">
        <f t="shared" si="50"/>
        <v>0.46166666666666717</v>
      </c>
      <c r="S214">
        <f t="shared" si="51"/>
        <v>0.32125000000000048</v>
      </c>
      <c r="U214">
        <f t="shared" si="52"/>
        <v>58.967535923363478</v>
      </c>
      <c r="AH214">
        <f t="shared" si="53"/>
        <v>11.063088545406874</v>
      </c>
      <c r="AI214">
        <f t="shared" si="54"/>
        <v>13.742466635667519</v>
      </c>
      <c r="AJ214">
        <f t="shared" si="55"/>
        <v>40.643533364332484</v>
      </c>
      <c r="AL214">
        <f t="shared" si="56"/>
        <v>49.319177090813753</v>
      </c>
      <c r="AM214">
        <f t="shared" si="57"/>
        <v>5.0668229091862536</v>
      </c>
    </row>
    <row r="215" spans="1:39" ht="16.5" x14ac:dyDescent="0.25">
      <c r="A215" s="1">
        <v>45393</v>
      </c>
      <c r="B215" s="5">
        <v>27.02</v>
      </c>
      <c r="C215" s="4">
        <v>27.4</v>
      </c>
      <c r="D215" s="4">
        <v>27.83</v>
      </c>
      <c r="E215" s="4">
        <v>26.99</v>
      </c>
      <c r="F215" s="4" t="s">
        <v>1436</v>
      </c>
      <c r="G215" s="2" t="s">
        <v>277</v>
      </c>
      <c r="I215">
        <f t="shared" si="44"/>
        <v>27.162500000000001</v>
      </c>
      <c r="J215">
        <f t="shared" si="45"/>
        <v>27.541999999999994</v>
      </c>
      <c r="L215">
        <f t="shared" si="46"/>
        <v>0</v>
      </c>
      <c r="M215">
        <f t="shared" si="47"/>
        <v>1</v>
      </c>
      <c r="O215">
        <f t="shared" si="48"/>
        <v>0</v>
      </c>
      <c r="P215">
        <f t="shared" si="49"/>
        <v>0.37999999999999901</v>
      </c>
      <c r="R215">
        <f t="shared" si="50"/>
        <v>0.41285714285714342</v>
      </c>
      <c r="S215">
        <f t="shared" si="51"/>
        <v>0.32000000000000028</v>
      </c>
      <c r="U215">
        <f t="shared" si="52"/>
        <v>56.335282651072134</v>
      </c>
      <c r="AH215">
        <f t="shared" si="53"/>
        <v>11.028753989842132</v>
      </c>
      <c r="AI215">
        <f t="shared" si="54"/>
        <v>13.711966635667519</v>
      </c>
      <c r="AJ215">
        <f t="shared" si="55"/>
        <v>40.61303336433248</v>
      </c>
      <c r="AL215">
        <f t="shared" si="56"/>
        <v>49.220007979684269</v>
      </c>
      <c r="AM215">
        <f t="shared" si="57"/>
        <v>5.1049920203157377</v>
      </c>
    </row>
    <row r="216" spans="1:39" ht="16.5" x14ac:dyDescent="0.25">
      <c r="A216" s="1">
        <v>45392</v>
      </c>
      <c r="B216" s="5">
        <v>27.58</v>
      </c>
      <c r="C216" s="4">
        <v>27.59</v>
      </c>
      <c r="D216" s="4">
        <v>28.25</v>
      </c>
      <c r="E216" s="4">
        <v>27.3</v>
      </c>
      <c r="F216" s="4" t="s">
        <v>937</v>
      </c>
      <c r="G216" s="2" t="s">
        <v>835</v>
      </c>
      <c r="I216">
        <f t="shared" si="44"/>
        <v>27.136000000000003</v>
      </c>
      <c r="J216">
        <f t="shared" si="45"/>
        <v>27.564250000000005</v>
      </c>
      <c r="L216">
        <f t="shared" si="46"/>
        <v>0</v>
      </c>
      <c r="M216">
        <f t="shared" si="47"/>
        <v>1</v>
      </c>
      <c r="O216">
        <f t="shared" si="48"/>
        <v>0</v>
      </c>
      <c r="P216">
        <f t="shared" si="49"/>
        <v>1.0000000000001563E-2</v>
      </c>
      <c r="R216">
        <f t="shared" si="50"/>
        <v>0.40125000000000055</v>
      </c>
      <c r="S216">
        <f t="shared" si="51"/>
        <v>0.3100000000000005</v>
      </c>
      <c r="U216">
        <f t="shared" si="52"/>
        <v>56.414762741652012</v>
      </c>
      <c r="AH216">
        <f t="shared" si="53"/>
        <v>10.993593797234984</v>
      </c>
      <c r="AI216">
        <f t="shared" si="54"/>
        <v>13.68546663566752</v>
      </c>
      <c r="AJ216">
        <f t="shared" si="55"/>
        <v>40.586533364332482</v>
      </c>
      <c r="AL216">
        <f t="shared" si="56"/>
        <v>49.123187594469968</v>
      </c>
      <c r="AM216">
        <f t="shared" si="57"/>
        <v>5.1488124055300339</v>
      </c>
    </row>
    <row r="217" spans="1:39" ht="16.5" x14ac:dyDescent="0.25">
      <c r="A217" s="1">
        <v>45391</v>
      </c>
      <c r="B217" s="5">
        <v>27.4</v>
      </c>
      <c r="C217" s="4">
        <v>27.29</v>
      </c>
      <c r="D217" s="4">
        <v>28.37</v>
      </c>
      <c r="E217" s="4">
        <v>27.1</v>
      </c>
      <c r="F217" s="4" t="s">
        <v>1687</v>
      </c>
      <c r="G217" s="2" t="s">
        <v>450</v>
      </c>
      <c r="I217">
        <f t="shared" si="44"/>
        <v>27.098000000000003</v>
      </c>
      <c r="J217">
        <f t="shared" si="45"/>
        <v>27.582999999999998</v>
      </c>
      <c r="L217">
        <f t="shared" si="46"/>
        <v>1</v>
      </c>
      <c r="M217">
        <f t="shared" si="47"/>
        <v>0</v>
      </c>
      <c r="O217">
        <f t="shared" si="48"/>
        <v>0.10999999999999943</v>
      </c>
      <c r="P217">
        <f t="shared" si="49"/>
        <v>0</v>
      </c>
      <c r="R217">
        <f t="shared" si="50"/>
        <v>0.40125000000000055</v>
      </c>
      <c r="S217">
        <f t="shared" si="51"/>
        <v>0.35833333333333367</v>
      </c>
      <c r="U217">
        <f t="shared" si="52"/>
        <v>52.825013713658812</v>
      </c>
      <c r="AH217">
        <f t="shared" si="53"/>
        <v>10.957610440690097</v>
      </c>
      <c r="AI217">
        <f t="shared" si="54"/>
        <v>13.64746663566752</v>
      </c>
      <c r="AJ217">
        <f t="shared" si="55"/>
        <v>40.548533364332485</v>
      </c>
      <c r="AL217">
        <f t="shared" si="56"/>
        <v>49.013220881380192</v>
      </c>
      <c r="AM217">
        <f t="shared" si="57"/>
        <v>5.1827791186198091</v>
      </c>
    </row>
    <row r="218" spans="1:39" ht="16.5" x14ac:dyDescent="0.25">
      <c r="A218" s="1">
        <v>45390</v>
      </c>
      <c r="B218" s="5">
        <v>27.33</v>
      </c>
      <c r="C218" s="4">
        <v>27.45</v>
      </c>
      <c r="D218" s="4">
        <v>27.5</v>
      </c>
      <c r="E218" s="4">
        <v>26.9</v>
      </c>
      <c r="F218" s="4" t="s">
        <v>1189</v>
      </c>
      <c r="G218" s="2" t="s">
        <v>814</v>
      </c>
      <c r="I218">
        <f t="shared" si="44"/>
        <v>27.041500000000006</v>
      </c>
      <c r="J218">
        <f t="shared" si="45"/>
        <v>27.592500000000001</v>
      </c>
      <c r="L218">
        <f t="shared" si="46"/>
        <v>0</v>
      </c>
      <c r="M218">
        <f t="shared" si="47"/>
        <v>1</v>
      </c>
      <c r="O218">
        <f t="shared" si="48"/>
        <v>0</v>
      </c>
      <c r="P218">
        <f t="shared" si="49"/>
        <v>0.12000000000000099</v>
      </c>
      <c r="R218">
        <f t="shared" si="50"/>
        <v>0.40750000000000064</v>
      </c>
      <c r="S218">
        <f t="shared" si="51"/>
        <v>0.35833333333333367</v>
      </c>
      <c r="U218">
        <f t="shared" si="52"/>
        <v>53.210010881392826</v>
      </c>
      <c r="AH218">
        <f t="shared" si="53"/>
        <v>10.920719043867148</v>
      </c>
      <c r="AI218">
        <f t="shared" si="54"/>
        <v>13.590966635667524</v>
      </c>
      <c r="AJ218">
        <f t="shared" si="55"/>
        <v>40.492033364332485</v>
      </c>
      <c r="AL218">
        <f t="shared" si="56"/>
        <v>48.882938087734303</v>
      </c>
      <c r="AM218">
        <f t="shared" si="57"/>
        <v>5.2000619122657099</v>
      </c>
    </row>
    <row r="219" spans="1:39" ht="16.5" x14ac:dyDescent="0.25">
      <c r="A219" s="1">
        <v>45387</v>
      </c>
      <c r="B219" s="5">
        <v>27.43</v>
      </c>
      <c r="C219" s="4">
        <v>28.2</v>
      </c>
      <c r="D219" s="4">
        <v>28.44</v>
      </c>
      <c r="E219" s="4">
        <v>27.33</v>
      </c>
      <c r="F219" s="4" t="s">
        <v>784</v>
      </c>
      <c r="G219" s="2" t="s">
        <v>1688</v>
      </c>
      <c r="I219">
        <f t="shared" si="44"/>
        <v>26.995500000000003</v>
      </c>
      <c r="J219">
        <f t="shared" si="45"/>
        <v>27.603000000000002</v>
      </c>
      <c r="L219">
        <f t="shared" si="46"/>
        <v>0</v>
      </c>
      <c r="M219">
        <f t="shared" si="47"/>
        <v>1</v>
      </c>
      <c r="O219">
        <f t="shared" si="48"/>
        <v>0</v>
      </c>
      <c r="P219">
        <f t="shared" si="49"/>
        <v>0.76999999999999957</v>
      </c>
      <c r="R219">
        <f t="shared" si="50"/>
        <v>0.40111111111111142</v>
      </c>
      <c r="S219">
        <f t="shared" si="51"/>
        <v>0.40600000000000025</v>
      </c>
      <c r="U219">
        <f t="shared" si="52"/>
        <v>49.697136563876654</v>
      </c>
      <c r="AH219">
        <f t="shared" si="53"/>
        <v>10.88279099189687</v>
      </c>
      <c r="AI219">
        <f t="shared" si="54"/>
        <v>13.544966635667521</v>
      </c>
      <c r="AJ219">
        <f t="shared" si="55"/>
        <v>40.446033364332486</v>
      </c>
      <c r="AL219">
        <f t="shared" si="56"/>
        <v>48.761081983793744</v>
      </c>
      <c r="AM219">
        <f t="shared" si="57"/>
        <v>5.2299180162062626</v>
      </c>
    </row>
    <row r="220" spans="1:39" ht="16.5" x14ac:dyDescent="0.25">
      <c r="A220" s="1">
        <v>45386</v>
      </c>
      <c r="B220" s="5">
        <v>28.56</v>
      </c>
      <c r="C220" s="4">
        <v>28.81</v>
      </c>
      <c r="D220" s="4">
        <v>28.94</v>
      </c>
      <c r="E220" s="4">
        <v>28.43</v>
      </c>
      <c r="F220" s="4" t="s">
        <v>1494</v>
      </c>
      <c r="G220" s="2" t="s">
        <v>396</v>
      </c>
      <c r="I220">
        <f t="shared" si="44"/>
        <v>26.956499999999998</v>
      </c>
      <c r="J220">
        <f t="shared" si="45"/>
        <v>27.634750000000004</v>
      </c>
      <c r="L220">
        <f t="shared" si="46"/>
        <v>0</v>
      </c>
      <c r="M220">
        <f t="shared" si="47"/>
        <v>1</v>
      </c>
      <c r="O220">
        <f t="shared" si="48"/>
        <v>0</v>
      </c>
      <c r="P220">
        <f t="shared" si="49"/>
        <v>0.25</v>
      </c>
      <c r="R220">
        <f t="shared" si="50"/>
        <v>0.40111111111111142</v>
      </c>
      <c r="S220">
        <f t="shared" si="51"/>
        <v>0.30600000000000022</v>
      </c>
      <c r="U220">
        <f t="shared" si="52"/>
        <v>56.725329981143936</v>
      </c>
      <c r="AH220">
        <f t="shared" si="53"/>
        <v>10.843860031675435</v>
      </c>
      <c r="AI220">
        <f t="shared" si="54"/>
        <v>13.505966635667516</v>
      </c>
      <c r="AJ220">
        <f t="shared" si="55"/>
        <v>40.407033364332477</v>
      </c>
      <c r="AL220">
        <f t="shared" si="56"/>
        <v>48.644220063350872</v>
      </c>
      <c r="AM220">
        <f t="shared" si="57"/>
        <v>5.2687799366491284</v>
      </c>
    </row>
    <row r="221" spans="1:39" ht="16.5" x14ac:dyDescent="0.25">
      <c r="A221" s="1">
        <v>45385</v>
      </c>
      <c r="B221" s="5">
        <v>28.76</v>
      </c>
      <c r="C221" s="4">
        <v>28.05</v>
      </c>
      <c r="D221" s="4">
        <v>28.84</v>
      </c>
      <c r="E221" s="4">
        <v>27.99</v>
      </c>
      <c r="F221" s="4" t="s">
        <v>1498</v>
      </c>
      <c r="G221" s="2" t="s">
        <v>209</v>
      </c>
      <c r="I221">
        <f t="shared" si="44"/>
        <v>26.826000000000001</v>
      </c>
      <c r="J221">
        <f t="shared" si="45"/>
        <v>27.650750000000006</v>
      </c>
      <c r="L221">
        <f t="shared" si="46"/>
        <v>1</v>
      </c>
      <c r="M221">
        <f t="shared" si="47"/>
        <v>0</v>
      </c>
      <c r="O221">
        <f t="shared" si="48"/>
        <v>0.71000000000000085</v>
      </c>
      <c r="P221">
        <f t="shared" si="49"/>
        <v>0</v>
      </c>
      <c r="R221">
        <f t="shared" si="50"/>
        <v>0.40111111111111142</v>
      </c>
      <c r="S221">
        <f t="shared" si="51"/>
        <v>0.26000000000000012</v>
      </c>
      <c r="U221">
        <f t="shared" si="52"/>
        <v>60.672268907563037</v>
      </c>
      <c r="AH221">
        <f t="shared" si="53"/>
        <v>10.803941270003913</v>
      </c>
      <c r="AI221">
        <f t="shared" si="54"/>
        <v>13.375466635667518</v>
      </c>
      <c r="AJ221">
        <f t="shared" si="55"/>
        <v>40.276533364332479</v>
      </c>
      <c r="AL221">
        <f t="shared" si="56"/>
        <v>48.433882540007829</v>
      </c>
      <c r="AM221">
        <f t="shared" si="57"/>
        <v>5.2181174599921754</v>
      </c>
    </row>
    <row r="222" spans="1:39" ht="16.5" x14ac:dyDescent="0.25">
      <c r="A222" s="1">
        <v>45384</v>
      </c>
      <c r="B222" s="5">
        <v>28</v>
      </c>
      <c r="C222" s="4">
        <v>28.62</v>
      </c>
      <c r="D222" s="4">
        <v>28.63</v>
      </c>
      <c r="E222" s="4">
        <v>27.76</v>
      </c>
      <c r="F222" s="4" t="s">
        <v>904</v>
      </c>
      <c r="G222" s="2" t="s">
        <v>151</v>
      </c>
      <c r="I222">
        <f t="shared" si="44"/>
        <v>26.791999999999994</v>
      </c>
      <c r="J222">
        <f t="shared" si="45"/>
        <v>27.646499999999996</v>
      </c>
      <c r="L222">
        <f t="shared" si="46"/>
        <v>0</v>
      </c>
      <c r="M222">
        <f t="shared" si="47"/>
        <v>1</v>
      </c>
      <c r="O222">
        <f t="shared" si="48"/>
        <v>0</v>
      </c>
      <c r="P222">
        <f t="shared" si="49"/>
        <v>0.62000000000000099</v>
      </c>
      <c r="R222">
        <f t="shared" si="50"/>
        <v>0.36250000000000027</v>
      </c>
      <c r="S222">
        <f t="shared" si="51"/>
        <v>0.28000000000000053</v>
      </c>
      <c r="U222">
        <f t="shared" si="52"/>
        <v>56.420233463034997</v>
      </c>
      <c r="AH222">
        <f t="shared" si="53"/>
        <v>10.762464064537079</v>
      </c>
      <c r="AI222">
        <f t="shared" si="54"/>
        <v>13.341466635667512</v>
      </c>
      <c r="AJ222">
        <f t="shared" si="55"/>
        <v>40.242533364332473</v>
      </c>
      <c r="AL222">
        <f t="shared" si="56"/>
        <v>48.316928129074157</v>
      </c>
      <c r="AM222">
        <f t="shared" si="57"/>
        <v>5.267071870925836</v>
      </c>
    </row>
    <row r="223" spans="1:39" ht="16.5" x14ac:dyDescent="0.25">
      <c r="A223" s="1">
        <v>45379</v>
      </c>
      <c r="B223" s="5">
        <v>28.43</v>
      </c>
      <c r="C223" s="4">
        <v>28.52</v>
      </c>
      <c r="D223" s="4">
        <v>28.63</v>
      </c>
      <c r="E223" s="4">
        <v>28.17</v>
      </c>
      <c r="F223" s="4" t="s">
        <v>1593</v>
      </c>
      <c r="G223" s="2" t="s">
        <v>440</v>
      </c>
      <c r="I223">
        <f t="shared" si="44"/>
        <v>26.808499999999999</v>
      </c>
      <c r="J223">
        <f t="shared" si="45"/>
        <v>27.66375</v>
      </c>
      <c r="L223">
        <f t="shared" si="46"/>
        <v>0</v>
      </c>
      <c r="M223">
        <f t="shared" si="47"/>
        <v>1</v>
      </c>
      <c r="O223">
        <f t="shared" si="48"/>
        <v>0</v>
      </c>
      <c r="P223">
        <f t="shared" si="49"/>
        <v>8.9999999999999858E-2</v>
      </c>
      <c r="R223">
        <f t="shared" si="50"/>
        <v>0.39888888888888929</v>
      </c>
      <c r="S223">
        <f t="shared" si="51"/>
        <v>0.21200000000000047</v>
      </c>
      <c r="U223">
        <f t="shared" si="52"/>
        <v>65.296471444161483</v>
      </c>
      <c r="AH223">
        <f t="shared" si="53"/>
        <v>10.719964832294826</v>
      </c>
      <c r="AI223">
        <f t="shared" si="54"/>
        <v>13.357966635667516</v>
      </c>
      <c r="AJ223">
        <f t="shared" si="55"/>
        <v>40.259033364332481</v>
      </c>
      <c r="AL223">
        <f t="shared" si="56"/>
        <v>48.248429664589651</v>
      </c>
      <c r="AM223">
        <f t="shared" si="57"/>
        <v>5.3685703354103467</v>
      </c>
    </row>
    <row r="224" spans="1:39" ht="16.5" x14ac:dyDescent="0.25">
      <c r="A224" s="1">
        <v>45378</v>
      </c>
      <c r="B224" s="5">
        <v>28.42</v>
      </c>
      <c r="C224" s="4">
        <v>27.5</v>
      </c>
      <c r="D224" s="4">
        <v>28.49</v>
      </c>
      <c r="E224" s="4">
        <v>27.4</v>
      </c>
      <c r="F224" s="4" t="s">
        <v>1689</v>
      </c>
      <c r="G224" s="2" t="s">
        <v>1690</v>
      </c>
      <c r="I224">
        <f t="shared" si="44"/>
        <v>26.791499999999996</v>
      </c>
      <c r="J224">
        <f t="shared" si="45"/>
        <v>27.659749999999995</v>
      </c>
      <c r="L224">
        <f t="shared" si="46"/>
        <v>1</v>
      </c>
      <c r="M224">
        <f t="shared" si="47"/>
        <v>0</v>
      </c>
      <c r="O224">
        <f t="shared" si="48"/>
        <v>0.92000000000000171</v>
      </c>
      <c r="P224">
        <f t="shared" si="49"/>
        <v>0</v>
      </c>
      <c r="R224">
        <f t="shared" si="50"/>
        <v>0.39888888888888929</v>
      </c>
      <c r="S224">
        <f t="shared" si="51"/>
        <v>0.22000000000000028</v>
      </c>
      <c r="U224">
        <f t="shared" si="52"/>
        <v>64.452423698384194</v>
      </c>
      <c r="AH224">
        <f t="shared" si="53"/>
        <v>10.676725390731669</v>
      </c>
      <c r="AI224">
        <f t="shared" si="54"/>
        <v>13.340966635667513</v>
      </c>
      <c r="AJ224">
        <f t="shared" si="55"/>
        <v>40.242033364332478</v>
      </c>
      <c r="AL224">
        <f t="shared" si="56"/>
        <v>48.144950781463336</v>
      </c>
      <c r="AM224">
        <f t="shared" si="57"/>
        <v>5.4380492185366585</v>
      </c>
    </row>
    <row r="225" spans="1:39" ht="16.5" x14ac:dyDescent="0.25">
      <c r="A225" s="1">
        <v>45377</v>
      </c>
      <c r="B225" s="5">
        <v>27.32</v>
      </c>
      <c r="C225" s="4">
        <v>26.73</v>
      </c>
      <c r="D225" s="4">
        <v>27.32</v>
      </c>
      <c r="E225" s="4">
        <v>26.52</v>
      </c>
      <c r="F225" s="4" t="s">
        <v>1691</v>
      </c>
      <c r="G225" s="2" t="s">
        <v>709</v>
      </c>
      <c r="I225">
        <f t="shared" si="44"/>
        <v>26.798499999999997</v>
      </c>
      <c r="J225">
        <f t="shared" si="45"/>
        <v>27.671750000000003</v>
      </c>
      <c r="L225">
        <f t="shared" si="46"/>
        <v>1</v>
      </c>
      <c r="M225">
        <f t="shared" si="47"/>
        <v>0</v>
      </c>
      <c r="O225">
        <f t="shared" si="48"/>
        <v>0.58999999999999986</v>
      </c>
      <c r="P225">
        <f t="shared" si="49"/>
        <v>0</v>
      </c>
      <c r="R225">
        <f t="shared" si="50"/>
        <v>0.34222222222222243</v>
      </c>
      <c r="S225">
        <f t="shared" si="51"/>
        <v>0.22000000000000028</v>
      </c>
      <c r="U225">
        <f t="shared" si="52"/>
        <v>60.86956521739129</v>
      </c>
      <c r="AH225">
        <f t="shared" si="53"/>
        <v>10.63252146066649</v>
      </c>
      <c r="AI225">
        <f t="shared" si="54"/>
        <v>13.347966635667515</v>
      </c>
      <c r="AJ225">
        <f t="shared" si="55"/>
        <v>40.249033364332476</v>
      </c>
      <c r="AL225">
        <f t="shared" si="56"/>
        <v>48.063542921332981</v>
      </c>
      <c r="AM225">
        <f t="shared" si="57"/>
        <v>5.5334570786670163</v>
      </c>
    </row>
    <row r="226" spans="1:39" ht="16.5" x14ac:dyDescent="0.25">
      <c r="A226" s="1">
        <v>45376</v>
      </c>
      <c r="B226" s="5">
        <v>26.84</v>
      </c>
      <c r="C226" s="4">
        <v>26.7</v>
      </c>
      <c r="D226" s="4">
        <v>27.1</v>
      </c>
      <c r="E226" s="4">
        <v>26.57</v>
      </c>
      <c r="F226" s="4" t="s">
        <v>1692</v>
      </c>
      <c r="G226" s="2" t="s">
        <v>375</v>
      </c>
      <c r="I226">
        <f t="shared" si="44"/>
        <v>26.889499999999998</v>
      </c>
      <c r="J226">
        <f t="shared" si="45"/>
        <v>27.740750000000002</v>
      </c>
      <c r="L226">
        <f t="shared" si="46"/>
        <v>1</v>
      </c>
      <c r="M226">
        <f t="shared" si="47"/>
        <v>0</v>
      </c>
      <c r="O226">
        <f t="shared" si="48"/>
        <v>0.14000000000000057</v>
      </c>
      <c r="P226">
        <f t="shared" si="49"/>
        <v>0</v>
      </c>
      <c r="R226">
        <f t="shared" si="50"/>
        <v>0.35888888888888892</v>
      </c>
      <c r="S226">
        <f t="shared" si="51"/>
        <v>0.22000000000000028</v>
      </c>
      <c r="U226">
        <f t="shared" si="52"/>
        <v>61.996161228406883</v>
      </c>
      <c r="AH226">
        <f t="shared" si="53"/>
        <v>10.587477926051701</v>
      </c>
      <c r="AI226">
        <f t="shared" si="54"/>
        <v>13.438966635667516</v>
      </c>
      <c r="AJ226">
        <f t="shared" si="55"/>
        <v>40.340033364332484</v>
      </c>
      <c r="AL226">
        <f t="shared" si="56"/>
        <v>48.0644558521034</v>
      </c>
      <c r="AM226">
        <f t="shared" si="57"/>
        <v>5.7145441478965964</v>
      </c>
    </row>
    <row r="227" spans="1:39" ht="16.5" x14ac:dyDescent="0.25">
      <c r="A227" s="1">
        <v>45373</v>
      </c>
      <c r="B227" s="5">
        <v>26.75</v>
      </c>
      <c r="C227" s="4">
        <v>26.45</v>
      </c>
      <c r="D227" s="4">
        <v>26.94</v>
      </c>
      <c r="E227" s="4">
        <v>26.31</v>
      </c>
      <c r="F227" s="4" t="s">
        <v>1431</v>
      </c>
      <c r="G227" s="2" t="s">
        <v>554</v>
      </c>
      <c r="I227">
        <f t="shared" si="44"/>
        <v>26.976499999999998</v>
      </c>
      <c r="J227">
        <f t="shared" si="45"/>
        <v>27.8385</v>
      </c>
      <c r="L227">
        <f t="shared" si="46"/>
        <v>1</v>
      </c>
      <c r="M227">
        <f t="shared" si="47"/>
        <v>0</v>
      </c>
      <c r="O227">
        <f t="shared" si="48"/>
        <v>0.30000000000000071</v>
      </c>
      <c r="P227">
        <f t="shared" si="49"/>
        <v>0</v>
      </c>
      <c r="R227">
        <f t="shared" si="50"/>
        <v>0.38624999999999998</v>
      </c>
      <c r="S227">
        <f t="shared" si="51"/>
        <v>0.5783333333333337</v>
      </c>
      <c r="U227">
        <f t="shared" si="52"/>
        <v>40.043196544276441</v>
      </c>
      <c r="AH227">
        <f t="shared" si="53"/>
        <v>10.542102435524578</v>
      </c>
      <c r="AI227">
        <f t="shared" si="54"/>
        <v>13.525966635667515</v>
      </c>
      <c r="AJ227">
        <f t="shared" si="55"/>
        <v>40.42703336433248</v>
      </c>
      <c r="AL227">
        <f t="shared" si="56"/>
        <v>48.060704871049154</v>
      </c>
      <c r="AM227">
        <f t="shared" si="57"/>
        <v>5.8922951289508418</v>
      </c>
    </row>
    <row r="228" spans="1:39" ht="16.5" x14ac:dyDescent="0.25">
      <c r="A228" s="1">
        <v>45372</v>
      </c>
      <c r="B228" s="5">
        <v>26.48</v>
      </c>
      <c r="C228" s="4">
        <v>26.36</v>
      </c>
      <c r="D228" s="4">
        <v>26.68</v>
      </c>
      <c r="E228" s="4">
        <v>26.32</v>
      </c>
      <c r="F228" s="4" t="s">
        <v>1501</v>
      </c>
      <c r="G228" s="2" t="s">
        <v>524</v>
      </c>
      <c r="I228">
        <f t="shared" si="44"/>
        <v>27.080000000000002</v>
      </c>
      <c r="J228">
        <f t="shared" si="45"/>
        <v>27.977499999999999</v>
      </c>
      <c r="L228">
        <f t="shared" si="46"/>
        <v>1</v>
      </c>
      <c r="M228">
        <f t="shared" si="47"/>
        <v>0</v>
      </c>
      <c r="O228">
        <f t="shared" si="48"/>
        <v>0.12000000000000099</v>
      </c>
      <c r="P228">
        <f t="shared" si="49"/>
        <v>0</v>
      </c>
      <c r="R228">
        <f t="shared" si="50"/>
        <v>0.39857142857142847</v>
      </c>
      <c r="S228">
        <f t="shared" si="51"/>
        <v>0.5628571428571435</v>
      </c>
      <c r="U228">
        <f t="shared" si="52"/>
        <v>41.456166419019283</v>
      </c>
      <c r="AH228">
        <f t="shared" si="53"/>
        <v>10.496362980690924</v>
      </c>
      <c r="AI228">
        <f t="shared" si="54"/>
        <v>13.629466635667519</v>
      </c>
      <c r="AJ228">
        <f t="shared" si="55"/>
        <v>40.530533364332484</v>
      </c>
      <c r="AL228">
        <f t="shared" si="56"/>
        <v>48.072725961381849</v>
      </c>
      <c r="AM228">
        <f t="shared" si="57"/>
        <v>6.0872740386181547</v>
      </c>
    </row>
    <row r="229" spans="1:39" ht="16.5" x14ac:dyDescent="0.25">
      <c r="A229" s="1">
        <v>45371</v>
      </c>
      <c r="B229" s="5">
        <v>26.22</v>
      </c>
      <c r="C229" s="4">
        <v>25.9</v>
      </c>
      <c r="D229" s="4">
        <v>26.22</v>
      </c>
      <c r="E229" s="4">
        <v>25.71</v>
      </c>
      <c r="F229" s="4" t="s">
        <v>931</v>
      </c>
      <c r="G229" s="2" t="s">
        <v>347</v>
      </c>
      <c r="I229">
        <f t="shared" si="44"/>
        <v>27.201499999999992</v>
      </c>
      <c r="J229">
        <f t="shared" si="45"/>
        <v>28.131250000000001</v>
      </c>
      <c r="L229">
        <f t="shared" si="46"/>
        <v>1</v>
      </c>
      <c r="M229">
        <f t="shared" si="47"/>
        <v>0</v>
      </c>
      <c r="O229">
        <f t="shared" si="48"/>
        <v>0.32000000000000028</v>
      </c>
      <c r="P229">
        <f t="shared" si="49"/>
        <v>0</v>
      </c>
      <c r="R229">
        <f t="shared" si="50"/>
        <v>0.40142857142857075</v>
      </c>
      <c r="S229">
        <f t="shared" si="51"/>
        <v>0.5628571428571435</v>
      </c>
      <c r="U229">
        <f t="shared" si="52"/>
        <v>41.629629629629562</v>
      </c>
      <c r="AH229">
        <f t="shared" si="53"/>
        <v>10.450356967520644</v>
      </c>
      <c r="AI229">
        <f t="shared" si="54"/>
        <v>13.75096663566751</v>
      </c>
      <c r="AJ229">
        <f t="shared" si="55"/>
        <v>40.652033364332475</v>
      </c>
      <c r="AL229">
        <f t="shared" si="56"/>
        <v>48.102213935041277</v>
      </c>
      <c r="AM229">
        <f t="shared" si="57"/>
        <v>6.3007860649587037</v>
      </c>
    </row>
    <row r="230" spans="1:39" ht="16.5" x14ac:dyDescent="0.25">
      <c r="A230" s="1">
        <v>45370</v>
      </c>
      <c r="B230" s="5">
        <v>25.87</v>
      </c>
      <c r="C230" s="4">
        <v>26.17</v>
      </c>
      <c r="D230" s="4">
        <v>26.18</v>
      </c>
      <c r="E230" s="4">
        <v>25.72</v>
      </c>
      <c r="F230" s="4" t="s">
        <v>1597</v>
      </c>
      <c r="G230" s="2" t="s">
        <v>585</v>
      </c>
      <c r="I230">
        <f t="shared" si="44"/>
        <v>27.336999999999989</v>
      </c>
      <c r="J230">
        <f t="shared" si="45"/>
        <v>28.291500000000003</v>
      </c>
      <c r="L230">
        <f t="shared" si="46"/>
        <v>0</v>
      </c>
      <c r="M230">
        <f t="shared" si="47"/>
        <v>1</v>
      </c>
      <c r="O230">
        <f t="shared" si="48"/>
        <v>0</v>
      </c>
      <c r="P230">
        <f t="shared" si="49"/>
        <v>0.30000000000000071</v>
      </c>
      <c r="R230">
        <f t="shared" si="50"/>
        <v>0.41499999999999915</v>
      </c>
      <c r="S230">
        <f t="shared" si="51"/>
        <v>0.51125000000000043</v>
      </c>
      <c r="U230">
        <f t="shared" si="52"/>
        <v>44.804318488528949</v>
      </c>
      <c r="AH230">
        <f t="shared" si="53"/>
        <v>10.404194197151222</v>
      </c>
      <c r="AI230">
        <f t="shared" si="54"/>
        <v>13.886466635667507</v>
      </c>
      <c r="AJ230">
        <f t="shared" si="55"/>
        <v>40.787533364332475</v>
      </c>
      <c r="AL230">
        <f t="shared" si="56"/>
        <v>48.145388394302429</v>
      </c>
      <c r="AM230">
        <f t="shared" si="57"/>
        <v>6.5286116056975452</v>
      </c>
    </row>
    <row r="231" spans="1:39" ht="16.5" x14ac:dyDescent="0.25">
      <c r="A231" s="1">
        <v>45369</v>
      </c>
      <c r="B231" s="5">
        <v>26.22</v>
      </c>
      <c r="C231" s="4">
        <v>26.06</v>
      </c>
      <c r="D231" s="4">
        <v>26.36</v>
      </c>
      <c r="E231" s="4">
        <v>26.05</v>
      </c>
      <c r="F231" s="4" t="s">
        <v>1693</v>
      </c>
      <c r="G231" s="2" t="s">
        <v>513</v>
      </c>
      <c r="I231">
        <f t="shared" si="44"/>
        <v>27.481499999999993</v>
      </c>
      <c r="J231">
        <f t="shared" si="45"/>
        <v>28.457750000000004</v>
      </c>
      <c r="L231">
        <f t="shared" si="46"/>
        <v>1</v>
      </c>
      <c r="M231">
        <f t="shared" si="47"/>
        <v>0</v>
      </c>
      <c r="O231">
        <f t="shared" si="48"/>
        <v>0.16000000000000014</v>
      </c>
      <c r="P231">
        <f t="shared" si="49"/>
        <v>0</v>
      </c>
      <c r="R231">
        <f t="shared" si="50"/>
        <v>0.41499999999999915</v>
      </c>
      <c r="S231">
        <f t="shared" si="51"/>
        <v>0.57250000000000068</v>
      </c>
      <c r="U231">
        <f t="shared" si="52"/>
        <v>42.025316455696128</v>
      </c>
      <c r="AH231">
        <f t="shared" si="53"/>
        <v>10.357961689058831</v>
      </c>
      <c r="AI231">
        <f t="shared" si="54"/>
        <v>14.030966635667511</v>
      </c>
      <c r="AJ231">
        <f t="shared" si="55"/>
        <v>40.932033364332476</v>
      </c>
      <c r="AL231">
        <f t="shared" si="56"/>
        <v>48.197423378117655</v>
      </c>
      <c r="AM231">
        <f t="shared" si="57"/>
        <v>6.7655766218823317</v>
      </c>
    </row>
    <row r="232" spans="1:39" ht="16.5" x14ac:dyDescent="0.25">
      <c r="A232" s="1">
        <v>45366</v>
      </c>
      <c r="B232" s="5">
        <v>26.24</v>
      </c>
      <c r="C232" s="4">
        <v>25.89</v>
      </c>
      <c r="D232" s="4">
        <v>26.33</v>
      </c>
      <c r="E232" s="4">
        <v>25.74</v>
      </c>
      <c r="F232" s="4" t="s">
        <v>1694</v>
      </c>
      <c r="G232" s="2" t="s">
        <v>1421</v>
      </c>
      <c r="I232">
        <f t="shared" si="44"/>
        <v>27.615499999999997</v>
      </c>
      <c r="J232">
        <f t="shared" si="45"/>
        <v>28.623500000000007</v>
      </c>
      <c r="L232">
        <f t="shared" si="46"/>
        <v>1</v>
      </c>
      <c r="M232">
        <f t="shared" si="47"/>
        <v>0</v>
      </c>
      <c r="O232">
        <f t="shared" si="48"/>
        <v>0.34999999999999787</v>
      </c>
      <c r="P232">
        <f t="shared" si="49"/>
        <v>0</v>
      </c>
      <c r="R232">
        <f t="shared" si="50"/>
        <v>0.49499999999999922</v>
      </c>
      <c r="S232">
        <f t="shared" si="51"/>
        <v>0.57250000000000068</v>
      </c>
      <c r="U232">
        <f t="shared" si="52"/>
        <v>46.370023419203676</v>
      </c>
      <c r="AH232">
        <f t="shared" si="53"/>
        <v>10.311716368648172</v>
      </c>
      <c r="AI232">
        <f t="shared" si="54"/>
        <v>14.164966635667515</v>
      </c>
      <c r="AJ232">
        <f t="shared" si="55"/>
        <v>41.066033364332483</v>
      </c>
      <c r="AL232">
        <f t="shared" si="56"/>
        <v>48.238932737296338</v>
      </c>
      <c r="AM232">
        <f t="shared" si="57"/>
        <v>6.9920672627036531</v>
      </c>
    </row>
    <row r="233" spans="1:39" ht="16.5" x14ac:dyDescent="0.25">
      <c r="A233" s="1">
        <v>45365</v>
      </c>
      <c r="B233" s="5">
        <v>26.02</v>
      </c>
      <c r="C233" s="4">
        <v>26.29</v>
      </c>
      <c r="D233" s="4">
        <v>26.46</v>
      </c>
      <c r="E233" s="4">
        <v>25.9</v>
      </c>
      <c r="F233" s="4" t="s">
        <v>989</v>
      </c>
      <c r="G233" s="2" t="s">
        <v>308</v>
      </c>
      <c r="I233">
        <f t="shared" si="44"/>
        <v>27.733999999999998</v>
      </c>
      <c r="J233">
        <f t="shared" si="45"/>
        <v>28.777250000000002</v>
      </c>
      <c r="L233">
        <f t="shared" si="46"/>
        <v>0</v>
      </c>
      <c r="M233">
        <f t="shared" si="47"/>
        <v>1</v>
      </c>
      <c r="O233">
        <f t="shared" si="48"/>
        <v>0</v>
      </c>
      <c r="P233">
        <f t="shared" si="49"/>
        <v>0.26999999999999957</v>
      </c>
      <c r="R233">
        <f t="shared" si="50"/>
        <v>0.52399999999999947</v>
      </c>
      <c r="S233">
        <f t="shared" si="51"/>
        <v>0.52777777777777857</v>
      </c>
      <c r="U233">
        <f t="shared" si="52"/>
        <v>49.820409888020222</v>
      </c>
      <c r="AH233">
        <f t="shared" si="53"/>
        <v>10.265390370064914</v>
      </c>
      <c r="AI233">
        <f t="shared" si="54"/>
        <v>14.283466635667516</v>
      </c>
      <c r="AJ233">
        <f t="shared" si="55"/>
        <v>41.184533364332481</v>
      </c>
      <c r="AL233">
        <f t="shared" si="56"/>
        <v>48.264780740129822</v>
      </c>
      <c r="AM233">
        <f t="shared" si="57"/>
        <v>7.2032192598701705</v>
      </c>
    </row>
    <row r="234" spans="1:39" ht="16.5" x14ac:dyDescent="0.25">
      <c r="A234" s="1">
        <v>45364</v>
      </c>
      <c r="B234" s="5">
        <v>26.36</v>
      </c>
      <c r="C234" s="4">
        <v>26.38</v>
      </c>
      <c r="D234" s="4">
        <v>26.58</v>
      </c>
      <c r="E234" s="4">
        <v>26.08</v>
      </c>
      <c r="F234" s="4" t="s">
        <v>1012</v>
      </c>
      <c r="G234" s="2" t="s">
        <v>354</v>
      </c>
      <c r="I234">
        <f t="shared" si="44"/>
        <v>27.835999999999991</v>
      </c>
      <c r="J234">
        <f t="shared" si="45"/>
        <v>28.939749999999997</v>
      </c>
      <c r="L234">
        <f t="shared" si="46"/>
        <v>0</v>
      </c>
      <c r="M234">
        <f t="shared" si="47"/>
        <v>1</v>
      </c>
      <c r="O234">
        <f t="shared" si="48"/>
        <v>0</v>
      </c>
      <c r="P234">
        <f t="shared" si="49"/>
        <v>1.9999999999999574E-2</v>
      </c>
      <c r="R234">
        <f t="shared" si="50"/>
        <v>0.52399999999999947</v>
      </c>
      <c r="S234">
        <f t="shared" si="51"/>
        <v>0.50666666666666726</v>
      </c>
      <c r="U234">
        <f t="shared" si="52"/>
        <v>50.840879689521294</v>
      </c>
      <c r="AH234">
        <f t="shared" si="53"/>
        <v>10.218881642461787</v>
      </c>
      <c r="AI234">
        <f t="shared" si="54"/>
        <v>14.385466635667509</v>
      </c>
      <c r="AJ234">
        <f t="shared" si="55"/>
        <v>41.28653336433247</v>
      </c>
      <c r="AL234">
        <f t="shared" si="56"/>
        <v>48.273763284923561</v>
      </c>
      <c r="AM234">
        <f t="shared" si="57"/>
        <v>7.3982367150764183</v>
      </c>
    </row>
    <row r="235" spans="1:39" ht="16.5" x14ac:dyDescent="0.25">
      <c r="A235" s="1">
        <v>45363</v>
      </c>
      <c r="B235" s="5">
        <v>26.49</v>
      </c>
      <c r="C235" s="4">
        <v>26.87</v>
      </c>
      <c r="D235" s="4">
        <v>26.98</v>
      </c>
      <c r="E235" s="4">
        <v>26.13</v>
      </c>
      <c r="F235" s="4" t="s">
        <v>904</v>
      </c>
      <c r="G235" s="2" t="s">
        <v>431</v>
      </c>
      <c r="I235">
        <f t="shared" si="44"/>
        <v>27.921499999999998</v>
      </c>
      <c r="J235">
        <f t="shared" si="45"/>
        <v>29.111000000000001</v>
      </c>
      <c r="L235">
        <f t="shared" si="46"/>
        <v>0</v>
      </c>
      <c r="M235">
        <f t="shared" si="47"/>
        <v>1</v>
      </c>
      <c r="O235">
        <f t="shared" si="48"/>
        <v>0</v>
      </c>
      <c r="P235">
        <f t="shared" si="49"/>
        <v>0.38000000000000256</v>
      </c>
      <c r="R235">
        <f t="shared" si="50"/>
        <v>0.52399999999999947</v>
      </c>
      <c r="S235">
        <f t="shared" si="51"/>
        <v>0.53555555555555634</v>
      </c>
      <c r="U235">
        <f t="shared" si="52"/>
        <v>49.454697986577116</v>
      </c>
      <c r="AH235">
        <f t="shared" si="53"/>
        <v>10.172078817428069</v>
      </c>
      <c r="AI235">
        <f t="shared" si="54"/>
        <v>14.470966635667516</v>
      </c>
      <c r="AJ235">
        <f t="shared" si="55"/>
        <v>41.372033364332481</v>
      </c>
      <c r="AL235">
        <f t="shared" si="56"/>
        <v>48.26565763485614</v>
      </c>
      <c r="AM235">
        <f t="shared" si="57"/>
        <v>7.5773423651438598</v>
      </c>
    </row>
    <row r="236" spans="1:39" ht="16.5" x14ac:dyDescent="0.25">
      <c r="A236" s="1">
        <v>45362</v>
      </c>
      <c r="B236" s="5">
        <v>26.82</v>
      </c>
      <c r="C236" s="4">
        <v>26.13</v>
      </c>
      <c r="D236" s="4">
        <v>26.82</v>
      </c>
      <c r="E236" s="4">
        <v>25.75</v>
      </c>
      <c r="F236" s="4" t="s">
        <v>1695</v>
      </c>
      <c r="G236" s="2" t="s">
        <v>1696</v>
      </c>
      <c r="I236">
        <f t="shared" si="44"/>
        <v>27.9925</v>
      </c>
      <c r="J236">
        <f t="shared" si="45"/>
        <v>29.287000000000006</v>
      </c>
      <c r="L236">
        <f t="shared" si="46"/>
        <v>1</v>
      </c>
      <c r="M236">
        <f t="shared" si="47"/>
        <v>0</v>
      </c>
      <c r="O236">
        <f t="shared" si="48"/>
        <v>0.69000000000000128</v>
      </c>
      <c r="P236">
        <f t="shared" si="49"/>
        <v>0</v>
      </c>
      <c r="R236">
        <f t="shared" si="50"/>
        <v>0.47333333333333272</v>
      </c>
      <c r="S236">
        <f t="shared" si="51"/>
        <v>0.5550000000000006</v>
      </c>
      <c r="U236">
        <f t="shared" si="52"/>
        <v>46.029173419773038</v>
      </c>
      <c r="AH236">
        <f t="shared" si="53"/>
        <v>10.124867191099783</v>
      </c>
      <c r="AI236">
        <f t="shared" si="54"/>
        <v>14.541966635667517</v>
      </c>
      <c r="AJ236">
        <f t="shared" si="55"/>
        <v>41.443033364332479</v>
      </c>
      <c r="AL236">
        <f t="shared" si="56"/>
        <v>48.24223438219957</v>
      </c>
      <c r="AM236">
        <f t="shared" si="57"/>
        <v>7.7427656178004334</v>
      </c>
    </row>
    <row r="237" spans="1:39" ht="16.5" x14ac:dyDescent="0.25">
      <c r="A237" s="1">
        <v>45359</v>
      </c>
      <c r="B237" s="5">
        <v>26.27</v>
      </c>
      <c r="C237" s="4">
        <v>26.4</v>
      </c>
      <c r="D237" s="4">
        <v>26.9</v>
      </c>
      <c r="E237" s="4">
        <v>25.93</v>
      </c>
      <c r="F237" s="4" t="s">
        <v>820</v>
      </c>
      <c r="G237" s="2" t="s">
        <v>354</v>
      </c>
      <c r="I237">
        <f t="shared" si="44"/>
        <v>28.068000000000001</v>
      </c>
      <c r="J237">
        <f t="shared" si="45"/>
        <v>29.455249999999999</v>
      </c>
      <c r="L237">
        <f t="shared" si="46"/>
        <v>0</v>
      </c>
      <c r="M237">
        <f t="shared" si="47"/>
        <v>1</v>
      </c>
      <c r="O237">
        <f t="shared" si="48"/>
        <v>0</v>
      </c>
      <c r="P237">
        <f t="shared" si="49"/>
        <v>0.12999999999999901</v>
      </c>
      <c r="R237">
        <f t="shared" si="50"/>
        <v>0.41333333333333283</v>
      </c>
      <c r="S237">
        <f t="shared" si="51"/>
        <v>0.5550000000000006</v>
      </c>
      <c r="U237">
        <f t="shared" si="52"/>
        <v>42.685025817555882</v>
      </c>
      <c r="AH237">
        <f t="shared" si="53"/>
        <v>10.077141587678005</v>
      </c>
      <c r="AI237">
        <f t="shared" si="54"/>
        <v>14.617466635667519</v>
      </c>
      <c r="AJ237">
        <f t="shared" si="55"/>
        <v>41.518533364332484</v>
      </c>
      <c r="AL237">
        <f t="shared" si="56"/>
        <v>48.222283175356011</v>
      </c>
      <c r="AM237">
        <f t="shared" si="57"/>
        <v>7.9137168246439913</v>
      </c>
    </row>
    <row r="238" spans="1:39" ht="16.5" x14ac:dyDescent="0.25">
      <c r="A238" s="1">
        <v>45358</v>
      </c>
      <c r="B238" s="5">
        <v>26.41</v>
      </c>
      <c r="C238" s="4">
        <v>26</v>
      </c>
      <c r="D238" s="4">
        <v>26.42</v>
      </c>
      <c r="E238" s="4">
        <v>24.96</v>
      </c>
      <c r="F238" s="4" t="s">
        <v>1697</v>
      </c>
      <c r="G238" s="2" t="s">
        <v>253</v>
      </c>
      <c r="I238">
        <f t="shared" si="44"/>
        <v>28.1435</v>
      </c>
      <c r="J238">
        <f t="shared" si="45"/>
        <v>29.65475</v>
      </c>
      <c r="L238">
        <f t="shared" si="46"/>
        <v>1</v>
      </c>
      <c r="M238">
        <f t="shared" si="47"/>
        <v>0</v>
      </c>
      <c r="O238">
        <f t="shared" si="48"/>
        <v>0.41000000000000014</v>
      </c>
      <c r="P238">
        <f t="shared" si="49"/>
        <v>0</v>
      </c>
      <c r="R238">
        <f t="shared" si="50"/>
        <v>0.40142857142857075</v>
      </c>
      <c r="S238">
        <f t="shared" si="51"/>
        <v>0.61571428571428655</v>
      </c>
      <c r="U238">
        <f t="shared" si="52"/>
        <v>39.466292134831392</v>
      </c>
      <c r="AH238">
        <f t="shared" si="53"/>
        <v>10.028920375251563</v>
      </c>
      <c r="AI238">
        <f t="shared" si="54"/>
        <v>14.692966635667517</v>
      </c>
      <c r="AJ238">
        <f t="shared" si="55"/>
        <v>41.594033364332482</v>
      </c>
      <c r="AL238">
        <f t="shared" si="56"/>
        <v>48.201340750503121</v>
      </c>
      <c r="AM238">
        <f t="shared" si="57"/>
        <v>8.0856592494968744</v>
      </c>
    </row>
    <row r="239" spans="1:39" ht="16.5" x14ac:dyDescent="0.25">
      <c r="A239" s="1">
        <v>45357</v>
      </c>
      <c r="B239" s="5">
        <v>26.65</v>
      </c>
      <c r="C239" s="4">
        <v>25.91</v>
      </c>
      <c r="D239" s="4">
        <v>26.91</v>
      </c>
      <c r="E239" s="4">
        <v>25.63</v>
      </c>
      <c r="F239" s="4" t="s">
        <v>1698</v>
      </c>
      <c r="G239" s="2" t="s">
        <v>115</v>
      </c>
      <c r="I239">
        <f t="shared" si="44"/>
        <v>28.210500000000003</v>
      </c>
      <c r="J239">
        <f t="shared" si="45"/>
        <v>29.839250000000003</v>
      </c>
      <c r="L239">
        <f t="shared" si="46"/>
        <v>1</v>
      </c>
      <c r="M239">
        <f t="shared" si="47"/>
        <v>0</v>
      </c>
      <c r="O239">
        <f t="shared" si="48"/>
        <v>0.73999999999999844</v>
      </c>
      <c r="P239">
        <f t="shared" si="49"/>
        <v>0</v>
      </c>
      <c r="R239">
        <f t="shared" si="50"/>
        <v>0.38428571428571345</v>
      </c>
      <c r="S239">
        <f t="shared" si="51"/>
        <v>0.61571428571428655</v>
      </c>
      <c r="U239">
        <f t="shared" si="52"/>
        <v>38.428571428571345</v>
      </c>
      <c r="AH239">
        <f t="shared" si="53"/>
        <v>9.9801922472384632</v>
      </c>
      <c r="AI239">
        <f t="shared" si="54"/>
        <v>14.759966635667521</v>
      </c>
      <c r="AJ239">
        <f t="shared" si="55"/>
        <v>41.661033364332482</v>
      </c>
      <c r="AL239">
        <f t="shared" si="56"/>
        <v>48.17088449447693</v>
      </c>
      <c r="AM239">
        <f t="shared" si="57"/>
        <v>8.2501155055230768</v>
      </c>
    </row>
    <row r="240" spans="1:39" ht="16.5" x14ac:dyDescent="0.25">
      <c r="A240" s="1">
        <v>45356</v>
      </c>
      <c r="B240" s="5">
        <v>25.95</v>
      </c>
      <c r="C240" s="4">
        <v>28.32</v>
      </c>
      <c r="D240" s="4">
        <v>28.33</v>
      </c>
      <c r="E240" s="4">
        <v>25.84</v>
      </c>
      <c r="F240" s="4" t="s">
        <v>1699</v>
      </c>
      <c r="G240" s="2" t="s">
        <v>1700</v>
      </c>
      <c r="I240">
        <f t="shared" si="44"/>
        <v>28.312999999999999</v>
      </c>
      <c r="J240">
        <f t="shared" si="45"/>
        <v>30.042000000000002</v>
      </c>
      <c r="L240">
        <f t="shared" si="46"/>
        <v>0</v>
      </c>
      <c r="M240">
        <f t="shared" si="47"/>
        <v>1</v>
      </c>
      <c r="O240">
        <f t="shared" si="48"/>
        <v>0</v>
      </c>
      <c r="P240">
        <f t="shared" si="49"/>
        <v>2.370000000000001</v>
      </c>
      <c r="R240">
        <f t="shared" si="50"/>
        <v>0.30571428571428477</v>
      </c>
      <c r="S240">
        <f t="shared" si="51"/>
        <v>0.61571428571428655</v>
      </c>
      <c r="U240">
        <f t="shared" si="52"/>
        <v>33.178294573643313</v>
      </c>
      <c r="AH240">
        <f t="shared" si="53"/>
        <v>9.9308877104202846</v>
      </c>
      <c r="AI240">
        <f t="shared" si="54"/>
        <v>14.862466635667516</v>
      </c>
      <c r="AJ240">
        <f t="shared" si="55"/>
        <v>41.763533364332481</v>
      </c>
      <c r="AL240">
        <f t="shared" si="56"/>
        <v>48.174775420840568</v>
      </c>
      <c r="AM240">
        <f t="shared" si="57"/>
        <v>8.4512245791594296</v>
      </c>
    </row>
    <row r="241" spans="1:39" ht="16.5" x14ac:dyDescent="0.25">
      <c r="A241" s="1">
        <v>45355</v>
      </c>
      <c r="B241" s="5">
        <v>28.08</v>
      </c>
      <c r="C241" s="4">
        <v>28.55</v>
      </c>
      <c r="D241" s="4">
        <v>28.64</v>
      </c>
      <c r="E241" s="4">
        <v>28</v>
      </c>
      <c r="F241" s="4" t="s">
        <v>1601</v>
      </c>
      <c r="G241" s="2" t="s">
        <v>535</v>
      </c>
      <c r="I241">
        <f t="shared" si="44"/>
        <v>28.4755</v>
      </c>
      <c r="J241">
        <f t="shared" si="45"/>
        <v>30.283249999999999</v>
      </c>
      <c r="L241">
        <f t="shared" si="46"/>
        <v>0</v>
      </c>
      <c r="M241">
        <f t="shared" si="47"/>
        <v>1</v>
      </c>
      <c r="O241">
        <f t="shared" si="48"/>
        <v>0</v>
      </c>
      <c r="P241">
        <f t="shared" si="49"/>
        <v>0.47000000000000242</v>
      </c>
      <c r="R241">
        <f t="shared" si="50"/>
        <v>0.30124999999999913</v>
      </c>
      <c r="S241">
        <f t="shared" si="51"/>
        <v>0.32333333333333414</v>
      </c>
      <c r="U241">
        <f t="shared" si="52"/>
        <v>48.232154769846431</v>
      </c>
      <c r="AH241">
        <f t="shared" si="53"/>
        <v>9.8812364262464438</v>
      </c>
      <c r="AI241">
        <f t="shared" si="54"/>
        <v>15.024966635667518</v>
      </c>
      <c r="AJ241">
        <f t="shared" si="55"/>
        <v>41.926033364332483</v>
      </c>
      <c r="AL241">
        <f t="shared" si="56"/>
        <v>48.237972852492888</v>
      </c>
      <c r="AM241">
        <f t="shared" si="57"/>
        <v>8.7130271475071126</v>
      </c>
    </row>
    <row r="242" spans="1:39" ht="16.5" x14ac:dyDescent="0.25">
      <c r="A242" s="1">
        <v>45352</v>
      </c>
      <c r="B242" s="5">
        <v>28.33</v>
      </c>
      <c r="C242" s="4">
        <v>28.19</v>
      </c>
      <c r="D242" s="4">
        <v>28.92</v>
      </c>
      <c r="E242" s="4">
        <v>27.4</v>
      </c>
      <c r="F242" s="4" t="s">
        <v>1701</v>
      </c>
      <c r="G242" s="2" t="s">
        <v>333</v>
      </c>
      <c r="I242">
        <f t="shared" si="44"/>
        <v>28.501000000000005</v>
      </c>
      <c r="J242">
        <f t="shared" si="45"/>
        <v>30.462250000000001</v>
      </c>
      <c r="L242">
        <f t="shared" si="46"/>
        <v>1</v>
      </c>
      <c r="M242">
        <f t="shared" si="47"/>
        <v>0</v>
      </c>
      <c r="O242">
        <f t="shared" si="48"/>
        <v>0.13999999999999702</v>
      </c>
      <c r="P242">
        <f t="shared" si="49"/>
        <v>0</v>
      </c>
      <c r="R242">
        <f t="shared" si="50"/>
        <v>0.30124999999999913</v>
      </c>
      <c r="S242">
        <f t="shared" si="51"/>
        <v>0.34333333333333371</v>
      </c>
      <c r="U242">
        <f t="shared" si="52"/>
        <v>46.735617323852516</v>
      </c>
      <c r="AH242">
        <f t="shared" si="53"/>
        <v>9.8316439825801112</v>
      </c>
      <c r="AI242">
        <f t="shared" si="54"/>
        <v>15.050466635667522</v>
      </c>
      <c r="AJ242">
        <f t="shared" si="55"/>
        <v>41.951533364332491</v>
      </c>
      <c r="AL242">
        <f t="shared" si="56"/>
        <v>48.164287965160227</v>
      </c>
      <c r="AM242">
        <f t="shared" si="57"/>
        <v>8.8377120348397824</v>
      </c>
    </row>
    <row r="243" spans="1:39" ht="16.5" x14ac:dyDescent="0.25">
      <c r="A243" s="1">
        <v>45351</v>
      </c>
      <c r="B243" s="5">
        <v>28.09</v>
      </c>
      <c r="C243" s="4">
        <v>28.24</v>
      </c>
      <c r="D243" s="4">
        <v>28.57</v>
      </c>
      <c r="E243" s="4">
        <v>27.99</v>
      </c>
      <c r="F243" s="4" t="s">
        <v>1702</v>
      </c>
      <c r="G243" s="2" t="s">
        <v>1589</v>
      </c>
      <c r="I243">
        <f t="shared" si="44"/>
        <v>28.519000000000005</v>
      </c>
      <c r="J243">
        <f t="shared" si="45"/>
        <v>30.634499999999996</v>
      </c>
      <c r="L243">
        <f t="shared" si="46"/>
        <v>0</v>
      </c>
      <c r="M243">
        <f t="shared" si="47"/>
        <v>1</v>
      </c>
      <c r="O243">
        <f t="shared" si="48"/>
        <v>0</v>
      </c>
      <c r="P243">
        <f t="shared" si="49"/>
        <v>0.14999999999999858</v>
      </c>
      <c r="R243">
        <f t="shared" si="50"/>
        <v>0.34749999999999925</v>
      </c>
      <c r="S243">
        <f t="shared" si="51"/>
        <v>0.34333333333333371</v>
      </c>
      <c r="U243">
        <f t="shared" si="52"/>
        <v>50.301568154402815</v>
      </c>
      <c r="AH243">
        <f t="shared" si="53"/>
        <v>9.7811634170904114</v>
      </c>
      <c r="AI243">
        <f t="shared" si="54"/>
        <v>15.068466635667523</v>
      </c>
      <c r="AJ243">
        <f t="shared" si="55"/>
        <v>41.969533364332491</v>
      </c>
      <c r="AL243">
        <f t="shared" si="56"/>
        <v>48.081326834180828</v>
      </c>
      <c r="AM243">
        <f t="shared" si="57"/>
        <v>8.9566731658191827</v>
      </c>
    </row>
    <row r="244" spans="1:39" ht="16.5" x14ac:dyDescent="0.25">
      <c r="A244" s="1">
        <v>45350</v>
      </c>
      <c r="B244" s="5">
        <v>28.56</v>
      </c>
      <c r="C244" s="4">
        <v>29.35</v>
      </c>
      <c r="D244" s="4">
        <v>29.35</v>
      </c>
      <c r="E244" s="4">
        <v>28.47</v>
      </c>
      <c r="F244" s="4" t="s">
        <v>1496</v>
      </c>
      <c r="G244" s="2" t="s">
        <v>1703</v>
      </c>
      <c r="I244">
        <f t="shared" si="44"/>
        <v>28.528000000000002</v>
      </c>
      <c r="J244">
        <f t="shared" si="45"/>
        <v>30.81325</v>
      </c>
      <c r="L244">
        <f t="shared" si="46"/>
        <v>0</v>
      </c>
      <c r="M244">
        <f t="shared" si="47"/>
        <v>1</v>
      </c>
      <c r="O244">
        <f t="shared" si="48"/>
        <v>0</v>
      </c>
      <c r="P244">
        <f t="shared" si="49"/>
        <v>0.7900000000000027</v>
      </c>
      <c r="R244">
        <f t="shared" si="50"/>
        <v>0.34749999999999925</v>
      </c>
      <c r="S244">
        <f t="shared" si="51"/>
        <v>0.32333333333333353</v>
      </c>
      <c r="U244">
        <f t="shared" si="52"/>
        <v>51.801242236024777</v>
      </c>
      <c r="AH244">
        <f t="shared" si="53"/>
        <v>9.7297182427055855</v>
      </c>
      <c r="AI244">
        <f t="shared" si="54"/>
        <v>15.07746663566752</v>
      </c>
      <c r="AJ244">
        <f t="shared" si="55"/>
        <v>41.978533364332485</v>
      </c>
      <c r="AL244">
        <f t="shared" si="56"/>
        <v>47.987436485411173</v>
      </c>
      <c r="AM244">
        <f t="shared" si="57"/>
        <v>9.0685635145888313</v>
      </c>
    </row>
    <row r="245" spans="1:39" ht="16.5" x14ac:dyDescent="0.25">
      <c r="A245" s="1">
        <v>45349</v>
      </c>
      <c r="B245" s="5">
        <v>29.14</v>
      </c>
      <c r="C245" s="4">
        <v>28.5</v>
      </c>
      <c r="D245" s="4">
        <v>29.34</v>
      </c>
      <c r="E245" s="4">
        <v>28.43</v>
      </c>
      <c r="F245" s="4" t="s">
        <v>1629</v>
      </c>
      <c r="G245" s="2" t="s">
        <v>1195</v>
      </c>
      <c r="I245">
        <f t="shared" si="44"/>
        <v>28.544999999999995</v>
      </c>
      <c r="J245">
        <f t="shared" si="45"/>
        <v>30.959249999999997</v>
      </c>
      <c r="L245">
        <f t="shared" si="46"/>
        <v>1</v>
      </c>
      <c r="M245">
        <f t="shared" si="47"/>
        <v>0</v>
      </c>
      <c r="O245">
        <f t="shared" si="48"/>
        <v>0.64000000000000057</v>
      </c>
      <c r="P245">
        <f t="shared" si="49"/>
        <v>0</v>
      </c>
      <c r="R245">
        <f t="shared" si="50"/>
        <v>0.34749999999999925</v>
      </c>
      <c r="S245">
        <f t="shared" si="51"/>
        <v>0.32333333333333297</v>
      </c>
      <c r="U245">
        <f t="shared" si="52"/>
        <v>51.801242236024819</v>
      </c>
      <c r="AH245">
        <f t="shared" si="53"/>
        <v>9.6772178846447847</v>
      </c>
      <c r="AI245">
        <f t="shared" si="54"/>
        <v>15.094466635667512</v>
      </c>
      <c r="AJ245">
        <f t="shared" si="55"/>
        <v>41.995533364332474</v>
      </c>
      <c r="AL245">
        <f t="shared" si="56"/>
        <v>47.899435769289568</v>
      </c>
      <c r="AM245">
        <f t="shared" si="57"/>
        <v>9.1905642307104252</v>
      </c>
    </row>
    <row r="246" spans="1:39" ht="16.5" x14ac:dyDescent="0.25">
      <c r="A246" s="1">
        <v>45348</v>
      </c>
      <c r="B246" s="5">
        <v>28.58</v>
      </c>
      <c r="C246" s="4">
        <v>28.75</v>
      </c>
      <c r="D246" s="4">
        <v>28.95</v>
      </c>
      <c r="E246" s="4">
        <v>28.5</v>
      </c>
      <c r="F246" s="4" t="s">
        <v>1384</v>
      </c>
      <c r="G246" s="2" t="s">
        <v>792</v>
      </c>
      <c r="I246">
        <f t="shared" si="44"/>
        <v>28.591999999999995</v>
      </c>
      <c r="J246">
        <f t="shared" si="45"/>
        <v>31.088999999999992</v>
      </c>
      <c r="L246">
        <f t="shared" si="46"/>
        <v>0</v>
      </c>
      <c r="M246">
        <f t="shared" si="47"/>
        <v>1</v>
      </c>
      <c r="O246">
        <f t="shared" si="48"/>
        <v>0</v>
      </c>
      <c r="P246">
        <f t="shared" si="49"/>
        <v>0.17000000000000171</v>
      </c>
      <c r="R246">
        <f t="shared" si="50"/>
        <v>0.30571428571428477</v>
      </c>
      <c r="S246">
        <f t="shared" si="51"/>
        <v>0.36428571428571388</v>
      </c>
      <c r="U246">
        <f t="shared" si="52"/>
        <v>45.62899786780379</v>
      </c>
      <c r="AH246">
        <f t="shared" si="53"/>
        <v>9.6236899062523769</v>
      </c>
      <c r="AI246">
        <f t="shared" si="54"/>
        <v>15.141466635667513</v>
      </c>
      <c r="AJ246">
        <f t="shared" si="55"/>
        <v>42.042533364332478</v>
      </c>
      <c r="AL246">
        <f t="shared" si="56"/>
        <v>47.839379812504745</v>
      </c>
      <c r="AM246">
        <f t="shared" si="57"/>
        <v>9.3446201874952415</v>
      </c>
    </row>
    <row r="247" spans="1:39" ht="16.5" x14ac:dyDescent="0.25">
      <c r="A247" s="1">
        <v>45345</v>
      </c>
      <c r="B247" s="5">
        <v>28.82</v>
      </c>
      <c r="C247" s="4">
        <v>28.9</v>
      </c>
      <c r="D247" s="4">
        <v>29.07</v>
      </c>
      <c r="E247" s="4">
        <v>28.33</v>
      </c>
      <c r="F247" s="4" t="s">
        <v>1656</v>
      </c>
      <c r="G247" s="2" t="s">
        <v>592</v>
      </c>
      <c r="I247">
        <f t="shared" si="44"/>
        <v>28.700499999999998</v>
      </c>
      <c r="J247">
        <f t="shared" si="45"/>
        <v>31.215249999999997</v>
      </c>
      <c r="L247">
        <f t="shared" si="46"/>
        <v>0</v>
      </c>
      <c r="M247">
        <f t="shared" si="47"/>
        <v>1</v>
      </c>
      <c r="O247">
        <f t="shared" si="48"/>
        <v>0</v>
      </c>
      <c r="P247">
        <f t="shared" si="49"/>
        <v>7.9999999999998295E-2</v>
      </c>
      <c r="R247">
        <f t="shared" si="50"/>
        <v>0.39249999999999918</v>
      </c>
      <c r="S247">
        <f t="shared" si="51"/>
        <v>0.39666666666666589</v>
      </c>
      <c r="U247">
        <f t="shared" si="52"/>
        <v>49.736008447729674</v>
      </c>
      <c r="AH247">
        <f t="shared" si="53"/>
        <v>9.5693234095148423</v>
      </c>
      <c r="AI247">
        <f t="shared" si="54"/>
        <v>15.249966635667516</v>
      </c>
      <c r="AJ247">
        <f t="shared" si="55"/>
        <v>42.151033364332477</v>
      </c>
      <c r="AL247">
        <f t="shared" si="56"/>
        <v>47.839146819029679</v>
      </c>
      <c r="AM247">
        <f t="shared" si="57"/>
        <v>9.5618531809703136</v>
      </c>
    </row>
    <row r="248" spans="1:39" ht="16.5" x14ac:dyDescent="0.25">
      <c r="A248" s="1">
        <v>45344</v>
      </c>
      <c r="B248" s="5">
        <v>28.91</v>
      </c>
      <c r="C248" s="4">
        <v>29.19</v>
      </c>
      <c r="D248" s="4">
        <v>29.25</v>
      </c>
      <c r="E248" s="4">
        <v>28.82</v>
      </c>
      <c r="F248" s="4" t="s">
        <v>1704</v>
      </c>
      <c r="G248" s="2" t="s">
        <v>241</v>
      </c>
      <c r="I248">
        <f t="shared" si="44"/>
        <v>28.875</v>
      </c>
      <c r="J248">
        <f t="shared" si="45"/>
        <v>31.332000000000001</v>
      </c>
      <c r="L248">
        <f t="shared" si="46"/>
        <v>0</v>
      </c>
      <c r="M248">
        <f t="shared" si="47"/>
        <v>1</v>
      </c>
      <c r="O248">
        <f t="shared" si="48"/>
        <v>0</v>
      </c>
      <c r="P248">
        <f t="shared" si="49"/>
        <v>0.28000000000000114</v>
      </c>
      <c r="R248">
        <f t="shared" si="50"/>
        <v>0.39249999999999918</v>
      </c>
      <c r="S248">
        <f t="shared" si="51"/>
        <v>0.40666666666666629</v>
      </c>
      <c r="U248">
        <f t="shared" si="52"/>
        <v>49.113660062565145</v>
      </c>
      <c r="AH248">
        <f t="shared" si="53"/>
        <v>9.5145468136707585</v>
      </c>
      <c r="AI248">
        <f t="shared" si="54"/>
        <v>15.424466635667518</v>
      </c>
      <c r="AJ248">
        <f t="shared" si="55"/>
        <v>42.325533364332486</v>
      </c>
      <c r="AL248">
        <f t="shared" si="56"/>
        <v>47.904093627341517</v>
      </c>
      <c r="AM248">
        <f t="shared" si="57"/>
        <v>9.845906372658483</v>
      </c>
    </row>
    <row r="249" spans="1:39" ht="16.5" x14ac:dyDescent="0.25">
      <c r="A249" s="1">
        <v>45343</v>
      </c>
      <c r="B249" s="5">
        <v>28.93</v>
      </c>
      <c r="C249" s="4">
        <v>28.71</v>
      </c>
      <c r="D249" s="4">
        <v>29.09</v>
      </c>
      <c r="E249" s="4">
        <v>28.37</v>
      </c>
      <c r="F249" s="4" t="s">
        <v>1382</v>
      </c>
      <c r="G249" s="2" t="s">
        <v>38</v>
      </c>
      <c r="I249">
        <f t="shared" si="44"/>
        <v>29.060999999999996</v>
      </c>
      <c r="J249">
        <f t="shared" si="45"/>
        <v>31.445999999999998</v>
      </c>
      <c r="L249">
        <f t="shared" si="46"/>
        <v>1</v>
      </c>
      <c r="M249">
        <f t="shared" si="47"/>
        <v>0</v>
      </c>
      <c r="O249">
        <f t="shared" si="48"/>
        <v>0.21999999999999886</v>
      </c>
      <c r="P249">
        <f t="shared" si="49"/>
        <v>0</v>
      </c>
      <c r="R249">
        <f t="shared" si="50"/>
        <v>0.39333333333333287</v>
      </c>
      <c r="S249">
        <f t="shared" si="51"/>
        <v>0.43199999999999933</v>
      </c>
      <c r="U249">
        <f t="shared" si="52"/>
        <v>47.657512116316646</v>
      </c>
      <c r="AH249">
        <f t="shared" si="53"/>
        <v>9.4598366168229955</v>
      </c>
      <c r="AI249">
        <f t="shared" si="54"/>
        <v>15.610466635667514</v>
      </c>
      <c r="AJ249">
        <f t="shared" si="55"/>
        <v>42.511533364332479</v>
      </c>
      <c r="AL249">
        <f t="shared" si="56"/>
        <v>47.980673233645987</v>
      </c>
      <c r="AM249">
        <f t="shared" si="57"/>
        <v>10.141326766354005</v>
      </c>
    </row>
    <row r="250" spans="1:39" ht="16.5" x14ac:dyDescent="0.25">
      <c r="A250" s="1">
        <v>45342</v>
      </c>
      <c r="B250" s="5">
        <v>28.76</v>
      </c>
      <c r="C250" s="4">
        <v>28.43</v>
      </c>
      <c r="D250" s="4">
        <v>29.27</v>
      </c>
      <c r="E250" s="4">
        <v>28.25</v>
      </c>
      <c r="F250" s="4" t="s">
        <v>1360</v>
      </c>
      <c r="G250" s="2" t="s">
        <v>370</v>
      </c>
      <c r="I250">
        <f t="shared" si="44"/>
        <v>29.245999999999992</v>
      </c>
      <c r="J250">
        <f t="shared" si="45"/>
        <v>31.540499999999998</v>
      </c>
      <c r="L250">
        <f t="shared" si="46"/>
        <v>1</v>
      </c>
      <c r="M250">
        <f t="shared" si="47"/>
        <v>0</v>
      </c>
      <c r="O250">
        <f t="shared" si="48"/>
        <v>0.33000000000000185</v>
      </c>
      <c r="P250">
        <f t="shared" si="49"/>
        <v>0</v>
      </c>
      <c r="R250">
        <f t="shared" si="50"/>
        <v>0.41499999999999959</v>
      </c>
      <c r="S250">
        <f t="shared" si="51"/>
        <v>0.44833333333333297</v>
      </c>
      <c r="U250">
        <f t="shared" si="52"/>
        <v>48.06949806949806</v>
      </c>
      <c r="AH250">
        <f t="shared" si="53"/>
        <v>9.4052796933392457</v>
      </c>
      <c r="AI250">
        <f t="shared" si="54"/>
        <v>15.795466635667509</v>
      </c>
      <c r="AJ250">
        <f t="shared" si="55"/>
        <v>42.696533364332474</v>
      </c>
      <c r="AL250">
        <f t="shared" si="56"/>
        <v>48.056559386678487</v>
      </c>
      <c r="AM250">
        <f t="shared" si="57"/>
        <v>10.4354406133215</v>
      </c>
    </row>
    <row r="251" spans="1:39" ht="16.5" x14ac:dyDescent="0.25">
      <c r="A251" s="1">
        <v>45341</v>
      </c>
      <c r="B251" s="5">
        <v>28.9</v>
      </c>
      <c r="C251" s="4">
        <v>28.57</v>
      </c>
      <c r="D251" s="4">
        <v>28.91</v>
      </c>
      <c r="E251" s="4">
        <v>28.35</v>
      </c>
      <c r="F251" s="4" t="s">
        <v>982</v>
      </c>
      <c r="G251" s="2" t="s">
        <v>524</v>
      </c>
      <c r="I251">
        <f t="shared" si="44"/>
        <v>29.433999999999997</v>
      </c>
      <c r="J251">
        <f t="shared" si="45"/>
        <v>31.637</v>
      </c>
      <c r="L251">
        <f t="shared" si="46"/>
        <v>1</v>
      </c>
      <c r="M251">
        <f t="shared" si="47"/>
        <v>0</v>
      </c>
      <c r="O251">
        <f t="shared" si="48"/>
        <v>0.32999999999999829</v>
      </c>
      <c r="P251">
        <f t="shared" si="49"/>
        <v>0</v>
      </c>
      <c r="R251">
        <f t="shared" si="50"/>
        <v>0.42714285714285644</v>
      </c>
      <c r="S251">
        <f t="shared" si="51"/>
        <v>0.54999999999999971</v>
      </c>
      <c r="U251">
        <f t="shared" si="52"/>
        <v>43.713450292397638</v>
      </c>
      <c r="AH251">
        <f t="shared" si="53"/>
        <v>9.3508724366322085</v>
      </c>
      <c r="AI251">
        <f t="shared" si="54"/>
        <v>15.983466635667515</v>
      </c>
      <c r="AJ251">
        <f t="shared" si="55"/>
        <v>42.884533364332484</v>
      </c>
      <c r="AL251">
        <f t="shared" si="56"/>
        <v>48.135744873264414</v>
      </c>
      <c r="AM251">
        <f t="shared" si="57"/>
        <v>10.732255126735581</v>
      </c>
    </row>
    <row r="252" spans="1:39" ht="16.5" x14ac:dyDescent="0.25">
      <c r="A252" s="1">
        <v>45338</v>
      </c>
      <c r="B252" s="5">
        <v>28.61</v>
      </c>
      <c r="C252" s="4">
        <v>28.32</v>
      </c>
      <c r="D252" s="4">
        <v>28.96</v>
      </c>
      <c r="E252" s="4">
        <v>28.08</v>
      </c>
      <c r="F252" s="4" t="s">
        <v>880</v>
      </c>
      <c r="G252" s="2" t="s">
        <v>1705</v>
      </c>
      <c r="I252">
        <f t="shared" si="44"/>
        <v>29.631499999999999</v>
      </c>
      <c r="J252">
        <f t="shared" si="45"/>
        <v>31.728499999999997</v>
      </c>
      <c r="L252">
        <f t="shared" si="46"/>
        <v>1</v>
      </c>
      <c r="M252">
        <f t="shared" si="47"/>
        <v>0</v>
      </c>
      <c r="O252">
        <f t="shared" si="48"/>
        <v>0.28999999999999915</v>
      </c>
      <c r="P252">
        <f t="shared" si="49"/>
        <v>0</v>
      </c>
      <c r="R252">
        <f t="shared" si="50"/>
        <v>0.44333333333333275</v>
      </c>
      <c r="S252">
        <f t="shared" si="51"/>
        <v>0.58374999999999977</v>
      </c>
      <c r="U252">
        <f t="shared" si="52"/>
        <v>43.164300202839733</v>
      </c>
      <c r="AH252">
        <f t="shared" si="53"/>
        <v>9.2966408598416841</v>
      </c>
      <c r="AI252">
        <f t="shared" si="54"/>
        <v>16.180966635667517</v>
      </c>
      <c r="AJ252">
        <f t="shared" si="55"/>
        <v>43.082033364332482</v>
      </c>
      <c r="AL252">
        <f t="shared" si="56"/>
        <v>48.224781719683364</v>
      </c>
      <c r="AM252">
        <f t="shared" si="57"/>
        <v>11.038218280316631</v>
      </c>
    </row>
    <row r="253" spans="1:39" ht="16.5" x14ac:dyDescent="0.25">
      <c r="A253" s="1">
        <v>45337</v>
      </c>
      <c r="B253" s="5">
        <v>28.06</v>
      </c>
      <c r="C253" s="4">
        <v>27.87</v>
      </c>
      <c r="D253" s="4">
        <v>28.21</v>
      </c>
      <c r="E253" s="4">
        <v>27.79</v>
      </c>
      <c r="F253" s="4" t="s">
        <v>971</v>
      </c>
      <c r="G253" s="2" t="s">
        <v>226</v>
      </c>
      <c r="I253">
        <f t="shared" si="44"/>
        <v>29.820499999999999</v>
      </c>
      <c r="J253">
        <f t="shared" si="45"/>
        <v>31.818000000000001</v>
      </c>
      <c r="L253">
        <f t="shared" si="46"/>
        <v>1</v>
      </c>
      <c r="M253">
        <f t="shared" si="47"/>
        <v>0</v>
      </c>
      <c r="O253">
        <f t="shared" si="48"/>
        <v>0.18999999999999773</v>
      </c>
      <c r="P253">
        <f t="shared" si="49"/>
        <v>0</v>
      </c>
      <c r="R253">
        <f t="shared" si="50"/>
        <v>0.47399999999999948</v>
      </c>
      <c r="S253">
        <f t="shared" si="51"/>
        <v>0.55999999999999994</v>
      </c>
      <c r="U253">
        <f t="shared" si="52"/>
        <v>45.841392649903263</v>
      </c>
      <c r="AH253">
        <f t="shared" si="53"/>
        <v>9.2426599685066151</v>
      </c>
      <c r="AI253">
        <f t="shared" si="54"/>
        <v>16.369966635667517</v>
      </c>
      <c r="AJ253">
        <f t="shared" si="55"/>
        <v>43.271033364332482</v>
      </c>
      <c r="AL253">
        <f t="shared" si="56"/>
        <v>48.305819937013226</v>
      </c>
      <c r="AM253">
        <f t="shared" si="57"/>
        <v>11.335180062986769</v>
      </c>
    </row>
    <row r="254" spans="1:39" ht="16.5" x14ac:dyDescent="0.25">
      <c r="A254" s="1">
        <v>45336</v>
      </c>
      <c r="B254" s="5">
        <v>28.07</v>
      </c>
      <c r="C254" s="4">
        <v>27.8</v>
      </c>
      <c r="D254" s="4">
        <v>28.07</v>
      </c>
      <c r="E254" s="4">
        <v>27.43</v>
      </c>
      <c r="F254" s="4" t="s">
        <v>400</v>
      </c>
      <c r="G254" s="2" t="s">
        <v>38</v>
      </c>
      <c r="I254">
        <f t="shared" si="44"/>
        <v>30.043499999999995</v>
      </c>
      <c r="J254">
        <f t="shared" si="45"/>
        <v>31.919249999999995</v>
      </c>
      <c r="L254">
        <f t="shared" si="46"/>
        <v>1</v>
      </c>
      <c r="M254">
        <f t="shared" si="47"/>
        <v>0</v>
      </c>
      <c r="O254">
        <f t="shared" si="48"/>
        <v>0.26999999999999957</v>
      </c>
      <c r="P254">
        <f t="shared" si="49"/>
        <v>0</v>
      </c>
      <c r="R254">
        <f t="shared" si="50"/>
        <v>0.47199999999999986</v>
      </c>
      <c r="S254">
        <f t="shared" si="51"/>
        <v>0.55999999999999994</v>
      </c>
      <c r="U254">
        <f t="shared" si="52"/>
        <v>45.736434108527128</v>
      </c>
      <c r="AH254">
        <f t="shared" si="53"/>
        <v>9.188871990255981</v>
      </c>
      <c r="AI254">
        <f t="shared" si="54"/>
        <v>16.592966635667512</v>
      </c>
      <c r="AJ254">
        <f t="shared" si="55"/>
        <v>43.494033364332481</v>
      </c>
      <c r="AL254">
        <f t="shared" si="56"/>
        <v>48.42124398051196</v>
      </c>
      <c r="AM254">
        <f t="shared" si="57"/>
        <v>11.665756019488033</v>
      </c>
    </row>
    <row r="255" spans="1:39" ht="16.5" x14ac:dyDescent="0.25">
      <c r="A255" s="1">
        <v>45335</v>
      </c>
      <c r="B255" s="5">
        <v>27.91</v>
      </c>
      <c r="C255" s="4">
        <v>28.5</v>
      </c>
      <c r="D255" s="4">
        <v>28.66</v>
      </c>
      <c r="E255" s="4">
        <v>27.77</v>
      </c>
      <c r="F255" s="4" t="s">
        <v>989</v>
      </c>
      <c r="G255" s="2" t="s">
        <v>394</v>
      </c>
      <c r="I255">
        <f t="shared" si="44"/>
        <v>30.3005</v>
      </c>
      <c r="J255">
        <f t="shared" si="45"/>
        <v>32.019999999999996</v>
      </c>
      <c r="L255">
        <f t="shared" si="46"/>
        <v>0</v>
      </c>
      <c r="M255">
        <f t="shared" si="47"/>
        <v>1</v>
      </c>
      <c r="O255">
        <f t="shared" si="48"/>
        <v>0</v>
      </c>
      <c r="P255">
        <f t="shared" si="49"/>
        <v>0.58999999999999986</v>
      </c>
      <c r="R255">
        <f t="shared" si="50"/>
        <v>0.42800000000000082</v>
      </c>
      <c r="S255">
        <f t="shared" si="51"/>
        <v>0.55999999999999994</v>
      </c>
      <c r="U255">
        <f t="shared" si="52"/>
        <v>43.319838056680211</v>
      </c>
      <c r="AH255">
        <f t="shared" si="53"/>
        <v>9.1355360069574463</v>
      </c>
      <c r="AI255">
        <f t="shared" si="54"/>
        <v>16.849966635667517</v>
      </c>
      <c r="AJ255">
        <f t="shared" si="55"/>
        <v>43.751033364332486</v>
      </c>
      <c r="AL255">
        <f t="shared" si="56"/>
        <v>48.571572013914889</v>
      </c>
      <c r="AM255">
        <f t="shared" si="57"/>
        <v>12.029427986085107</v>
      </c>
    </row>
    <row r="256" spans="1:39" ht="16.5" x14ac:dyDescent="0.25">
      <c r="A256" s="1">
        <v>45334</v>
      </c>
      <c r="B256" s="5">
        <v>28.33</v>
      </c>
      <c r="C256" s="4">
        <v>27.82</v>
      </c>
      <c r="D256" s="4">
        <v>28.5</v>
      </c>
      <c r="E256" s="4">
        <v>27.7</v>
      </c>
      <c r="F256" s="4" t="s">
        <v>1500</v>
      </c>
      <c r="G256" s="2" t="s">
        <v>752</v>
      </c>
      <c r="I256">
        <f t="shared" si="44"/>
        <v>30.581499999999998</v>
      </c>
      <c r="J256">
        <f t="shared" si="45"/>
        <v>32.119749999999996</v>
      </c>
      <c r="L256">
        <f t="shared" si="46"/>
        <v>1</v>
      </c>
      <c r="M256">
        <f t="shared" si="47"/>
        <v>0</v>
      </c>
      <c r="O256">
        <f t="shared" si="48"/>
        <v>0.50999999999999801</v>
      </c>
      <c r="P256">
        <f t="shared" si="49"/>
        <v>0</v>
      </c>
      <c r="R256">
        <f t="shared" si="50"/>
        <v>0.37833333333333447</v>
      </c>
      <c r="S256">
        <f t="shared" si="51"/>
        <v>0.55624999999999991</v>
      </c>
      <c r="U256">
        <f t="shared" si="52"/>
        <v>40.481497993758438</v>
      </c>
      <c r="AH256">
        <f t="shared" si="53"/>
        <v>9.082915437458329</v>
      </c>
      <c r="AI256">
        <f t="shared" si="54"/>
        <v>17.130966635667516</v>
      </c>
      <c r="AJ256">
        <f t="shared" si="55"/>
        <v>44.032033364332477</v>
      </c>
      <c r="AL256">
        <f t="shared" si="56"/>
        <v>48.747330874916656</v>
      </c>
      <c r="AM256">
        <f t="shared" si="57"/>
        <v>12.41566912508334</v>
      </c>
    </row>
    <row r="257" spans="1:39" ht="16.5" x14ac:dyDescent="0.25">
      <c r="A257" s="1">
        <v>45331</v>
      </c>
      <c r="B257" s="5">
        <v>27.78</v>
      </c>
      <c r="C257" s="4">
        <v>27.81</v>
      </c>
      <c r="D257" s="4">
        <v>28.05</v>
      </c>
      <c r="E257" s="4">
        <v>27.4</v>
      </c>
      <c r="F257" s="4" t="s">
        <v>1706</v>
      </c>
      <c r="G257" s="2" t="s">
        <v>438</v>
      </c>
      <c r="I257">
        <f t="shared" si="44"/>
        <v>30.842500000000001</v>
      </c>
      <c r="J257">
        <f t="shared" si="45"/>
        <v>32.187999999999995</v>
      </c>
      <c r="L257">
        <f t="shared" si="46"/>
        <v>0</v>
      </c>
      <c r="M257">
        <f t="shared" si="47"/>
        <v>1</v>
      </c>
      <c r="O257">
        <f t="shared" si="48"/>
        <v>0</v>
      </c>
      <c r="P257">
        <f t="shared" si="49"/>
        <v>2.9999999999997584E-2</v>
      </c>
      <c r="R257">
        <f t="shared" si="50"/>
        <v>0.35200000000000176</v>
      </c>
      <c r="S257">
        <f t="shared" si="51"/>
        <v>0.55111111111111077</v>
      </c>
      <c r="U257">
        <f t="shared" si="52"/>
        <v>38.976377952756039</v>
      </c>
      <c r="AH257">
        <f t="shared" si="53"/>
        <v>9.0312019712808738</v>
      </c>
      <c r="AI257">
        <f t="shared" si="54"/>
        <v>17.391966635667519</v>
      </c>
      <c r="AJ257">
        <f t="shared" si="55"/>
        <v>44.293033364332487</v>
      </c>
      <c r="AL257">
        <f t="shared" si="56"/>
        <v>48.904903942561745</v>
      </c>
      <c r="AM257">
        <f t="shared" si="57"/>
        <v>12.780096057438254</v>
      </c>
    </row>
    <row r="258" spans="1:39" ht="16.5" x14ac:dyDescent="0.25">
      <c r="A258" s="1">
        <v>45330</v>
      </c>
      <c r="B258" s="5">
        <v>27.75</v>
      </c>
      <c r="C258" s="4">
        <v>28.54</v>
      </c>
      <c r="D258" s="4">
        <v>28.74</v>
      </c>
      <c r="E258" s="4">
        <v>27.7</v>
      </c>
      <c r="F258" s="4" t="s">
        <v>1707</v>
      </c>
      <c r="G258" s="2" t="s">
        <v>1708</v>
      </c>
      <c r="I258">
        <f t="shared" ref="I258:I321" si="58">AVERAGE(B258:B277)</f>
        <v>31.165999999999997</v>
      </c>
      <c r="J258">
        <f t="shared" ref="J258:J321" si="59">AVERAGE(B258:B297)</f>
        <v>32.276999999999994</v>
      </c>
      <c r="L258">
        <f t="shared" ref="L258:L321" si="60">IF($C258&lt;$B258,1,0)</f>
        <v>0</v>
      </c>
      <c r="M258">
        <f t="shared" ref="M258:M321" si="61">IF($C258&lt;$B258,0,1)</f>
        <v>1</v>
      </c>
      <c r="O258">
        <f t="shared" ref="O258:O321" si="62">IF($C258&lt;$B258,B258-C258,0)</f>
        <v>0</v>
      </c>
      <c r="P258">
        <f t="shared" ref="P258:P321" si="63">IF($B258&lt;$C258,C258-B258,0)</f>
        <v>0.78999999999999915</v>
      </c>
      <c r="R258">
        <f t="shared" ref="R258:R321" si="64">SUM(O258:O271)/SUM(L258:L271)</f>
        <v>0.35000000000000203</v>
      </c>
      <c r="S258">
        <f t="shared" ref="S258:S321" si="65">SUM(P258:P271)/SUM(M258:M271)</f>
        <v>0.61624999999999996</v>
      </c>
      <c r="U258">
        <f t="shared" ref="U258:U321" si="66">100-(100/(1+(R258/S258)))</f>
        <v>36.222509702458098</v>
      </c>
      <c r="AH258">
        <f t="shared" si="53"/>
        <v>8.980261159304435</v>
      </c>
      <c r="AI258">
        <f t="shared" si="54"/>
        <v>17.715466635667514</v>
      </c>
      <c r="AJ258">
        <f t="shared" si="55"/>
        <v>44.616533364332483</v>
      </c>
      <c r="AL258">
        <f t="shared" si="56"/>
        <v>49.126522318608863</v>
      </c>
      <c r="AM258">
        <f t="shared" si="57"/>
        <v>13.205477681391127</v>
      </c>
    </row>
    <row r="259" spans="1:39" ht="16.5" x14ac:dyDescent="0.25">
      <c r="A259" s="1">
        <v>45329</v>
      </c>
      <c r="B259" s="5">
        <v>28.7</v>
      </c>
      <c r="C259" s="4">
        <v>29.31</v>
      </c>
      <c r="D259" s="4">
        <v>29.34</v>
      </c>
      <c r="E259" s="4">
        <v>28.64</v>
      </c>
      <c r="F259" s="4" t="s">
        <v>945</v>
      </c>
      <c r="G259" s="2" t="s">
        <v>1569</v>
      </c>
      <c r="I259">
        <f t="shared" si="58"/>
        <v>31.467999999999996</v>
      </c>
      <c r="J259">
        <f t="shared" si="59"/>
        <v>32.370499999999993</v>
      </c>
      <c r="L259">
        <f t="shared" si="60"/>
        <v>0</v>
      </c>
      <c r="M259">
        <f t="shared" si="61"/>
        <v>1</v>
      </c>
      <c r="O259">
        <f t="shared" si="62"/>
        <v>0</v>
      </c>
      <c r="P259">
        <f t="shared" si="63"/>
        <v>0.60999999999999943</v>
      </c>
      <c r="R259">
        <f t="shared" si="64"/>
        <v>0.35000000000000203</v>
      </c>
      <c r="S259">
        <f t="shared" si="65"/>
        <v>0.54124999999999979</v>
      </c>
      <c r="U259">
        <f t="shared" si="66"/>
        <v>39.270687237026792</v>
      </c>
      <c r="AH259">
        <f t="shared" ref="AH259:AH322" si="67">_xlfn.STDEV.S(I259:I789)</f>
        <v>8.9305698943634688</v>
      </c>
      <c r="AI259">
        <f t="shared" ref="AI259:AI322" si="68">I259-$AH$2</f>
        <v>18.017466635667514</v>
      </c>
      <c r="AJ259">
        <f t="shared" ref="AJ259:AJ322" si="69">I259+$AH$2</f>
        <v>44.918533364332475</v>
      </c>
      <c r="AL259">
        <f t="shared" ref="AL259:AL322" si="70">I259+(AH259*2)</f>
        <v>49.329139788726934</v>
      </c>
      <c r="AM259">
        <f t="shared" ref="AM259:AM322" si="71">I259-(AH259*2)</f>
        <v>13.606860211273059</v>
      </c>
    </row>
    <row r="260" spans="1:39" ht="16.5" x14ac:dyDescent="0.25">
      <c r="A260" s="1">
        <v>45328</v>
      </c>
      <c r="B260" s="5">
        <v>29.2</v>
      </c>
      <c r="C260" s="4">
        <v>28.2</v>
      </c>
      <c r="D260" s="4">
        <v>29.34</v>
      </c>
      <c r="E260" s="4">
        <v>27.7</v>
      </c>
      <c r="F260" s="4" t="s">
        <v>1619</v>
      </c>
      <c r="G260" s="2" t="s">
        <v>1083</v>
      </c>
      <c r="I260">
        <f t="shared" si="58"/>
        <v>31.770999999999994</v>
      </c>
      <c r="J260">
        <f t="shared" si="59"/>
        <v>32.450499999999998</v>
      </c>
      <c r="L260">
        <f t="shared" si="60"/>
        <v>1</v>
      </c>
      <c r="M260">
        <f t="shared" si="61"/>
        <v>0</v>
      </c>
      <c r="O260">
        <f t="shared" si="62"/>
        <v>1</v>
      </c>
      <c r="P260">
        <f t="shared" si="63"/>
        <v>0</v>
      </c>
      <c r="R260">
        <f t="shared" si="64"/>
        <v>0.35000000000000203</v>
      </c>
      <c r="S260">
        <f t="shared" si="65"/>
        <v>0.53249999999999975</v>
      </c>
      <c r="U260">
        <f t="shared" si="66"/>
        <v>39.660056657223947</v>
      </c>
      <c r="AH260">
        <f t="shared" si="67"/>
        <v>8.8819853746050406</v>
      </c>
      <c r="AI260">
        <f t="shared" si="68"/>
        <v>18.320466635667511</v>
      </c>
      <c r="AJ260">
        <f t="shared" si="69"/>
        <v>45.221533364332473</v>
      </c>
      <c r="AL260">
        <f t="shared" si="70"/>
        <v>49.534970749210075</v>
      </c>
      <c r="AM260">
        <f t="shared" si="71"/>
        <v>14.007029250789913</v>
      </c>
    </row>
    <row r="261" spans="1:39" ht="16.5" x14ac:dyDescent="0.25">
      <c r="A261" s="1">
        <v>45327</v>
      </c>
      <c r="B261" s="5">
        <v>28.59</v>
      </c>
      <c r="C261" s="4">
        <v>28.73</v>
      </c>
      <c r="D261" s="4">
        <v>29.3</v>
      </c>
      <c r="E261" s="4">
        <v>28.56</v>
      </c>
      <c r="F261" s="4" t="s">
        <v>904</v>
      </c>
      <c r="G261" s="2" t="s">
        <v>258</v>
      </c>
      <c r="I261">
        <f t="shared" si="58"/>
        <v>32.090999999999994</v>
      </c>
      <c r="J261">
        <f t="shared" si="59"/>
        <v>32.516249999999999</v>
      </c>
      <c r="L261">
        <f t="shared" si="60"/>
        <v>0</v>
      </c>
      <c r="M261">
        <f t="shared" si="61"/>
        <v>1</v>
      </c>
      <c r="O261">
        <f t="shared" si="62"/>
        <v>0</v>
      </c>
      <c r="P261">
        <f t="shared" si="63"/>
        <v>0.14000000000000057</v>
      </c>
      <c r="R261">
        <f t="shared" si="64"/>
        <v>0.21666666666666914</v>
      </c>
      <c r="S261">
        <f t="shared" si="65"/>
        <v>0.53249999999999975</v>
      </c>
      <c r="U261">
        <f t="shared" si="66"/>
        <v>28.921023359288341</v>
      </c>
      <c r="AH261">
        <f t="shared" si="67"/>
        <v>8.8345298245847577</v>
      </c>
      <c r="AI261">
        <f t="shared" si="68"/>
        <v>18.640466635667511</v>
      </c>
      <c r="AJ261">
        <f t="shared" si="69"/>
        <v>45.54153336433248</v>
      </c>
      <c r="AL261">
        <f t="shared" si="70"/>
        <v>49.760059649169506</v>
      </c>
      <c r="AM261">
        <f t="shared" si="71"/>
        <v>14.421940350830479</v>
      </c>
    </row>
    <row r="262" spans="1:39" ht="16.5" x14ac:dyDescent="0.25">
      <c r="A262" s="1">
        <v>45324</v>
      </c>
      <c r="B262" s="5">
        <v>28.69</v>
      </c>
      <c r="C262" s="4">
        <v>28.29</v>
      </c>
      <c r="D262" s="4">
        <v>29.02</v>
      </c>
      <c r="E262" s="4">
        <v>28.26</v>
      </c>
      <c r="F262" s="4" t="s">
        <v>1594</v>
      </c>
      <c r="G262" s="2" t="s">
        <v>748</v>
      </c>
      <c r="I262">
        <f t="shared" si="58"/>
        <v>32.423500000000004</v>
      </c>
      <c r="J262">
        <f t="shared" si="59"/>
        <v>32.611249999999998</v>
      </c>
      <c r="L262">
        <f t="shared" si="60"/>
        <v>1</v>
      </c>
      <c r="M262">
        <f t="shared" si="61"/>
        <v>0</v>
      </c>
      <c r="O262">
        <f t="shared" si="62"/>
        <v>0.40000000000000213</v>
      </c>
      <c r="P262">
        <f t="shared" si="63"/>
        <v>0</v>
      </c>
      <c r="R262">
        <f t="shared" si="64"/>
        <v>0.19428571428571675</v>
      </c>
      <c r="S262">
        <f t="shared" si="65"/>
        <v>0.58857142857142819</v>
      </c>
      <c r="U262">
        <f t="shared" si="66"/>
        <v>24.817518248175432</v>
      </c>
      <c r="AH262">
        <f t="shared" si="67"/>
        <v>8.7883420727510249</v>
      </c>
      <c r="AI262">
        <f t="shared" si="68"/>
        <v>18.972966635667522</v>
      </c>
      <c r="AJ262">
        <f t="shared" si="69"/>
        <v>45.87403336433249</v>
      </c>
      <c r="AL262">
        <f t="shared" si="70"/>
        <v>50.000184145502054</v>
      </c>
      <c r="AM262">
        <f t="shared" si="71"/>
        <v>14.846815854497954</v>
      </c>
    </row>
    <row r="263" spans="1:39" ht="16.5" x14ac:dyDescent="0.25">
      <c r="A263" s="1">
        <v>45323</v>
      </c>
      <c r="B263" s="5">
        <v>28.27</v>
      </c>
      <c r="C263" s="4">
        <v>28.8</v>
      </c>
      <c r="D263" s="4">
        <v>28.97</v>
      </c>
      <c r="E263" s="4">
        <v>28.24</v>
      </c>
      <c r="F263" s="4" t="s">
        <v>1292</v>
      </c>
      <c r="G263" s="2" t="s">
        <v>1622</v>
      </c>
      <c r="I263">
        <f t="shared" si="58"/>
        <v>32.75</v>
      </c>
      <c r="J263">
        <f t="shared" si="59"/>
        <v>32.686500000000009</v>
      </c>
      <c r="L263">
        <f t="shared" si="60"/>
        <v>0</v>
      </c>
      <c r="M263">
        <f t="shared" si="61"/>
        <v>1</v>
      </c>
      <c r="O263">
        <f t="shared" si="62"/>
        <v>0</v>
      </c>
      <c r="P263">
        <f t="shared" si="63"/>
        <v>0.53000000000000114</v>
      </c>
      <c r="R263">
        <f t="shared" si="64"/>
        <v>0.1600000000000025</v>
      </c>
      <c r="S263">
        <f t="shared" si="65"/>
        <v>0.625</v>
      </c>
      <c r="U263">
        <f t="shared" si="66"/>
        <v>20.382165605095793</v>
      </c>
      <c r="AH263">
        <f t="shared" si="67"/>
        <v>8.7435272609142629</v>
      </c>
      <c r="AI263">
        <f t="shared" si="68"/>
        <v>19.299466635667518</v>
      </c>
      <c r="AJ263">
        <f t="shared" si="69"/>
        <v>46.200533364332486</v>
      </c>
      <c r="AL263">
        <f t="shared" si="70"/>
        <v>50.237054521828526</v>
      </c>
      <c r="AM263">
        <f t="shared" si="71"/>
        <v>15.262945478171474</v>
      </c>
    </row>
    <row r="264" spans="1:39" ht="16.5" x14ac:dyDescent="0.25">
      <c r="A264" s="1">
        <v>45322</v>
      </c>
      <c r="B264" s="5">
        <v>28.9</v>
      </c>
      <c r="C264" s="4">
        <v>30.06</v>
      </c>
      <c r="D264" s="4">
        <v>30.31</v>
      </c>
      <c r="E264" s="4">
        <v>28.86</v>
      </c>
      <c r="F264" s="4" t="s">
        <v>1044</v>
      </c>
      <c r="G264" s="2" t="s">
        <v>1709</v>
      </c>
      <c r="I264">
        <f t="shared" si="58"/>
        <v>33.098500000000001</v>
      </c>
      <c r="J264">
        <f t="shared" si="59"/>
        <v>32.750500000000002</v>
      </c>
      <c r="L264">
        <f t="shared" si="60"/>
        <v>0</v>
      </c>
      <c r="M264">
        <f t="shared" si="61"/>
        <v>1</v>
      </c>
      <c r="O264">
        <f t="shared" si="62"/>
        <v>0</v>
      </c>
      <c r="P264">
        <f t="shared" si="63"/>
        <v>1.1600000000000001</v>
      </c>
      <c r="R264">
        <f t="shared" si="64"/>
        <v>0.18428571428571619</v>
      </c>
      <c r="S264">
        <f t="shared" si="65"/>
        <v>0.63857142857142846</v>
      </c>
      <c r="U264">
        <f t="shared" si="66"/>
        <v>22.395833333333513</v>
      </c>
      <c r="AH264">
        <f t="shared" si="67"/>
        <v>8.7000559724775748</v>
      </c>
      <c r="AI264">
        <f t="shared" si="68"/>
        <v>19.647966635667519</v>
      </c>
      <c r="AJ264">
        <f t="shared" si="69"/>
        <v>46.549033364332487</v>
      </c>
      <c r="AL264">
        <f t="shared" si="70"/>
        <v>50.498611944955151</v>
      </c>
      <c r="AM264">
        <f t="shared" si="71"/>
        <v>15.698388055044852</v>
      </c>
    </row>
    <row r="265" spans="1:39" ht="16.5" x14ac:dyDescent="0.25">
      <c r="A265" s="1">
        <v>45321</v>
      </c>
      <c r="B265" s="5">
        <v>30.08</v>
      </c>
      <c r="C265" s="4">
        <v>30.9</v>
      </c>
      <c r="D265" s="4">
        <v>31.24</v>
      </c>
      <c r="E265" s="4">
        <v>30.08</v>
      </c>
      <c r="F265" s="4" t="s">
        <v>823</v>
      </c>
      <c r="G265" s="2" t="s">
        <v>1622</v>
      </c>
      <c r="I265">
        <f t="shared" si="58"/>
        <v>33.3735</v>
      </c>
      <c r="J265">
        <f t="shared" si="59"/>
        <v>32.805750000000003</v>
      </c>
      <c r="L265">
        <f t="shared" si="60"/>
        <v>0</v>
      </c>
      <c r="M265">
        <f t="shared" si="61"/>
        <v>1</v>
      </c>
      <c r="O265">
        <f t="shared" si="62"/>
        <v>0</v>
      </c>
      <c r="P265">
        <f t="shared" si="63"/>
        <v>0.82000000000000028</v>
      </c>
      <c r="R265">
        <f t="shared" si="64"/>
        <v>0.18428571428571619</v>
      </c>
      <c r="S265">
        <f t="shared" si="65"/>
        <v>0.65285714285714236</v>
      </c>
      <c r="U265">
        <f t="shared" si="66"/>
        <v>22.013651877133299</v>
      </c>
      <c r="AH265">
        <f t="shared" si="67"/>
        <v>8.6580986078138498</v>
      </c>
      <c r="AI265">
        <f t="shared" si="68"/>
        <v>19.922966635667517</v>
      </c>
      <c r="AJ265">
        <f t="shared" si="69"/>
        <v>46.824033364332479</v>
      </c>
      <c r="AL265">
        <f t="shared" si="70"/>
        <v>50.689697215627703</v>
      </c>
      <c r="AM265">
        <f t="shared" si="71"/>
        <v>16.0573027843723</v>
      </c>
    </row>
    <row r="266" spans="1:39" ht="16.5" x14ac:dyDescent="0.25">
      <c r="A266" s="1">
        <v>45320</v>
      </c>
      <c r="B266" s="5">
        <v>30.75</v>
      </c>
      <c r="C266" s="4">
        <v>31.12</v>
      </c>
      <c r="D266" s="4">
        <v>31.39</v>
      </c>
      <c r="E266" s="4">
        <v>30.31</v>
      </c>
      <c r="F266" s="4" t="s">
        <v>1345</v>
      </c>
      <c r="G266" s="2" t="s">
        <v>1710</v>
      </c>
      <c r="I266">
        <f t="shared" si="58"/>
        <v>33.585999999999999</v>
      </c>
      <c r="J266">
        <f t="shared" si="59"/>
        <v>32.83775</v>
      </c>
      <c r="L266">
        <f t="shared" si="60"/>
        <v>0</v>
      </c>
      <c r="M266">
        <f t="shared" si="61"/>
        <v>1</v>
      </c>
      <c r="O266">
        <f t="shared" si="62"/>
        <v>0</v>
      </c>
      <c r="P266">
        <f t="shared" si="63"/>
        <v>0.37000000000000099</v>
      </c>
      <c r="R266">
        <f t="shared" si="64"/>
        <v>0.18428571428571619</v>
      </c>
      <c r="S266">
        <f t="shared" si="65"/>
        <v>0.56285714285714306</v>
      </c>
      <c r="U266">
        <f t="shared" si="66"/>
        <v>24.665391969407452</v>
      </c>
      <c r="AH266">
        <f t="shared" si="67"/>
        <v>8.61714573744697</v>
      </c>
      <c r="AI266">
        <f t="shared" si="68"/>
        <v>20.135466635667516</v>
      </c>
      <c r="AJ266">
        <f t="shared" si="69"/>
        <v>47.036533364332485</v>
      </c>
      <c r="AL266">
        <f t="shared" si="70"/>
        <v>50.820291474893935</v>
      </c>
      <c r="AM266">
        <f t="shared" si="71"/>
        <v>16.351708525106059</v>
      </c>
    </row>
    <row r="267" spans="1:39" ht="16.5" x14ac:dyDescent="0.25">
      <c r="A267" s="1">
        <v>45317</v>
      </c>
      <c r="B267" s="5">
        <v>32.31</v>
      </c>
      <c r="C267" s="4">
        <v>32.130000000000003</v>
      </c>
      <c r="D267" s="4">
        <v>32.4</v>
      </c>
      <c r="E267" s="4">
        <v>31.69</v>
      </c>
      <c r="F267" s="4" t="s">
        <v>1711</v>
      </c>
      <c r="G267" s="2" t="s">
        <v>721</v>
      </c>
      <c r="I267">
        <f t="shared" si="58"/>
        <v>33.730000000000004</v>
      </c>
      <c r="J267">
        <f t="shared" si="59"/>
        <v>32.835750000000004</v>
      </c>
      <c r="L267">
        <f t="shared" si="60"/>
        <v>1</v>
      </c>
      <c r="M267">
        <f t="shared" si="61"/>
        <v>0</v>
      </c>
      <c r="O267">
        <f t="shared" si="62"/>
        <v>0.17999999999999972</v>
      </c>
      <c r="P267">
        <f t="shared" si="63"/>
        <v>0</v>
      </c>
      <c r="R267">
        <f t="shared" si="64"/>
        <v>0.21125000000000149</v>
      </c>
      <c r="S267">
        <f t="shared" si="65"/>
        <v>0.59500000000000008</v>
      </c>
      <c r="U267">
        <f t="shared" si="66"/>
        <v>26.201550387597038</v>
      </c>
      <c r="AH267">
        <f t="shared" si="67"/>
        <v>8.576766470964003</v>
      </c>
      <c r="AI267">
        <f t="shared" si="68"/>
        <v>20.279466635667522</v>
      </c>
      <c r="AJ267">
        <f t="shared" si="69"/>
        <v>47.18053336433249</v>
      </c>
      <c r="AL267">
        <f t="shared" si="70"/>
        <v>50.88353294192801</v>
      </c>
      <c r="AM267">
        <f t="shared" si="71"/>
        <v>16.576467058071998</v>
      </c>
    </row>
    <row r="268" spans="1:39" ht="16.5" x14ac:dyDescent="0.25">
      <c r="A268" s="1">
        <v>45316</v>
      </c>
      <c r="B268" s="5">
        <v>32.630000000000003</v>
      </c>
      <c r="C268" s="4">
        <v>32.58</v>
      </c>
      <c r="D268" s="4">
        <v>32.83</v>
      </c>
      <c r="E268" s="4">
        <v>32.4</v>
      </c>
      <c r="F268" s="4" t="s">
        <v>726</v>
      </c>
      <c r="G268" s="2" t="s">
        <v>365</v>
      </c>
      <c r="I268">
        <f t="shared" si="58"/>
        <v>33.789000000000001</v>
      </c>
      <c r="J268">
        <f t="shared" si="59"/>
        <v>32.792000000000002</v>
      </c>
      <c r="L268">
        <f t="shared" si="60"/>
        <v>1</v>
      </c>
      <c r="M268">
        <f t="shared" si="61"/>
        <v>0</v>
      </c>
      <c r="O268">
        <f t="shared" si="62"/>
        <v>5.0000000000004263E-2</v>
      </c>
      <c r="P268">
        <f t="shared" si="63"/>
        <v>0</v>
      </c>
      <c r="R268">
        <f t="shared" si="64"/>
        <v>0.21571428571428747</v>
      </c>
      <c r="S268">
        <f t="shared" si="65"/>
        <v>0.60428571428571387</v>
      </c>
      <c r="U268">
        <f t="shared" si="66"/>
        <v>26.306620209059403</v>
      </c>
      <c r="AH268">
        <f t="shared" si="67"/>
        <v>8.5364829765631427</v>
      </c>
      <c r="AI268">
        <f t="shared" si="68"/>
        <v>20.338466635667519</v>
      </c>
      <c r="AJ268">
        <f t="shared" si="69"/>
        <v>47.239533364332488</v>
      </c>
      <c r="AL268">
        <f t="shared" si="70"/>
        <v>50.861965953126287</v>
      </c>
      <c r="AM268">
        <f t="shared" si="71"/>
        <v>16.716034046873716</v>
      </c>
    </row>
    <row r="269" spans="1:39" ht="16.5" x14ac:dyDescent="0.25">
      <c r="A269" s="1">
        <v>45315</v>
      </c>
      <c r="B269" s="5">
        <v>32.630000000000003</v>
      </c>
      <c r="C269" s="4">
        <v>32.5</v>
      </c>
      <c r="D269" s="4">
        <v>32.86</v>
      </c>
      <c r="E269" s="4">
        <v>32.5</v>
      </c>
      <c r="F269" s="4" t="s">
        <v>1379</v>
      </c>
      <c r="G269" s="2" t="s">
        <v>245</v>
      </c>
      <c r="I269">
        <f t="shared" si="58"/>
        <v>33.831000000000003</v>
      </c>
      <c r="J269">
        <f t="shared" si="59"/>
        <v>32.767750000000007</v>
      </c>
      <c r="L269">
        <f t="shared" si="60"/>
        <v>1</v>
      </c>
      <c r="M269">
        <f t="shared" si="61"/>
        <v>0</v>
      </c>
      <c r="O269">
        <f t="shared" si="62"/>
        <v>0.13000000000000256</v>
      </c>
      <c r="P269">
        <f t="shared" si="63"/>
        <v>0</v>
      </c>
      <c r="R269">
        <f t="shared" si="64"/>
        <v>0.22428571428571534</v>
      </c>
      <c r="S269">
        <f t="shared" si="65"/>
        <v>0.60428571428571387</v>
      </c>
      <c r="U269">
        <f t="shared" si="66"/>
        <v>27.06896551724148</v>
      </c>
      <c r="AH269">
        <f t="shared" si="67"/>
        <v>8.4956881959406143</v>
      </c>
      <c r="AI269">
        <f t="shared" si="68"/>
        <v>20.380466635667521</v>
      </c>
      <c r="AJ269">
        <f t="shared" si="69"/>
        <v>47.281533364332489</v>
      </c>
      <c r="AL269">
        <f t="shared" si="70"/>
        <v>50.822376391881235</v>
      </c>
      <c r="AM269">
        <f t="shared" si="71"/>
        <v>16.839623608118774</v>
      </c>
    </row>
    <row r="270" spans="1:39" ht="16.5" x14ac:dyDescent="0.25">
      <c r="A270" s="1">
        <v>45314</v>
      </c>
      <c r="B270" s="5">
        <v>32.520000000000003</v>
      </c>
      <c r="C270" s="4">
        <v>33.03</v>
      </c>
      <c r="D270" s="4">
        <v>33.08</v>
      </c>
      <c r="E270" s="4">
        <v>32.44</v>
      </c>
      <c r="F270" s="4" t="s">
        <v>1487</v>
      </c>
      <c r="G270" s="2" t="s">
        <v>272</v>
      </c>
      <c r="I270">
        <f t="shared" si="58"/>
        <v>33.835000000000008</v>
      </c>
      <c r="J270">
        <f t="shared" si="59"/>
        <v>32.768250000000009</v>
      </c>
      <c r="L270">
        <f t="shared" si="60"/>
        <v>0</v>
      </c>
      <c r="M270">
        <f t="shared" si="61"/>
        <v>1</v>
      </c>
      <c r="O270">
        <f t="shared" si="62"/>
        <v>0</v>
      </c>
      <c r="P270">
        <f t="shared" si="63"/>
        <v>0.50999999999999801</v>
      </c>
      <c r="R270">
        <f t="shared" si="64"/>
        <v>0.31000000000000127</v>
      </c>
      <c r="S270">
        <f t="shared" si="65"/>
        <v>0.60428571428571387</v>
      </c>
      <c r="U270">
        <f t="shared" si="66"/>
        <v>33.906250000000114</v>
      </c>
      <c r="AH270">
        <f t="shared" si="67"/>
        <v>8.4542459994732209</v>
      </c>
      <c r="AI270">
        <f t="shared" si="68"/>
        <v>20.384466635667525</v>
      </c>
      <c r="AJ270">
        <f t="shared" si="69"/>
        <v>47.285533364332494</v>
      </c>
      <c r="AL270">
        <f t="shared" si="70"/>
        <v>50.743491998946453</v>
      </c>
      <c r="AM270">
        <f t="shared" si="71"/>
        <v>16.926508001053566</v>
      </c>
    </row>
    <row r="271" spans="1:39" ht="16.5" x14ac:dyDescent="0.25">
      <c r="A271" s="1">
        <v>45313</v>
      </c>
      <c r="B271" s="5">
        <v>32.85</v>
      </c>
      <c r="C271" s="4">
        <v>32.51</v>
      </c>
      <c r="D271" s="4">
        <v>33.130000000000003</v>
      </c>
      <c r="E271" s="4">
        <v>32.51</v>
      </c>
      <c r="F271" s="4" t="s">
        <v>1712</v>
      </c>
      <c r="G271" s="2" t="s">
        <v>433</v>
      </c>
      <c r="I271">
        <f t="shared" si="58"/>
        <v>33.840000000000011</v>
      </c>
      <c r="J271">
        <f t="shared" si="59"/>
        <v>32.779000000000011</v>
      </c>
      <c r="L271">
        <f t="shared" si="60"/>
        <v>1</v>
      </c>
      <c r="M271">
        <f t="shared" si="61"/>
        <v>0</v>
      </c>
      <c r="O271">
        <f t="shared" si="62"/>
        <v>0.34000000000000341</v>
      </c>
      <c r="P271">
        <f t="shared" si="63"/>
        <v>0</v>
      </c>
      <c r="R271">
        <f t="shared" si="64"/>
        <v>0.31000000000000127</v>
      </c>
      <c r="S271">
        <f t="shared" si="65"/>
        <v>0.54428571428571459</v>
      </c>
      <c r="U271">
        <f t="shared" si="66"/>
        <v>36.28762541806028</v>
      </c>
      <c r="AH271">
        <f t="shared" si="67"/>
        <v>8.4118602870573262</v>
      </c>
      <c r="AI271">
        <f t="shared" si="68"/>
        <v>20.389466635667528</v>
      </c>
      <c r="AJ271">
        <f t="shared" si="69"/>
        <v>47.290533364332489</v>
      </c>
      <c r="AL271">
        <f t="shared" si="70"/>
        <v>50.663720574114663</v>
      </c>
      <c r="AM271">
        <f t="shared" si="71"/>
        <v>17.016279425885358</v>
      </c>
    </row>
    <row r="272" spans="1:39" ht="16.5" x14ac:dyDescent="0.25">
      <c r="A272" s="1">
        <v>45310</v>
      </c>
      <c r="B272" s="5">
        <v>32.39</v>
      </c>
      <c r="C272" s="4">
        <v>32.58</v>
      </c>
      <c r="D272" s="4">
        <v>32.69</v>
      </c>
      <c r="E272" s="4">
        <v>32.229999999999997</v>
      </c>
      <c r="F272" s="4" t="s">
        <v>1505</v>
      </c>
      <c r="G272" s="2" t="s">
        <v>814</v>
      </c>
      <c r="I272">
        <f t="shared" si="58"/>
        <v>33.825499999999998</v>
      </c>
      <c r="J272">
        <f t="shared" si="59"/>
        <v>32.777999999999999</v>
      </c>
      <c r="L272">
        <f t="shared" si="60"/>
        <v>0</v>
      </c>
      <c r="M272">
        <f t="shared" si="61"/>
        <v>1</v>
      </c>
      <c r="O272">
        <f t="shared" si="62"/>
        <v>0</v>
      </c>
      <c r="P272">
        <f t="shared" si="63"/>
        <v>0.18999999999999773</v>
      </c>
      <c r="R272">
        <f t="shared" si="64"/>
        <v>0.33857142857142924</v>
      </c>
      <c r="S272">
        <f t="shared" si="65"/>
        <v>0.54428571428571459</v>
      </c>
      <c r="U272">
        <f t="shared" si="66"/>
        <v>38.34951456310683</v>
      </c>
      <c r="AH272">
        <f t="shared" si="67"/>
        <v>8.3685106785838776</v>
      </c>
      <c r="AI272">
        <f t="shared" si="68"/>
        <v>20.374966635667516</v>
      </c>
      <c r="AJ272">
        <f t="shared" si="69"/>
        <v>47.276033364332477</v>
      </c>
      <c r="AL272">
        <f t="shared" si="70"/>
        <v>50.562521357167753</v>
      </c>
      <c r="AM272">
        <f t="shared" si="71"/>
        <v>17.088478642832243</v>
      </c>
    </row>
    <row r="273" spans="1:39" ht="16.5" x14ac:dyDescent="0.25">
      <c r="A273" s="1">
        <v>45309</v>
      </c>
      <c r="B273" s="5">
        <v>32.520000000000003</v>
      </c>
      <c r="C273" s="4">
        <v>33.06</v>
      </c>
      <c r="D273" s="4">
        <v>33.35</v>
      </c>
      <c r="E273" s="4">
        <v>32.03</v>
      </c>
      <c r="F273" s="4" t="s">
        <v>1713</v>
      </c>
      <c r="G273" s="2" t="s">
        <v>377</v>
      </c>
      <c r="I273">
        <f t="shared" si="58"/>
        <v>33.8155</v>
      </c>
      <c r="J273">
        <f t="shared" si="59"/>
        <v>32.817999999999998</v>
      </c>
      <c r="L273">
        <f t="shared" si="60"/>
        <v>0</v>
      </c>
      <c r="M273">
        <f t="shared" si="61"/>
        <v>1</v>
      </c>
      <c r="O273">
        <f t="shared" si="62"/>
        <v>0</v>
      </c>
      <c r="P273">
        <f t="shared" si="63"/>
        <v>0.53999999999999915</v>
      </c>
      <c r="R273">
        <f t="shared" si="64"/>
        <v>0.31125000000000114</v>
      </c>
      <c r="S273">
        <f t="shared" si="65"/>
        <v>0.60333333333333405</v>
      </c>
      <c r="U273">
        <f t="shared" si="66"/>
        <v>34.03189066059231</v>
      </c>
      <c r="AH273">
        <f t="shared" si="67"/>
        <v>8.3240213799727432</v>
      </c>
      <c r="AI273">
        <f t="shared" si="68"/>
        <v>20.364966635667518</v>
      </c>
      <c r="AJ273">
        <f t="shared" si="69"/>
        <v>47.266033364332486</v>
      </c>
      <c r="AL273">
        <f t="shared" si="70"/>
        <v>50.463542759945483</v>
      </c>
      <c r="AM273">
        <f t="shared" si="71"/>
        <v>17.167457240054514</v>
      </c>
    </row>
    <row r="274" spans="1:39" ht="16.5" x14ac:dyDescent="0.25">
      <c r="A274" s="1">
        <v>45308</v>
      </c>
      <c r="B274" s="5">
        <v>33.21</v>
      </c>
      <c r="C274" s="4">
        <v>33.01</v>
      </c>
      <c r="D274" s="4">
        <v>33.47</v>
      </c>
      <c r="E274" s="4">
        <v>32.74</v>
      </c>
      <c r="F274" s="4" t="s">
        <v>930</v>
      </c>
      <c r="G274" s="2" t="s">
        <v>429</v>
      </c>
      <c r="I274">
        <f t="shared" si="58"/>
        <v>33.795000000000002</v>
      </c>
      <c r="J274">
        <f t="shared" si="59"/>
        <v>32.855250000000005</v>
      </c>
      <c r="L274">
        <f t="shared" si="60"/>
        <v>1</v>
      </c>
      <c r="M274">
        <f t="shared" si="61"/>
        <v>0</v>
      </c>
      <c r="O274">
        <f t="shared" si="62"/>
        <v>0.20000000000000284</v>
      </c>
      <c r="P274">
        <f t="shared" si="63"/>
        <v>0</v>
      </c>
      <c r="R274">
        <f t="shared" si="64"/>
        <v>0.31125000000000114</v>
      </c>
      <c r="S274">
        <f t="shared" si="65"/>
        <v>0.5566666666666672</v>
      </c>
      <c r="U274">
        <f t="shared" si="66"/>
        <v>35.861737878060552</v>
      </c>
      <c r="AH274">
        <f t="shared" si="67"/>
        <v>8.2783908733884406</v>
      </c>
      <c r="AI274">
        <f t="shared" si="68"/>
        <v>20.344466635667519</v>
      </c>
      <c r="AJ274">
        <f t="shared" si="69"/>
        <v>47.245533364332488</v>
      </c>
      <c r="AL274">
        <f t="shared" si="70"/>
        <v>50.351781746776879</v>
      </c>
      <c r="AM274">
        <f t="shared" si="71"/>
        <v>17.238218253223121</v>
      </c>
    </row>
    <row r="275" spans="1:39" ht="16.5" x14ac:dyDescent="0.25">
      <c r="A275" s="1">
        <v>45307</v>
      </c>
      <c r="B275" s="5">
        <v>33.53</v>
      </c>
      <c r="C275" s="4">
        <v>33.47</v>
      </c>
      <c r="D275" s="4">
        <v>33.65</v>
      </c>
      <c r="E275" s="4">
        <v>33.04</v>
      </c>
      <c r="F275" s="4" t="s">
        <v>1529</v>
      </c>
      <c r="G275" s="2" t="s">
        <v>553</v>
      </c>
      <c r="I275">
        <f t="shared" si="58"/>
        <v>33.739500000000007</v>
      </c>
      <c r="J275">
        <f t="shared" si="59"/>
        <v>33.061250000000015</v>
      </c>
      <c r="L275">
        <f t="shared" si="60"/>
        <v>1</v>
      </c>
      <c r="M275">
        <f t="shared" si="61"/>
        <v>0</v>
      </c>
      <c r="O275">
        <f t="shared" si="62"/>
        <v>6.0000000000002274E-2</v>
      </c>
      <c r="P275">
        <f t="shared" si="63"/>
        <v>0</v>
      </c>
      <c r="R275">
        <f t="shared" si="64"/>
        <v>0.34500000000000064</v>
      </c>
      <c r="S275">
        <f t="shared" si="65"/>
        <v>0.5566666666666672</v>
      </c>
      <c r="U275">
        <f t="shared" si="66"/>
        <v>38.262476894639576</v>
      </c>
      <c r="AH275">
        <f t="shared" si="67"/>
        <v>8.2315014747216892</v>
      </c>
      <c r="AI275">
        <f t="shared" si="68"/>
        <v>20.288966635667524</v>
      </c>
      <c r="AJ275">
        <f t="shared" si="69"/>
        <v>47.190033364332493</v>
      </c>
      <c r="AL275">
        <f t="shared" si="70"/>
        <v>50.202502949443385</v>
      </c>
      <c r="AM275">
        <f t="shared" si="71"/>
        <v>17.276497050556628</v>
      </c>
    </row>
    <row r="276" spans="1:39" ht="16.5" x14ac:dyDescent="0.25">
      <c r="A276" s="1">
        <v>45306</v>
      </c>
      <c r="B276" s="5">
        <v>33.549999999999997</v>
      </c>
      <c r="C276" s="4">
        <v>34.43</v>
      </c>
      <c r="D276" s="4">
        <v>34.49</v>
      </c>
      <c r="E276" s="4">
        <v>33.479999999999997</v>
      </c>
      <c r="F276" s="4" t="s">
        <v>1629</v>
      </c>
      <c r="G276" s="2" t="s">
        <v>829</v>
      </c>
      <c r="I276">
        <f t="shared" si="58"/>
        <v>33.658000000000001</v>
      </c>
      <c r="J276">
        <f t="shared" si="59"/>
        <v>33.238000000000007</v>
      </c>
      <c r="L276">
        <f t="shared" si="60"/>
        <v>0</v>
      </c>
      <c r="M276">
        <f t="shared" si="61"/>
        <v>1</v>
      </c>
      <c r="O276">
        <f t="shared" si="62"/>
        <v>0</v>
      </c>
      <c r="P276">
        <f t="shared" si="63"/>
        <v>0.88000000000000256</v>
      </c>
      <c r="R276">
        <f t="shared" si="64"/>
        <v>0.36250000000000071</v>
      </c>
      <c r="S276">
        <f t="shared" si="65"/>
        <v>0.5566666666666672</v>
      </c>
      <c r="U276">
        <f t="shared" si="66"/>
        <v>39.437896645512261</v>
      </c>
      <c r="AH276">
        <f t="shared" si="67"/>
        <v>8.1830356187861817</v>
      </c>
      <c r="AI276">
        <f t="shared" si="68"/>
        <v>20.207466635667519</v>
      </c>
      <c r="AJ276">
        <f t="shared" si="69"/>
        <v>47.108533364332487</v>
      </c>
      <c r="AL276">
        <f t="shared" si="70"/>
        <v>50.024071237572365</v>
      </c>
      <c r="AM276">
        <f t="shared" si="71"/>
        <v>17.291928762427638</v>
      </c>
    </row>
    <row r="277" spans="1:39" ht="16.5" x14ac:dyDescent="0.25">
      <c r="A277" s="1">
        <v>45303</v>
      </c>
      <c r="B277" s="5">
        <v>34.25</v>
      </c>
      <c r="C277" s="4">
        <v>33.92</v>
      </c>
      <c r="D277" s="4">
        <v>34.49</v>
      </c>
      <c r="E277" s="4">
        <v>33.81</v>
      </c>
      <c r="F277" s="4" t="s">
        <v>1714</v>
      </c>
      <c r="G277" s="2" t="s">
        <v>315</v>
      </c>
      <c r="I277">
        <f t="shared" si="58"/>
        <v>33.533499999999997</v>
      </c>
      <c r="J277">
        <f t="shared" si="59"/>
        <v>33.426499999999997</v>
      </c>
      <c r="L277">
        <f t="shared" si="60"/>
        <v>1</v>
      </c>
      <c r="M277">
        <f t="shared" si="61"/>
        <v>0</v>
      </c>
      <c r="O277">
        <f t="shared" si="62"/>
        <v>0.32999999999999829</v>
      </c>
      <c r="P277">
        <f t="shared" si="63"/>
        <v>0</v>
      </c>
      <c r="R277">
        <f t="shared" si="64"/>
        <v>0.34444444444444461</v>
      </c>
      <c r="S277">
        <f t="shared" si="65"/>
        <v>0.49200000000000016</v>
      </c>
      <c r="U277">
        <f t="shared" si="66"/>
        <v>41.179596174282679</v>
      </c>
      <c r="AH277">
        <f t="shared" si="67"/>
        <v>8.1327278102341811</v>
      </c>
      <c r="AI277">
        <f t="shared" si="68"/>
        <v>20.082966635667514</v>
      </c>
      <c r="AJ277">
        <f t="shared" si="69"/>
        <v>46.984033364332475</v>
      </c>
      <c r="AL277">
        <f t="shared" si="70"/>
        <v>49.798955620468362</v>
      </c>
      <c r="AM277">
        <f t="shared" si="71"/>
        <v>17.268044379531634</v>
      </c>
    </row>
    <row r="278" spans="1:39" ht="16.5" x14ac:dyDescent="0.25">
      <c r="A278" s="1">
        <v>45302</v>
      </c>
      <c r="B278" s="5">
        <v>33.79</v>
      </c>
      <c r="C278" s="4">
        <v>35.049999999999997</v>
      </c>
      <c r="D278" s="4">
        <v>35.1</v>
      </c>
      <c r="E278" s="4">
        <v>33.79</v>
      </c>
      <c r="F278" s="4" t="s">
        <v>982</v>
      </c>
      <c r="G278" s="2" t="s">
        <v>1715</v>
      </c>
      <c r="I278">
        <f t="shared" si="58"/>
        <v>33.387999999999998</v>
      </c>
      <c r="J278">
        <f t="shared" si="59"/>
        <v>33.58625</v>
      </c>
      <c r="L278">
        <f t="shared" si="60"/>
        <v>0</v>
      </c>
      <c r="M278">
        <f t="shared" si="61"/>
        <v>1</v>
      </c>
      <c r="O278">
        <f t="shared" si="62"/>
        <v>0</v>
      </c>
      <c r="P278">
        <f t="shared" si="63"/>
        <v>1.259999999999998</v>
      </c>
      <c r="R278">
        <f t="shared" si="64"/>
        <v>0.32555555555555632</v>
      </c>
      <c r="S278">
        <f t="shared" si="65"/>
        <v>0.49200000000000016</v>
      </c>
      <c r="U278">
        <f t="shared" si="66"/>
        <v>39.820603424843753</v>
      </c>
      <c r="AH278">
        <f t="shared" si="67"/>
        <v>8.0801545714193104</v>
      </c>
      <c r="AI278">
        <f t="shared" si="68"/>
        <v>19.937466635667516</v>
      </c>
      <c r="AJ278">
        <f t="shared" si="69"/>
        <v>46.838533364332477</v>
      </c>
      <c r="AL278">
        <f t="shared" si="70"/>
        <v>49.548309142838619</v>
      </c>
      <c r="AM278">
        <f t="shared" si="71"/>
        <v>17.227690857161377</v>
      </c>
    </row>
    <row r="279" spans="1:39" ht="16.5" x14ac:dyDescent="0.25">
      <c r="A279" s="1">
        <v>45301</v>
      </c>
      <c r="B279" s="5">
        <v>34.76</v>
      </c>
      <c r="C279" s="4">
        <v>34.950000000000003</v>
      </c>
      <c r="D279" s="4">
        <v>35.21</v>
      </c>
      <c r="E279" s="4">
        <v>34.72</v>
      </c>
      <c r="F279" s="4" t="s">
        <v>966</v>
      </c>
      <c r="G279" s="2" t="s">
        <v>1716</v>
      </c>
      <c r="I279">
        <f t="shared" si="58"/>
        <v>33.272999999999996</v>
      </c>
      <c r="J279">
        <f t="shared" si="59"/>
        <v>33.747749999999996</v>
      </c>
      <c r="L279">
        <f t="shared" si="60"/>
        <v>0</v>
      </c>
      <c r="M279">
        <f t="shared" si="61"/>
        <v>1</v>
      </c>
      <c r="O279">
        <f t="shared" si="62"/>
        <v>0</v>
      </c>
      <c r="P279">
        <f t="shared" si="63"/>
        <v>0.19000000000000483</v>
      </c>
      <c r="R279">
        <f t="shared" si="64"/>
        <v>0.3630000000000006</v>
      </c>
      <c r="S279">
        <f t="shared" si="65"/>
        <v>0.30000000000000071</v>
      </c>
      <c r="U279">
        <f t="shared" si="66"/>
        <v>54.75113122171944</v>
      </c>
      <c r="AH279">
        <f t="shared" si="67"/>
        <v>8.0250449231070675</v>
      </c>
      <c r="AI279">
        <f t="shared" si="68"/>
        <v>19.822466635667514</v>
      </c>
      <c r="AJ279">
        <f t="shared" si="69"/>
        <v>46.723533364332482</v>
      </c>
      <c r="AL279">
        <f t="shared" si="70"/>
        <v>49.323089846214131</v>
      </c>
      <c r="AM279">
        <f t="shared" si="71"/>
        <v>17.222910153785861</v>
      </c>
    </row>
    <row r="280" spans="1:39" ht="16.5" x14ac:dyDescent="0.25">
      <c r="A280" s="1">
        <v>45300</v>
      </c>
      <c r="B280" s="5">
        <v>35.6</v>
      </c>
      <c r="C280" s="4">
        <v>35.200000000000003</v>
      </c>
      <c r="D280" s="4">
        <v>35.770000000000003</v>
      </c>
      <c r="E280" s="4">
        <v>35.200000000000003</v>
      </c>
      <c r="F280" s="4" t="s">
        <v>997</v>
      </c>
      <c r="G280" s="2" t="s">
        <v>524</v>
      </c>
      <c r="I280">
        <f t="shared" si="58"/>
        <v>33.130000000000003</v>
      </c>
      <c r="J280">
        <f t="shared" si="59"/>
        <v>33.882500000000007</v>
      </c>
      <c r="L280">
        <f t="shared" si="60"/>
        <v>1</v>
      </c>
      <c r="M280">
        <f t="shared" si="61"/>
        <v>0</v>
      </c>
      <c r="O280">
        <f t="shared" si="62"/>
        <v>0.39999999999999858</v>
      </c>
      <c r="P280">
        <f t="shared" si="63"/>
        <v>0</v>
      </c>
      <c r="R280">
        <f t="shared" si="64"/>
        <v>0.33545454545454623</v>
      </c>
      <c r="S280">
        <f t="shared" si="65"/>
        <v>0.336666666666666</v>
      </c>
      <c r="U280">
        <f t="shared" si="66"/>
        <v>49.909828674481624</v>
      </c>
      <c r="AH280">
        <f t="shared" si="67"/>
        <v>7.9675506587413834</v>
      </c>
      <c r="AI280">
        <f t="shared" si="68"/>
        <v>19.67946663566752</v>
      </c>
      <c r="AJ280">
        <f t="shared" si="69"/>
        <v>46.580533364332481</v>
      </c>
      <c r="AL280">
        <f t="shared" si="70"/>
        <v>49.065101317482771</v>
      </c>
      <c r="AM280">
        <f t="shared" si="71"/>
        <v>17.194898682517234</v>
      </c>
    </row>
    <row r="281" spans="1:39" ht="16.5" x14ac:dyDescent="0.25">
      <c r="A281" s="1">
        <v>45299</v>
      </c>
      <c r="B281" s="5">
        <v>35.24</v>
      </c>
      <c r="C281" s="4">
        <v>35.9</v>
      </c>
      <c r="D281" s="4">
        <v>36.090000000000003</v>
      </c>
      <c r="E281" s="4">
        <v>34.9</v>
      </c>
      <c r="F281" s="4" t="s">
        <v>851</v>
      </c>
      <c r="G281" s="2" t="s">
        <v>746</v>
      </c>
      <c r="I281">
        <f t="shared" si="58"/>
        <v>32.941500000000005</v>
      </c>
      <c r="J281">
        <f t="shared" si="59"/>
        <v>34.037750000000003</v>
      </c>
      <c r="L281">
        <f t="shared" si="60"/>
        <v>0</v>
      </c>
      <c r="M281">
        <f t="shared" si="61"/>
        <v>1</v>
      </c>
      <c r="O281">
        <f t="shared" si="62"/>
        <v>0</v>
      </c>
      <c r="P281">
        <f t="shared" si="63"/>
        <v>0.65999999999999659</v>
      </c>
      <c r="R281">
        <f t="shared" si="64"/>
        <v>0.32900000000000096</v>
      </c>
      <c r="S281">
        <f t="shared" si="65"/>
        <v>0.25499999999999901</v>
      </c>
      <c r="U281">
        <f t="shared" si="66"/>
        <v>56.335616438356332</v>
      </c>
      <c r="AH281">
        <f t="shared" si="67"/>
        <v>7.9073233058685251</v>
      </c>
      <c r="AI281">
        <f t="shared" si="68"/>
        <v>19.490966635667522</v>
      </c>
      <c r="AJ281">
        <f t="shared" si="69"/>
        <v>46.392033364332491</v>
      </c>
      <c r="AL281">
        <f t="shared" si="70"/>
        <v>48.756146611737051</v>
      </c>
      <c r="AM281">
        <f t="shared" si="71"/>
        <v>17.126853388262955</v>
      </c>
    </row>
    <row r="282" spans="1:39" ht="16.5" x14ac:dyDescent="0.25">
      <c r="A282" s="1">
        <v>45296</v>
      </c>
      <c r="B282" s="5">
        <v>35.22</v>
      </c>
      <c r="C282" s="4">
        <v>35.11</v>
      </c>
      <c r="D282" s="4">
        <v>35.29</v>
      </c>
      <c r="E282" s="4">
        <v>34.68</v>
      </c>
      <c r="F282" s="4" t="s">
        <v>1505</v>
      </c>
      <c r="G282" s="2" t="s">
        <v>729</v>
      </c>
      <c r="I282">
        <f t="shared" si="58"/>
        <v>32.798999999999999</v>
      </c>
      <c r="J282">
        <f t="shared" si="59"/>
        <v>34.192500000000003</v>
      </c>
      <c r="L282">
        <f t="shared" si="60"/>
        <v>1</v>
      </c>
      <c r="M282">
        <f t="shared" si="61"/>
        <v>0</v>
      </c>
      <c r="O282">
        <f t="shared" si="62"/>
        <v>0.10999999999999943</v>
      </c>
      <c r="P282">
        <f t="shared" si="63"/>
        <v>0</v>
      </c>
      <c r="R282">
        <f t="shared" si="64"/>
        <v>0.337272727272728</v>
      </c>
      <c r="S282">
        <f t="shared" si="65"/>
        <v>0.11999999999999982</v>
      </c>
      <c r="U282">
        <f t="shared" si="66"/>
        <v>73.757455268389734</v>
      </c>
      <c r="AH282">
        <f t="shared" si="67"/>
        <v>7.8438273047563314</v>
      </c>
      <c r="AI282">
        <f t="shared" si="68"/>
        <v>19.348466635667517</v>
      </c>
      <c r="AJ282">
        <f t="shared" si="69"/>
        <v>46.249533364332478</v>
      </c>
      <c r="AL282">
        <f t="shared" si="70"/>
        <v>48.486654609512662</v>
      </c>
      <c r="AM282">
        <f t="shared" si="71"/>
        <v>17.111345390487337</v>
      </c>
    </row>
    <row r="283" spans="1:39" ht="16.5" x14ac:dyDescent="0.25">
      <c r="A283" s="1">
        <v>45295</v>
      </c>
      <c r="B283" s="5">
        <v>35.24</v>
      </c>
      <c r="C283" s="4">
        <v>34.51</v>
      </c>
      <c r="D283" s="4">
        <v>35.44</v>
      </c>
      <c r="E283" s="4">
        <v>34.51</v>
      </c>
      <c r="F283" s="4" t="s">
        <v>970</v>
      </c>
      <c r="G283" s="2" t="s">
        <v>1045</v>
      </c>
      <c r="I283">
        <f t="shared" si="58"/>
        <v>32.623000000000005</v>
      </c>
      <c r="J283">
        <f t="shared" si="59"/>
        <v>34.356000000000002</v>
      </c>
      <c r="L283">
        <f t="shared" si="60"/>
        <v>1</v>
      </c>
      <c r="M283">
        <f t="shared" si="61"/>
        <v>0</v>
      </c>
      <c r="O283">
        <f t="shared" si="62"/>
        <v>0.73000000000000398</v>
      </c>
      <c r="P283">
        <f t="shared" si="63"/>
        <v>0</v>
      </c>
      <c r="R283">
        <f t="shared" si="64"/>
        <v>0.36000000000000087</v>
      </c>
      <c r="S283">
        <f t="shared" si="65"/>
        <v>9.4999999999999751E-2</v>
      </c>
      <c r="U283">
        <f t="shared" si="66"/>
        <v>79.120879120879209</v>
      </c>
      <c r="AH283">
        <f t="shared" si="67"/>
        <v>7.7773290150205918</v>
      </c>
      <c r="AI283">
        <f t="shared" si="68"/>
        <v>19.172466635667522</v>
      </c>
      <c r="AJ283">
        <f t="shared" si="69"/>
        <v>46.073533364332491</v>
      </c>
      <c r="AL283">
        <f t="shared" si="70"/>
        <v>48.177658030041187</v>
      </c>
      <c r="AM283">
        <f t="shared" si="71"/>
        <v>17.068341969958823</v>
      </c>
    </row>
    <row r="284" spans="1:39" ht="16.5" x14ac:dyDescent="0.25">
      <c r="A284" s="1">
        <v>45294</v>
      </c>
      <c r="B284" s="5">
        <v>34.4</v>
      </c>
      <c r="C284" s="4">
        <v>34.49</v>
      </c>
      <c r="D284" s="4">
        <v>34.78</v>
      </c>
      <c r="E284" s="4">
        <v>34.1</v>
      </c>
      <c r="F284" s="4" t="s">
        <v>1669</v>
      </c>
      <c r="G284" s="2" t="s">
        <v>98</v>
      </c>
      <c r="I284">
        <f t="shared" si="58"/>
        <v>32.402500000000011</v>
      </c>
      <c r="J284">
        <f t="shared" si="59"/>
        <v>34.526500000000006</v>
      </c>
      <c r="L284">
        <f t="shared" si="60"/>
        <v>0</v>
      </c>
      <c r="M284">
        <f t="shared" si="61"/>
        <v>1</v>
      </c>
      <c r="O284">
        <f t="shared" si="62"/>
        <v>0</v>
      </c>
      <c r="P284">
        <f t="shared" si="63"/>
        <v>9.0000000000003411E-2</v>
      </c>
      <c r="R284">
        <f t="shared" si="64"/>
        <v>0.31888888888888939</v>
      </c>
      <c r="S284">
        <f t="shared" si="65"/>
        <v>0.11599999999999966</v>
      </c>
      <c r="U284">
        <f t="shared" si="66"/>
        <v>73.326520183955125</v>
      </c>
      <c r="AH284">
        <f t="shared" si="67"/>
        <v>7.7073663852302365</v>
      </c>
      <c r="AI284">
        <f t="shared" si="68"/>
        <v>18.951966635667528</v>
      </c>
      <c r="AJ284">
        <f t="shared" si="69"/>
        <v>45.853033364332489</v>
      </c>
      <c r="AL284">
        <f t="shared" si="70"/>
        <v>47.817232770460485</v>
      </c>
      <c r="AM284">
        <f t="shared" si="71"/>
        <v>16.987767229539536</v>
      </c>
    </row>
    <row r="285" spans="1:39" ht="16.5" x14ac:dyDescent="0.25">
      <c r="A285" s="1">
        <v>45293</v>
      </c>
      <c r="B285" s="5">
        <v>34.33</v>
      </c>
      <c r="C285" s="4">
        <v>33.79</v>
      </c>
      <c r="D285" s="4">
        <v>34.44</v>
      </c>
      <c r="E285" s="4">
        <v>33.72</v>
      </c>
      <c r="F285" s="4" t="s">
        <v>874</v>
      </c>
      <c r="G285" s="2" t="s">
        <v>1696</v>
      </c>
      <c r="I285">
        <f t="shared" si="58"/>
        <v>32.238000000000007</v>
      </c>
      <c r="J285">
        <f t="shared" si="59"/>
        <v>34.718000000000004</v>
      </c>
      <c r="L285">
        <f t="shared" si="60"/>
        <v>1</v>
      </c>
      <c r="M285">
        <f t="shared" si="61"/>
        <v>0</v>
      </c>
      <c r="O285">
        <f t="shared" si="62"/>
        <v>0.53999999999999915</v>
      </c>
      <c r="P285">
        <f t="shared" si="63"/>
        <v>0</v>
      </c>
      <c r="R285">
        <f t="shared" si="64"/>
        <v>0.31888888888888939</v>
      </c>
      <c r="S285">
        <f t="shared" si="65"/>
        <v>0.18399999999999964</v>
      </c>
      <c r="U285">
        <f t="shared" si="66"/>
        <v>63.411400795404411</v>
      </c>
      <c r="AH285">
        <f t="shared" si="67"/>
        <v>7.6333265409842701</v>
      </c>
      <c r="AI285">
        <f t="shared" si="68"/>
        <v>18.787466635667524</v>
      </c>
      <c r="AJ285">
        <f t="shared" si="69"/>
        <v>45.688533364332486</v>
      </c>
      <c r="AL285">
        <f t="shared" si="70"/>
        <v>47.504653081968549</v>
      </c>
      <c r="AM285">
        <f t="shared" si="71"/>
        <v>16.971346918031465</v>
      </c>
    </row>
    <row r="286" spans="1:39" ht="16.5" x14ac:dyDescent="0.25">
      <c r="A286" s="1">
        <v>45289</v>
      </c>
      <c r="B286" s="5">
        <v>33.630000000000003</v>
      </c>
      <c r="C286" s="4">
        <v>33.51</v>
      </c>
      <c r="D286" s="4">
        <v>33.85</v>
      </c>
      <c r="E286" s="4">
        <v>33.33</v>
      </c>
      <c r="F286" s="4" t="s">
        <v>1402</v>
      </c>
      <c r="G286" s="2" t="s">
        <v>676</v>
      </c>
      <c r="I286">
        <f t="shared" si="58"/>
        <v>32.089500000000001</v>
      </c>
      <c r="J286">
        <f t="shared" si="59"/>
        <v>34.891750000000002</v>
      </c>
      <c r="L286">
        <f t="shared" si="60"/>
        <v>1</v>
      </c>
      <c r="M286">
        <f t="shared" si="61"/>
        <v>0</v>
      </c>
      <c r="O286">
        <f t="shared" si="62"/>
        <v>0.12000000000000455</v>
      </c>
      <c r="P286">
        <f t="shared" si="63"/>
        <v>0</v>
      </c>
      <c r="R286">
        <f t="shared" si="64"/>
        <v>0.275555555555556</v>
      </c>
      <c r="S286">
        <f t="shared" si="65"/>
        <v>0.18399999999999964</v>
      </c>
      <c r="U286">
        <f t="shared" si="66"/>
        <v>59.961315280464305</v>
      </c>
      <c r="AH286">
        <f t="shared" si="67"/>
        <v>7.5555513900024804</v>
      </c>
      <c r="AI286">
        <f t="shared" si="68"/>
        <v>18.638966635667519</v>
      </c>
      <c r="AJ286">
        <f t="shared" si="69"/>
        <v>45.540033364332487</v>
      </c>
      <c r="AL286">
        <f t="shared" si="70"/>
        <v>47.200602780004964</v>
      </c>
      <c r="AM286">
        <f t="shared" si="71"/>
        <v>16.978397219995038</v>
      </c>
    </row>
    <row r="287" spans="1:39" ht="16.5" x14ac:dyDescent="0.25">
      <c r="A287" s="1">
        <v>45288</v>
      </c>
      <c r="B287" s="5">
        <v>33.49</v>
      </c>
      <c r="C287" s="4">
        <v>33.75</v>
      </c>
      <c r="D287" s="4">
        <v>33.81</v>
      </c>
      <c r="E287" s="4">
        <v>33.42</v>
      </c>
      <c r="F287" s="4" t="s">
        <v>1515</v>
      </c>
      <c r="G287" s="2" t="s">
        <v>1508</v>
      </c>
      <c r="I287">
        <f t="shared" si="58"/>
        <v>31.941500000000001</v>
      </c>
      <c r="J287">
        <f t="shared" si="59"/>
        <v>35.057750000000006</v>
      </c>
      <c r="L287">
        <f t="shared" si="60"/>
        <v>0</v>
      </c>
      <c r="M287">
        <f t="shared" si="61"/>
        <v>1</v>
      </c>
      <c r="O287">
        <f t="shared" si="62"/>
        <v>0</v>
      </c>
      <c r="P287">
        <f t="shared" si="63"/>
        <v>0.25999999999999801</v>
      </c>
      <c r="R287">
        <f t="shared" si="64"/>
        <v>0.29499999999999993</v>
      </c>
      <c r="S287">
        <f t="shared" si="65"/>
        <v>0.24000000000000021</v>
      </c>
      <c r="U287">
        <f t="shared" si="66"/>
        <v>55.140186915887824</v>
      </c>
      <c r="AH287">
        <f t="shared" si="67"/>
        <v>7.4740081548692716</v>
      </c>
      <c r="AI287">
        <f t="shared" si="68"/>
        <v>18.490966635667519</v>
      </c>
      <c r="AJ287">
        <f t="shared" si="69"/>
        <v>45.392033364332484</v>
      </c>
      <c r="AL287">
        <f t="shared" si="70"/>
        <v>46.889516309738546</v>
      </c>
      <c r="AM287">
        <f t="shared" si="71"/>
        <v>16.993483690261456</v>
      </c>
    </row>
    <row r="288" spans="1:39" ht="16.5" x14ac:dyDescent="0.25">
      <c r="A288" s="1">
        <v>45287</v>
      </c>
      <c r="B288" s="5">
        <v>33.47</v>
      </c>
      <c r="C288" s="4">
        <v>33</v>
      </c>
      <c r="D288" s="4">
        <v>33.67</v>
      </c>
      <c r="E288" s="4">
        <v>32.99</v>
      </c>
      <c r="F288" s="4" t="s">
        <v>973</v>
      </c>
      <c r="G288" s="2" t="s">
        <v>1390</v>
      </c>
      <c r="I288">
        <f t="shared" si="58"/>
        <v>31.794999999999995</v>
      </c>
      <c r="J288">
        <f t="shared" si="59"/>
        <v>35.237000000000002</v>
      </c>
      <c r="L288">
        <f t="shared" si="60"/>
        <v>1</v>
      </c>
      <c r="M288">
        <f t="shared" si="61"/>
        <v>0</v>
      </c>
      <c r="O288">
        <f t="shared" si="62"/>
        <v>0.46999999999999886</v>
      </c>
      <c r="P288">
        <f t="shared" si="63"/>
        <v>0</v>
      </c>
      <c r="R288">
        <f t="shared" si="64"/>
        <v>0.32777777777777772</v>
      </c>
      <c r="S288">
        <f t="shared" si="65"/>
        <v>0.23600000000000065</v>
      </c>
      <c r="U288">
        <f t="shared" si="66"/>
        <v>58.139534883720856</v>
      </c>
      <c r="AH288">
        <f t="shared" si="67"/>
        <v>7.388499214809082</v>
      </c>
      <c r="AI288">
        <f t="shared" si="68"/>
        <v>18.344466635667512</v>
      </c>
      <c r="AJ288">
        <f t="shared" si="69"/>
        <v>45.245533364332474</v>
      </c>
      <c r="AL288">
        <f t="shared" si="70"/>
        <v>46.571998429618162</v>
      </c>
      <c r="AM288">
        <f t="shared" si="71"/>
        <v>17.018001570381831</v>
      </c>
    </row>
    <row r="289" spans="1:39" ht="16.5" x14ac:dyDescent="0.25">
      <c r="A289" s="1">
        <v>45282</v>
      </c>
      <c r="B289" s="5">
        <v>32.71</v>
      </c>
      <c r="C289" s="4">
        <v>32.51</v>
      </c>
      <c r="D289" s="4">
        <v>32.89</v>
      </c>
      <c r="E289" s="4">
        <v>32.47</v>
      </c>
      <c r="F289" s="4" t="s">
        <v>1477</v>
      </c>
      <c r="G289" s="2" t="s">
        <v>399</v>
      </c>
      <c r="I289">
        <f t="shared" si="58"/>
        <v>31.704499999999989</v>
      </c>
      <c r="J289">
        <f t="shared" si="59"/>
        <v>35.417249999999996</v>
      </c>
      <c r="L289">
        <f t="shared" si="60"/>
        <v>1</v>
      </c>
      <c r="M289">
        <f t="shared" si="61"/>
        <v>0</v>
      </c>
      <c r="O289">
        <f t="shared" si="62"/>
        <v>0.20000000000000284</v>
      </c>
      <c r="P289">
        <f t="shared" si="63"/>
        <v>0</v>
      </c>
      <c r="R289">
        <f t="shared" si="64"/>
        <v>0.38444444444444453</v>
      </c>
      <c r="S289">
        <f t="shared" si="65"/>
        <v>0.23600000000000065</v>
      </c>
      <c r="U289">
        <f t="shared" si="66"/>
        <v>61.962750716332316</v>
      </c>
      <c r="AH289">
        <f t="shared" si="67"/>
        <v>7.2988207532429445</v>
      </c>
      <c r="AI289">
        <f t="shared" si="68"/>
        <v>18.253966635667506</v>
      </c>
      <c r="AJ289">
        <f t="shared" si="69"/>
        <v>45.155033364332468</v>
      </c>
      <c r="AL289">
        <f t="shared" si="70"/>
        <v>46.302141506485881</v>
      </c>
      <c r="AM289">
        <f t="shared" si="71"/>
        <v>17.1068584935141</v>
      </c>
    </row>
    <row r="290" spans="1:39" ht="16.5" x14ac:dyDescent="0.25">
      <c r="A290" s="1">
        <v>45281</v>
      </c>
      <c r="B290" s="5">
        <v>32.619999999999997</v>
      </c>
      <c r="C290" s="4">
        <v>32.42</v>
      </c>
      <c r="D290" s="4">
        <v>32.76</v>
      </c>
      <c r="E290" s="4">
        <v>32.42</v>
      </c>
      <c r="F290" s="4" t="s">
        <v>1448</v>
      </c>
      <c r="G290" s="2" t="s">
        <v>372</v>
      </c>
      <c r="I290">
        <f t="shared" si="58"/>
        <v>31.701499999999992</v>
      </c>
      <c r="J290">
        <f t="shared" si="59"/>
        <v>35.612250000000003</v>
      </c>
      <c r="L290">
        <f t="shared" si="60"/>
        <v>1</v>
      </c>
      <c r="M290">
        <f t="shared" si="61"/>
        <v>0</v>
      </c>
      <c r="O290">
        <f t="shared" si="62"/>
        <v>0.19999999999999574</v>
      </c>
      <c r="P290">
        <f t="shared" si="63"/>
        <v>0</v>
      </c>
      <c r="R290">
        <f t="shared" si="64"/>
        <v>0.40749999999999975</v>
      </c>
      <c r="S290">
        <f t="shared" si="65"/>
        <v>0.22500000000000084</v>
      </c>
      <c r="U290">
        <f t="shared" si="66"/>
        <v>64.426877470355635</v>
      </c>
      <c r="AH290">
        <f t="shared" si="67"/>
        <v>7.2053646262449353</v>
      </c>
      <c r="AI290">
        <f t="shared" si="68"/>
        <v>18.25096663566751</v>
      </c>
      <c r="AJ290">
        <f t="shared" si="69"/>
        <v>45.152033364332475</v>
      </c>
      <c r="AL290">
        <f t="shared" si="70"/>
        <v>46.112229252489861</v>
      </c>
      <c r="AM290">
        <f t="shared" si="71"/>
        <v>17.290770747510123</v>
      </c>
    </row>
    <row r="291" spans="1:39" ht="16.5" x14ac:dyDescent="0.25">
      <c r="A291" s="1">
        <v>45280</v>
      </c>
      <c r="B291" s="5">
        <v>32.56</v>
      </c>
      <c r="C291" s="4">
        <v>32.4</v>
      </c>
      <c r="D291" s="4">
        <v>32.799999999999997</v>
      </c>
      <c r="E291" s="4">
        <v>32.22</v>
      </c>
      <c r="F291" s="4" t="s">
        <v>1717</v>
      </c>
      <c r="G291" s="2" t="s">
        <v>351</v>
      </c>
      <c r="I291">
        <f t="shared" si="58"/>
        <v>31.718</v>
      </c>
      <c r="J291">
        <f t="shared" si="59"/>
        <v>35.815750000000001</v>
      </c>
      <c r="L291">
        <f t="shared" si="60"/>
        <v>1</v>
      </c>
      <c r="M291">
        <f t="shared" si="61"/>
        <v>0</v>
      </c>
      <c r="O291">
        <f t="shared" si="62"/>
        <v>0.16000000000000369</v>
      </c>
      <c r="P291">
        <f t="shared" si="63"/>
        <v>0</v>
      </c>
      <c r="R291">
        <f t="shared" si="64"/>
        <v>0.43714285714285744</v>
      </c>
      <c r="S291">
        <f t="shared" si="65"/>
        <v>0.25714285714285773</v>
      </c>
      <c r="U291">
        <f t="shared" si="66"/>
        <v>62.962962962962926</v>
      </c>
      <c r="AH291">
        <f t="shared" si="67"/>
        <v>7.1089275003578551</v>
      </c>
      <c r="AI291">
        <f t="shared" si="68"/>
        <v>18.267466635667517</v>
      </c>
      <c r="AJ291">
        <f t="shared" si="69"/>
        <v>45.168533364332482</v>
      </c>
      <c r="AL291">
        <f t="shared" si="70"/>
        <v>45.935855000715712</v>
      </c>
      <c r="AM291">
        <f t="shared" si="71"/>
        <v>17.500144999284288</v>
      </c>
    </row>
    <row r="292" spans="1:39" ht="16.5" x14ac:dyDescent="0.25">
      <c r="A292" s="1">
        <v>45279</v>
      </c>
      <c r="B292" s="5">
        <v>32.19</v>
      </c>
      <c r="C292" s="4">
        <v>31.49</v>
      </c>
      <c r="D292" s="4">
        <v>32.43</v>
      </c>
      <c r="E292" s="4">
        <v>31.35</v>
      </c>
      <c r="F292" s="4" t="s">
        <v>1524</v>
      </c>
      <c r="G292" s="2" t="s">
        <v>450</v>
      </c>
      <c r="I292">
        <f t="shared" si="58"/>
        <v>31.730500000000006</v>
      </c>
      <c r="J292">
        <f t="shared" si="59"/>
        <v>36.027500000000003</v>
      </c>
      <c r="L292">
        <f t="shared" si="60"/>
        <v>1</v>
      </c>
      <c r="M292">
        <f t="shared" si="61"/>
        <v>0</v>
      </c>
      <c r="O292">
        <f t="shared" si="62"/>
        <v>0.69999999999999929</v>
      </c>
      <c r="P292">
        <f t="shared" si="63"/>
        <v>0</v>
      </c>
      <c r="R292">
        <f t="shared" si="64"/>
        <v>0.48285714285714271</v>
      </c>
      <c r="S292">
        <f t="shared" si="65"/>
        <v>0.25714285714285773</v>
      </c>
      <c r="U292">
        <f t="shared" si="66"/>
        <v>65.250965250965194</v>
      </c>
      <c r="AH292">
        <f t="shared" si="67"/>
        <v>7.0095810201580706</v>
      </c>
      <c r="AI292">
        <f t="shared" si="68"/>
        <v>18.279966635667524</v>
      </c>
      <c r="AJ292">
        <f t="shared" si="69"/>
        <v>45.181033364332492</v>
      </c>
      <c r="AL292">
        <f t="shared" si="70"/>
        <v>45.749662040316146</v>
      </c>
      <c r="AM292">
        <f t="shared" si="71"/>
        <v>17.711337959683867</v>
      </c>
    </row>
    <row r="293" spans="1:39" ht="16.5" x14ac:dyDescent="0.25">
      <c r="A293" s="1">
        <v>45278</v>
      </c>
      <c r="B293" s="5">
        <v>32.11</v>
      </c>
      <c r="C293" s="4">
        <v>32.049999999999997</v>
      </c>
      <c r="D293" s="4">
        <v>32.36</v>
      </c>
      <c r="E293" s="4">
        <v>31.82</v>
      </c>
      <c r="F293" s="4" t="s">
        <v>943</v>
      </c>
      <c r="G293" s="2" t="s">
        <v>949</v>
      </c>
      <c r="I293">
        <f t="shared" si="58"/>
        <v>31.820500000000003</v>
      </c>
      <c r="J293">
        <f t="shared" si="59"/>
        <v>36.254750000000001</v>
      </c>
      <c r="L293">
        <f t="shared" si="60"/>
        <v>1</v>
      </c>
      <c r="M293">
        <f t="shared" si="61"/>
        <v>0</v>
      </c>
      <c r="O293">
        <f t="shared" si="62"/>
        <v>6.0000000000002274E-2</v>
      </c>
      <c r="P293">
        <f t="shared" si="63"/>
        <v>0</v>
      </c>
      <c r="R293">
        <f t="shared" si="64"/>
        <v>0.43142857142857188</v>
      </c>
      <c r="S293">
        <f t="shared" si="65"/>
        <v>0.25714285714285773</v>
      </c>
      <c r="U293">
        <f t="shared" si="66"/>
        <v>62.655601659751007</v>
      </c>
      <c r="AH293">
        <f t="shared" si="67"/>
        <v>6.9071214653323203</v>
      </c>
      <c r="AI293">
        <f t="shared" si="68"/>
        <v>18.36996663566752</v>
      </c>
      <c r="AJ293">
        <f t="shared" si="69"/>
        <v>45.271033364332482</v>
      </c>
      <c r="AL293">
        <f t="shared" si="70"/>
        <v>45.634742930664643</v>
      </c>
      <c r="AM293">
        <f t="shared" si="71"/>
        <v>18.006257069335362</v>
      </c>
    </row>
    <row r="294" spans="1:39" ht="16.5" x14ac:dyDescent="0.25">
      <c r="A294" s="1">
        <v>45275</v>
      </c>
      <c r="B294" s="5">
        <v>32.1</v>
      </c>
      <c r="C294" s="4">
        <v>32.11</v>
      </c>
      <c r="D294" s="4">
        <v>32.39</v>
      </c>
      <c r="E294" s="4">
        <v>31.79</v>
      </c>
      <c r="F294" s="4" t="s">
        <v>1353</v>
      </c>
      <c r="G294" s="2" t="s">
        <v>835</v>
      </c>
      <c r="I294">
        <f t="shared" si="58"/>
        <v>31.915499999999998</v>
      </c>
      <c r="J294">
        <f t="shared" si="59"/>
        <v>36.476749999999996</v>
      </c>
      <c r="L294">
        <f t="shared" si="60"/>
        <v>0</v>
      </c>
      <c r="M294">
        <f t="shared" si="61"/>
        <v>1</v>
      </c>
      <c r="O294">
        <f t="shared" si="62"/>
        <v>0</v>
      </c>
      <c r="P294">
        <f t="shared" si="63"/>
        <v>9.9999999999980105E-3</v>
      </c>
      <c r="R294">
        <f t="shared" si="64"/>
        <v>0.49333333333333346</v>
      </c>
      <c r="S294">
        <f t="shared" si="65"/>
        <v>0.31875000000000053</v>
      </c>
      <c r="U294">
        <f t="shared" si="66"/>
        <v>60.749102103642862</v>
      </c>
      <c r="AH294">
        <f t="shared" si="67"/>
        <v>6.8023267865411992</v>
      </c>
      <c r="AI294">
        <f t="shared" si="68"/>
        <v>18.464966635667516</v>
      </c>
      <c r="AJ294">
        <f t="shared" si="69"/>
        <v>45.36603336433248</v>
      </c>
      <c r="AL294">
        <f t="shared" si="70"/>
        <v>45.520153573082396</v>
      </c>
      <c r="AM294">
        <f t="shared" si="71"/>
        <v>18.3108464269176</v>
      </c>
    </row>
    <row r="295" spans="1:39" ht="16.5" x14ac:dyDescent="0.25">
      <c r="A295" s="1">
        <v>45274</v>
      </c>
      <c r="B295" s="5">
        <v>31.9</v>
      </c>
      <c r="C295" s="4">
        <v>31.48</v>
      </c>
      <c r="D295" s="4">
        <v>32.159999999999997</v>
      </c>
      <c r="E295" s="4">
        <v>31.45</v>
      </c>
      <c r="F295" s="4" t="s">
        <v>1038</v>
      </c>
      <c r="G295" s="2" t="s">
        <v>1718</v>
      </c>
      <c r="I295">
        <f t="shared" si="58"/>
        <v>32.383000000000003</v>
      </c>
      <c r="J295">
        <f t="shared" si="59"/>
        <v>36.710999999999999</v>
      </c>
      <c r="L295">
        <f t="shared" si="60"/>
        <v>1</v>
      </c>
      <c r="M295">
        <f t="shared" si="61"/>
        <v>0</v>
      </c>
      <c r="O295">
        <f t="shared" si="62"/>
        <v>0.41999999999999815</v>
      </c>
      <c r="P295">
        <f t="shared" si="63"/>
        <v>0</v>
      </c>
      <c r="R295">
        <f t="shared" si="64"/>
        <v>0.49333333333333346</v>
      </c>
      <c r="S295">
        <f t="shared" si="65"/>
        <v>0.41750000000000087</v>
      </c>
      <c r="U295">
        <f t="shared" si="66"/>
        <v>54.162854528819722</v>
      </c>
      <c r="AH295">
        <f t="shared" si="67"/>
        <v>6.6951355829684784</v>
      </c>
      <c r="AI295">
        <f t="shared" si="68"/>
        <v>18.93246663566752</v>
      </c>
      <c r="AJ295">
        <f t="shared" si="69"/>
        <v>45.833533364332482</v>
      </c>
      <c r="AL295">
        <f t="shared" si="70"/>
        <v>45.773271165936961</v>
      </c>
      <c r="AM295">
        <f t="shared" si="71"/>
        <v>18.992728834063044</v>
      </c>
    </row>
    <row r="296" spans="1:39" ht="16.5" x14ac:dyDescent="0.25">
      <c r="A296" s="1">
        <v>45273</v>
      </c>
      <c r="B296" s="5">
        <v>31.06</v>
      </c>
      <c r="C296" s="4">
        <v>31.08</v>
      </c>
      <c r="D296" s="4">
        <v>31.35</v>
      </c>
      <c r="E296" s="4">
        <v>30.81</v>
      </c>
      <c r="F296" s="4" t="s">
        <v>1631</v>
      </c>
      <c r="G296" s="2" t="s">
        <v>606</v>
      </c>
      <c r="I296">
        <f t="shared" si="58"/>
        <v>32.817999999999998</v>
      </c>
      <c r="J296">
        <f t="shared" si="59"/>
        <v>36.96725</v>
      </c>
      <c r="L296">
        <f t="shared" si="60"/>
        <v>0</v>
      </c>
      <c r="M296">
        <f t="shared" si="61"/>
        <v>1</v>
      </c>
      <c r="O296">
        <f t="shared" si="62"/>
        <v>0</v>
      </c>
      <c r="P296">
        <f t="shared" si="63"/>
        <v>1.9999999999999574E-2</v>
      </c>
      <c r="R296">
        <f t="shared" si="64"/>
        <v>0.50800000000000056</v>
      </c>
      <c r="S296">
        <f t="shared" si="65"/>
        <v>0.40444444444444572</v>
      </c>
      <c r="U296">
        <f t="shared" si="66"/>
        <v>55.67462250365314</v>
      </c>
      <c r="AH296">
        <f t="shared" si="67"/>
        <v>6.5901170847721167</v>
      </c>
      <c r="AI296">
        <f t="shared" si="68"/>
        <v>19.367466635667515</v>
      </c>
      <c r="AJ296">
        <f t="shared" si="69"/>
        <v>46.268533364332484</v>
      </c>
      <c r="AL296">
        <f t="shared" si="70"/>
        <v>45.998234169544233</v>
      </c>
      <c r="AM296">
        <f t="shared" si="71"/>
        <v>19.637765830455763</v>
      </c>
    </row>
    <row r="297" spans="1:39" ht="16.5" x14ac:dyDescent="0.25">
      <c r="A297" s="1">
        <v>45272</v>
      </c>
      <c r="B297" s="5">
        <v>31.34</v>
      </c>
      <c r="C297" s="4">
        <v>31.54</v>
      </c>
      <c r="D297" s="4">
        <v>31.59</v>
      </c>
      <c r="E297" s="4">
        <v>31.15</v>
      </c>
      <c r="F297" s="4" t="s">
        <v>1469</v>
      </c>
      <c r="G297" s="2" t="s">
        <v>788</v>
      </c>
      <c r="I297">
        <f t="shared" si="58"/>
        <v>33.319500000000005</v>
      </c>
      <c r="J297">
        <f t="shared" si="59"/>
        <v>37.254000000000005</v>
      </c>
      <c r="L297">
        <f t="shared" si="60"/>
        <v>0</v>
      </c>
      <c r="M297">
        <f t="shared" si="61"/>
        <v>1</v>
      </c>
      <c r="O297">
        <f t="shared" si="62"/>
        <v>0</v>
      </c>
      <c r="P297">
        <f t="shared" si="63"/>
        <v>0.19999999999999929</v>
      </c>
      <c r="R297">
        <f t="shared" si="64"/>
        <v>0.43166666666666781</v>
      </c>
      <c r="S297">
        <f t="shared" si="65"/>
        <v>0.45250000000000146</v>
      </c>
      <c r="U297">
        <f t="shared" si="66"/>
        <v>48.821866163996219</v>
      </c>
      <c r="AH297">
        <f t="shared" si="67"/>
        <v>6.4869398216543317</v>
      </c>
      <c r="AI297">
        <f t="shared" si="68"/>
        <v>19.868966635667523</v>
      </c>
      <c r="AJ297">
        <f t="shared" si="69"/>
        <v>46.770033364332491</v>
      </c>
      <c r="AL297">
        <f t="shared" si="70"/>
        <v>46.293379643308668</v>
      </c>
      <c r="AM297">
        <f t="shared" si="71"/>
        <v>20.345620356691342</v>
      </c>
    </row>
    <row r="298" spans="1:39" ht="16.5" x14ac:dyDescent="0.25">
      <c r="A298" s="1">
        <v>45271</v>
      </c>
      <c r="B298" s="5">
        <v>31.49</v>
      </c>
      <c r="C298" s="4">
        <v>31.92</v>
      </c>
      <c r="D298" s="4">
        <v>31.95</v>
      </c>
      <c r="E298" s="4">
        <v>31.4</v>
      </c>
      <c r="F298" s="4" t="s">
        <v>1719</v>
      </c>
      <c r="G298" s="2" t="s">
        <v>308</v>
      </c>
      <c r="I298">
        <f t="shared" si="58"/>
        <v>33.784500000000001</v>
      </c>
      <c r="J298">
        <f t="shared" si="59"/>
        <v>37.550500000000007</v>
      </c>
      <c r="L298">
        <f t="shared" si="60"/>
        <v>0</v>
      </c>
      <c r="M298">
        <f t="shared" si="61"/>
        <v>1</v>
      </c>
      <c r="O298">
        <f t="shared" si="62"/>
        <v>0</v>
      </c>
      <c r="P298">
        <f t="shared" si="63"/>
        <v>0.43000000000000327</v>
      </c>
      <c r="R298">
        <f t="shared" si="64"/>
        <v>0.43166666666666781</v>
      </c>
      <c r="S298">
        <f t="shared" si="65"/>
        <v>0.54625000000000101</v>
      </c>
      <c r="U298">
        <f t="shared" si="66"/>
        <v>44.141457179377944</v>
      </c>
      <c r="AH298">
        <f t="shared" si="67"/>
        <v>6.3865010947744958</v>
      </c>
      <c r="AI298">
        <f t="shared" si="68"/>
        <v>20.333966635667519</v>
      </c>
      <c r="AJ298">
        <f t="shared" si="69"/>
        <v>47.23503336433248</v>
      </c>
      <c r="AL298">
        <f t="shared" si="70"/>
        <v>46.557502189548991</v>
      </c>
      <c r="AM298">
        <f t="shared" si="71"/>
        <v>21.011497810451012</v>
      </c>
    </row>
    <row r="299" spans="1:39" ht="16.5" x14ac:dyDescent="0.25">
      <c r="A299" s="1">
        <v>45268</v>
      </c>
      <c r="B299" s="5">
        <v>31.9</v>
      </c>
      <c r="C299" s="4">
        <v>31.75</v>
      </c>
      <c r="D299" s="4">
        <v>31.94</v>
      </c>
      <c r="E299" s="4">
        <v>31.5</v>
      </c>
      <c r="F299" s="4" t="s">
        <v>1498</v>
      </c>
      <c r="G299" s="2" t="s">
        <v>1024</v>
      </c>
      <c r="I299">
        <f t="shared" si="58"/>
        <v>34.222500000000004</v>
      </c>
      <c r="J299">
        <f t="shared" si="59"/>
        <v>37.853250000000003</v>
      </c>
      <c r="L299">
        <f t="shared" si="60"/>
        <v>1</v>
      </c>
      <c r="M299">
        <f t="shared" si="61"/>
        <v>0</v>
      </c>
      <c r="O299">
        <f t="shared" si="62"/>
        <v>0.14999999999999858</v>
      </c>
      <c r="P299">
        <f t="shared" si="63"/>
        <v>0</v>
      </c>
      <c r="R299">
        <f t="shared" si="64"/>
        <v>0.43166666666666781</v>
      </c>
      <c r="S299">
        <f t="shared" si="65"/>
        <v>0.49375000000000036</v>
      </c>
      <c r="U299">
        <f t="shared" si="66"/>
        <v>46.64565511031072</v>
      </c>
      <c r="AH299">
        <f t="shared" si="67"/>
        <v>6.2884318109047888</v>
      </c>
      <c r="AI299">
        <f t="shared" si="68"/>
        <v>20.771966635667521</v>
      </c>
      <c r="AJ299">
        <f t="shared" si="69"/>
        <v>47.673033364332483</v>
      </c>
      <c r="AL299">
        <f t="shared" si="70"/>
        <v>46.799363621809583</v>
      </c>
      <c r="AM299">
        <f t="shared" si="71"/>
        <v>21.645636378190424</v>
      </c>
    </row>
    <row r="300" spans="1:39" ht="16.5" x14ac:dyDescent="0.25">
      <c r="A300" s="1">
        <v>45267</v>
      </c>
      <c r="B300" s="5">
        <v>31.83</v>
      </c>
      <c r="C300" s="4">
        <v>32.35</v>
      </c>
      <c r="D300" s="4">
        <v>32.369999999999997</v>
      </c>
      <c r="E300" s="4">
        <v>31.69</v>
      </c>
      <c r="F300" s="4" t="s">
        <v>1631</v>
      </c>
      <c r="G300" s="2" t="s">
        <v>1569</v>
      </c>
      <c r="I300">
        <f t="shared" si="58"/>
        <v>34.635000000000005</v>
      </c>
      <c r="J300">
        <f t="shared" si="59"/>
        <v>38.144750000000002</v>
      </c>
      <c r="L300">
        <f t="shared" si="60"/>
        <v>0</v>
      </c>
      <c r="M300">
        <f t="shared" si="61"/>
        <v>1</v>
      </c>
      <c r="O300">
        <f t="shared" si="62"/>
        <v>0</v>
      </c>
      <c r="P300">
        <f t="shared" si="63"/>
        <v>0.52000000000000313</v>
      </c>
      <c r="R300">
        <f t="shared" si="64"/>
        <v>0.48800000000000165</v>
      </c>
      <c r="S300">
        <f t="shared" si="65"/>
        <v>0.8711111111111115</v>
      </c>
      <c r="U300">
        <f t="shared" si="66"/>
        <v>35.905820797907197</v>
      </c>
      <c r="AH300">
        <f t="shared" si="67"/>
        <v>6.1924727975985654</v>
      </c>
      <c r="AI300">
        <f t="shared" si="68"/>
        <v>21.184466635667523</v>
      </c>
      <c r="AJ300">
        <f t="shared" si="69"/>
        <v>48.085533364332491</v>
      </c>
      <c r="AL300">
        <f t="shared" si="70"/>
        <v>47.019945595197136</v>
      </c>
      <c r="AM300">
        <f t="shared" si="71"/>
        <v>22.250054404802874</v>
      </c>
    </row>
    <row r="301" spans="1:39" ht="16.5" x14ac:dyDescent="0.25">
      <c r="A301" s="1">
        <v>45266</v>
      </c>
      <c r="B301" s="5">
        <v>32.39</v>
      </c>
      <c r="C301" s="4">
        <v>31.8</v>
      </c>
      <c r="D301" s="4">
        <v>32.56</v>
      </c>
      <c r="E301" s="4">
        <v>31.64</v>
      </c>
      <c r="F301" s="4" t="s">
        <v>908</v>
      </c>
      <c r="G301" s="2" t="s">
        <v>1330</v>
      </c>
      <c r="I301">
        <f t="shared" si="58"/>
        <v>35.134</v>
      </c>
      <c r="J301">
        <f t="shared" si="59"/>
        <v>38.455499999999994</v>
      </c>
      <c r="L301">
        <f t="shared" si="60"/>
        <v>1</v>
      </c>
      <c r="M301">
        <f t="shared" si="61"/>
        <v>0</v>
      </c>
      <c r="O301">
        <f t="shared" si="62"/>
        <v>0.58999999999999986</v>
      </c>
      <c r="P301">
        <f t="shared" si="63"/>
        <v>0</v>
      </c>
      <c r="R301">
        <f t="shared" si="64"/>
        <v>0.52666666666666906</v>
      </c>
      <c r="S301">
        <f t="shared" si="65"/>
        <v>0.91500000000000004</v>
      </c>
      <c r="U301">
        <f t="shared" si="66"/>
        <v>36.531791907514553</v>
      </c>
      <c r="AH301">
        <f t="shared" si="67"/>
        <v>6.0983769385643365</v>
      </c>
      <c r="AI301">
        <f t="shared" si="68"/>
        <v>21.683466635667518</v>
      </c>
      <c r="AJ301">
        <f t="shared" si="69"/>
        <v>48.584533364332486</v>
      </c>
      <c r="AL301">
        <f t="shared" si="70"/>
        <v>47.330753877128672</v>
      </c>
      <c r="AM301">
        <f t="shared" si="71"/>
        <v>22.937246122871329</v>
      </c>
    </row>
    <row r="302" spans="1:39" ht="16.5" x14ac:dyDescent="0.25">
      <c r="A302" s="1">
        <v>45265</v>
      </c>
      <c r="B302" s="5">
        <v>31.7</v>
      </c>
      <c r="C302" s="4">
        <v>30.72</v>
      </c>
      <c r="D302" s="4">
        <v>31.8</v>
      </c>
      <c r="E302" s="4">
        <v>30.45</v>
      </c>
      <c r="F302" s="4" t="s">
        <v>973</v>
      </c>
      <c r="G302" s="2" t="s">
        <v>1193</v>
      </c>
      <c r="I302">
        <f t="shared" si="58"/>
        <v>35.585999999999999</v>
      </c>
      <c r="J302">
        <f t="shared" si="59"/>
        <v>38.766999999999989</v>
      </c>
      <c r="L302">
        <f t="shared" si="60"/>
        <v>1</v>
      </c>
      <c r="M302">
        <f t="shared" si="61"/>
        <v>0</v>
      </c>
      <c r="O302">
        <f t="shared" si="62"/>
        <v>0.98000000000000043</v>
      </c>
      <c r="P302">
        <f t="shared" si="63"/>
        <v>0</v>
      </c>
      <c r="R302">
        <f t="shared" si="64"/>
        <v>0.5140000000000029</v>
      </c>
      <c r="S302">
        <f t="shared" si="65"/>
        <v>0.82999999999999985</v>
      </c>
      <c r="U302">
        <f t="shared" si="66"/>
        <v>38.244047619047755</v>
      </c>
      <c r="AH302">
        <f t="shared" si="67"/>
        <v>6.0072837808880983</v>
      </c>
      <c r="AI302">
        <f t="shared" si="68"/>
        <v>22.135466635667516</v>
      </c>
      <c r="AJ302">
        <f t="shared" si="69"/>
        <v>49.036533364332485</v>
      </c>
      <c r="AL302">
        <f t="shared" si="70"/>
        <v>47.600567561776195</v>
      </c>
      <c r="AM302">
        <f t="shared" si="71"/>
        <v>23.571432438223802</v>
      </c>
    </row>
    <row r="303" spans="1:39" ht="16.5" x14ac:dyDescent="0.25">
      <c r="A303" s="1">
        <v>45264</v>
      </c>
      <c r="B303" s="5">
        <v>30.83</v>
      </c>
      <c r="C303" s="4">
        <v>31</v>
      </c>
      <c r="D303" s="4">
        <v>31.41</v>
      </c>
      <c r="E303" s="4">
        <v>30.7</v>
      </c>
      <c r="F303" s="4" t="s">
        <v>874</v>
      </c>
      <c r="G303" s="2" t="s">
        <v>92</v>
      </c>
      <c r="I303">
        <f t="shared" si="58"/>
        <v>36.088999999999992</v>
      </c>
      <c r="J303">
        <f t="shared" si="59"/>
        <v>39.093499999999992</v>
      </c>
      <c r="L303">
        <f t="shared" si="60"/>
        <v>0</v>
      </c>
      <c r="M303">
        <f t="shared" si="61"/>
        <v>1</v>
      </c>
      <c r="O303">
        <f t="shared" si="62"/>
        <v>0</v>
      </c>
      <c r="P303">
        <f t="shared" si="63"/>
        <v>0.17000000000000171</v>
      </c>
      <c r="R303">
        <f t="shared" si="64"/>
        <v>0.38800000000000312</v>
      </c>
      <c r="S303">
        <f t="shared" si="65"/>
        <v>0.82999999999999985</v>
      </c>
      <c r="U303">
        <f t="shared" si="66"/>
        <v>31.855500821018239</v>
      </c>
      <c r="AH303">
        <f t="shared" si="67"/>
        <v>5.9186969638089018</v>
      </c>
      <c r="AI303">
        <f t="shared" si="68"/>
        <v>22.638466635667509</v>
      </c>
      <c r="AJ303">
        <f t="shared" si="69"/>
        <v>49.53953336433247</v>
      </c>
      <c r="AL303">
        <f t="shared" si="70"/>
        <v>47.926393927617795</v>
      </c>
      <c r="AM303">
        <f t="shared" si="71"/>
        <v>24.251606072382188</v>
      </c>
    </row>
    <row r="304" spans="1:39" ht="16.5" x14ac:dyDescent="0.25">
      <c r="A304" s="1">
        <v>45261</v>
      </c>
      <c r="B304" s="5">
        <v>31.11</v>
      </c>
      <c r="C304" s="4">
        <v>31.56</v>
      </c>
      <c r="D304" s="4">
        <v>31.65</v>
      </c>
      <c r="E304" s="4">
        <v>30.83</v>
      </c>
      <c r="F304" s="4" t="s">
        <v>903</v>
      </c>
      <c r="G304" s="2" t="s">
        <v>792</v>
      </c>
      <c r="I304">
        <f t="shared" si="58"/>
        <v>36.650500000000001</v>
      </c>
      <c r="J304">
        <f t="shared" si="59"/>
        <v>39.408749999999991</v>
      </c>
      <c r="L304">
        <f t="shared" si="60"/>
        <v>0</v>
      </c>
      <c r="M304">
        <f t="shared" si="61"/>
        <v>1</v>
      </c>
      <c r="O304">
        <f t="shared" si="62"/>
        <v>0</v>
      </c>
      <c r="P304">
        <f t="shared" si="63"/>
        <v>0.44999999999999929</v>
      </c>
      <c r="R304">
        <f t="shared" si="64"/>
        <v>0.41333333333333577</v>
      </c>
      <c r="S304">
        <f t="shared" si="65"/>
        <v>0.91249999999999964</v>
      </c>
      <c r="U304">
        <f t="shared" si="66"/>
        <v>31.175361407919681</v>
      </c>
      <c r="AH304">
        <f t="shared" si="67"/>
        <v>5.8333178912540209</v>
      </c>
      <c r="AI304">
        <f t="shared" si="68"/>
        <v>23.199966635667518</v>
      </c>
      <c r="AJ304">
        <f t="shared" si="69"/>
        <v>50.10103336433248</v>
      </c>
      <c r="AL304">
        <f t="shared" si="70"/>
        <v>48.317135782508046</v>
      </c>
      <c r="AM304">
        <f t="shared" si="71"/>
        <v>24.983864217491959</v>
      </c>
    </row>
    <row r="305" spans="1:39" ht="16.5" x14ac:dyDescent="0.25">
      <c r="A305" s="1">
        <v>45260</v>
      </c>
      <c r="B305" s="5">
        <v>31.36</v>
      </c>
      <c r="C305" s="4">
        <v>30.88</v>
      </c>
      <c r="D305" s="4">
        <v>31.51</v>
      </c>
      <c r="E305" s="4">
        <v>30.35</v>
      </c>
      <c r="F305" s="4" t="s">
        <v>1175</v>
      </c>
      <c r="G305" s="2" t="s">
        <v>522</v>
      </c>
      <c r="I305">
        <f t="shared" si="58"/>
        <v>37.198</v>
      </c>
      <c r="J305">
        <f t="shared" si="59"/>
        <v>39.73299999999999</v>
      </c>
      <c r="L305">
        <f t="shared" si="60"/>
        <v>1</v>
      </c>
      <c r="M305">
        <f t="shared" si="61"/>
        <v>0</v>
      </c>
      <c r="O305">
        <f t="shared" si="62"/>
        <v>0.48000000000000043</v>
      </c>
      <c r="P305">
        <f t="shared" si="63"/>
        <v>0</v>
      </c>
      <c r="R305">
        <f t="shared" si="64"/>
        <v>0.41333333333333577</v>
      </c>
      <c r="S305">
        <f t="shared" si="65"/>
        <v>0.86124999999999963</v>
      </c>
      <c r="U305">
        <f t="shared" si="66"/>
        <v>32.428898332788634</v>
      </c>
      <c r="AH305">
        <f t="shared" si="67"/>
        <v>5.7519371395300851</v>
      </c>
      <c r="AI305">
        <f t="shared" si="68"/>
        <v>23.747466635667518</v>
      </c>
      <c r="AJ305">
        <f t="shared" si="69"/>
        <v>50.648533364332479</v>
      </c>
      <c r="AL305">
        <f t="shared" si="70"/>
        <v>48.701874279060171</v>
      </c>
      <c r="AM305">
        <f t="shared" si="71"/>
        <v>25.69412572093983</v>
      </c>
    </row>
    <row r="306" spans="1:39" ht="16.5" x14ac:dyDescent="0.25">
      <c r="A306" s="1">
        <v>45259</v>
      </c>
      <c r="B306" s="5">
        <v>30.67</v>
      </c>
      <c r="C306" s="4">
        <v>30.33</v>
      </c>
      <c r="D306" s="4">
        <v>31.03</v>
      </c>
      <c r="E306" s="4">
        <v>30.22</v>
      </c>
      <c r="F306" s="4" t="s">
        <v>998</v>
      </c>
      <c r="G306" s="2" t="s">
        <v>138</v>
      </c>
      <c r="I306">
        <f t="shared" si="58"/>
        <v>37.693999999999996</v>
      </c>
      <c r="J306">
        <f t="shared" si="59"/>
        <v>40.045749999999984</v>
      </c>
      <c r="L306">
        <f t="shared" si="60"/>
        <v>1</v>
      </c>
      <c r="M306">
        <f t="shared" si="61"/>
        <v>0</v>
      </c>
      <c r="O306">
        <f t="shared" si="62"/>
        <v>0.34000000000000341</v>
      </c>
      <c r="P306">
        <f t="shared" si="63"/>
        <v>0</v>
      </c>
      <c r="R306">
        <f t="shared" si="64"/>
        <v>0.40000000000000285</v>
      </c>
      <c r="S306">
        <f t="shared" si="65"/>
        <v>0.93000000000000016</v>
      </c>
      <c r="U306">
        <f t="shared" si="66"/>
        <v>30.075187969924954</v>
      </c>
      <c r="AH306">
        <f t="shared" si="67"/>
        <v>5.6744634794081685</v>
      </c>
      <c r="AI306">
        <f t="shared" si="68"/>
        <v>24.243466635667513</v>
      </c>
      <c r="AJ306">
        <f t="shared" si="69"/>
        <v>51.144533364332474</v>
      </c>
      <c r="AL306">
        <f t="shared" si="70"/>
        <v>49.042926958816331</v>
      </c>
      <c r="AM306">
        <f t="shared" si="71"/>
        <v>26.34507304118366</v>
      </c>
    </row>
    <row r="307" spans="1:39" ht="16.5" x14ac:dyDescent="0.25">
      <c r="A307" s="1">
        <v>45258</v>
      </c>
      <c r="B307" s="5">
        <v>30.56</v>
      </c>
      <c r="C307" s="4">
        <v>31.31</v>
      </c>
      <c r="D307" s="4">
        <v>31.52</v>
      </c>
      <c r="E307" s="4">
        <v>30.43</v>
      </c>
      <c r="F307" s="4" t="s">
        <v>1151</v>
      </c>
      <c r="G307" s="2" t="s">
        <v>1720</v>
      </c>
      <c r="I307">
        <f t="shared" si="58"/>
        <v>38.173999999999992</v>
      </c>
      <c r="J307">
        <f t="shared" si="59"/>
        <v>40.385499999999986</v>
      </c>
      <c r="L307">
        <f t="shared" si="60"/>
        <v>0</v>
      </c>
      <c r="M307">
        <f t="shared" si="61"/>
        <v>1</v>
      </c>
      <c r="O307">
        <f t="shared" si="62"/>
        <v>0</v>
      </c>
      <c r="P307">
        <f t="shared" si="63"/>
        <v>0.75</v>
      </c>
      <c r="R307">
        <f t="shared" si="64"/>
        <v>0.43200000000000216</v>
      </c>
      <c r="S307">
        <f t="shared" si="65"/>
        <v>0.93000000000000016</v>
      </c>
      <c r="U307">
        <f t="shared" si="66"/>
        <v>31.718061674008922</v>
      </c>
      <c r="AH307">
        <f t="shared" si="67"/>
        <v>5.6003579327800246</v>
      </c>
      <c r="AI307">
        <f t="shared" si="68"/>
        <v>24.72346663566751</v>
      </c>
      <c r="AJ307">
        <f t="shared" si="69"/>
        <v>51.624533364332478</v>
      </c>
      <c r="AL307">
        <f t="shared" si="70"/>
        <v>49.374715865560042</v>
      </c>
      <c r="AM307">
        <f t="shared" si="71"/>
        <v>26.973284134439943</v>
      </c>
    </row>
    <row r="308" spans="1:39" ht="16.5" x14ac:dyDescent="0.25">
      <c r="A308" s="1">
        <v>45257</v>
      </c>
      <c r="B308" s="5">
        <v>31.66</v>
      </c>
      <c r="C308" s="4">
        <v>32.46</v>
      </c>
      <c r="D308" s="4">
        <v>32.6</v>
      </c>
      <c r="E308" s="4">
        <v>31.53</v>
      </c>
      <c r="F308" s="4" t="s">
        <v>1038</v>
      </c>
      <c r="G308" s="2" t="s">
        <v>1721</v>
      </c>
      <c r="I308">
        <f t="shared" si="58"/>
        <v>38.678999999999988</v>
      </c>
      <c r="J308">
        <f t="shared" si="59"/>
        <v>40.718499999999992</v>
      </c>
      <c r="L308">
        <f t="shared" si="60"/>
        <v>0</v>
      </c>
      <c r="M308">
        <f t="shared" si="61"/>
        <v>1</v>
      </c>
      <c r="O308">
        <f t="shared" si="62"/>
        <v>0</v>
      </c>
      <c r="P308">
        <f t="shared" si="63"/>
        <v>0.80000000000000071</v>
      </c>
      <c r="R308">
        <f t="shared" si="64"/>
        <v>0.43200000000000216</v>
      </c>
      <c r="S308">
        <f t="shared" si="65"/>
        <v>0.96555555555555572</v>
      </c>
      <c r="U308">
        <f t="shared" si="66"/>
        <v>30.911114644617697</v>
      </c>
      <c r="AH308">
        <f t="shared" si="67"/>
        <v>5.529498539546668</v>
      </c>
      <c r="AI308">
        <f t="shared" si="68"/>
        <v>25.228466635667505</v>
      </c>
      <c r="AJ308">
        <f t="shared" si="69"/>
        <v>52.129533364332474</v>
      </c>
      <c r="AL308">
        <f t="shared" si="70"/>
        <v>49.737997079093326</v>
      </c>
      <c r="AM308">
        <f t="shared" si="71"/>
        <v>27.62000292090665</v>
      </c>
    </row>
    <row r="309" spans="1:39" ht="16.5" x14ac:dyDescent="0.25">
      <c r="A309" s="1">
        <v>45254</v>
      </c>
      <c r="B309" s="5">
        <v>32.65</v>
      </c>
      <c r="C309" s="4">
        <v>32.950000000000003</v>
      </c>
      <c r="D309" s="4">
        <v>33.15</v>
      </c>
      <c r="E309" s="4">
        <v>32.47</v>
      </c>
      <c r="F309" s="4" t="s">
        <v>1717</v>
      </c>
      <c r="G309" s="2" t="s">
        <v>634</v>
      </c>
      <c r="I309">
        <f t="shared" si="58"/>
        <v>39.129999999999995</v>
      </c>
      <c r="J309">
        <f t="shared" si="59"/>
        <v>41.048749999999991</v>
      </c>
      <c r="L309">
        <f t="shared" si="60"/>
        <v>0</v>
      </c>
      <c r="M309">
        <f t="shared" si="61"/>
        <v>1</v>
      </c>
      <c r="O309">
        <f t="shared" si="62"/>
        <v>0</v>
      </c>
      <c r="P309">
        <f t="shared" si="63"/>
        <v>0.30000000000000426</v>
      </c>
      <c r="R309">
        <f t="shared" si="64"/>
        <v>0.43200000000000216</v>
      </c>
      <c r="S309">
        <f t="shared" si="65"/>
        <v>0.88333333333333364</v>
      </c>
      <c r="U309">
        <f t="shared" si="66"/>
        <v>32.843385707045215</v>
      </c>
      <c r="AH309">
        <f t="shared" si="67"/>
        <v>5.4622341786978152</v>
      </c>
      <c r="AI309">
        <f t="shared" si="68"/>
        <v>25.679466635667513</v>
      </c>
      <c r="AJ309">
        <f t="shared" si="69"/>
        <v>52.580533364332481</v>
      </c>
      <c r="AL309">
        <f t="shared" si="70"/>
        <v>50.054468357395628</v>
      </c>
      <c r="AM309">
        <f t="shared" si="71"/>
        <v>28.205531642604363</v>
      </c>
    </row>
    <row r="310" spans="1:39" ht="16.5" x14ac:dyDescent="0.25">
      <c r="A310" s="1">
        <v>45253</v>
      </c>
      <c r="B310" s="5">
        <v>32.950000000000003</v>
      </c>
      <c r="C310" s="4">
        <v>32.9</v>
      </c>
      <c r="D310" s="4">
        <v>33.159999999999997</v>
      </c>
      <c r="E310" s="4">
        <v>32.24</v>
      </c>
      <c r="F310" s="4" t="s">
        <v>1646</v>
      </c>
      <c r="G310" s="2" t="s">
        <v>131</v>
      </c>
      <c r="I310">
        <f t="shared" si="58"/>
        <v>39.522999999999989</v>
      </c>
      <c r="J310">
        <f t="shared" si="59"/>
        <v>41.368749999999991</v>
      </c>
      <c r="L310">
        <f t="shared" si="60"/>
        <v>1</v>
      </c>
      <c r="M310">
        <f t="shared" si="61"/>
        <v>0</v>
      </c>
      <c r="O310">
        <f t="shared" si="62"/>
        <v>5.0000000000004263E-2</v>
      </c>
      <c r="P310">
        <f t="shared" si="63"/>
        <v>0</v>
      </c>
      <c r="R310">
        <f t="shared" si="64"/>
        <v>0.43200000000000216</v>
      </c>
      <c r="S310">
        <f t="shared" si="65"/>
        <v>0.86111111111111027</v>
      </c>
      <c r="U310">
        <f t="shared" si="66"/>
        <v>33.407802027839963</v>
      </c>
      <c r="AH310">
        <f t="shared" si="67"/>
        <v>5.3980028075205402</v>
      </c>
      <c r="AI310">
        <f t="shared" si="68"/>
        <v>26.072466635667507</v>
      </c>
      <c r="AJ310">
        <f t="shared" si="69"/>
        <v>52.973533364332468</v>
      </c>
      <c r="AL310">
        <f t="shared" si="70"/>
        <v>50.319005615041071</v>
      </c>
      <c r="AM310">
        <f t="shared" si="71"/>
        <v>28.726994384958907</v>
      </c>
    </row>
    <row r="311" spans="1:39" ht="16.5" x14ac:dyDescent="0.25">
      <c r="A311" s="1">
        <v>45252</v>
      </c>
      <c r="B311" s="5">
        <v>32.81</v>
      </c>
      <c r="C311" s="4">
        <v>33.76</v>
      </c>
      <c r="D311" s="4">
        <v>34.1</v>
      </c>
      <c r="E311" s="4">
        <v>32.65</v>
      </c>
      <c r="F311" s="4" t="s">
        <v>1722</v>
      </c>
      <c r="G311" s="2" t="s">
        <v>1723</v>
      </c>
      <c r="I311">
        <f t="shared" si="58"/>
        <v>39.913499999999985</v>
      </c>
      <c r="J311">
        <f t="shared" si="59"/>
        <v>41.678749999999987</v>
      </c>
      <c r="L311">
        <f t="shared" si="60"/>
        <v>0</v>
      </c>
      <c r="M311">
        <f t="shared" si="61"/>
        <v>1</v>
      </c>
      <c r="O311">
        <f t="shared" si="62"/>
        <v>0</v>
      </c>
      <c r="P311">
        <f t="shared" si="63"/>
        <v>0.94999999999999574</v>
      </c>
      <c r="R311">
        <f t="shared" si="64"/>
        <v>0.54200000000000159</v>
      </c>
      <c r="S311">
        <f t="shared" si="65"/>
        <v>0.86111111111111027</v>
      </c>
      <c r="U311">
        <f t="shared" si="66"/>
        <v>38.628444726005796</v>
      </c>
      <c r="AH311">
        <f t="shared" si="67"/>
        <v>5.3362011071370512</v>
      </c>
      <c r="AI311">
        <f t="shared" si="68"/>
        <v>26.462966635667502</v>
      </c>
      <c r="AJ311">
        <f t="shared" si="69"/>
        <v>53.364033364332471</v>
      </c>
      <c r="AL311">
        <f t="shared" si="70"/>
        <v>50.585902214274086</v>
      </c>
      <c r="AM311">
        <f t="shared" si="71"/>
        <v>29.241097785725884</v>
      </c>
    </row>
    <row r="312" spans="1:39" ht="16.5" x14ac:dyDescent="0.25">
      <c r="A312" s="1">
        <v>45251</v>
      </c>
      <c r="B312" s="5">
        <v>33.99</v>
      </c>
      <c r="C312" s="4">
        <v>34</v>
      </c>
      <c r="D312" s="4">
        <v>34.65</v>
      </c>
      <c r="E312" s="4">
        <v>33.72</v>
      </c>
      <c r="F312" s="4" t="s">
        <v>1190</v>
      </c>
      <c r="G312" s="2" t="s">
        <v>553</v>
      </c>
      <c r="I312">
        <f t="shared" si="58"/>
        <v>40.324499999999986</v>
      </c>
      <c r="J312">
        <f t="shared" si="59"/>
        <v>42.001499999999979</v>
      </c>
      <c r="L312">
        <f t="shared" si="60"/>
        <v>0</v>
      </c>
      <c r="M312">
        <f t="shared" si="61"/>
        <v>1</v>
      </c>
      <c r="O312">
        <f t="shared" si="62"/>
        <v>0</v>
      </c>
      <c r="P312">
        <f t="shared" si="63"/>
        <v>9.9999999999980105E-3</v>
      </c>
      <c r="R312">
        <f t="shared" si="64"/>
        <v>0.57166666666666777</v>
      </c>
      <c r="S312">
        <f t="shared" si="65"/>
        <v>0.84999999999999964</v>
      </c>
      <c r="U312">
        <f t="shared" si="66"/>
        <v>40.211019929660083</v>
      </c>
      <c r="AH312">
        <f t="shared" si="67"/>
        <v>5.2768488676093197</v>
      </c>
      <c r="AI312">
        <f t="shared" si="68"/>
        <v>26.873966635667504</v>
      </c>
      <c r="AJ312">
        <f t="shared" si="69"/>
        <v>53.775033364332472</v>
      </c>
      <c r="AL312">
        <f t="shared" si="70"/>
        <v>50.878197735218627</v>
      </c>
      <c r="AM312">
        <f t="shared" si="71"/>
        <v>29.770802264781345</v>
      </c>
    </row>
    <row r="313" spans="1:39" ht="16.5" x14ac:dyDescent="0.25">
      <c r="A313" s="1">
        <v>45250</v>
      </c>
      <c r="B313" s="5">
        <v>34.01</v>
      </c>
      <c r="C313" s="4">
        <v>37.9</v>
      </c>
      <c r="D313" s="4">
        <v>37.94</v>
      </c>
      <c r="E313" s="4">
        <v>32.6</v>
      </c>
      <c r="F313" s="4" t="s">
        <v>1724</v>
      </c>
      <c r="G313" s="2" t="s">
        <v>1725</v>
      </c>
      <c r="I313">
        <f t="shared" si="58"/>
        <v>40.688999999999993</v>
      </c>
      <c r="J313">
        <f t="shared" si="59"/>
        <v>42.293749999999989</v>
      </c>
      <c r="L313">
        <f t="shared" si="60"/>
        <v>0</v>
      </c>
      <c r="M313">
        <f t="shared" si="61"/>
        <v>1</v>
      </c>
      <c r="O313">
        <f t="shared" si="62"/>
        <v>0</v>
      </c>
      <c r="P313">
        <f t="shared" si="63"/>
        <v>3.8900000000000006</v>
      </c>
      <c r="R313">
        <f t="shared" si="64"/>
        <v>0.57166666666666777</v>
      </c>
      <c r="S313">
        <f t="shared" si="65"/>
        <v>0.92999999999999972</v>
      </c>
      <c r="U313">
        <f t="shared" si="66"/>
        <v>38.06881243063269</v>
      </c>
      <c r="AH313">
        <f t="shared" si="67"/>
        <v>5.2202177137558952</v>
      </c>
      <c r="AI313">
        <f t="shared" si="68"/>
        <v>27.23846663566751</v>
      </c>
      <c r="AJ313">
        <f t="shared" si="69"/>
        <v>54.139533364332479</v>
      </c>
      <c r="AL313">
        <f t="shared" si="70"/>
        <v>51.12943542751178</v>
      </c>
      <c r="AM313">
        <f t="shared" si="71"/>
        <v>30.248564572488203</v>
      </c>
    </row>
    <row r="314" spans="1:39" ht="16.5" x14ac:dyDescent="0.25">
      <c r="A314" s="1">
        <v>45247</v>
      </c>
      <c r="B314" s="5">
        <v>41.45</v>
      </c>
      <c r="C314" s="4">
        <v>40.729999999999997</v>
      </c>
      <c r="D314" s="4">
        <v>41.59</v>
      </c>
      <c r="E314" s="4">
        <v>40.67</v>
      </c>
      <c r="F314" s="4" t="s">
        <v>578</v>
      </c>
      <c r="G314" s="2" t="s">
        <v>1053</v>
      </c>
      <c r="I314">
        <f t="shared" si="58"/>
        <v>41.037999999999997</v>
      </c>
      <c r="J314">
        <f t="shared" si="59"/>
        <v>42.601499999999987</v>
      </c>
      <c r="L314">
        <f t="shared" si="60"/>
        <v>1</v>
      </c>
      <c r="M314">
        <f t="shared" si="61"/>
        <v>0</v>
      </c>
      <c r="O314">
        <f t="shared" si="62"/>
        <v>0.72000000000000597</v>
      </c>
      <c r="P314">
        <f t="shared" si="63"/>
        <v>0</v>
      </c>
      <c r="R314">
        <f t="shared" si="64"/>
        <v>0.57166666666666777</v>
      </c>
      <c r="S314">
        <f t="shared" si="65"/>
        <v>0.44500000000000028</v>
      </c>
      <c r="U314">
        <f t="shared" si="66"/>
        <v>56.229508196721341</v>
      </c>
      <c r="AH314">
        <f t="shared" si="67"/>
        <v>5.1658401236852658</v>
      </c>
      <c r="AI314">
        <f t="shared" si="68"/>
        <v>27.587466635667514</v>
      </c>
      <c r="AJ314">
        <f t="shared" si="69"/>
        <v>54.488533364332483</v>
      </c>
      <c r="AL314">
        <f t="shared" si="70"/>
        <v>51.369680247370525</v>
      </c>
      <c r="AM314">
        <f t="shared" si="71"/>
        <v>30.706319752629465</v>
      </c>
    </row>
    <row r="315" spans="1:39" ht="16.5" x14ac:dyDescent="0.25">
      <c r="A315" s="1">
        <v>45246</v>
      </c>
      <c r="B315" s="5">
        <v>40.6</v>
      </c>
      <c r="C315" s="4">
        <v>40.75</v>
      </c>
      <c r="D315" s="4">
        <v>40.89</v>
      </c>
      <c r="E315" s="4">
        <v>40.35</v>
      </c>
      <c r="F315" s="4" t="s">
        <v>1519</v>
      </c>
      <c r="G315" s="2" t="s">
        <v>1428</v>
      </c>
      <c r="I315">
        <f t="shared" si="58"/>
        <v>41.038999999999994</v>
      </c>
      <c r="J315">
        <f t="shared" si="59"/>
        <v>42.756249999999994</v>
      </c>
      <c r="L315">
        <f t="shared" si="60"/>
        <v>0</v>
      </c>
      <c r="M315">
        <f t="shared" si="61"/>
        <v>1</v>
      </c>
      <c r="O315">
        <f t="shared" si="62"/>
        <v>0</v>
      </c>
      <c r="P315">
        <f t="shared" si="63"/>
        <v>0.14999999999999858</v>
      </c>
      <c r="R315">
        <f t="shared" si="64"/>
        <v>0.52166666666666706</v>
      </c>
      <c r="S315">
        <f t="shared" si="65"/>
        <v>0.44500000000000028</v>
      </c>
      <c r="U315">
        <f t="shared" si="66"/>
        <v>53.96551724137931</v>
      </c>
      <c r="AH315">
        <f t="shared" si="67"/>
        <v>5.1135870458730279</v>
      </c>
      <c r="AI315">
        <f t="shared" si="68"/>
        <v>27.588466635667512</v>
      </c>
      <c r="AJ315">
        <f t="shared" si="69"/>
        <v>54.489533364332473</v>
      </c>
      <c r="AL315">
        <f t="shared" si="70"/>
        <v>51.266174091746052</v>
      </c>
      <c r="AM315">
        <f t="shared" si="71"/>
        <v>30.811825908253937</v>
      </c>
    </row>
    <row r="316" spans="1:39" ht="16.5" x14ac:dyDescent="0.25">
      <c r="A316" s="1">
        <v>45245</v>
      </c>
      <c r="B316" s="5">
        <v>41.09</v>
      </c>
      <c r="C316" s="4">
        <v>40.74</v>
      </c>
      <c r="D316" s="4">
        <v>41.12</v>
      </c>
      <c r="E316" s="4">
        <v>40.520000000000003</v>
      </c>
      <c r="F316" s="4" t="s">
        <v>1409</v>
      </c>
      <c r="G316" s="2" t="s">
        <v>879</v>
      </c>
      <c r="I316">
        <f t="shared" si="58"/>
        <v>41.116499999999988</v>
      </c>
      <c r="J316">
        <f t="shared" si="59"/>
        <v>42.93549999999999</v>
      </c>
      <c r="L316">
        <f t="shared" si="60"/>
        <v>1</v>
      </c>
      <c r="M316">
        <f t="shared" si="61"/>
        <v>0</v>
      </c>
      <c r="O316">
        <f t="shared" si="62"/>
        <v>0.35000000000000142</v>
      </c>
      <c r="P316">
        <f t="shared" si="63"/>
        <v>0</v>
      </c>
      <c r="R316">
        <f t="shared" si="64"/>
        <v>0.52166666666666706</v>
      </c>
      <c r="S316">
        <f t="shared" si="65"/>
        <v>0.46250000000000036</v>
      </c>
      <c r="U316">
        <f t="shared" si="66"/>
        <v>53.005927180355634</v>
      </c>
      <c r="AH316">
        <f t="shared" si="67"/>
        <v>5.0597045613617331</v>
      </c>
      <c r="AI316">
        <f t="shared" si="68"/>
        <v>27.665966635667505</v>
      </c>
      <c r="AJ316">
        <f t="shared" si="69"/>
        <v>54.567033364332474</v>
      </c>
      <c r="AL316">
        <f t="shared" si="70"/>
        <v>51.235909122723456</v>
      </c>
      <c r="AM316">
        <f t="shared" si="71"/>
        <v>30.99709087727652</v>
      </c>
    </row>
    <row r="317" spans="1:39" ht="16.5" x14ac:dyDescent="0.25">
      <c r="A317" s="1">
        <v>45244</v>
      </c>
      <c r="B317" s="5">
        <v>40.64</v>
      </c>
      <c r="C317" s="4">
        <v>40.1</v>
      </c>
      <c r="D317" s="4">
        <v>40.92</v>
      </c>
      <c r="E317" s="4">
        <v>39.56</v>
      </c>
      <c r="F317" s="4" t="s">
        <v>1499</v>
      </c>
      <c r="G317" s="2" t="s">
        <v>1188</v>
      </c>
      <c r="I317">
        <f t="shared" si="58"/>
        <v>41.188499999999998</v>
      </c>
      <c r="J317">
        <f t="shared" si="59"/>
        <v>43.137</v>
      </c>
      <c r="L317">
        <f t="shared" si="60"/>
        <v>1</v>
      </c>
      <c r="M317">
        <f t="shared" si="61"/>
        <v>0</v>
      </c>
      <c r="O317">
        <f t="shared" si="62"/>
        <v>0.53999999999999915</v>
      </c>
      <c r="P317">
        <f t="shared" si="63"/>
        <v>0</v>
      </c>
      <c r="R317">
        <f t="shared" si="64"/>
        <v>0.50666666666666649</v>
      </c>
      <c r="S317">
        <f t="shared" si="65"/>
        <v>0.46250000000000036</v>
      </c>
      <c r="U317">
        <f t="shared" si="66"/>
        <v>52.278589853826276</v>
      </c>
      <c r="AH317">
        <f t="shared" si="67"/>
        <v>5.0049764694833492</v>
      </c>
      <c r="AI317">
        <f t="shared" si="68"/>
        <v>27.737966635667515</v>
      </c>
      <c r="AJ317">
        <f t="shared" si="69"/>
        <v>54.639033364332477</v>
      </c>
      <c r="AL317">
        <f t="shared" si="70"/>
        <v>51.198452938966696</v>
      </c>
      <c r="AM317">
        <f t="shared" si="71"/>
        <v>31.178547061033299</v>
      </c>
    </row>
    <row r="318" spans="1:39" ht="16.5" x14ac:dyDescent="0.25">
      <c r="A318" s="1">
        <v>45243</v>
      </c>
      <c r="B318" s="5">
        <v>40.25</v>
      </c>
      <c r="C318" s="4">
        <v>40.29</v>
      </c>
      <c r="D318" s="4">
        <v>40.49</v>
      </c>
      <c r="E318" s="4">
        <v>39.82</v>
      </c>
      <c r="F318" s="4" t="s">
        <v>1726</v>
      </c>
      <c r="G318" s="2" t="s">
        <v>662</v>
      </c>
      <c r="I318">
        <f t="shared" si="58"/>
        <v>41.316499999999998</v>
      </c>
      <c r="J318">
        <f t="shared" si="59"/>
        <v>43.344250000000002</v>
      </c>
      <c r="L318">
        <f t="shared" si="60"/>
        <v>0</v>
      </c>
      <c r="M318">
        <f t="shared" si="61"/>
        <v>1</v>
      </c>
      <c r="O318">
        <f t="shared" si="62"/>
        <v>0</v>
      </c>
      <c r="P318">
        <f t="shared" si="63"/>
        <v>3.9999999999999147E-2</v>
      </c>
      <c r="R318">
        <f t="shared" si="64"/>
        <v>0.5</v>
      </c>
      <c r="S318">
        <f t="shared" si="65"/>
        <v>0.43888888888888922</v>
      </c>
      <c r="U318">
        <f t="shared" si="66"/>
        <v>53.254437869822461</v>
      </c>
      <c r="AH318">
        <f t="shared" si="67"/>
        <v>4.9493061674384995</v>
      </c>
      <c r="AI318">
        <f t="shared" si="68"/>
        <v>27.865966635667515</v>
      </c>
      <c r="AJ318">
        <f t="shared" si="69"/>
        <v>54.767033364332477</v>
      </c>
      <c r="AL318">
        <f t="shared" si="70"/>
        <v>51.215112334876999</v>
      </c>
      <c r="AM318">
        <f t="shared" si="71"/>
        <v>31.417887665122997</v>
      </c>
    </row>
    <row r="319" spans="1:39" ht="16.5" x14ac:dyDescent="0.25">
      <c r="A319" s="1">
        <v>45240</v>
      </c>
      <c r="B319" s="5">
        <v>40.15</v>
      </c>
      <c r="C319" s="4">
        <v>41.63</v>
      </c>
      <c r="D319" s="4">
        <v>41.78</v>
      </c>
      <c r="E319" s="4">
        <v>40.08</v>
      </c>
      <c r="F319" s="4" t="s">
        <v>896</v>
      </c>
      <c r="G319" s="2" t="s">
        <v>1727</v>
      </c>
      <c r="I319">
        <f t="shared" si="58"/>
        <v>41.484000000000002</v>
      </c>
      <c r="J319">
        <f t="shared" si="59"/>
        <v>43.554250000000003</v>
      </c>
      <c r="L319">
        <f t="shared" si="60"/>
        <v>0</v>
      </c>
      <c r="M319">
        <f t="shared" si="61"/>
        <v>1</v>
      </c>
      <c r="O319">
        <f t="shared" si="62"/>
        <v>0</v>
      </c>
      <c r="P319">
        <f t="shared" si="63"/>
        <v>1.480000000000004</v>
      </c>
      <c r="R319">
        <f t="shared" si="64"/>
        <v>0.48166666666666674</v>
      </c>
      <c r="S319">
        <f t="shared" si="65"/>
        <v>0.48875000000000046</v>
      </c>
      <c r="U319">
        <f t="shared" si="66"/>
        <v>49.635036496350345</v>
      </c>
      <c r="AH319">
        <f t="shared" si="67"/>
        <v>4.8932991777692445</v>
      </c>
      <c r="AI319">
        <f t="shared" si="68"/>
        <v>28.033466635667519</v>
      </c>
      <c r="AJ319">
        <f t="shared" si="69"/>
        <v>54.934533364332481</v>
      </c>
      <c r="AL319">
        <f t="shared" si="70"/>
        <v>51.270598355538489</v>
      </c>
      <c r="AM319">
        <f t="shared" si="71"/>
        <v>31.697401644461515</v>
      </c>
    </row>
    <row r="320" spans="1:39" ht="16.5" x14ac:dyDescent="0.25">
      <c r="A320" s="1">
        <v>45239</v>
      </c>
      <c r="B320" s="5">
        <v>41.81</v>
      </c>
      <c r="C320" s="4">
        <v>41.31</v>
      </c>
      <c r="D320" s="4">
        <v>42.15</v>
      </c>
      <c r="E320" s="4">
        <v>41.31</v>
      </c>
      <c r="F320" s="4" t="s">
        <v>1683</v>
      </c>
      <c r="G320" s="2" t="s">
        <v>249</v>
      </c>
      <c r="I320">
        <f t="shared" si="58"/>
        <v>41.654500000000006</v>
      </c>
      <c r="J320">
        <f t="shared" si="59"/>
        <v>43.785500000000006</v>
      </c>
      <c r="L320">
        <f t="shared" si="60"/>
        <v>1</v>
      </c>
      <c r="M320">
        <f t="shared" si="61"/>
        <v>0</v>
      </c>
      <c r="O320">
        <f t="shared" si="62"/>
        <v>0.5</v>
      </c>
      <c r="P320">
        <f t="shared" si="63"/>
        <v>0</v>
      </c>
      <c r="R320">
        <f t="shared" si="64"/>
        <v>0.48166666666666674</v>
      </c>
      <c r="S320">
        <f t="shared" si="65"/>
        <v>0.3774999999999995</v>
      </c>
      <c r="U320">
        <f t="shared" si="66"/>
        <v>56.062075654704202</v>
      </c>
      <c r="AH320">
        <f t="shared" si="67"/>
        <v>4.8374015036655225</v>
      </c>
      <c r="AI320">
        <f t="shared" si="68"/>
        <v>28.203966635667523</v>
      </c>
      <c r="AJ320">
        <f t="shared" si="69"/>
        <v>55.105033364332485</v>
      </c>
      <c r="AL320">
        <f t="shared" si="70"/>
        <v>51.329303007331049</v>
      </c>
      <c r="AM320">
        <f t="shared" si="71"/>
        <v>31.979696992668963</v>
      </c>
    </row>
    <row r="321" spans="1:39" ht="16.5" x14ac:dyDescent="0.25">
      <c r="A321" s="1">
        <v>45238</v>
      </c>
      <c r="B321" s="5">
        <v>41.43</v>
      </c>
      <c r="C321" s="4">
        <v>42.5</v>
      </c>
      <c r="D321" s="4">
        <v>42.58</v>
      </c>
      <c r="E321" s="4">
        <v>40.15</v>
      </c>
      <c r="F321" s="4" t="s">
        <v>1728</v>
      </c>
      <c r="G321" s="2" t="s">
        <v>792</v>
      </c>
      <c r="I321">
        <f t="shared" si="58"/>
        <v>41.777000000000001</v>
      </c>
      <c r="J321">
        <f t="shared" si="59"/>
        <v>43.962750000000014</v>
      </c>
      <c r="L321">
        <f t="shared" si="60"/>
        <v>0</v>
      </c>
      <c r="M321">
        <f t="shared" si="61"/>
        <v>1</v>
      </c>
      <c r="O321">
        <f t="shared" si="62"/>
        <v>0</v>
      </c>
      <c r="P321">
        <f t="shared" si="63"/>
        <v>1.0700000000000003</v>
      </c>
      <c r="R321">
        <f t="shared" si="64"/>
        <v>0.47800000000000009</v>
      </c>
      <c r="S321">
        <f t="shared" si="65"/>
        <v>0.37555555555555503</v>
      </c>
      <c r="U321">
        <f t="shared" si="66"/>
        <v>56.001041395469969</v>
      </c>
      <c r="AH321">
        <f t="shared" si="67"/>
        <v>4.7816534776880584</v>
      </c>
      <c r="AI321">
        <f t="shared" si="68"/>
        <v>28.326466635667519</v>
      </c>
      <c r="AJ321">
        <f t="shared" si="69"/>
        <v>55.227533364332487</v>
      </c>
      <c r="AL321">
        <f t="shared" si="70"/>
        <v>51.340306955376121</v>
      </c>
      <c r="AM321">
        <f t="shared" si="71"/>
        <v>32.213693044623881</v>
      </c>
    </row>
    <row r="322" spans="1:39" ht="16.5" x14ac:dyDescent="0.25">
      <c r="A322" s="1">
        <v>45237</v>
      </c>
      <c r="B322" s="5">
        <v>41.76</v>
      </c>
      <c r="C322" s="4">
        <v>41.82</v>
      </c>
      <c r="D322" s="4">
        <v>41.93</v>
      </c>
      <c r="E322" s="4">
        <v>41.51</v>
      </c>
      <c r="F322" s="4" t="s">
        <v>202</v>
      </c>
      <c r="G322" s="2" t="s">
        <v>1729</v>
      </c>
      <c r="I322">
        <f t="shared" ref="I322:I385" si="72">AVERAGE(B322:B341)</f>
        <v>41.947999999999993</v>
      </c>
      <c r="J322">
        <f t="shared" ref="J322:J385" si="73">AVERAGE(B322:B361)</f>
        <v>44.135250000000006</v>
      </c>
      <c r="L322">
        <f t="shared" ref="L322:L385" si="74">IF($C322&lt;$B322,1,0)</f>
        <v>0</v>
      </c>
      <c r="M322">
        <f t="shared" ref="M322:M385" si="75">IF($C322&lt;$B322,0,1)</f>
        <v>1</v>
      </c>
      <c r="O322">
        <f t="shared" ref="O322:O385" si="76">IF($C322&lt;$B322,B322-C322,0)</f>
        <v>0</v>
      </c>
      <c r="P322">
        <f t="shared" ref="P322:P385" si="77">IF($B322&lt;$C322,C322-B322,0)</f>
        <v>6.0000000000002274E-2</v>
      </c>
      <c r="R322">
        <f t="shared" ref="R322:R385" si="78">SUM(O322:O335)/SUM(L322:L335)</f>
        <v>0.47800000000000009</v>
      </c>
      <c r="S322">
        <f t="shared" ref="S322:S385" si="79">SUM(P322:P335)/SUM(M322:M335)</f>
        <v>0.257777777777777</v>
      </c>
      <c r="U322">
        <f t="shared" ref="U322:U385" si="80">100-(100/(1+(R322/S322)))</f>
        <v>64.965267290848757</v>
      </c>
      <c r="AH322">
        <f t="shared" si="67"/>
        <v>4.7254982811499193</v>
      </c>
      <c r="AI322">
        <f t="shared" si="68"/>
        <v>28.497466635667511</v>
      </c>
      <c r="AJ322">
        <f t="shared" si="69"/>
        <v>55.398533364332479</v>
      </c>
      <c r="AL322">
        <f t="shared" si="70"/>
        <v>51.398996562299828</v>
      </c>
      <c r="AM322">
        <f t="shared" si="71"/>
        <v>32.497003437700158</v>
      </c>
    </row>
    <row r="323" spans="1:39" ht="16.5" x14ac:dyDescent="0.25">
      <c r="A323" s="1">
        <v>45236</v>
      </c>
      <c r="B323" s="5">
        <v>42.06</v>
      </c>
      <c r="C323" s="4">
        <v>42.16</v>
      </c>
      <c r="D323" s="4">
        <v>42.26</v>
      </c>
      <c r="E323" s="4">
        <v>41.92</v>
      </c>
      <c r="F323" s="4" t="s">
        <v>152</v>
      </c>
      <c r="G323" s="2" t="s">
        <v>365</v>
      </c>
      <c r="I323">
        <f t="shared" si="72"/>
        <v>42.098000000000006</v>
      </c>
      <c r="J323">
        <f t="shared" si="73"/>
        <v>44.358000000000018</v>
      </c>
      <c r="L323">
        <f t="shared" si="74"/>
        <v>0</v>
      </c>
      <c r="M323">
        <f t="shared" si="75"/>
        <v>1</v>
      </c>
      <c r="O323">
        <f t="shared" si="76"/>
        <v>0</v>
      </c>
      <c r="P323">
        <f t="shared" si="77"/>
        <v>9.9999999999994316E-2</v>
      </c>
      <c r="R323">
        <f t="shared" si="78"/>
        <v>0.47800000000000009</v>
      </c>
      <c r="S323">
        <f t="shared" si="79"/>
        <v>0.31444444444444347</v>
      </c>
      <c r="U323">
        <f t="shared" si="80"/>
        <v>60.319685922602432</v>
      </c>
      <c r="AH323">
        <f t="shared" ref="AH323:AH386" si="81">_xlfn.STDEV.S(I323:I853)</f>
        <v>4.6694967259845317</v>
      </c>
      <c r="AI323">
        <f t="shared" ref="AI323:AI386" si="82">I323-$AH$2</f>
        <v>28.647466635667524</v>
      </c>
      <c r="AJ323">
        <f t="shared" ref="AJ323:AJ386" si="83">I323+$AH$2</f>
        <v>55.548533364332485</v>
      </c>
      <c r="AL323">
        <f t="shared" ref="AL323:AL386" si="84">I323+(AH323*2)</f>
        <v>51.436993451969073</v>
      </c>
      <c r="AM323">
        <f t="shared" ref="AM323:AM386" si="85">I323-(AH323*2)</f>
        <v>32.759006548030939</v>
      </c>
    </row>
    <row r="324" spans="1:39" ht="16.5" x14ac:dyDescent="0.25">
      <c r="A324" s="1">
        <v>45233</v>
      </c>
      <c r="B324" s="5">
        <v>42.06</v>
      </c>
      <c r="C324" s="4">
        <v>41.46</v>
      </c>
      <c r="D324" s="4">
        <v>42.36</v>
      </c>
      <c r="E324" s="4">
        <v>41.46</v>
      </c>
      <c r="F324" s="4" t="s">
        <v>1379</v>
      </c>
      <c r="G324" s="2" t="s">
        <v>51</v>
      </c>
      <c r="I324">
        <f t="shared" si="72"/>
        <v>42.166999999999994</v>
      </c>
      <c r="J324">
        <f t="shared" si="73"/>
        <v>44.586500000000015</v>
      </c>
      <c r="L324">
        <f t="shared" si="74"/>
        <v>1</v>
      </c>
      <c r="M324">
        <f t="shared" si="75"/>
        <v>0</v>
      </c>
      <c r="O324">
        <f t="shared" si="76"/>
        <v>0.60000000000000142</v>
      </c>
      <c r="P324">
        <f t="shared" si="77"/>
        <v>0</v>
      </c>
      <c r="R324">
        <f t="shared" si="78"/>
        <v>0.47800000000000009</v>
      </c>
      <c r="S324">
        <f t="shared" si="79"/>
        <v>0.32666666666666561</v>
      </c>
      <c r="U324">
        <f t="shared" si="80"/>
        <v>59.40347970173994</v>
      </c>
      <c r="AH324">
        <f t="shared" si="81"/>
        <v>4.6134052597970641</v>
      </c>
      <c r="AI324">
        <f t="shared" si="82"/>
        <v>28.716466635667512</v>
      </c>
      <c r="AJ324">
        <f t="shared" si="83"/>
        <v>55.617533364332473</v>
      </c>
      <c r="AL324">
        <f t="shared" si="84"/>
        <v>51.393810519594126</v>
      </c>
      <c r="AM324">
        <f t="shared" si="85"/>
        <v>32.940189480405863</v>
      </c>
    </row>
    <row r="325" spans="1:39" ht="16.5" x14ac:dyDescent="0.25">
      <c r="A325" s="1">
        <v>45232</v>
      </c>
      <c r="B325" s="5">
        <v>41.28</v>
      </c>
      <c r="C325" s="4">
        <v>40.56</v>
      </c>
      <c r="D325" s="4">
        <v>41.41</v>
      </c>
      <c r="E325" s="4">
        <v>40.46</v>
      </c>
      <c r="F325" s="4" t="s">
        <v>1402</v>
      </c>
      <c r="G325" s="2" t="s">
        <v>1730</v>
      </c>
      <c r="I325">
        <f t="shared" si="72"/>
        <v>42.268000000000001</v>
      </c>
      <c r="J325">
        <f t="shared" si="73"/>
        <v>44.789750000000012</v>
      </c>
      <c r="L325">
        <f t="shared" si="74"/>
        <v>1</v>
      </c>
      <c r="M325">
        <f t="shared" si="75"/>
        <v>0</v>
      </c>
      <c r="O325">
        <f t="shared" si="76"/>
        <v>0.71999999999999886</v>
      </c>
      <c r="P325">
        <f t="shared" si="77"/>
        <v>0</v>
      </c>
      <c r="R325">
        <f t="shared" si="78"/>
        <v>0.44749999999999979</v>
      </c>
      <c r="S325">
        <f t="shared" si="79"/>
        <v>0.30199999999999888</v>
      </c>
      <c r="U325">
        <f t="shared" si="80"/>
        <v>59.706470980653847</v>
      </c>
      <c r="AH325">
        <f t="shared" si="81"/>
        <v>4.5562420129417269</v>
      </c>
      <c r="AI325">
        <f t="shared" si="82"/>
        <v>28.817466635667518</v>
      </c>
      <c r="AJ325">
        <f t="shared" si="83"/>
        <v>55.718533364332487</v>
      </c>
      <c r="AL325">
        <f t="shared" si="84"/>
        <v>51.380484025883455</v>
      </c>
      <c r="AM325">
        <f t="shared" si="85"/>
        <v>33.155515974116547</v>
      </c>
    </row>
    <row r="326" spans="1:39" ht="16.5" x14ac:dyDescent="0.25">
      <c r="A326" s="1">
        <v>45231</v>
      </c>
      <c r="B326" s="5">
        <v>40.270000000000003</v>
      </c>
      <c r="C326" s="4">
        <v>40.92</v>
      </c>
      <c r="D326" s="4">
        <v>40.92</v>
      </c>
      <c r="E326" s="4">
        <v>40.06</v>
      </c>
      <c r="F326" s="4" t="s">
        <v>1600</v>
      </c>
      <c r="G326" s="2" t="s">
        <v>719</v>
      </c>
      <c r="I326">
        <f t="shared" si="72"/>
        <v>42.397499999999994</v>
      </c>
      <c r="J326">
        <f t="shared" si="73"/>
        <v>45.013750000000009</v>
      </c>
      <c r="L326">
        <f t="shared" si="74"/>
        <v>0</v>
      </c>
      <c r="M326">
        <f t="shared" si="75"/>
        <v>1</v>
      </c>
      <c r="O326">
        <f t="shared" si="76"/>
        <v>0</v>
      </c>
      <c r="P326">
        <f t="shared" si="77"/>
        <v>0.64999999999999858</v>
      </c>
      <c r="R326">
        <f t="shared" si="78"/>
        <v>0.35666666666666674</v>
      </c>
      <c r="S326">
        <f t="shared" si="79"/>
        <v>0.31545454545454404</v>
      </c>
      <c r="U326">
        <f t="shared" si="80"/>
        <v>53.065825067628616</v>
      </c>
      <c r="AH326">
        <f t="shared" si="81"/>
        <v>4.4983522919444745</v>
      </c>
      <c r="AI326">
        <f t="shared" si="82"/>
        <v>28.946966635667511</v>
      </c>
      <c r="AJ326">
        <f t="shared" si="83"/>
        <v>55.84803336433248</v>
      </c>
      <c r="AL326">
        <f t="shared" si="84"/>
        <v>51.394204583888943</v>
      </c>
      <c r="AM326">
        <f t="shared" si="85"/>
        <v>33.400795416111045</v>
      </c>
    </row>
    <row r="327" spans="1:39" ht="16.5" x14ac:dyDescent="0.25">
      <c r="A327" s="1">
        <v>45230</v>
      </c>
      <c r="B327" s="5">
        <v>40.659999999999997</v>
      </c>
      <c r="C327" s="4">
        <v>40.67</v>
      </c>
      <c r="D327" s="4">
        <v>41.03</v>
      </c>
      <c r="E327" s="4">
        <v>40.51</v>
      </c>
      <c r="F327" s="4" t="s">
        <v>683</v>
      </c>
      <c r="G327" s="2" t="s">
        <v>226</v>
      </c>
      <c r="I327">
        <f t="shared" si="72"/>
        <v>42.597000000000001</v>
      </c>
      <c r="J327">
        <f t="shared" si="73"/>
        <v>45.260000000000012</v>
      </c>
      <c r="L327">
        <f t="shared" si="74"/>
        <v>0</v>
      </c>
      <c r="M327">
        <f t="shared" si="75"/>
        <v>1</v>
      </c>
      <c r="O327">
        <f t="shared" si="76"/>
        <v>0</v>
      </c>
      <c r="P327">
        <f t="shared" si="77"/>
        <v>1.0000000000005116E-2</v>
      </c>
      <c r="R327">
        <f t="shared" si="78"/>
        <v>0.35666666666666674</v>
      </c>
      <c r="S327">
        <f t="shared" si="79"/>
        <v>0.3072727272727262</v>
      </c>
      <c r="U327">
        <f t="shared" si="80"/>
        <v>53.719762665449664</v>
      </c>
      <c r="AH327">
        <f t="shared" si="81"/>
        <v>4.4400600568717232</v>
      </c>
      <c r="AI327">
        <f t="shared" si="82"/>
        <v>29.146466635667519</v>
      </c>
      <c r="AJ327">
        <f t="shared" si="83"/>
        <v>56.04753336433248</v>
      </c>
      <c r="AL327">
        <f t="shared" si="84"/>
        <v>51.477120113743446</v>
      </c>
      <c r="AM327">
        <f t="shared" si="85"/>
        <v>33.716879886256557</v>
      </c>
    </row>
    <row r="328" spans="1:39" ht="16.5" x14ac:dyDescent="0.25">
      <c r="A328" s="1">
        <v>45229</v>
      </c>
      <c r="B328" s="5">
        <v>40.68</v>
      </c>
      <c r="C328" s="4">
        <v>40.26</v>
      </c>
      <c r="D328" s="4">
        <v>40.96</v>
      </c>
      <c r="E328" s="4">
        <v>40.130000000000003</v>
      </c>
      <c r="F328" s="4" t="s">
        <v>195</v>
      </c>
      <c r="G328" s="2" t="s">
        <v>676</v>
      </c>
      <c r="I328">
        <f t="shared" si="72"/>
        <v>42.757999999999996</v>
      </c>
      <c r="J328">
        <f t="shared" si="73"/>
        <v>45.509750000000011</v>
      </c>
      <c r="L328">
        <f t="shared" si="74"/>
        <v>1</v>
      </c>
      <c r="M328">
        <f t="shared" si="75"/>
        <v>0</v>
      </c>
      <c r="O328">
        <f t="shared" si="76"/>
        <v>0.42000000000000171</v>
      </c>
      <c r="P328">
        <f t="shared" si="77"/>
        <v>0</v>
      </c>
      <c r="R328">
        <f t="shared" si="78"/>
        <v>0.29000000000000092</v>
      </c>
      <c r="S328">
        <f t="shared" si="79"/>
        <v>0.3369999999999983</v>
      </c>
      <c r="U328">
        <f t="shared" si="80"/>
        <v>46.251993620414879</v>
      </c>
      <c r="AH328">
        <f t="shared" si="81"/>
        <v>4.3822281650901473</v>
      </c>
      <c r="AI328">
        <f t="shared" si="82"/>
        <v>29.307466635667513</v>
      </c>
      <c r="AJ328">
        <f t="shared" si="83"/>
        <v>56.208533364332482</v>
      </c>
      <c r="AL328">
        <f t="shared" si="84"/>
        <v>51.52245633018029</v>
      </c>
      <c r="AM328">
        <f t="shared" si="85"/>
        <v>33.993543669819701</v>
      </c>
    </row>
    <row r="329" spans="1:39" ht="16.5" x14ac:dyDescent="0.25">
      <c r="A329" s="1">
        <v>45226</v>
      </c>
      <c r="B329" s="5">
        <v>40.51</v>
      </c>
      <c r="C329" s="4">
        <v>40.799999999999997</v>
      </c>
      <c r="D329" s="4">
        <v>41.22</v>
      </c>
      <c r="E329" s="4">
        <v>40.51</v>
      </c>
      <c r="F329" s="4" t="s">
        <v>1384</v>
      </c>
      <c r="G329" s="2" t="s">
        <v>1463</v>
      </c>
      <c r="I329">
        <f t="shared" si="72"/>
        <v>42.967500000000008</v>
      </c>
      <c r="J329">
        <f t="shared" si="73"/>
        <v>45.75875000000002</v>
      </c>
      <c r="L329">
        <f t="shared" si="74"/>
        <v>0</v>
      </c>
      <c r="M329">
        <f t="shared" si="75"/>
        <v>1</v>
      </c>
      <c r="O329">
        <f t="shared" si="76"/>
        <v>0</v>
      </c>
      <c r="P329">
        <f t="shared" si="77"/>
        <v>0.28999999999999915</v>
      </c>
      <c r="R329">
        <f t="shared" si="78"/>
        <v>0.40499999999999936</v>
      </c>
      <c r="S329">
        <f t="shared" si="79"/>
        <v>0.3369999999999983</v>
      </c>
      <c r="U329">
        <f t="shared" si="80"/>
        <v>54.582210242587678</v>
      </c>
      <c r="AH329">
        <f t="shared" si="81"/>
        <v>4.3243902149089921</v>
      </c>
      <c r="AI329">
        <f t="shared" si="82"/>
        <v>29.516966635667526</v>
      </c>
      <c r="AJ329">
        <f t="shared" si="83"/>
        <v>56.418033364332487</v>
      </c>
      <c r="AL329">
        <f t="shared" si="84"/>
        <v>51.616280429817991</v>
      </c>
      <c r="AM329">
        <f t="shared" si="85"/>
        <v>34.318719570182026</v>
      </c>
    </row>
    <row r="330" spans="1:39" ht="16.5" x14ac:dyDescent="0.25">
      <c r="A330" s="1">
        <v>45225</v>
      </c>
      <c r="B330" s="5">
        <v>40.76</v>
      </c>
      <c r="C330" s="4">
        <v>40.5</v>
      </c>
      <c r="D330" s="4">
        <v>40.9</v>
      </c>
      <c r="E330" s="4">
        <v>40.25</v>
      </c>
      <c r="F330" s="4" t="s">
        <v>89</v>
      </c>
      <c r="G330" s="2" t="s">
        <v>327</v>
      </c>
      <c r="I330">
        <f t="shared" si="72"/>
        <v>43.214500000000008</v>
      </c>
      <c r="J330">
        <f t="shared" si="73"/>
        <v>46.017750000000021</v>
      </c>
      <c r="L330">
        <f t="shared" si="74"/>
        <v>1</v>
      </c>
      <c r="M330">
        <f t="shared" si="75"/>
        <v>0</v>
      </c>
      <c r="O330">
        <f t="shared" si="76"/>
        <v>0.25999999999999801</v>
      </c>
      <c r="P330">
        <f t="shared" si="77"/>
        <v>0</v>
      </c>
      <c r="R330">
        <f t="shared" si="78"/>
        <v>0.40499999999999936</v>
      </c>
      <c r="S330">
        <f t="shared" si="79"/>
        <v>0.34299999999999853</v>
      </c>
      <c r="U330">
        <f t="shared" si="80"/>
        <v>54.144385026738043</v>
      </c>
      <c r="AH330">
        <f t="shared" si="81"/>
        <v>4.2671635162619035</v>
      </c>
      <c r="AI330">
        <f t="shared" si="82"/>
        <v>29.763966635667526</v>
      </c>
      <c r="AJ330">
        <f t="shared" si="83"/>
        <v>56.665033364332487</v>
      </c>
      <c r="AL330">
        <f t="shared" si="84"/>
        <v>51.748827032523813</v>
      </c>
      <c r="AM330">
        <f t="shared" si="85"/>
        <v>34.680172967476203</v>
      </c>
    </row>
    <row r="331" spans="1:39" ht="16.5" x14ac:dyDescent="0.25">
      <c r="A331" s="1">
        <v>45224</v>
      </c>
      <c r="B331" s="5">
        <v>41.03</v>
      </c>
      <c r="C331" s="4">
        <v>41.28</v>
      </c>
      <c r="D331" s="4">
        <v>41.38</v>
      </c>
      <c r="E331" s="4">
        <v>40.5</v>
      </c>
      <c r="F331" s="4" t="s">
        <v>1378</v>
      </c>
      <c r="G331" s="2" t="s">
        <v>1463</v>
      </c>
      <c r="I331">
        <f t="shared" si="72"/>
        <v>43.44400000000001</v>
      </c>
      <c r="J331">
        <f t="shared" si="73"/>
        <v>46.262250000000016</v>
      </c>
      <c r="L331">
        <f t="shared" si="74"/>
        <v>0</v>
      </c>
      <c r="M331">
        <f t="shared" si="75"/>
        <v>1</v>
      </c>
      <c r="O331">
        <f t="shared" si="76"/>
        <v>0</v>
      </c>
      <c r="P331">
        <f t="shared" si="77"/>
        <v>0.25</v>
      </c>
      <c r="R331">
        <f t="shared" si="78"/>
        <v>0.375</v>
      </c>
      <c r="S331">
        <f t="shared" si="79"/>
        <v>0.34299999999999853</v>
      </c>
      <c r="U331">
        <f t="shared" si="80"/>
        <v>52.228412256267525</v>
      </c>
      <c r="AH331">
        <f t="shared" si="81"/>
        <v>4.211047939871631</v>
      </c>
      <c r="AI331">
        <f t="shared" si="82"/>
        <v>29.993466635667527</v>
      </c>
      <c r="AJ331">
        <f t="shared" si="83"/>
        <v>56.894533364332489</v>
      </c>
      <c r="AL331">
        <f t="shared" si="84"/>
        <v>51.86609587974327</v>
      </c>
      <c r="AM331">
        <f t="shared" si="85"/>
        <v>35.02190412025675</v>
      </c>
    </row>
    <row r="332" spans="1:39" ht="16.5" x14ac:dyDescent="0.25">
      <c r="A332" s="1">
        <v>45223</v>
      </c>
      <c r="B332" s="5">
        <v>41.28</v>
      </c>
      <c r="C332" s="4">
        <v>40.89</v>
      </c>
      <c r="D332" s="4">
        <v>41.42</v>
      </c>
      <c r="E332" s="4">
        <v>40.86</v>
      </c>
      <c r="F332" s="4" t="s">
        <v>193</v>
      </c>
      <c r="G332" s="2" t="s">
        <v>43</v>
      </c>
      <c r="I332">
        <f t="shared" si="72"/>
        <v>43.678500000000007</v>
      </c>
      <c r="J332">
        <f t="shared" si="73"/>
        <v>46.49675000000002</v>
      </c>
      <c r="L332">
        <f t="shared" si="74"/>
        <v>1</v>
      </c>
      <c r="M332">
        <f t="shared" si="75"/>
        <v>0</v>
      </c>
      <c r="O332">
        <f t="shared" si="76"/>
        <v>0.39000000000000057</v>
      </c>
      <c r="P332">
        <f t="shared" si="77"/>
        <v>0</v>
      </c>
      <c r="R332">
        <f t="shared" si="78"/>
        <v>0.375</v>
      </c>
      <c r="S332">
        <f t="shared" si="79"/>
        <v>0.36699999999999877</v>
      </c>
      <c r="U332">
        <f t="shared" si="80"/>
        <v>50.539083557951564</v>
      </c>
      <c r="AH332">
        <f t="shared" si="81"/>
        <v>4.1558588754249266</v>
      </c>
      <c r="AI332">
        <f t="shared" si="82"/>
        <v>30.227966635667524</v>
      </c>
      <c r="AJ332">
        <f t="shared" si="83"/>
        <v>57.129033364332486</v>
      </c>
      <c r="AL332">
        <f t="shared" si="84"/>
        <v>51.990217750849858</v>
      </c>
      <c r="AM332">
        <f t="shared" si="85"/>
        <v>35.366782249150155</v>
      </c>
    </row>
    <row r="333" spans="1:39" ht="16.5" x14ac:dyDescent="0.25">
      <c r="A333" s="1">
        <v>45222</v>
      </c>
      <c r="B333" s="5">
        <v>40.99</v>
      </c>
      <c r="C333" s="4">
        <v>41.58</v>
      </c>
      <c r="D333" s="4">
        <v>41.62</v>
      </c>
      <c r="E333" s="4">
        <v>40.270000000000003</v>
      </c>
      <c r="F333" s="4" t="s">
        <v>1681</v>
      </c>
      <c r="G333" s="2" t="s">
        <v>76</v>
      </c>
      <c r="I333">
        <f t="shared" si="72"/>
        <v>43.898499999999999</v>
      </c>
      <c r="J333">
        <f t="shared" si="73"/>
        <v>46.731500000000018</v>
      </c>
      <c r="L333">
        <f t="shared" si="74"/>
        <v>0</v>
      </c>
      <c r="M333">
        <f t="shared" si="75"/>
        <v>1</v>
      </c>
      <c r="O333">
        <f t="shared" si="76"/>
        <v>0</v>
      </c>
      <c r="P333">
        <f t="shared" si="77"/>
        <v>0.58999999999999631</v>
      </c>
      <c r="R333">
        <f t="shared" si="78"/>
        <v>0.4375</v>
      </c>
      <c r="S333">
        <f t="shared" si="79"/>
        <v>0.36699999999999877</v>
      </c>
      <c r="U333">
        <f t="shared" si="80"/>
        <v>54.381603480422704</v>
      </c>
      <c r="AH333">
        <f t="shared" si="81"/>
        <v>4.1016924303666924</v>
      </c>
      <c r="AI333">
        <f t="shared" si="82"/>
        <v>30.447966635667516</v>
      </c>
      <c r="AJ333">
        <f t="shared" si="83"/>
        <v>57.349033364332485</v>
      </c>
      <c r="AL333">
        <f t="shared" si="84"/>
        <v>52.101884860733385</v>
      </c>
      <c r="AM333">
        <f t="shared" si="85"/>
        <v>35.695115139266612</v>
      </c>
    </row>
    <row r="334" spans="1:39" ht="16.5" x14ac:dyDescent="0.25">
      <c r="A334" s="1">
        <v>45219</v>
      </c>
      <c r="B334" s="5">
        <v>41.47</v>
      </c>
      <c r="C334" s="4">
        <v>41.83</v>
      </c>
      <c r="D334" s="4">
        <v>42.17</v>
      </c>
      <c r="E334" s="4">
        <v>41.33</v>
      </c>
      <c r="F334" s="4" t="s">
        <v>1674</v>
      </c>
      <c r="G334" s="2" t="s">
        <v>768</v>
      </c>
      <c r="I334">
        <f t="shared" si="72"/>
        <v>44.165000000000006</v>
      </c>
      <c r="J334">
        <f t="shared" si="73"/>
        <v>46.966250000000016</v>
      </c>
      <c r="L334">
        <f t="shared" si="74"/>
        <v>0</v>
      </c>
      <c r="M334">
        <f t="shared" si="75"/>
        <v>1</v>
      </c>
      <c r="O334">
        <f t="shared" si="76"/>
        <v>0</v>
      </c>
      <c r="P334">
        <f t="shared" si="77"/>
        <v>0.35999999999999943</v>
      </c>
      <c r="R334">
        <f t="shared" si="78"/>
        <v>0.4375</v>
      </c>
      <c r="S334">
        <f t="shared" si="79"/>
        <v>0.38899999999999862</v>
      </c>
      <c r="U334">
        <f t="shared" si="80"/>
        <v>52.934059286146493</v>
      </c>
      <c r="AH334">
        <f t="shared" si="81"/>
        <v>4.0483991190873798</v>
      </c>
      <c r="AI334">
        <f t="shared" si="82"/>
        <v>30.714466635667524</v>
      </c>
      <c r="AJ334">
        <f t="shared" si="83"/>
        <v>57.615533364332492</v>
      </c>
      <c r="AL334">
        <f t="shared" si="84"/>
        <v>52.261798238174762</v>
      </c>
      <c r="AM334">
        <f t="shared" si="85"/>
        <v>36.06820176182525</v>
      </c>
    </row>
    <row r="335" spans="1:39" ht="16.5" x14ac:dyDescent="0.25">
      <c r="A335" s="1">
        <v>45218</v>
      </c>
      <c r="B335" s="5">
        <v>42.15</v>
      </c>
      <c r="C335" s="4">
        <v>42.16</v>
      </c>
      <c r="D335" s="4">
        <v>42.32</v>
      </c>
      <c r="E335" s="4">
        <v>41.86</v>
      </c>
      <c r="F335" s="4" t="s">
        <v>1424</v>
      </c>
      <c r="G335" s="2" t="s">
        <v>606</v>
      </c>
      <c r="I335">
        <f t="shared" si="72"/>
        <v>44.473500000000008</v>
      </c>
      <c r="J335">
        <f t="shared" si="73"/>
        <v>47.180750000000018</v>
      </c>
      <c r="L335">
        <f t="shared" si="74"/>
        <v>0</v>
      </c>
      <c r="M335">
        <f t="shared" si="75"/>
        <v>1</v>
      </c>
      <c r="O335">
        <f t="shared" si="76"/>
        <v>0</v>
      </c>
      <c r="P335">
        <f t="shared" si="77"/>
        <v>9.9999999999980105E-3</v>
      </c>
      <c r="R335">
        <f t="shared" si="78"/>
        <v>0.4375</v>
      </c>
      <c r="S335">
        <f t="shared" si="79"/>
        <v>0.42199999999999915</v>
      </c>
      <c r="U335">
        <f t="shared" si="80"/>
        <v>50.901687027341531</v>
      </c>
      <c r="AH335">
        <f t="shared" si="81"/>
        <v>3.9966006287920601</v>
      </c>
      <c r="AI335">
        <f t="shared" si="82"/>
        <v>31.022966635667526</v>
      </c>
      <c r="AJ335">
        <f t="shared" si="83"/>
        <v>57.924033364332487</v>
      </c>
      <c r="AL335">
        <f t="shared" si="84"/>
        <v>52.466701257584127</v>
      </c>
      <c r="AM335">
        <f t="shared" si="85"/>
        <v>36.48029874241589</v>
      </c>
    </row>
    <row r="336" spans="1:39" ht="16.5" x14ac:dyDescent="0.25">
      <c r="A336" s="1">
        <v>45217</v>
      </c>
      <c r="B336" s="5">
        <v>42.53</v>
      </c>
      <c r="C336" s="4">
        <v>43.1</v>
      </c>
      <c r="D336" s="4">
        <v>43.29</v>
      </c>
      <c r="E336" s="4">
        <v>42.47</v>
      </c>
      <c r="F336" s="4" t="s">
        <v>1676</v>
      </c>
      <c r="G336" s="2" t="s">
        <v>1549</v>
      </c>
      <c r="I336">
        <f t="shared" si="72"/>
        <v>44.7545</v>
      </c>
      <c r="J336">
        <f t="shared" si="73"/>
        <v>47.374250000000011</v>
      </c>
      <c r="L336">
        <f t="shared" si="74"/>
        <v>0</v>
      </c>
      <c r="M336">
        <f t="shared" si="75"/>
        <v>1</v>
      </c>
      <c r="O336">
        <f t="shared" si="76"/>
        <v>0</v>
      </c>
      <c r="P336">
        <f t="shared" si="77"/>
        <v>0.57000000000000028</v>
      </c>
      <c r="R336">
        <f t="shared" si="78"/>
        <v>0.36000000000000087</v>
      </c>
      <c r="S336">
        <f t="shared" si="79"/>
        <v>0.46777777777777707</v>
      </c>
      <c r="U336">
        <f t="shared" si="80"/>
        <v>43.489932885906136</v>
      </c>
      <c r="AH336">
        <f t="shared" si="81"/>
        <v>3.9468689868882678</v>
      </c>
      <c r="AI336">
        <f t="shared" si="82"/>
        <v>31.303966635667518</v>
      </c>
      <c r="AJ336">
        <f t="shared" si="83"/>
        <v>58.205033364332479</v>
      </c>
      <c r="AL336">
        <f t="shared" si="84"/>
        <v>52.648237973776538</v>
      </c>
      <c r="AM336">
        <f t="shared" si="85"/>
        <v>36.860762026223462</v>
      </c>
    </row>
    <row r="337" spans="1:39" ht="16.5" x14ac:dyDescent="0.25">
      <c r="A337" s="1">
        <v>45216</v>
      </c>
      <c r="B337" s="5">
        <v>43.2</v>
      </c>
      <c r="C337" s="4">
        <v>43.41</v>
      </c>
      <c r="D337" s="4">
        <v>43.56</v>
      </c>
      <c r="E337" s="4">
        <v>42.18</v>
      </c>
      <c r="F337" s="4" t="s">
        <v>1505</v>
      </c>
      <c r="G337" s="2" t="s">
        <v>137</v>
      </c>
      <c r="I337">
        <f t="shared" si="72"/>
        <v>45.085500000000003</v>
      </c>
      <c r="J337">
        <f t="shared" si="73"/>
        <v>47.568000000000012</v>
      </c>
      <c r="L337">
        <f t="shared" si="74"/>
        <v>0</v>
      </c>
      <c r="M337">
        <f t="shared" si="75"/>
        <v>1</v>
      </c>
      <c r="O337">
        <f t="shared" si="76"/>
        <v>0</v>
      </c>
      <c r="P337">
        <f t="shared" si="77"/>
        <v>0.20999999999999375</v>
      </c>
      <c r="R337">
        <f t="shared" si="78"/>
        <v>0.36000000000000087</v>
      </c>
      <c r="S337">
        <f t="shared" si="79"/>
        <v>0.43888888888888761</v>
      </c>
      <c r="U337">
        <f t="shared" si="80"/>
        <v>45.062586926286642</v>
      </c>
      <c r="AH337">
        <f t="shared" si="81"/>
        <v>3.8989084033867729</v>
      </c>
      <c r="AI337">
        <f t="shared" si="82"/>
        <v>31.634966635667521</v>
      </c>
      <c r="AJ337">
        <f t="shared" si="83"/>
        <v>58.536033364332482</v>
      </c>
      <c r="AL337">
        <f t="shared" si="84"/>
        <v>52.88331680677355</v>
      </c>
      <c r="AM337">
        <f t="shared" si="85"/>
        <v>37.287683193226457</v>
      </c>
    </row>
    <row r="338" spans="1:39" ht="16.5" x14ac:dyDescent="0.25">
      <c r="A338" s="1">
        <v>45215</v>
      </c>
      <c r="B338" s="5">
        <v>43.6</v>
      </c>
      <c r="C338" s="4">
        <v>43.68</v>
      </c>
      <c r="D338" s="4">
        <v>43.71</v>
      </c>
      <c r="E338" s="4">
        <v>43.33</v>
      </c>
      <c r="F338" s="4" t="s">
        <v>343</v>
      </c>
      <c r="G338" s="2" t="s">
        <v>1149</v>
      </c>
      <c r="I338">
        <f t="shared" si="72"/>
        <v>45.372</v>
      </c>
      <c r="J338">
        <f t="shared" si="73"/>
        <v>47.742750000000008</v>
      </c>
      <c r="L338">
        <f t="shared" si="74"/>
        <v>0</v>
      </c>
      <c r="M338">
        <f t="shared" si="75"/>
        <v>1</v>
      </c>
      <c r="O338">
        <f t="shared" si="76"/>
        <v>0</v>
      </c>
      <c r="P338">
        <f t="shared" si="77"/>
        <v>7.9999999999998295E-2</v>
      </c>
      <c r="R338">
        <f t="shared" si="78"/>
        <v>0.36000000000000087</v>
      </c>
      <c r="S338">
        <f t="shared" si="79"/>
        <v>0.41555555555555501</v>
      </c>
      <c r="U338">
        <f t="shared" si="80"/>
        <v>46.418338108882615</v>
      </c>
      <c r="AH338">
        <f t="shared" si="81"/>
        <v>3.8533788979388879</v>
      </c>
      <c r="AI338">
        <f t="shared" si="82"/>
        <v>31.921466635667517</v>
      </c>
      <c r="AJ338">
        <f t="shared" si="83"/>
        <v>58.822533364332486</v>
      </c>
      <c r="AL338">
        <f t="shared" si="84"/>
        <v>53.078757795877777</v>
      </c>
      <c r="AM338">
        <f t="shared" si="85"/>
        <v>37.665242204122222</v>
      </c>
    </row>
    <row r="339" spans="1:39" ht="16.5" x14ac:dyDescent="0.25">
      <c r="A339" s="1">
        <v>45212</v>
      </c>
      <c r="B339" s="5">
        <v>43.56</v>
      </c>
      <c r="C339" s="4">
        <v>44.01</v>
      </c>
      <c r="D339" s="4">
        <v>44.28</v>
      </c>
      <c r="E339" s="4">
        <v>43.53</v>
      </c>
      <c r="F339" s="4" t="s">
        <v>1536</v>
      </c>
      <c r="G339" s="2" t="s">
        <v>1302</v>
      </c>
      <c r="I339">
        <f t="shared" si="72"/>
        <v>45.624499999999998</v>
      </c>
      <c r="J339">
        <f t="shared" si="73"/>
        <v>47.906000000000013</v>
      </c>
      <c r="L339">
        <f t="shared" si="74"/>
        <v>0</v>
      </c>
      <c r="M339">
        <f t="shared" si="75"/>
        <v>1</v>
      </c>
      <c r="O339">
        <f t="shared" si="76"/>
        <v>0</v>
      </c>
      <c r="P339">
        <f t="shared" si="77"/>
        <v>0.44999999999999574</v>
      </c>
      <c r="R339">
        <f t="shared" si="78"/>
        <v>0.36000000000000087</v>
      </c>
      <c r="S339">
        <f t="shared" si="79"/>
        <v>0.47222222222222221</v>
      </c>
      <c r="U339">
        <f t="shared" si="80"/>
        <v>43.257676902536772</v>
      </c>
      <c r="AH339">
        <f t="shared" si="81"/>
        <v>3.8097796494196405</v>
      </c>
      <c r="AI339">
        <f t="shared" si="82"/>
        <v>32.173966635667512</v>
      </c>
      <c r="AJ339">
        <f t="shared" si="83"/>
        <v>59.075033364332484</v>
      </c>
      <c r="AL339">
        <f t="shared" si="84"/>
        <v>53.244059298839275</v>
      </c>
      <c r="AM339">
        <f t="shared" si="85"/>
        <v>38.00494070116072</v>
      </c>
    </row>
    <row r="340" spans="1:39" ht="16.5" x14ac:dyDescent="0.25">
      <c r="A340" s="1">
        <v>45211</v>
      </c>
      <c r="B340" s="5">
        <v>44.26</v>
      </c>
      <c r="C340" s="4">
        <v>44.82</v>
      </c>
      <c r="D340" s="4">
        <v>44.94</v>
      </c>
      <c r="E340" s="4">
        <v>44.26</v>
      </c>
      <c r="F340" s="4" t="s">
        <v>1483</v>
      </c>
      <c r="G340" s="2" t="s">
        <v>570</v>
      </c>
      <c r="I340">
        <f t="shared" si="72"/>
        <v>45.916499999999992</v>
      </c>
      <c r="J340">
        <f t="shared" si="73"/>
        <v>48.075000000000003</v>
      </c>
      <c r="L340">
        <f t="shared" si="74"/>
        <v>0</v>
      </c>
      <c r="M340">
        <f t="shared" si="75"/>
        <v>1</v>
      </c>
      <c r="O340">
        <f t="shared" si="76"/>
        <v>0</v>
      </c>
      <c r="P340">
        <f t="shared" si="77"/>
        <v>0.56000000000000227</v>
      </c>
      <c r="R340">
        <f t="shared" si="78"/>
        <v>0.36000000000000087</v>
      </c>
      <c r="S340">
        <f t="shared" si="79"/>
        <v>0.54666666666666686</v>
      </c>
      <c r="U340">
        <f t="shared" si="80"/>
        <v>39.705882352941231</v>
      </c>
      <c r="AH340">
        <f t="shared" si="81"/>
        <v>3.7677385737236251</v>
      </c>
      <c r="AI340">
        <f t="shared" si="82"/>
        <v>32.465966635667513</v>
      </c>
      <c r="AJ340">
        <f t="shared" si="83"/>
        <v>59.367033364332471</v>
      </c>
      <c r="AL340">
        <f t="shared" si="84"/>
        <v>53.451977147447245</v>
      </c>
      <c r="AM340">
        <f t="shared" si="85"/>
        <v>38.381022852552739</v>
      </c>
    </row>
    <row r="341" spans="1:39" ht="16.5" x14ac:dyDescent="0.25">
      <c r="A341" s="1">
        <v>45210</v>
      </c>
      <c r="B341" s="5">
        <v>44.85</v>
      </c>
      <c r="C341" s="4">
        <v>44.76</v>
      </c>
      <c r="D341" s="4">
        <v>45.46</v>
      </c>
      <c r="E341" s="4">
        <v>44.66</v>
      </c>
      <c r="F341" s="4" t="s">
        <v>1403</v>
      </c>
      <c r="G341" s="2" t="s">
        <v>266</v>
      </c>
      <c r="I341">
        <f t="shared" si="72"/>
        <v>46.148499999999991</v>
      </c>
      <c r="J341">
        <f t="shared" si="73"/>
        <v>48.251750000000001</v>
      </c>
      <c r="L341">
        <f t="shared" si="74"/>
        <v>1</v>
      </c>
      <c r="M341">
        <f t="shared" si="75"/>
        <v>0</v>
      </c>
      <c r="O341">
        <f t="shared" si="76"/>
        <v>9.0000000000003411E-2</v>
      </c>
      <c r="P341">
        <f t="shared" si="77"/>
        <v>0</v>
      </c>
      <c r="R341">
        <f t="shared" si="78"/>
        <v>0.32333333333333414</v>
      </c>
      <c r="S341">
        <f t="shared" si="79"/>
        <v>0.54499999999999993</v>
      </c>
      <c r="U341">
        <f t="shared" si="80"/>
        <v>37.236084452975113</v>
      </c>
      <c r="AH341">
        <f t="shared" si="81"/>
        <v>3.7277636098820714</v>
      </c>
      <c r="AI341">
        <f t="shared" si="82"/>
        <v>32.697966635667512</v>
      </c>
      <c r="AJ341">
        <f t="shared" si="83"/>
        <v>59.59903336433247</v>
      </c>
      <c r="AL341">
        <f t="shared" si="84"/>
        <v>53.604027219764134</v>
      </c>
      <c r="AM341">
        <f t="shared" si="85"/>
        <v>38.692972780235849</v>
      </c>
    </row>
    <row r="342" spans="1:39" ht="16.5" x14ac:dyDescent="0.25">
      <c r="A342" s="1">
        <v>45209</v>
      </c>
      <c r="B342" s="5">
        <v>44.76</v>
      </c>
      <c r="C342" s="4">
        <v>43.88</v>
      </c>
      <c r="D342" s="4">
        <v>44.77</v>
      </c>
      <c r="E342" s="4">
        <v>43.88</v>
      </c>
      <c r="F342" s="4" t="s">
        <v>262</v>
      </c>
      <c r="G342" s="2" t="s">
        <v>212</v>
      </c>
      <c r="I342">
        <f t="shared" si="72"/>
        <v>46.322499999999991</v>
      </c>
      <c r="J342">
        <f t="shared" si="73"/>
        <v>48.405500000000004</v>
      </c>
      <c r="L342">
        <f t="shared" si="74"/>
        <v>1</v>
      </c>
      <c r="M342">
        <f t="shared" si="75"/>
        <v>0</v>
      </c>
      <c r="O342">
        <f t="shared" si="76"/>
        <v>0.87999999999999545</v>
      </c>
      <c r="P342">
        <f t="shared" si="77"/>
        <v>0</v>
      </c>
      <c r="R342">
        <f t="shared" si="78"/>
        <v>0.37000000000000027</v>
      </c>
      <c r="S342">
        <f t="shared" si="79"/>
        <v>0.59333333333333294</v>
      </c>
      <c r="U342">
        <f t="shared" si="80"/>
        <v>38.408304498269935</v>
      </c>
      <c r="AH342">
        <f t="shared" si="81"/>
        <v>3.6891786235040076</v>
      </c>
      <c r="AI342">
        <f t="shared" si="82"/>
        <v>32.871966635667505</v>
      </c>
      <c r="AJ342">
        <f t="shared" si="83"/>
        <v>59.773033364332477</v>
      </c>
      <c r="AL342">
        <f t="shared" si="84"/>
        <v>53.700857247008003</v>
      </c>
      <c r="AM342">
        <f t="shared" si="85"/>
        <v>38.944142752991979</v>
      </c>
    </row>
    <row r="343" spans="1:39" ht="16.5" x14ac:dyDescent="0.25">
      <c r="A343" s="1">
        <v>45208</v>
      </c>
      <c r="B343" s="5">
        <v>43.44</v>
      </c>
      <c r="C343" s="4">
        <v>43.79</v>
      </c>
      <c r="D343" s="4">
        <v>43.85</v>
      </c>
      <c r="E343" s="4">
        <v>43.29</v>
      </c>
      <c r="F343" s="4" t="s">
        <v>77</v>
      </c>
      <c r="G343" s="2" t="s">
        <v>446</v>
      </c>
      <c r="I343">
        <f t="shared" si="72"/>
        <v>46.617999999999988</v>
      </c>
      <c r="J343">
        <f t="shared" si="73"/>
        <v>48.58325</v>
      </c>
      <c r="L343">
        <f t="shared" si="74"/>
        <v>0</v>
      </c>
      <c r="M343">
        <f t="shared" si="75"/>
        <v>1</v>
      </c>
      <c r="O343">
        <f t="shared" si="76"/>
        <v>0</v>
      </c>
      <c r="P343">
        <f t="shared" si="77"/>
        <v>0.35000000000000142</v>
      </c>
      <c r="R343">
        <f t="shared" si="78"/>
        <v>0.22400000000000092</v>
      </c>
      <c r="S343">
        <f t="shared" si="79"/>
        <v>0.59333333333333294</v>
      </c>
      <c r="U343">
        <f t="shared" si="80"/>
        <v>27.406199021207271</v>
      </c>
      <c r="AH343">
        <f t="shared" si="81"/>
        <v>3.6513294650595576</v>
      </c>
      <c r="AI343">
        <f t="shared" si="82"/>
        <v>33.167466635667509</v>
      </c>
      <c r="AJ343">
        <f t="shared" si="83"/>
        <v>60.068533364332467</v>
      </c>
      <c r="AL343">
        <f t="shared" si="84"/>
        <v>53.920658930119103</v>
      </c>
      <c r="AM343">
        <f t="shared" si="85"/>
        <v>39.315341069880873</v>
      </c>
    </row>
    <row r="344" spans="1:39" ht="16.5" x14ac:dyDescent="0.25">
      <c r="A344" s="1">
        <v>45205</v>
      </c>
      <c r="B344" s="5">
        <v>44.08</v>
      </c>
      <c r="C344" s="4">
        <v>43.94</v>
      </c>
      <c r="D344" s="4">
        <v>44.1</v>
      </c>
      <c r="E344" s="4">
        <v>43.58</v>
      </c>
      <c r="F344" s="4" t="s">
        <v>1434</v>
      </c>
      <c r="G344" s="2" t="s">
        <v>1273</v>
      </c>
      <c r="I344">
        <f t="shared" si="72"/>
        <v>47.005999999999993</v>
      </c>
      <c r="J344">
        <f t="shared" si="73"/>
        <v>48.815000000000005</v>
      </c>
      <c r="L344">
        <f t="shared" si="74"/>
        <v>1</v>
      </c>
      <c r="M344">
        <f t="shared" si="75"/>
        <v>0</v>
      </c>
      <c r="O344">
        <f t="shared" si="76"/>
        <v>0.14000000000000057</v>
      </c>
      <c r="P344">
        <f t="shared" si="77"/>
        <v>0</v>
      </c>
      <c r="R344">
        <f t="shared" si="78"/>
        <v>0.28333333333333383</v>
      </c>
      <c r="S344">
        <f t="shared" si="79"/>
        <v>0.62374999999999936</v>
      </c>
      <c r="U344">
        <f t="shared" si="80"/>
        <v>31.235645383555408</v>
      </c>
      <c r="AH344">
        <f t="shared" si="81"/>
        <v>3.6156655643849978</v>
      </c>
      <c r="AI344">
        <f t="shared" si="82"/>
        <v>33.555466635667514</v>
      </c>
      <c r="AJ344">
        <f t="shared" si="83"/>
        <v>60.456533364332472</v>
      </c>
      <c r="AL344">
        <f t="shared" si="84"/>
        <v>54.237331128769988</v>
      </c>
      <c r="AM344">
        <f t="shared" si="85"/>
        <v>39.774668871229999</v>
      </c>
    </row>
    <row r="345" spans="1:39" ht="16.5" x14ac:dyDescent="0.25">
      <c r="A345" s="1">
        <v>45204</v>
      </c>
      <c r="B345" s="5">
        <v>43.87</v>
      </c>
      <c r="C345" s="4">
        <v>44.36</v>
      </c>
      <c r="D345" s="4">
        <v>44.53</v>
      </c>
      <c r="E345" s="4">
        <v>43.63</v>
      </c>
      <c r="F345" s="4" t="s">
        <v>1550</v>
      </c>
      <c r="G345" s="2" t="s">
        <v>606</v>
      </c>
      <c r="I345">
        <f t="shared" si="72"/>
        <v>47.311499999999988</v>
      </c>
      <c r="J345">
        <f t="shared" si="73"/>
        <v>49.027249999999995</v>
      </c>
      <c r="L345">
        <f t="shared" si="74"/>
        <v>0</v>
      </c>
      <c r="M345">
        <f t="shared" si="75"/>
        <v>1</v>
      </c>
      <c r="O345">
        <f t="shared" si="76"/>
        <v>0</v>
      </c>
      <c r="P345">
        <f t="shared" si="77"/>
        <v>0.49000000000000199</v>
      </c>
      <c r="R345">
        <f t="shared" si="78"/>
        <v>0.31200000000000044</v>
      </c>
      <c r="S345">
        <f t="shared" si="79"/>
        <v>0.62666666666666593</v>
      </c>
      <c r="U345">
        <f t="shared" si="80"/>
        <v>33.238636363636417</v>
      </c>
      <c r="AH345">
        <f t="shared" si="81"/>
        <v>3.5832630428026482</v>
      </c>
      <c r="AI345">
        <f t="shared" si="82"/>
        <v>33.860966635667509</v>
      </c>
      <c r="AJ345">
        <f t="shared" si="83"/>
        <v>60.762033364332467</v>
      </c>
      <c r="AL345">
        <f t="shared" si="84"/>
        <v>54.478026085605286</v>
      </c>
      <c r="AM345">
        <f t="shared" si="85"/>
        <v>40.14497391439469</v>
      </c>
    </row>
    <row r="346" spans="1:39" ht="16.5" x14ac:dyDescent="0.25">
      <c r="A346" s="1">
        <v>45203</v>
      </c>
      <c r="B346" s="5">
        <v>44.26</v>
      </c>
      <c r="C346" s="4">
        <v>43.62</v>
      </c>
      <c r="D346" s="4">
        <v>44.49</v>
      </c>
      <c r="E346" s="4">
        <v>43.56</v>
      </c>
      <c r="F346" s="4" t="s">
        <v>1377</v>
      </c>
      <c r="G346" s="2" t="s">
        <v>715</v>
      </c>
      <c r="I346">
        <f t="shared" si="72"/>
        <v>47.629999999999995</v>
      </c>
      <c r="J346">
        <f t="shared" si="73"/>
        <v>49.247750000000003</v>
      </c>
      <c r="L346">
        <f t="shared" si="74"/>
        <v>1</v>
      </c>
      <c r="M346">
        <f t="shared" si="75"/>
        <v>0</v>
      </c>
      <c r="O346">
        <f t="shared" si="76"/>
        <v>0.64000000000000057</v>
      </c>
      <c r="P346">
        <f t="shared" si="77"/>
        <v>0</v>
      </c>
      <c r="R346">
        <f t="shared" si="78"/>
        <v>0.26833333333333326</v>
      </c>
      <c r="S346">
        <f t="shared" si="79"/>
        <v>0.64374999999999893</v>
      </c>
      <c r="U346">
        <f t="shared" si="80"/>
        <v>29.419826404751063</v>
      </c>
      <c r="AH346">
        <f t="shared" si="81"/>
        <v>3.5531980718876546</v>
      </c>
      <c r="AI346">
        <f t="shared" si="82"/>
        <v>34.179466635667509</v>
      </c>
      <c r="AJ346">
        <f t="shared" si="83"/>
        <v>61.080533364332481</v>
      </c>
      <c r="AL346">
        <f t="shared" si="84"/>
        <v>54.736396143775302</v>
      </c>
      <c r="AM346">
        <f t="shared" si="85"/>
        <v>40.523603856224689</v>
      </c>
    </row>
    <row r="347" spans="1:39" ht="16.5" x14ac:dyDescent="0.25">
      <c r="A347" s="1">
        <v>45202</v>
      </c>
      <c r="B347" s="5">
        <v>43.88</v>
      </c>
      <c r="C347" s="4">
        <v>44.69</v>
      </c>
      <c r="D347" s="4">
        <v>44.74</v>
      </c>
      <c r="E347" s="4">
        <v>43.86</v>
      </c>
      <c r="F347" s="4" t="s">
        <v>1392</v>
      </c>
      <c r="G347" s="2" t="s">
        <v>1731</v>
      </c>
      <c r="I347">
        <f t="shared" si="72"/>
        <v>47.922999999999995</v>
      </c>
      <c r="J347">
        <f t="shared" si="73"/>
        <v>49.441749999999999</v>
      </c>
      <c r="L347">
        <f t="shared" si="74"/>
        <v>0</v>
      </c>
      <c r="M347">
        <f t="shared" si="75"/>
        <v>1</v>
      </c>
      <c r="O347">
        <f t="shared" si="76"/>
        <v>0</v>
      </c>
      <c r="P347">
        <f t="shared" si="77"/>
        <v>0.80999999999999517</v>
      </c>
      <c r="R347">
        <f t="shared" si="78"/>
        <v>0.26166666666666671</v>
      </c>
      <c r="S347">
        <f t="shared" si="79"/>
        <v>0.64374999999999893</v>
      </c>
      <c r="U347">
        <f t="shared" si="80"/>
        <v>28.900138057984393</v>
      </c>
      <c r="AH347">
        <f t="shared" si="81"/>
        <v>3.5256178943214258</v>
      </c>
      <c r="AI347">
        <f t="shared" si="82"/>
        <v>34.472466635667516</v>
      </c>
      <c r="AJ347">
        <f t="shared" si="83"/>
        <v>61.373533364332474</v>
      </c>
      <c r="AL347">
        <f t="shared" si="84"/>
        <v>54.974235788642844</v>
      </c>
      <c r="AM347">
        <f t="shared" si="85"/>
        <v>40.871764211357146</v>
      </c>
    </row>
    <row r="348" spans="1:39" ht="16.5" x14ac:dyDescent="0.25">
      <c r="A348" s="1">
        <v>45201</v>
      </c>
      <c r="B348" s="5">
        <v>44.87</v>
      </c>
      <c r="C348" s="4">
        <v>45.56</v>
      </c>
      <c r="D348" s="4">
        <v>45.76</v>
      </c>
      <c r="E348" s="4">
        <v>44.72</v>
      </c>
      <c r="F348" s="4" t="s">
        <v>1732</v>
      </c>
      <c r="G348" s="2" t="s">
        <v>1315</v>
      </c>
      <c r="I348">
        <f t="shared" si="72"/>
        <v>48.261499999999998</v>
      </c>
      <c r="J348">
        <f t="shared" si="73"/>
        <v>49.652750000000005</v>
      </c>
      <c r="L348">
        <f t="shared" si="74"/>
        <v>0</v>
      </c>
      <c r="M348">
        <f t="shared" si="75"/>
        <v>1</v>
      </c>
      <c r="O348">
        <f t="shared" si="76"/>
        <v>0</v>
      </c>
      <c r="P348">
        <f t="shared" si="77"/>
        <v>0.69000000000000483</v>
      </c>
      <c r="R348">
        <f t="shared" si="78"/>
        <v>0.26166666666666671</v>
      </c>
      <c r="S348">
        <f t="shared" si="79"/>
        <v>0.76124999999999954</v>
      </c>
      <c r="U348">
        <f t="shared" si="80"/>
        <v>25.58044806517313</v>
      </c>
      <c r="AH348">
        <f t="shared" si="81"/>
        <v>3.5002501523197935</v>
      </c>
      <c r="AI348">
        <f t="shared" si="82"/>
        <v>34.810966635667512</v>
      </c>
      <c r="AJ348">
        <f t="shared" si="83"/>
        <v>61.712033364332484</v>
      </c>
      <c r="AL348">
        <f t="shared" si="84"/>
        <v>55.262000304639585</v>
      </c>
      <c r="AM348">
        <f t="shared" si="85"/>
        <v>41.260999695360411</v>
      </c>
    </row>
    <row r="349" spans="1:39" ht="16.5" x14ac:dyDescent="0.25">
      <c r="A349" s="1">
        <v>45198</v>
      </c>
      <c r="B349" s="5">
        <v>45.45</v>
      </c>
      <c r="C349" s="4">
        <v>45.4</v>
      </c>
      <c r="D349" s="4">
        <v>45.83</v>
      </c>
      <c r="E349" s="4">
        <v>45.36</v>
      </c>
      <c r="F349" s="4" t="s">
        <v>1399</v>
      </c>
      <c r="G349" s="2" t="s">
        <v>988</v>
      </c>
      <c r="I349">
        <f t="shared" si="72"/>
        <v>48.55</v>
      </c>
      <c r="J349">
        <f t="shared" si="73"/>
        <v>49.840249999999997</v>
      </c>
      <c r="L349">
        <f t="shared" si="74"/>
        <v>1</v>
      </c>
      <c r="M349">
        <f t="shared" si="75"/>
        <v>0</v>
      </c>
      <c r="O349">
        <f t="shared" si="76"/>
        <v>5.0000000000004263E-2</v>
      </c>
      <c r="P349">
        <f t="shared" si="77"/>
        <v>0</v>
      </c>
      <c r="R349">
        <f t="shared" si="78"/>
        <v>0.26166666666666671</v>
      </c>
      <c r="S349">
        <f t="shared" si="79"/>
        <v>0.74124999999999908</v>
      </c>
      <c r="U349">
        <f t="shared" si="80"/>
        <v>26.090569173244731</v>
      </c>
      <c r="AH349">
        <f t="shared" si="81"/>
        <v>3.4775558264250526</v>
      </c>
      <c r="AI349">
        <f t="shared" si="82"/>
        <v>35.099466635667511</v>
      </c>
      <c r="AJ349">
        <f t="shared" si="83"/>
        <v>62.000533364332483</v>
      </c>
      <c r="AL349">
        <f t="shared" si="84"/>
        <v>55.505111652850104</v>
      </c>
      <c r="AM349">
        <f t="shared" si="85"/>
        <v>41.59488834714989</v>
      </c>
    </row>
    <row r="350" spans="1:39" ht="16.5" x14ac:dyDescent="0.25">
      <c r="A350" s="1">
        <v>45197</v>
      </c>
      <c r="B350" s="5">
        <v>45.35</v>
      </c>
      <c r="C350" s="4">
        <v>45.66</v>
      </c>
      <c r="D350" s="4">
        <v>45.81</v>
      </c>
      <c r="E350" s="4">
        <v>44.97</v>
      </c>
      <c r="F350" s="4" t="s">
        <v>1437</v>
      </c>
      <c r="G350" s="2" t="s">
        <v>127</v>
      </c>
      <c r="I350">
        <f t="shared" si="72"/>
        <v>48.820999999999991</v>
      </c>
      <c r="J350">
        <f t="shared" si="73"/>
        <v>49.994499999999995</v>
      </c>
      <c r="L350">
        <f t="shared" si="74"/>
        <v>0</v>
      </c>
      <c r="M350">
        <f t="shared" si="75"/>
        <v>1</v>
      </c>
      <c r="O350">
        <f t="shared" si="76"/>
        <v>0</v>
      </c>
      <c r="P350">
        <f t="shared" si="77"/>
        <v>0.30999999999999517</v>
      </c>
      <c r="R350">
        <f t="shared" si="78"/>
        <v>0.36166666666666697</v>
      </c>
      <c r="S350">
        <f t="shared" si="79"/>
        <v>0.74124999999999908</v>
      </c>
      <c r="U350">
        <f t="shared" si="80"/>
        <v>32.79183981866268</v>
      </c>
      <c r="AH350">
        <f t="shared" si="81"/>
        <v>3.4570118122633824</v>
      </c>
      <c r="AI350">
        <f t="shared" si="82"/>
        <v>35.370466635667512</v>
      </c>
      <c r="AJ350">
        <f t="shared" si="83"/>
        <v>62.27153336433247</v>
      </c>
      <c r="AL350">
        <f t="shared" si="84"/>
        <v>55.735023624526754</v>
      </c>
      <c r="AM350">
        <f t="shared" si="85"/>
        <v>41.906976375473228</v>
      </c>
    </row>
    <row r="351" spans="1:39" ht="16.5" x14ac:dyDescent="0.25">
      <c r="A351" s="1">
        <v>45196</v>
      </c>
      <c r="B351" s="5">
        <v>45.72</v>
      </c>
      <c r="C351" s="4">
        <v>45.72</v>
      </c>
      <c r="D351" s="4">
        <v>46.03</v>
      </c>
      <c r="E351" s="4">
        <v>45.52</v>
      </c>
      <c r="F351" s="4" t="s">
        <v>1383</v>
      </c>
      <c r="G351" s="2" t="s">
        <v>326</v>
      </c>
      <c r="I351">
        <f t="shared" si="72"/>
        <v>49.080499999999994</v>
      </c>
      <c r="J351">
        <f t="shared" si="73"/>
        <v>50.150499999999994</v>
      </c>
      <c r="L351">
        <f t="shared" si="74"/>
        <v>0</v>
      </c>
      <c r="M351">
        <f t="shared" si="75"/>
        <v>1</v>
      </c>
      <c r="O351">
        <f t="shared" si="76"/>
        <v>0</v>
      </c>
      <c r="P351">
        <f t="shared" si="77"/>
        <v>0</v>
      </c>
      <c r="R351">
        <f t="shared" si="78"/>
        <v>0.36166666666666697</v>
      </c>
      <c r="S351">
        <f t="shared" si="79"/>
        <v>0.71875</v>
      </c>
      <c r="U351">
        <f t="shared" si="80"/>
        <v>33.474739683764</v>
      </c>
      <c r="AH351">
        <f t="shared" si="81"/>
        <v>3.4384348281736261</v>
      </c>
      <c r="AI351">
        <f t="shared" si="82"/>
        <v>35.629966635667515</v>
      </c>
      <c r="AJ351">
        <f t="shared" si="83"/>
        <v>62.531033364332473</v>
      </c>
      <c r="AL351">
        <f t="shared" si="84"/>
        <v>55.957369656347247</v>
      </c>
      <c r="AM351">
        <f t="shared" si="85"/>
        <v>42.20363034365274</v>
      </c>
    </row>
    <row r="352" spans="1:39" ht="16.5" x14ac:dyDescent="0.25">
      <c r="A352" s="1">
        <v>45195</v>
      </c>
      <c r="B352" s="5">
        <v>45.68</v>
      </c>
      <c r="C352" s="4">
        <v>46.27</v>
      </c>
      <c r="D352" s="4">
        <v>46.38</v>
      </c>
      <c r="E352" s="4">
        <v>45.68</v>
      </c>
      <c r="F352" s="4" t="s">
        <v>1591</v>
      </c>
      <c r="G352" s="2" t="s">
        <v>1542</v>
      </c>
      <c r="I352">
        <f t="shared" si="72"/>
        <v>49.314999999999991</v>
      </c>
      <c r="J352">
        <f t="shared" si="73"/>
        <v>50.30749999999999</v>
      </c>
      <c r="L352">
        <f t="shared" si="74"/>
        <v>0</v>
      </c>
      <c r="M352">
        <f t="shared" si="75"/>
        <v>1</v>
      </c>
      <c r="O352">
        <f t="shared" si="76"/>
        <v>0</v>
      </c>
      <c r="P352">
        <f t="shared" si="77"/>
        <v>0.59000000000000341</v>
      </c>
      <c r="R352">
        <f t="shared" si="78"/>
        <v>0.3342857142857148</v>
      </c>
      <c r="S352">
        <f t="shared" si="79"/>
        <v>0.8214285714285714</v>
      </c>
      <c r="U352">
        <f t="shared" si="80"/>
        <v>28.924598269468518</v>
      </c>
      <c r="AH352">
        <f t="shared" si="81"/>
        <v>3.4217032463460293</v>
      </c>
      <c r="AI352">
        <f t="shared" si="82"/>
        <v>35.864466635667512</v>
      </c>
      <c r="AJ352">
        <f t="shared" si="83"/>
        <v>62.76553336433247</v>
      </c>
      <c r="AL352">
        <f t="shared" si="84"/>
        <v>56.158406492692052</v>
      </c>
      <c r="AM352">
        <f t="shared" si="85"/>
        <v>42.471593507307929</v>
      </c>
    </row>
    <row r="353" spans="1:39" ht="16.5" x14ac:dyDescent="0.25">
      <c r="A353" s="1">
        <v>45194</v>
      </c>
      <c r="B353" s="5">
        <v>46.32</v>
      </c>
      <c r="C353" s="4">
        <v>47.44</v>
      </c>
      <c r="D353" s="4">
        <v>47.47</v>
      </c>
      <c r="E353" s="4">
        <v>45.83</v>
      </c>
      <c r="F353" s="4" t="s">
        <v>982</v>
      </c>
      <c r="G353" s="2" t="s">
        <v>1733</v>
      </c>
      <c r="I353">
        <f t="shared" si="72"/>
        <v>49.564499999999995</v>
      </c>
      <c r="J353">
        <f t="shared" si="73"/>
        <v>50.489749999999994</v>
      </c>
      <c r="L353">
        <f t="shared" si="74"/>
        <v>0</v>
      </c>
      <c r="M353">
        <f t="shared" si="75"/>
        <v>1</v>
      </c>
      <c r="O353">
        <f t="shared" si="76"/>
        <v>0</v>
      </c>
      <c r="P353">
        <f t="shared" si="77"/>
        <v>1.1199999999999974</v>
      </c>
      <c r="R353">
        <f t="shared" si="78"/>
        <v>0.3342857142857148</v>
      </c>
      <c r="S353">
        <f t="shared" si="79"/>
        <v>0.77142857142857124</v>
      </c>
      <c r="U353">
        <f t="shared" si="80"/>
        <v>30.232558139534916</v>
      </c>
      <c r="AH353">
        <f t="shared" si="81"/>
        <v>3.4065754109522697</v>
      </c>
      <c r="AI353">
        <f t="shared" si="82"/>
        <v>36.113966635667509</v>
      </c>
      <c r="AJ353">
        <f t="shared" si="83"/>
        <v>63.015033364332481</v>
      </c>
      <c r="AL353">
        <f t="shared" si="84"/>
        <v>56.377650821904538</v>
      </c>
      <c r="AM353">
        <f t="shared" si="85"/>
        <v>42.751349178095452</v>
      </c>
    </row>
    <row r="354" spans="1:39" ht="16.5" x14ac:dyDescent="0.25">
      <c r="A354" s="1">
        <v>45191</v>
      </c>
      <c r="B354" s="5">
        <v>47.64</v>
      </c>
      <c r="C354" s="4">
        <v>47.5</v>
      </c>
      <c r="D354" s="4">
        <v>48.04</v>
      </c>
      <c r="E354" s="4">
        <v>47.37</v>
      </c>
      <c r="F354" s="4" t="s">
        <v>1466</v>
      </c>
      <c r="G354" s="2" t="s">
        <v>544</v>
      </c>
      <c r="I354">
        <f t="shared" si="72"/>
        <v>49.767499999999991</v>
      </c>
      <c r="J354">
        <f t="shared" si="73"/>
        <v>50.660249999999991</v>
      </c>
      <c r="L354">
        <f t="shared" si="74"/>
        <v>1</v>
      </c>
      <c r="M354">
        <f t="shared" si="75"/>
        <v>0</v>
      </c>
      <c r="O354">
        <f t="shared" si="76"/>
        <v>0.14000000000000057</v>
      </c>
      <c r="P354">
        <f t="shared" si="77"/>
        <v>0</v>
      </c>
      <c r="R354">
        <f t="shared" si="78"/>
        <v>0.33000000000000007</v>
      </c>
      <c r="S354">
        <f t="shared" si="79"/>
        <v>0.71333333333333349</v>
      </c>
      <c r="U354">
        <f t="shared" si="80"/>
        <v>31.629392971246006</v>
      </c>
      <c r="AH354">
        <f t="shared" si="81"/>
        <v>3.393173114449874</v>
      </c>
      <c r="AI354">
        <f t="shared" si="82"/>
        <v>36.316966635667512</v>
      </c>
      <c r="AJ354">
        <f t="shared" si="83"/>
        <v>63.21803336433247</v>
      </c>
      <c r="AL354">
        <f t="shared" si="84"/>
        <v>56.553846228899737</v>
      </c>
      <c r="AM354">
        <f t="shared" si="85"/>
        <v>42.981153771100246</v>
      </c>
    </row>
    <row r="355" spans="1:39" ht="16.5" x14ac:dyDescent="0.25">
      <c r="A355" s="1">
        <v>45190</v>
      </c>
      <c r="B355" s="5">
        <v>47.77</v>
      </c>
      <c r="C355" s="4">
        <v>48.75</v>
      </c>
      <c r="D355" s="4">
        <v>48.9</v>
      </c>
      <c r="E355" s="4">
        <v>47.18</v>
      </c>
      <c r="F355" s="4" t="s">
        <v>1629</v>
      </c>
      <c r="G355" s="2" t="s">
        <v>1559</v>
      </c>
      <c r="I355">
        <f t="shared" si="72"/>
        <v>49.887999999999991</v>
      </c>
      <c r="J355">
        <f t="shared" si="73"/>
        <v>50.77924999999999</v>
      </c>
      <c r="L355">
        <f t="shared" si="74"/>
        <v>0</v>
      </c>
      <c r="M355">
        <f t="shared" si="75"/>
        <v>1</v>
      </c>
      <c r="O355">
        <f t="shared" si="76"/>
        <v>0</v>
      </c>
      <c r="P355">
        <f t="shared" si="77"/>
        <v>0.97999999999999687</v>
      </c>
      <c r="R355">
        <f t="shared" si="78"/>
        <v>0.35714285714285715</v>
      </c>
      <c r="S355">
        <f t="shared" si="79"/>
        <v>0.65571428571428625</v>
      </c>
      <c r="U355">
        <f t="shared" si="80"/>
        <v>35.260930888575444</v>
      </c>
      <c r="AH355">
        <f t="shared" si="81"/>
        <v>3.3810784407167107</v>
      </c>
      <c r="AI355">
        <f t="shared" si="82"/>
        <v>36.437466635667505</v>
      </c>
      <c r="AJ355">
        <f t="shared" si="83"/>
        <v>63.338533364332477</v>
      </c>
      <c r="AL355">
        <f t="shared" si="84"/>
        <v>56.650156881433411</v>
      </c>
      <c r="AM355">
        <f t="shared" si="85"/>
        <v>43.125843118566571</v>
      </c>
    </row>
    <row r="356" spans="1:39" ht="16.5" x14ac:dyDescent="0.25">
      <c r="A356" s="1">
        <v>45189</v>
      </c>
      <c r="B356" s="5">
        <v>49.15</v>
      </c>
      <c r="C356" s="4">
        <v>49</v>
      </c>
      <c r="D356" s="4">
        <v>49.25</v>
      </c>
      <c r="E356" s="4">
        <v>48.79</v>
      </c>
      <c r="F356" s="4" t="s">
        <v>103</v>
      </c>
      <c r="G356" s="2" t="s">
        <v>401</v>
      </c>
      <c r="I356">
        <f t="shared" si="72"/>
        <v>49.993999999999986</v>
      </c>
      <c r="J356">
        <f t="shared" si="73"/>
        <v>50.891999999999989</v>
      </c>
      <c r="L356">
        <f t="shared" si="74"/>
        <v>1</v>
      </c>
      <c r="M356">
        <f t="shared" si="75"/>
        <v>0</v>
      </c>
      <c r="O356">
        <f t="shared" si="76"/>
        <v>0.14999999999999858</v>
      </c>
      <c r="P356">
        <f t="shared" si="77"/>
        <v>0</v>
      </c>
      <c r="R356">
        <f t="shared" si="78"/>
        <v>0.35999999999999943</v>
      </c>
      <c r="S356">
        <f t="shared" si="79"/>
        <v>0.60166666666666779</v>
      </c>
      <c r="U356">
        <f t="shared" si="80"/>
        <v>37.435008665511184</v>
      </c>
      <c r="AH356">
        <f t="shared" si="81"/>
        <v>3.3695887142152929</v>
      </c>
      <c r="AI356">
        <f t="shared" si="82"/>
        <v>36.5434666356675</v>
      </c>
      <c r="AJ356">
        <f t="shared" si="83"/>
        <v>63.444533364332472</v>
      </c>
      <c r="AL356">
        <f t="shared" si="84"/>
        <v>56.733177428430572</v>
      </c>
      <c r="AM356">
        <f t="shared" si="85"/>
        <v>43.254822571569399</v>
      </c>
    </row>
    <row r="357" spans="1:39" ht="16.5" x14ac:dyDescent="0.25">
      <c r="A357" s="1">
        <v>45188</v>
      </c>
      <c r="B357" s="5">
        <v>48.93</v>
      </c>
      <c r="C357" s="4">
        <v>48.35</v>
      </c>
      <c r="D357" s="4">
        <v>48.94</v>
      </c>
      <c r="E357" s="4">
        <v>48.32</v>
      </c>
      <c r="F357" s="4" t="s">
        <v>129</v>
      </c>
      <c r="G357" s="2" t="s">
        <v>1058</v>
      </c>
      <c r="I357">
        <f t="shared" si="72"/>
        <v>50.050499999999985</v>
      </c>
      <c r="J357">
        <f t="shared" si="73"/>
        <v>50.951249999999987</v>
      </c>
      <c r="L357">
        <f t="shared" si="74"/>
        <v>1</v>
      </c>
      <c r="M357">
        <f t="shared" si="75"/>
        <v>0</v>
      </c>
      <c r="O357">
        <f t="shared" si="76"/>
        <v>0.57999999999999829</v>
      </c>
      <c r="P357">
        <f t="shared" si="77"/>
        <v>0</v>
      </c>
      <c r="R357">
        <f t="shared" si="78"/>
        <v>0.35874999999999968</v>
      </c>
      <c r="S357">
        <f t="shared" si="79"/>
        <v>0.60166666666666779</v>
      </c>
      <c r="U357">
        <f t="shared" si="80"/>
        <v>37.353579175704922</v>
      </c>
      <c r="AH357">
        <f t="shared" si="81"/>
        <v>3.3585876077721033</v>
      </c>
      <c r="AI357">
        <f t="shared" si="82"/>
        <v>36.599966635667499</v>
      </c>
      <c r="AJ357">
        <f t="shared" si="83"/>
        <v>63.501033364332471</v>
      </c>
      <c r="AL357">
        <f t="shared" si="84"/>
        <v>56.767675215544195</v>
      </c>
      <c r="AM357">
        <f t="shared" si="85"/>
        <v>43.333324784455776</v>
      </c>
    </row>
    <row r="358" spans="1:39" ht="16.5" x14ac:dyDescent="0.25">
      <c r="A358" s="1">
        <v>45187</v>
      </c>
      <c r="B358" s="5">
        <v>48.65</v>
      </c>
      <c r="C358" s="4">
        <v>49.3</v>
      </c>
      <c r="D358" s="4">
        <v>49.42</v>
      </c>
      <c r="E358" s="4">
        <v>48.59</v>
      </c>
      <c r="F358" s="4" t="s">
        <v>157</v>
      </c>
      <c r="G358" s="2" t="s">
        <v>151</v>
      </c>
      <c r="I358">
        <f t="shared" si="72"/>
        <v>50.113499999999988</v>
      </c>
      <c r="J358">
        <f t="shared" si="73"/>
        <v>51.021249999999988</v>
      </c>
      <c r="L358">
        <f t="shared" si="74"/>
        <v>0</v>
      </c>
      <c r="M358">
        <f t="shared" si="75"/>
        <v>1</v>
      </c>
      <c r="O358">
        <f t="shared" si="76"/>
        <v>0</v>
      </c>
      <c r="P358">
        <f t="shared" si="77"/>
        <v>0.64999999999999858</v>
      </c>
      <c r="R358">
        <f t="shared" si="78"/>
        <v>0.32714285714285701</v>
      </c>
      <c r="S358">
        <f t="shared" si="79"/>
        <v>0.56428571428571572</v>
      </c>
      <c r="U358">
        <f t="shared" si="80"/>
        <v>36.698717948717878</v>
      </c>
      <c r="AH358">
        <f t="shared" si="81"/>
        <v>3.3476636835528848</v>
      </c>
      <c r="AI358">
        <f t="shared" si="82"/>
        <v>36.662966635667502</v>
      </c>
      <c r="AJ358">
        <f t="shared" si="83"/>
        <v>63.564033364332474</v>
      </c>
      <c r="AL358">
        <f t="shared" si="84"/>
        <v>56.808827367105756</v>
      </c>
      <c r="AM358">
        <f t="shared" si="85"/>
        <v>43.418172632894219</v>
      </c>
    </row>
    <row r="359" spans="1:39" ht="16.5" x14ac:dyDescent="0.25">
      <c r="A359" s="1">
        <v>45184</v>
      </c>
      <c r="B359" s="5">
        <v>49.4</v>
      </c>
      <c r="C359" s="4">
        <v>49.35</v>
      </c>
      <c r="D359" s="4">
        <v>49.81</v>
      </c>
      <c r="E359" s="4">
        <v>49.33</v>
      </c>
      <c r="F359" s="4" t="s">
        <v>887</v>
      </c>
      <c r="G359" s="2" t="s">
        <v>444</v>
      </c>
      <c r="I359">
        <f t="shared" si="72"/>
        <v>50.187499999999986</v>
      </c>
      <c r="J359">
        <f t="shared" si="73"/>
        <v>51.092249999999986</v>
      </c>
      <c r="L359">
        <f t="shared" si="74"/>
        <v>1</v>
      </c>
      <c r="M359">
        <f t="shared" si="75"/>
        <v>0</v>
      </c>
      <c r="O359">
        <f t="shared" si="76"/>
        <v>4.9999999999997158E-2</v>
      </c>
      <c r="P359">
        <f t="shared" si="77"/>
        <v>0</v>
      </c>
      <c r="R359">
        <f t="shared" si="78"/>
        <v>0.30499999999999972</v>
      </c>
      <c r="S359">
        <f t="shared" si="79"/>
        <v>0.55000000000000193</v>
      </c>
      <c r="U359">
        <f t="shared" si="80"/>
        <v>35.672514619882932</v>
      </c>
      <c r="AH359">
        <f t="shared" si="81"/>
        <v>3.3368735207081515</v>
      </c>
      <c r="AI359">
        <f t="shared" si="82"/>
        <v>36.7369666356675</v>
      </c>
      <c r="AJ359">
        <f t="shared" si="83"/>
        <v>63.638033364332472</v>
      </c>
      <c r="AL359">
        <f t="shared" si="84"/>
        <v>56.861247041416291</v>
      </c>
      <c r="AM359">
        <f t="shared" si="85"/>
        <v>43.51375295858368</v>
      </c>
    </row>
    <row r="360" spans="1:39" ht="16.5" x14ac:dyDescent="0.25">
      <c r="A360" s="1">
        <v>45183</v>
      </c>
      <c r="B360" s="5">
        <v>48.9</v>
      </c>
      <c r="C360" s="4">
        <v>48.3</v>
      </c>
      <c r="D360" s="4">
        <v>49.01</v>
      </c>
      <c r="E360" s="4">
        <v>47.88</v>
      </c>
      <c r="F360" s="4" t="s">
        <v>1531</v>
      </c>
      <c r="G360" s="2" t="s">
        <v>130</v>
      </c>
      <c r="I360">
        <f t="shared" si="72"/>
        <v>50.233499999999992</v>
      </c>
      <c r="J360">
        <f t="shared" si="73"/>
        <v>51.155749999999991</v>
      </c>
      <c r="L360">
        <f t="shared" si="74"/>
        <v>1</v>
      </c>
      <c r="M360">
        <f t="shared" si="75"/>
        <v>0</v>
      </c>
      <c r="O360">
        <f t="shared" si="76"/>
        <v>0.60000000000000142</v>
      </c>
      <c r="P360">
        <f t="shared" si="77"/>
        <v>0</v>
      </c>
      <c r="R360">
        <f t="shared" si="78"/>
        <v>0.31125000000000025</v>
      </c>
      <c r="S360">
        <f t="shared" si="79"/>
        <v>0.55000000000000193</v>
      </c>
      <c r="U360">
        <f t="shared" si="80"/>
        <v>36.1393323657474</v>
      </c>
      <c r="AH360">
        <f t="shared" si="81"/>
        <v>3.3263130575136146</v>
      </c>
      <c r="AI360">
        <f t="shared" si="82"/>
        <v>36.782966635667506</v>
      </c>
      <c r="AJ360">
        <f t="shared" si="83"/>
        <v>63.684033364332478</v>
      </c>
      <c r="AL360">
        <f t="shared" si="84"/>
        <v>56.886126115027224</v>
      </c>
      <c r="AM360">
        <f t="shared" si="85"/>
        <v>43.58087388497276</v>
      </c>
    </row>
    <row r="361" spans="1:39" ht="16.5" x14ac:dyDescent="0.25">
      <c r="A361" s="1">
        <v>45182</v>
      </c>
      <c r="B361" s="5">
        <v>48.33</v>
      </c>
      <c r="C361" s="4">
        <v>50.08</v>
      </c>
      <c r="D361" s="4">
        <v>50.08</v>
      </c>
      <c r="E361" s="4">
        <v>48.33</v>
      </c>
      <c r="F361" s="4" t="s">
        <v>1734</v>
      </c>
      <c r="G361" s="2" t="s">
        <v>1735</v>
      </c>
      <c r="I361">
        <f t="shared" si="72"/>
        <v>50.355000000000004</v>
      </c>
      <c r="J361">
        <f t="shared" si="73"/>
        <v>51.237249999999996</v>
      </c>
      <c r="L361">
        <f t="shared" si="74"/>
        <v>0</v>
      </c>
      <c r="M361">
        <f t="shared" si="75"/>
        <v>1</v>
      </c>
      <c r="O361">
        <f t="shared" si="76"/>
        <v>0</v>
      </c>
      <c r="P361">
        <f t="shared" si="77"/>
        <v>1.75</v>
      </c>
      <c r="R361">
        <f t="shared" si="78"/>
        <v>0.27374999999999972</v>
      </c>
      <c r="S361">
        <f t="shared" si="79"/>
        <v>0.55000000000000193</v>
      </c>
      <c r="U361">
        <f t="shared" si="80"/>
        <v>33.232169954476376</v>
      </c>
      <c r="AH361">
        <f t="shared" si="81"/>
        <v>3.3157481228449424</v>
      </c>
      <c r="AI361">
        <f t="shared" si="82"/>
        <v>36.904466635667518</v>
      </c>
      <c r="AJ361">
        <f t="shared" si="83"/>
        <v>63.80553336433249</v>
      </c>
      <c r="AL361">
        <f t="shared" si="84"/>
        <v>56.986496245689892</v>
      </c>
      <c r="AM361">
        <f t="shared" si="85"/>
        <v>43.723503754310116</v>
      </c>
    </row>
    <row r="362" spans="1:39" ht="16.5" x14ac:dyDescent="0.25">
      <c r="A362" s="1">
        <v>45181</v>
      </c>
      <c r="B362" s="5">
        <v>50.67</v>
      </c>
      <c r="C362" s="4">
        <v>51.2</v>
      </c>
      <c r="D362" s="4">
        <v>51.3</v>
      </c>
      <c r="E362" s="4">
        <v>50.6</v>
      </c>
      <c r="F362" s="4" t="s">
        <v>74</v>
      </c>
      <c r="G362" s="2" t="s">
        <v>63</v>
      </c>
      <c r="I362">
        <f t="shared" si="72"/>
        <v>50.488499999999995</v>
      </c>
      <c r="J362">
        <f t="shared" si="73"/>
        <v>51.313000000000002</v>
      </c>
      <c r="L362">
        <f t="shared" si="74"/>
        <v>0</v>
      </c>
      <c r="M362">
        <f t="shared" si="75"/>
        <v>1</v>
      </c>
      <c r="O362">
        <f t="shared" si="76"/>
        <v>0</v>
      </c>
      <c r="P362">
        <f t="shared" si="77"/>
        <v>0.53000000000000114</v>
      </c>
      <c r="R362">
        <f t="shared" si="78"/>
        <v>0.27374999999999972</v>
      </c>
      <c r="S362">
        <f t="shared" si="79"/>
        <v>0.35166666666666896</v>
      </c>
      <c r="U362">
        <f t="shared" si="80"/>
        <v>43.770819453697349</v>
      </c>
      <c r="AH362">
        <f t="shared" si="81"/>
        <v>3.3058205232570166</v>
      </c>
      <c r="AI362">
        <f t="shared" si="82"/>
        <v>37.037966635667516</v>
      </c>
      <c r="AJ362">
        <f t="shared" si="83"/>
        <v>63.939033364332474</v>
      </c>
      <c r="AL362">
        <f t="shared" si="84"/>
        <v>57.100141046514025</v>
      </c>
      <c r="AM362">
        <f t="shared" si="85"/>
        <v>43.876858953485964</v>
      </c>
    </row>
    <row r="363" spans="1:39" ht="16.5" x14ac:dyDescent="0.25">
      <c r="A363" s="1">
        <v>45180</v>
      </c>
      <c r="B363" s="5">
        <v>51.2</v>
      </c>
      <c r="C363" s="4">
        <v>50.55</v>
      </c>
      <c r="D363" s="4">
        <v>51.32</v>
      </c>
      <c r="E363" s="4">
        <v>50.52</v>
      </c>
      <c r="F363" s="4" t="s">
        <v>262</v>
      </c>
      <c r="G363" s="2" t="s">
        <v>1532</v>
      </c>
      <c r="I363">
        <f t="shared" si="72"/>
        <v>50.548500000000004</v>
      </c>
      <c r="J363">
        <f t="shared" si="73"/>
        <v>51.331249999999997</v>
      </c>
      <c r="L363">
        <f t="shared" si="74"/>
        <v>1</v>
      </c>
      <c r="M363">
        <f t="shared" si="75"/>
        <v>0</v>
      </c>
      <c r="O363">
        <f t="shared" si="76"/>
        <v>0.65000000000000568</v>
      </c>
      <c r="P363">
        <f t="shared" si="77"/>
        <v>0</v>
      </c>
      <c r="R363">
        <f t="shared" si="78"/>
        <v>0.27374999999999972</v>
      </c>
      <c r="S363">
        <f t="shared" si="79"/>
        <v>0.27333333333333582</v>
      </c>
      <c r="U363">
        <f t="shared" si="80"/>
        <v>50.038080731149783</v>
      </c>
      <c r="AH363">
        <f t="shared" si="81"/>
        <v>3.2966354003088041</v>
      </c>
      <c r="AI363">
        <f t="shared" si="82"/>
        <v>37.097966635667518</v>
      </c>
      <c r="AJ363">
        <f t="shared" si="83"/>
        <v>63.99903336433249</v>
      </c>
      <c r="AL363">
        <f t="shared" si="84"/>
        <v>57.141770800617614</v>
      </c>
      <c r="AM363">
        <f t="shared" si="85"/>
        <v>43.955229199382394</v>
      </c>
    </row>
    <row r="364" spans="1:39" ht="16.5" x14ac:dyDescent="0.25">
      <c r="A364" s="1">
        <v>45177</v>
      </c>
      <c r="B364" s="5">
        <v>50.19</v>
      </c>
      <c r="C364" s="4">
        <v>50.32</v>
      </c>
      <c r="D364" s="4">
        <v>50.35</v>
      </c>
      <c r="E364" s="4">
        <v>49.85</v>
      </c>
      <c r="F364" s="4" t="s">
        <v>1435</v>
      </c>
      <c r="G364" s="2" t="s">
        <v>929</v>
      </c>
      <c r="I364">
        <f t="shared" si="72"/>
        <v>50.624000000000009</v>
      </c>
      <c r="J364">
        <f t="shared" si="73"/>
        <v>51.306750000000001</v>
      </c>
      <c r="L364">
        <f t="shared" si="74"/>
        <v>0</v>
      </c>
      <c r="M364">
        <f t="shared" si="75"/>
        <v>1</v>
      </c>
      <c r="O364">
        <f t="shared" si="76"/>
        <v>0</v>
      </c>
      <c r="P364">
        <f t="shared" si="77"/>
        <v>0.13000000000000256</v>
      </c>
      <c r="R364">
        <f t="shared" si="78"/>
        <v>0.1974999999999989</v>
      </c>
      <c r="S364">
        <f t="shared" si="79"/>
        <v>0.27333333333333582</v>
      </c>
      <c r="U364">
        <f t="shared" si="80"/>
        <v>41.946902654866904</v>
      </c>
      <c r="AH364">
        <f t="shared" si="81"/>
        <v>3.2875885959611866</v>
      </c>
      <c r="AI364">
        <f t="shared" si="82"/>
        <v>37.173466635667523</v>
      </c>
      <c r="AJ364">
        <f t="shared" si="83"/>
        <v>64.074533364332495</v>
      </c>
      <c r="AL364">
        <f t="shared" si="84"/>
        <v>57.199177191922381</v>
      </c>
      <c r="AM364">
        <f t="shared" si="85"/>
        <v>44.048822808077638</v>
      </c>
    </row>
    <row r="365" spans="1:39" ht="16.5" x14ac:dyDescent="0.25">
      <c r="A365" s="1">
        <v>45176</v>
      </c>
      <c r="B365" s="5">
        <v>50.24</v>
      </c>
      <c r="C365" s="4">
        <v>50.07</v>
      </c>
      <c r="D365" s="4">
        <v>50.47</v>
      </c>
      <c r="E365" s="4">
        <v>49.99</v>
      </c>
      <c r="F365" s="4" t="s">
        <v>189</v>
      </c>
      <c r="G365" s="2" t="s">
        <v>662</v>
      </c>
      <c r="I365">
        <f t="shared" si="72"/>
        <v>50.743000000000009</v>
      </c>
      <c r="J365">
        <f t="shared" si="73"/>
        <v>51.309750000000008</v>
      </c>
      <c r="L365">
        <f t="shared" si="74"/>
        <v>1</v>
      </c>
      <c r="M365">
        <f t="shared" si="75"/>
        <v>0</v>
      </c>
      <c r="O365">
        <f t="shared" si="76"/>
        <v>0.17000000000000171</v>
      </c>
      <c r="P365">
        <f t="shared" si="77"/>
        <v>0</v>
      </c>
      <c r="R365">
        <f t="shared" si="78"/>
        <v>0.1974999999999989</v>
      </c>
      <c r="S365">
        <f t="shared" si="79"/>
        <v>0.28833333333333516</v>
      </c>
      <c r="U365">
        <f t="shared" si="80"/>
        <v>40.651801029159238</v>
      </c>
      <c r="AH365">
        <f t="shared" si="81"/>
        <v>3.2788116809183387</v>
      </c>
      <c r="AI365">
        <f t="shared" si="82"/>
        <v>37.292466635667523</v>
      </c>
      <c r="AJ365">
        <f t="shared" si="83"/>
        <v>64.193533364332495</v>
      </c>
      <c r="AL365">
        <f t="shared" si="84"/>
        <v>57.300623361836685</v>
      </c>
      <c r="AM365">
        <f t="shared" si="85"/>
        <v>44.185376638163333</v>
      </c>
    </row>
    <row r="366" spans="1:39" ht="16.5" x14ac:dyDescent="0.25">
      <c r="A366" s="1">
        <v>45175</v>
      </c>
      <c r="B366" s="5">
        <v>50.12</v>
      </c>
      <c r="C366" s="4">
        <v>50.36</v>
      </c>
      <c r="D366" s="4">
        <v>50.4</v>
      </c>
      <c r="E366" s="4">
        <v>50.05</v>
      </c>
      <c r="F366" s="4" t="s">
        <v>735</v>
      </c>
      <c r="G366" s="2" t="s">
        <v>283</v>
      </c>
      <c r="I366">
        <f t="shared" si="72"/>
        <v>50.865500000000011</v>
      </c>
      <c r="J366">
        <f t="shared" si="73"/>
        <v>51.319500000000005</v>
      </c>
      <c r="L366">
        <f t="shared" si="74"/>
        <v>0</v>
      </c>
      <c r="M366">
        <f t="shared" si="75"/>
        <v>1</v>
      </c>
      <c r="O366">
        <f t="shared" si="76"/>
        <v>0</v>
      </c>
      <c r="P366">
        <f t="shared" si="77"/>
        <v>0.24000000000000199</v>
      </c>
      <c r="R366">
        <f t="shared" si="78"/>
        <v>0.20142857142856993</v>
      </c>
      <c r="S366">
        <f t="shared" si="79"/>
        <v>0.3614285714285726</v>
      </c>
      <c r="U366">
        <f t="shared" si="80"/>
        <v>35.786802030456613</v>
      </c>
      <c r="AH366">
        <f t="shared" si="81"/>
        <v>3.2706681813835758</v>
      </c>
      <c r="AI366">
        <f t="shared" si="82"/>
        <v>37.414966635667525</v>
      </c>
      <c r="AJ366">
        <f t="shared" si="83"/>
        <v>64.316033364332498</v>
      </c>
      <c r="AL366">
        <f t="shared" si="84"/>
        <v>57.406836362767166</v>
      </c>
      <c r="AM366">
        <f t="shared" si="85"/>
        <v>44.324163637232857</v>
      </c>
    </row>
    <row r="367" spans="1:39" ht="16.5" x14ac:dyDescent="0.25">
      <c r="A367" s="1">
        <v>45174</v>
      </c>
      <c r="B367" s="5">
        <v>50.65</v>
      </c>
      <c r="C367" s="4">
        <v>50.35</v>
      </c>
      <c r="D367" s="4">
        <v>50.87</v>
      </c>
      <c r="E367" s="4">
        <v>50.24</v>
      </c>
      <c r="F367" s="4" t="s">
        <v>470</v>
      </c>
      <c r="G367" s="2" t="s">
        <v>949</v>
      </c>
      <c r="I367">
        <f t="shared" si="72"/>
        <v>50.960500000000003</v>
      </c>
      <c r="J367">
        <f t="shared" si="73"/>
        <v>51.314999999999998</v>
      </c>
      <c r="L367">
        <f t="shared" si="74"/>
        <v>1</v>
      </c>
      <c r="M367">
        <f t="shared" si="75"/>
        <v>0</v>
      </c>
      <c r="O367">
        <f t="shared" si="76"/>
        <v>0.29999999999999716</v>
      </c>
      <c r="P367">
        <f t="shared" si="77"/>
        <v>0</v>
      </c>
      <c r="R367">
        <f t="shared" si="78"/>
        <v>0.22999999999999865</v>
      </c>
      <c r="S367">
        <f t="shared" si="79"/>
        <v>0.38166666666666771</v>
      </c>
      <c r="U367">
        <f t="shared" si="80"/>
        <v>37.602179836512065</v>
      </c>
      <c r="AH367">
        <f t="shared" si="81"/>
        <v>3.2631905704843049</v>
      </c>
      <c r="AI367">
        <f t="shared" si="82"/>
        <v>37.509966635667524</v>
      </c>
      <c r="AJ367">
        <f t="shared" si="83"/>
        <v>64.411033364332482</v>
      </c>
      <c r="AL367">
        <f t="shared" si="84"/>
        <v>57.486881140968613</v>
      </c>
      <c r="AM367">
        <f t="shared" si="85"/>
        <v>44.434118859031393</v>
      </c>
    </row>
    <row r="368" spans="1:39" ht="16.5" x14ac:dyDescent="0.25">
      <c r="A368" s="1">
        <v>45173</v>
      </c>
      <c r="B368" s="5">
        <v>50.64</v>
      </c>
      <c r="C368" s="4">
        <v>50.95</v>
      </c>
      <c r="D368" s="4">
        <v>51.25</v>
      </c>
      <c r="E368" s="4">
        <v>50.55</v>
      </c>
      <c r="F368" s="4" t="s">
        <v>1736</v>
      </c>
      <c r="G368" s="2" t="s">
        <v>652</v>
      </c>
      <c r="I368">
        <f t="shared" si="72"/>
        <v>51.044000000000011</v>
      </c>
      <c r="J368">
        <f t="shared" si="73"/>
        <v>51.294000000000018</v>
      </c>
      <c r="L368">
        <f t="shared" si="74"/>
        <v>0</v>
      </c>
      <c r="M368">
        <f t="shared" si="75"/>
        <v>1</v>
      </c>
      <c r="O368">
        <f t="shared" si="76"/>
        <v>0</v>
      </c>
      <c r="P368">
        <f t="shared" si="77"/>
        <v>0.31000000000000227</v>
      </c>
      <c r="R368">
        <f t="shared" si="78"/>
        <v>0.21999999999999886</v>
      </c>
      <c r="S368">
        <f t="shared" si="79"/>
        <v>0.40714285714285836</v>
      </c>
      <c r="U368">
        <f t="shared" si="80"/>
        <v>35.079726651480442</v>
      </c>
      <c r="AH368">
        <f t="shared" si="81"/>
        <v>3.2561615635550649</v>
      </c>
      <c r="AI368">
        <f t="shared" si="82"/>
        <v>37.593466635667525</v>
      </c>
      <c r="AJ368">
        <f t="shared" si="83"/>
        <v>64.494533364332497</v>
      </c>
      <c r="AL368">
        <f t="shared" si="84"/>
        <v>57.55632312711014</v>
      </c>
      <c r="AM368">
        <f t="shared" si="85"/>
        <v>44.531676872889882</v>
      </c>
    </row>
    <row r="369" spans="1:39" ht="16.5" x14ac:dyDescent="0.25">
      <c r="A369" s="1">
        <v>45170</v>
      </c>
      <c r="B369" s="5">
        <v>50.87</v>
      </c>
      <c r="C369" s="4">
        <v>50.49</v>
      </c>
      <c r="D369" s="4">
        <v>51.1</v>
      </c>
      <c r="E369" s="4">
        <v>50.49</v>
      </c>
      <c r="F369" s="4" t="s">
        <v>202</v>
      </c>
      <c r="G369" s="2" t="s">
        <v>825</v>
      </c>
      <c r="I369">
        <f t="shared" si="72"/>
        <v>51.130500000000005</v>
      </c>
      <c r="J369">
        <f t="shared" si="73"/>
        <v>51.266250000000014</v>
      </c>
      <c r="L369">
        <f t="shared" si="74"/>
        <v>1</v>
      </c>
      <c r="M369">
        <f t="shared" si="75"/>
        <v>0</v>
      </c>
      <c r="O369">
        <f t="shared" si="76"/>
        <v>0.37999999999999545</v>
      </c>
      <c r="P369">
        <f t="shared" si="77"/>
        <v>0</v>
      </c>
      <c r="R369">
        <f t="shared" si="78"/>
        <v>0.21999999999999886</v>
      </c>
      <c r="S369">
        <f t="shared" si="79"/>
        <v>0.46571428571428747</v>
      </c>
      <c r="U369">
        <f t="shared" si="80"/>
        <v>32.08333333333313</v>
      </c>
      <c r="AH369">
        <f t="shared" si="81"/>
        <v>3.2494938842577956</v>
      </c>
      <c r="AI369">
        <f t="shared" si="82"/>
        <v>37.679966635667526</v>
      </c>
      <c r="AJ369">
        <f t="shared" si="83"/>
        <v>64.581033364332484</v>
      </c>
      <c r="AL369">
        <f t="shared" si="84"/>
        <v>57.629487768515595</v>
      </c>
      <c r="AM369">
        <f t="shared" si="85"/>
        <v>44.631512231484415</v>
      </c>
    </row>
    <row r="370" spans="1:39" ht="16.5" x14ac:dyDescent="0.25">
      <c r="A370" s="1">
        <v>45169</v>
      </c>
      <c r="B370" s="5">
        <v>50.54</v>
      </c>
      <c r="C370" s="4">
        <v>50.4</v>
      </c>
      <c r="D370" s="4">
        <v>50.97</v>
      </c>
      <c r="E370" s="4">
        <v>50.21</v>
      </c>
      <c r="F370" s="4" t="s">
        <v>1424</v>
      </c>
      <c r="G370" s="2" t="s">
        <v>450</v>
      </c>
      <c r="I370">
        <f t="shared" si="72"/>
        <v>51.168000000000013</v>
      </c>
      <c r="J370">
        <f t="shared" si="73"/>
        <v>51.213500000000025</v>
      </c>
      <c r="L370">
        <f t="shared" si="74"/>
        <v>1</v>
      </c>
      <c r="M370">
        <f t="shared" si="75"/>
        <v>0</v>
      </c>
      <c r="O370">
        <f t="shared" si="76"/>
        <v>0.14000000000000057</v>
      </c>
      <c r="P370">
        <f t="shared" si="77"/>
        <v>0</v>
      </c>
      <c r="R370">
        <f t="shared" si="78"/>
        <v>0.18142857142857086</v>
      </c>
      <c r="S370">
        <f t="shared" si="79"/>
        <v>0.46571428571428747</v>
      </c>
      <c r="U370">
        <f t="shared" si="80"/>
        <v>28.035320088300082</v>
      </c>
      <c r="AH370">
        <f t="shared" si="81"/>
        <v>3.2432158242262314</v>
      </c>
      <c r="AI370">
        <f t="shared" si="82"/>
        <v>37.717466635667535</v>
      </c>
      <c r="AJ370">
        <f t="shared" si="83"/>
        <v>64.618533364332492</v>
      </c>
      <c r="AL370">
        <f t="shared" si="84"/>
        <v>57.654431648452473</v>
      </c>
      <c r="AM370">
        <f t="shared" si="85"/>
        <v>44.681568351547554</v>
      </c>
    </row>
    <row r="371" spans="1:39" ht="16.5" x14ac:dyDescent="0.25">
      <c r="A371" s="1">
        <v>45168</v>
      </c>
      <c r="B371" s="5">
        <v>50.41</v>
      </c>
      <c r="C371" s="4">
        <v>50.75</v>
      </c>
      <c r="D371" s="4">
        <v>50.81</v>
      </c>
      <c r="E371" s="4">
        <v>50.41</v>
      </c>
      <c r="F371" s="4" t="s">
        <v>457</v>
      </c>
      <c r="G371" s="2" t="s">
        <v>682</v>
      </c>
      <c r="I371">
        <f t="shared" si="72"/>
        <v>51.220500000000001</v>
      </c>
      <c r="J371">
        <f t="shared" si="73"/>
        <v>51.165500000000009</v>
      </c>
      <c r="L371">
        <f t="shared" si="74"/>
        <v>0</v>
      </c>
      <c r="M371">
        <f t="shared" si="75"/>
        <v>1</v>
      </c>
      <c r="O371">
        <f t="shared" si="76"/>
        <v>0</v>
      </c>
      <c r="P371">
        <f t="shared" si="77"/>
        <v>0.34000000000000341</v>
      </c>
      <c r="R371">
        <f t="shared" si="78"/>
        <v>0.18833333333333258</v>
      </c>
      <c r="S371">
        <f t="shared" si="79"/>
        <v>0.42375000000000185</v>
      </c>
      <c r="U371">
        <f t="shared" si="80"/>
        <v>30.769230769230589</v>
      </c>
      <c r="AH371">
        <f t="shared" si="81"/>
        <v>3.2369425764243811</v>
      </c>
      <c r="AI371">
        <f t="shared" si="82"/>
        <v>37.769966635667515</v>
      </c>
      <c r="AJ371">
        <f t="shared" si="83"/>
        <v>64.671033364332487</v>
      </c>
      <c r="AL371">
        <f t="shared" si="84"/>
        <v>57.694385152848767</v>
      </c>
      <c r="AM371">
        <f t="shared" si="85"/>
        <v>44.746614847151235</v>
      </c>
    </row>
    <row r="372" spans="1:39" ht="16.5" x14ac:dyDescent="0.25">
      <c r="A372" s="1">
        <v>45167</v>
      </c>
      <c r="B372" s="5">
        <v>50.67</v>
      </c>
      <c r="C372" s="4">
        <v>50.52</v>
      </c>
      <c r="D372" s="4">
        <v>50.88</v>
      </c>
      <c r="E372" s="4">
        <v>50.41</v>
      </c>
      <c r="F372" s="4" t="s">
        <v>189</v>
      </c>
      <c r="G372" s="2" t="s">
        <v>697</v>
      </c>
      <c r="I372">
        <f t="shared" si="72"/>
        <v>51.300000000000011</v>
      </c>
      <c r="J372">
        <f t="shared" si="73"/>
        <v>51.166000000000011</v>
      </c>
      <c r="L372">
        <f t="shared" si="74"/>
        <v>1</v>
      </c>
      <c r="M372">
        <f t="shared" si="75"/>
        <v>0</v>
      </c>
      <c r="O372">
        <f t="shared" si="76"/>
        <v>0.14999999999999858</v>
      </c>
      <c r="P372">
        <f t="shared" si="77"/>
        <v>0</v>
      </c>
      <c r="R372">
        <f t="shared" si="78"/>
        <v>0.20857142857142769</v>
      </c>
      <c r="S372">
        <f t="shared" si="79"/>
        <v>0.43571428571428733</v>
      </c>
      <c r="U372">
        <f t="shared" si="80"/>
        <v>32.372505543237082</v>
      </c>
      <c r="AH372">
        <f t="shared" si="81"/>
        <v>3.2307938203287048</v>
      </c>
      <c r="AI372">
        <f t="shared" si="82"/>
        <v>37.849466635667525</v>
      </c>
      <c r="AJ372">
        <f t="shared" si="83"/>
        <v>64.750533364332497</v>
      </c>
      <c r="AL372">
        <f t="shared" si="84"/>
        <v>57.761587640657424</v>
      </c>
      <c r="AM372">
        <f t="shared" si="85"/>
        <v>44.838412359342598</v>
      </c>
    </row>
    <row r="373" spans="1:39" ht="16.5" x14ac:dyDescent="0.25">
      <c r="A373" s="1">
        <v>45166</v>
      </c>
      <c r="B373" s="5">
        <v>50.38</v>
      </c>
      <c r="C373" s="4">
        <v>50.28</v>
      </c>
      <c r="D373" s="4">
        <v>50.52</v>
      </c>
      <c r="E373" s="4">
        <v>49.97</v>
      </c>
      <c r="F373" s="4" t="s">
        <v>215</v>
      </c>
      <c r="G373" s="2" t="s">
        <v>835</v>
      </c>
      <c r="I373">
        <f t="shared" si="72"/>
        <v>51.415000000000006</v>
      </c>
      <c r="J373">
        <f t="shared" si="73"/>
        <v>51.163500000000013</v>
      </c>
      <c r="L373">
        <f t="shared" si="74"/>
        <v>1</v>
      </c>
      <c r="M373">
        <f t="shared" si="75"/>
        <v>0</v>
      </c>
      <c r="O373">
        <f t="shared" si="76"/>
        <v>0.10000000000000142</v>
      </c>
      <c r="P373">
        <f t="shared" si="77"/>
        <v>0</v>
      </c>
      <c r="R373">
        <f t="shared" si="78"/>
        <v>0.21833333333333252</v>
      </c>
      <c r="S373">
        <f t="shared" si="79"/>
        <v>0.46875000000000089</v>
      </c>
      <c r="U373">
        <f t="shared" si="80"/>
        <v>31.776834445118126</v>
      </c>
      <c r="AH373">
        <f t="shared" si="81"/>
        <v>3.2249872416317089</v>
      </c>
      <c r="AI373">
        <f t="shared" si="82"/>
        <v>37.96446663566752</v>
      </c>
      <c r="AJ373">
        <f t="shared" si="83"/>
        <v>64.865533364332492</v>
      </c>
      <c r="AL373">
        <f t="shared" si="84"/>
        <v>57.864974483263424</v>
      </c>
      <c r="AM373">
        <f t="shared" si="85"/>
        <v>44.965025516736588</v>
      </c>
    </row>
    <row r="374" spans="1:39" ht="16.5" x14ac:dyDescent="0.25">
      <c r="A374" s="1">
        <v>45163</v>
      </c>
      <c r="B374" s="5">
        <v>50.05</v>
      </c>
      <c r="C374" s="4">
        <v>49.75</v>
      </c>
      <c r="D374" s="4">
        <v>50.2</v>
      </c>
      <c r="E374" s="4">
        <v>49.74</v>
      </c>
      <c r="F374" s="4" t="s">
        <v>116</v>
      </c>
      <c r="G374" s="2" t="s">
        <v>245</v>
      </c>
      <c r="I374">
        <f t="shared" si="72"/>
        <v>51.553000000000011</v>
      </c>
      <c r="J374">
        <f t="shared" si="73"/>
        <v>51.168250000000008</v>
      </c>
      <c r="L374">
        <f t="shared" si="74"/>
        <v>1</v>
      </c>
      <c r="M374">
        <f t="shared" si="75"/>
        <v>0</v>
      </c>
      <c r="O374">
        <f t="shared" si="76"/>
        <v>0.29999999999999716</v>
      </c>
      <c r="P374">
        <f t="shared" si="77"/>
        <v>0</v>
      </c>
      <c r="R374">
        <f t="shared" si="78"/>
        <v>0.27833333333333243</v>
      </c>
      <c r="S374">
        <f t="shared" si="79"/>
        <v>0.46875000000000089</v>
      </c>
      <c r="U374">
        <f t="shared" si="80"/>
        <v>37.255995538204012</v>
      </c>
      <c r="AH374">
        <f t="shared" si="81"/>
        <v>3.2198069992364529</v>
      </c>
      <c r="AI374">
        <f t="shared" si="82"/>
        <v>38.102466635667525</v>
      </c>
      <c r="AJ374">
        <f t="shared" si="83"/>
        <v>65.003533364332498</v>
      </c>
      <c r="AL374">
        <f t="shared" si="84"/>
        <v>57.992613998472919</v>
      </c>
      <c r="AM374">
        <f t="shared" si="85"/>
        <v>45.113386001527104</v>
      </c>
    </row>
    <row r="375" spans="1:39" ht="16.5" x14ac:dyDescent="0.25">
      <c r="A375" s="1">
        <v>45162</v>
      </c>
      <c r="B375" s="5">
        <v>49.89</v>
      </c>
      <c r="C375" s="4">
        <v>50.45</v>
      </c>
      <c r="D375" s="4">
        <v>50.88</v>
      </c>
      <c r="E375" s="4">
        <v>49.85</v>
      </c>
      <c r="F375" s="4" t="s">
        <v>1543</v>
      </c>
      <c r="G375" s="2" t="s">
        <v>379</v>
      </c>
      <c r="I375">
        <f t="shared" si="72"/>
        <v>51.670500000000004</v>
      </c>
      <c r="J375">
        <f t="shared" si="73"/>
        <v>51.183750000000003</v>
      </c>
      <c r="L375">
        <f t="shared" si="74"/>
        <v>0</v>
      </c>
      <c r="M375">
        <f t="shared" si="75"/>
        <v>1</v>
      </c>
      <c r="O375">
        <f t="shared" si="76"/>
        <v>0</v>
      </c>
      <c r="P375">
        <f t="shared" si="77"/>
        <v>0.56000000000000227</v>
      </c>
      <c r="R375">
        <f t="shared" si="78"/>
        <v>0.37333333333333246</v>
      </c>
      <c r="S375">
        <f t="shared" si="79"/>
        <v>0.46875000000000089</v>
      </c>
      <c r="U375">
        <f t="shared" si="80"/>
        <v>44.33448787728836</v>
      </c>
      <c r="AH375">
        <f t="shared" si="81"/>
        <v>3.2154327014986155</v>
      </c>
      <c r="AI375">
        <f t="shared" si="82"/>
        <v>38.219966635667518</v>
      </c>
      <c r="AJ375">
        <f t="shared" si="83"/>
        <v>65.12103336433249</v>
      </c>
      <c r="AL375">
        <f t="shared" si="84"/>
        <v>58.101365402997232</v>
      </c>
      <c r="AM375">
        <f t="shared" si="85"/>
        <v>45.239634597002777</v>
      </c>
    </row>
    <row r="376" spans="1:39" ht="16.5" x14ac:dyDescent="0.25">
      <c r="A376" s="1">
        <v>45161</v>
      </c>
      <c r="B376" s="5">
        <v>50.28</v>
      </c>
      <c r="C376" s="4">
        <v>50.34</v>
      </c>
      <c r="D376" s="4">
        <v>50.54</v>
      </c>
      <c r="E376" s="4">
        <v>50.14</v>
      </c>
      <c r="F376" s="4" t="s">
        <v>376</v>
      </c>
      <c r="G376" s="2" t="s">
        <v>372</v>
      </c>
      <c r="I376">
        <f t="shared" si="72"/>
        <v>51.79</v>
      </c>
      <c r="J376">
        <f t="shared" si="73"/>
        <v>51.199249999999999</v>
      </c>
      <c r="L376">
        <f t="shared" si="74"/>
        <v>0</v>
      </c>
      <c r="M376">
        <f t="shared" si="75"/>
        <v>1</v>
      </c>
      <c r="O376">
        <f t="shared" si="76"/>
        <v>0</v>
      </c>
      <c r="P376">
        <f t="shared" si="77"/>
        <v>6.0000000000002274E-2</v>
      </c>
      <c r="R376">
        <f t="shared" si="78"/>
        <v>0.37333333333333246</v>
      </c>
      <c r="S376">
        <f t="shared" si="79"/>
        <v>0.41500000000000092</v>
      </c>
      <c r="U376">
        <f t="shared" si="80"/>
        <v>47.357293868921658</v>
      </c>
      <c r="AH376">
        <f t="shared" si="81"/>
        <v>3.2117074393247278</v>
      </c>
      <c r="AI376">
        <f t="shared" si="82"/>
        <v>38.33946663566752</v>
      </c>
      <c r="AJ376">
        <f t="shared" si="83"/>
        <v>65.240533364332478</v>
      </c>
      <c r="AL376">
        <f t="shared" si="84"/>
        <v>58.213414878649452</v>
      </c>
      <c r="AM376">
        <f t="shared" si="85"/>
        <v>45.366585121350546</v>
      </c>
    </row>
    <row r="377" spans="1:39" ht="16.5" x14ac:dyDescent="0.25">
      <c r="A377" s="1">
        <v>45160</v>
      </c>
      <c r="B377" s="5">
        <v>50.19</v>
      </c>
      <c r="C377" s="4">
        <v>50.15</v>
      </c>
      <c r="D377" s="4">
        <v>50.6</v>
      </c>
      <c r="E377" s="4">
        <v>50.06</v>
      </c>
      <c r="F377" s="4" t="s">
        <v>1737</v>
      </c>
      <c r="G377" s="2" t="s">
        <v>944</v>
      </c>
      <c r="I377">
        <f t="shared" si="72"/>
        <v>51.851999999999997</v>
      </c>
      <c r="J377">
        <f t="shared" si="73"/>
        <v>51.199750000000002</v>
      </c>
      <c r="L377">
        <f t="shared" si="74"/>
        <v>1</v>
      </c>
      <c r="M377">
        <f t="shared" si="75"/>
        <v>0</v>
      </c>
      <c r="O377">
        <f t="shared" si="76"/>
        <v>3.9999999999999147E-2</v>
      </c>
      <c r="P377">
        <f t="shared" si="77"/>
        <v>0</v>
      </c>
      <c r="R377">
        <f t="shared" si="78"/>
        <v>0.37333333333333246</v>
      </c>
      <c r="S377">
        <f t="shared" si="79"/>
        <v>0.43374999999999986</v>
      </c>
      <c r="U377">
        <f t="shared" si="80"/>
        <v>46.257098606091844</v>
      </c>
      <c r="AH377">
        <f t="shared" si="81"/>
        <v>3.2086467416333004</v>
      </c>
      <c r="AI377">
        <f t="shared" si="82"/>
        <v>38.401466635667518</v>
      </c>
      <c r="AJ377">
        <f t="shared" si="83"/>
        <v>65.302533364332476</v>
      </c>
      <c r="AL377">
        <f t="shared" si="84"/>
        <v>58.269293483266594</v>
      </c>
      <c r="AM377">
        <f t="shared" si="85"/>
        <v>45.434706516733399</v>
      </c>
    </row>
    <row r="378" spans="1:39" ht="16.5" x14ac:dyDescent="0.25">
      <c r="A378" s="1">
        <v>45159</v>
      </c>
      <c r="B378" s="5">
        <v>50.13</v>
      </c>
      <c r="C378" s="4">
        <v>50.35</v>
      </c>
      <c r="D378" s="4">
        <v>50.53</v>
      </c>
      <c r="E378" s="4">
        <v>50.02</v>
      </c>
      <c r="F378" s="4" t="s">
        <v>1738</v>
      </c>
      <c r="G378" s="2" t="s">
        <v>388</v>
      </c>
      <c r="I378">
        <f t="shared" si="72"/>
        <v>51.928999999999995</v>
      </c>
      <c r="J378">
        <f t="shared" si="73"/>
        <v>51.201499999999996</v>
      </c>
      <c r="L378">
        <f t="shared" si="74"/>
        <v>0</v>
      </c>
      <c r="M378">
        <f t="shared" si="75"/>
        <v>1</v>
      </c>
      <c r="O378">
        <f t="shared" si="76"/>
        <v>0</v>
      </c>
      <c r="P378">
        <f t="shared" si="77"/>
        <v>0.21999999999999886</v>
      </c>
      <c r="R378">
        <f t="shared" si="78"/>
        <v>0.43999999999999917</v>
      </c>
      <c r="S378">
        <f t="shared" si="79"/>
        <v>0.43888888888888844</v>
      </c>
      <c r="U378">
        <f t="shared" si="80"/>
        <v>50.063211125158006</v>
      </c>
      <c r="AH378">
        <f t="shared" si="81"/>
        <v>3.2058286949544543</v>
      </c>
      <c r="AI378">
        <f t="shared" si="82"/>
        <v>38.478466635667516</v>
      </c>
      <c r="AJ378">
        <f t="shared" si="83"/>
        <v>65.379533364332474</v>
      </c>
      <c r="AL378">
        <f t="shared" si="84"/>
        <v>58.340657389908905</v>
      </c>
      <c r="AM378">
        <f t="shared" si="85"/>
        <v>45.517342610091085</v>
      </c>
    </row>
    <row r="379" spans="1:39" ht="16.5" x14ac:dyDescent="0.25">
      <c r="A379" s="1">
        <v>45156</v>
      </c>
      <c r="B379" s="5">
        <v>50.32</v>
      </c>
      <c r="C379" s="4">
        <v>51.12</v>
      </c>
      <c r="D379" s="4">
        <v>51.12</v>
      </c>
      <c r="E379" s="4">
        <v>50.04</v>
      </c>
      <c r="F379" s="4" t="s">
        <v>1478</v>
      </c>
      <c r="G379" s="2" t="s">
        <v>1703</v>
      </c>
      <c r="I379">
        <f t="shared" si="72"/>
        <v>51.996999999999993</v>
      </c>
      <c r="J379">
        <f t="shared" si="73"/>
        <v>51.200499999999998</v>
      </c>
      <c r="L379">
        <f t="shared" si="74"/>
        <v>0</v>
      </c>
      <c r="M379">
        <f t="shared" si="75"/>
        <v>1</v>
      </c>
      <c r="O379">
        <f t="shared" si="76"/>
        <v>0</v>
      </c>
      <c r="P379">
        <f t="shared" si="77"/>
        <v>0.79999999999999716</v>
      </c>
      <c r="R379">
        <f t="shared" si="78"/>
        <v>0.43999999999999917</v>
      </c>
      <c r="S379">
        <f t="shared" si="79"/>
        <v>0.43666666666666665</v>
      </c>
      <c r="U379">
        <f t="shared" si="80"/>
        <v>50.190114068441019</v>
      </c>
      <c r="AH379">
        <f t="shared" si="81"/>
        <v>3.2033667323506663</v>
      </c>
      <c r="AI379">
        <f t="shared" si="82"/>
        <v>38.546466635667514</v>
      </c>
      <c r="AJ379">
        <f t="shared" si="83"/>
        <v>65.447533364332472</v>
      </c>
      <c r="AL379">
        <f t="shared" si="84"/>
        <v>58.403733464701325</v>
      </c>
      <c r="AM379">
        <f t="shared" si="85"/>
        <v>45.59026653529866</v>
      </c>
    </row>
    <row r="380" spans="1:39" ht="16.5" x14ac:dyDescent="0.25">
      <c r="A380" s="1">
        <v>45155</v>
      </c>
      <c r="B380" s="5">
        <v>51.33</v>
      </c>
      <c r="C380" s="4">
        <v>50.9</v>
      </c>
      <c r="D380" s="4">
        <v>51.33</v>
      </c>
      <c r="E380" s="4">
        <v>50.64</v>
      </c>
      <c r="F380" s="4" t="s">
        <v>373</v>
      </c>
      <c r="G380" s="2" t="s">
        <v>825</v>
      </c>
      <c r="I380">
        <f t="shared" si="72"/>
        <v>52.077999999999996</v>
      </c>
      <c r="J380">
        <f t="shared" si="73"/>
        <v>51.204999999999998</v>
      </c>
      <c r="L380">
        <f t="shared" si="74"/>
        <v>1</v>
      </c>
      <c r="M380">
        <f t="shared" si="75"/>
        <v>0</v>
      </c>
      <c r="O380">
        <f t="shared" si="76"/>
        <v>0.42999999999999972</v>
      </c>
      <c r="P380">
        <f t="shared" si="77"/>
        <v>0</v>
      </c>
      <c r="R380">
        <f t="shared" si="78"/>
        <v>0.47333333333333272</v>
      </c>
      <c r="S380">
        <f t="shared" si="79"/>
        <v>0.39125000000000032</v>
      </c>
      <c r="U380">
        <f t="shared" si="80"/>
        <v>54.746987951807178</v>
      </c>
      <c r="AH380">
        <f t="shared" si="81"/>
        <v>3.2011986998655502</v>
      </c>
      <c r="AI380">
        <f t="shared" si="82"/>
        <v>38.627466635667517</v>
      </c>
      <c r="AJ380">
        <f t="shared" si="83"/>
        <v>65.528533364332475</v>
      </c>
      <c r="AL380">
        <f t="shared" si="84"/>
        <v>58.480397399731096</v>
      </c>
      <c r="AM380">
        <f t="shared" si="85"/>
        <v>45.675602600268896</v>
      </c>
    </row>
    <row r="381" spans="1:39" ht="16.5" x14ac:dyDescent="0.25">
      <c r="A381" s="1">
        <v>45154</v>
      </c>
      <c r="B381" s="5">
        <v>51</v>
      </c>
      <c r="C381" s="4">
        <v>51.56</v>
      </c>
      <c r="D381" s="4">
        <v>51.69</v>
      </c>
      <c r="E381" s="4">
        <v>50.59</v>
      </c>
      <c r="F381" s="4" t="s">
        <v>1381</v>
      </c>
      <c r="G381" s="2" t="s">
        <v>598</v>
      </c>
      <c r="I381">
        <f t="shared" si="72"/>
        <v>52.119500000000002</v>
      </c>
      <c r="J381">
        <f t="shared" si="73"/>
        <v>51.184249999999999</v>
      </c>
      <c r="L381">
        <f t="shared" si="74"/>
        <v>0</v>
      </c>
      <c r="M381">
        <f t="shared" si="75"/>
        <v>1</v>
      </c>
      <c r="O381">
        <f t="shared" si="76"/>
        <v>0</v>
      </c>
      <c r="P381">
        <f t="shared" si="77"/>
        <v>0.56000000000000227</v>
      </c>
      <c r="R381">
        <f t="shared" si="78"/>
        <v>0.42999999999999972</v>
      </c>
      <c r="S381">
        <f t="shared" si="79"/>
        <v>0.39125000000000032</v>
      </c>
      <c r="U381">
        <f t="shared" si="80"/>
        <v>52.359208523592045</v>
      </c>
      <c r="AH381">
        <f t="shared" si="81"/>
        <v>3.1994220986655519</v>
      </c>
      <c r="AI381">
        <f t="shared" si="82"/>
        <v>38.668966635667516</v>
      </c>
      <c r="AJ381">
        <f t="shared" si="83"/>
        <v>65.570033364332488</v>
      </c>
      <c r="AL381">
        <f t="shared" si="84"/>
        <v>58.518344197331103</v>
      </c>
      <c r="AM381">
        <f t="shared" si="85"/>
        <v>45.720655802668901</v>
      </c>
    </row>
    <row r="382" spans="1:39" ht="16.5" x14ac:dyDescent="0.25">
      <c r="A382" s="1">
        <v>45153</v>
      </c>
      <c r="B382" s="5">
        <v>51.87</v>
      </c>
      <c r="C382" s="4">
        <v>52.59</v>
      </c>
      <c r="D382" s="4">
        <v>52.62</v>
      </c>
      <c r="E382" s="4">
        <v>51.63</v>
      </c>
      <c r="F382" s="4" t="s">
        <v>215</v>
      </c>
      <c r="G382" s="2" t="s">
        <v>768</v>
      </c>
      <c r="I382">
        <f t="shared" si="72"/>
        <v>52.137500000000003</v>
      </c>
      <c r="J382">
        <f t="shared" si="73"/>
        <v>51.180999999999997</v>
      </c>
      <c r="L382">
        <f t="shared" si="74"/>
        <v>0</v>
      </c>
      <c r="M382">
        <f t="shared" si="75"/>
        <v>1</v>
      </c>
      <c r="O382">
        <f t="shared" si="76"/>
        <v>0</v>
      </c>
      <c r="P382">
        <f t="shared" si="77"/>
        <v>0.72000000000000597</v>
      </c>
      <c r="R382">
        <f t="shared" si="78"/>
        <v>0.45142857142857096</v>
      </c>
      <c r="S382">
        <f t="shared" si="79"/>
        <v>0.36714285714285716</v>
      </c>
      <c r="U382">
        <f t="shared" si="80"/>
        <v>55.148342059336798</v>
      </c>
      <c r="AH382">
        <f t="shared" si="81"/>
        <v>3.1977557213921095</v>
      </c>
      <c r="AI382">
        <f t="shared" si="82"/>
        <v>38.686966635667517</v>
      </c>
      <c r="AJ382">
        <f t="shared" si="83"/>
        <v>65.588033364332489</v>
      </c>
      <c r="AL382">
        <f t="shared" si="84"/>
        <v>58.533011442784222</v>
      </c>
      <c r="AM382">
        <f t="shared" si="85"/>
        <v>45.741988557215784</v>
      </c>
    </row>
    <row r="383" spans="1:39" ht="16.5" x14ac:dyDescent="0.25">
      <c r="A383" s="1">
        <v>45152</v>
      </c>
      <c r="B383" s="5">
        <v>52.71</v>
      </c>
      <c r="C383" s="4">
        <v>52.6</v>
      </c>
      <c r="D383" s="4">
        <v>52.92</v>
      </c>
      <c r="E383" s="4">
        <v>52.43</v>
      </c>
      <c r="F383" s="4" t="s">
        <v>60</v>
      </c>
      <c r="G383" s="2" t="s">
        <v>459</v>
      </c>
      <c r="I383">
        <f t="shared" si="72"/>
        <v>52.113999999999997</v>
      </c>
      <c r="J383">
        <f t="shared" si="73"/>
        <v>51.156499999999994</v>
      </c>
      <c r="L383">
        <f t="shared" si="74"/>
        <v>1</v>
      </c>
      <c r="M383">
        <f t="shared" si="75"/>
        <v>0</v>
      </c>
      <c r="O383">
        <f t="shared" si="76"/>
        <v>0.10999999999999943</v>
      </c>
      <c r="P383">
        <f t="shared" si="77"/>
        <v>0</v>
      </c>
      <c r="R383">
        <f t="shared" si="78"/>
        <v>0.45142857142857096</v>
      </c>
      <c r="S383">
        <f t="shared" si="79"/>
        <v>0.26428571428571346</v>
      </c>
      <c r="U383">
        <f t="shared" si="80"/>
        <v>63.073852295409232</v>
      </c>
      <c r="AH383">
        <f t="shared" si="81"/>
        <v>3.196029991232952</v>
      </c>
      <c r="AI383">
        <f t="shared" si="82"/>
        <v>38.663466635667518</v>
      </c>
      <c r="AJ383">
        <f t="shared" si="83"/>
        <v>65.564533364332476</v>
      </c>
      <c r="AL383">
        <f t="shared" si="84"/>
        <v>58.506059982465899</v>
      </c>
      <c r="AM383">
        <f t="shared" si="85"/>
        <v>45.721940017534095</v>
      </c>
    </row>
    <row r="384" spans="1:39" ht="16.5" x14ac:dyDescent="0.25">
      <c r="A384" s="1">
        <v>45149</v>
      </c>
      <c r="B384" s="5">
        <v>52.57</v>
      </c>
      <c r="C384" s="4">
        <v>52.7</v>
      </c>
      <c r="D384" s="4">
        <v>52.77</v>
      </c>
      <c r="E384" s="4">
        <v>52.12</v>
      </c>
      <c r="F384" s="4" t="s">
        <v>134</v>
      </c>
      <c r="G384" s="2" t="s">
        <v>816</v>
      </c>
      <c r="I384">
        <f t="shared" si="72"/>
        <v>51.989499999999985</v>
      </c>
      <c r="J384">
        <f t="shared" si="73"/>
        <v>51.129249999999985</v>
      </c>
      <c r="L384">
        <f t="shared" si="74"/>
        <v>0</v>
      </c>
      <c r="M384">
        <f t="shared" si="75"/>
        <v>1</v>
      </c>
      <c r="O384">
        <f t="shared" si="76"/>
        <v>0</v>
      </c>
      <c r="P384">
        <f t="shared" si="77"/>
        <v>0.13000000000000256</v>
      </c>
      <c r="R384">
        <f t="shared" si="78"/>
        <v>0.68285714285714205</v>
      </c>
      <c r="S384">
        <f t="shared" si="79"/>
        <v>0.26428571428571346</v>
      </c>
      <c r="U384">
        <f t="shared" si="80"/>
        <v>72.096530920060374</v>
      </c>
      <c r="AH384">
        <f t="shared" si="81"/>
        <v>3.1939344889512014</v>
      </c>
      <c r="AI384">
        <f t="shared" si="82"/>
        <v>38.538966635667506</v>
      </c>
      <c r="AJ384">
        <f t="shared" si="83"/>
        <v>65.440033364332464</v>
      </c>
      <c r="AL384">
        <f t="shared" si="84"/>
        <v>58.377368977902385</v>
      </c>
      <c r="AM384">
        <f t="shared" si="85"/>
        <v>45.601631022097585</v>
      </c>
    </row>
    <row r="385" spans="1:39" ht="16.5" x14ac:dyDescent="0.25">
      <c r="A385" s="1">
        <v>45148</v>
      </c>
      <c r="B385" s="5">
        <v>52.69</v>
      </c>
      <c r="C385" s="4">
        <v>52.36</v>
      </c>
      <c r="D385" s="4">
        <v>53.02</v>
      </c>
      <c r="E385" s="4">
        <v>52.18</v>
      </c>
      <c r="F385" s="4" t="s">
        <v>343</v>
      </c>
      <c r="G385" s="2" t="s">
        <v>359</v>
      </c>
      <c r="I385">
        <f t="shared" si="72"/>
        <v>51.8765</v>
      </c>
      <c r="J385">
        <f t="shared" si="73"/>
        <v>51.123249999999992</v>
      </c>
      <c r="L385">
        <f t="shared" si="74"/>
        <v>1</v>
      </c>
      <c r="M385">
        <f t="shared" si="75"/>
        <v>0</v>
      </c>
      <c r="O385">
        <f t="shared" si="76"/>
        <v>0.32999999999999829</v>
      </c>
      <c r="P385">
        <f t="shared" si="77"/>
        <v>0</v>
      </c>
      <c r="R385">
        <f t="shared" si="78"/>
        <v>0.68285714285714205</v>
      </c>
      <c r="S385">
        <f t="shared" si="79"/>
        <v>0.27428571428571252</v>
      </c>
      <c r="U385">
        <f t="shared" si="80"/>
        <v>71.343283582089654</v>
      </c>
      <c r="AH385">
        <f t="shared" si="81"/>
        <v>3.1906720579124088</v>
      </c>
      <c r="AI385">
        <f t="shared" si="82"/>
        <v>38.425966635667521</v>
      </c>
      <c r="AJ385">
        <f t="shared" si="83"/>
        <v>65.327033364332479</v>
      </c>
      <c r="AL385">
        <f t="shared" si="84"/>
        <v>58.257844115824817</v>
      </c>
      <c r="AM385">
        <f t="shared" si="85"/>
        <v>45.495155884175183</v>
      </c>
    </row>
    <row r="386" spans="1:39" ht="16.5" x14ac:dyDescent="0.25">
      <c r="A386" s="1">
        <v>45147</v>
      </c>
      <c r="B386" s="5">
        <v>52.02</v>
      </c>
      <c r="C386" s="4">
        <v>52.72</v>
      </c>
      <c r="D386" s="4">
        <v>52.76</v>
      </c>
      <c r="E386" s="4">
        <v>51.66</v>
      </c>
      <c r="F386" s="4" t="s">
        <v>537</v>
      </c>
      <c r="G386" s="2" t="s">
        <v>313</v>
      </c>
      <c r="I386">
        <f t="shared" ref="I386:I449" si="86">AVERAGE(B386:B405)</f>
        <v>51.773499999999999</v>
      </c>
      <c r="J386">
        <f t="shared" ref="J386:J449" si="87">AVERAGE(B386:B425)</f>
        <v>51.101249999999986</v>
      </c>
      <c r="L386">
        <f t="shared" ref="L386:L449" si="88">IF($C386&lt;$B386,1,0)</f>
        <v>0</v>
      </c>
      <c r="M386">
        <f t="shared" ref="M386:M449" si="89">IF($C386&lt;$B386,0,1)</f>
        <v>1</v>
      </c>
      <c r="O386">
        <f t="shared" ref="O386:O449" si="90">IF($C386&lt;$B386,B386-C386,0)</f>
        <v>0</v>
      </c>
      <c r="P386">
        <f t="shared" ref="P386:P449" si="91">IF($B386&lt;$C386,C386-B386,0)</f>
        <v>0.69999999999999574</v>
      </c>
      <c r="R386">
        <f t="shared" ref="R386:R449" si="92">SUM(O386:O399)/SUM(L386:L399)</f>
        <v>0.74166666666666592</v>
      </c>
      <c r="S386">
        <f t="shared" ref="S386:S449" si="93">SUM(P386:P399)/SUM(M386:M399)</f>
        <v>0.25624999999999876</v>
      </c>
      <c r="U386">
        <f t="shared" ref="U386:U449" si="94">100-(100/(1+(R386/S386)))</f>
        <v>74.321503131524082</v>
      </c>
      <c r="AH386">
        <f t="shared" si="81"/>
        <v>3.1862519951407791</v>
      </c>
      <c r="AI386">
        <f t="shared" si="82"/>
        <v>38.322966635667512</v>
      </c>
      <c r="AJ386">
        <f t="shared" si="83"/>
        <v>65.224033364332485</v>
      </c>
      <c r="AL386">
        <f t="shared" si="84"/>
        <v>58.146003990281557</v>
      </c>
      <c r="AM386">
        <f t="shared" si="85"/>
        <v>45.40099600971844</v>
      </c>
    </row>
    <row r="387" spans="1:39" ht="16.5" x14ac:dyDescent="0.25">
      <c r="A387" s="1">
        <v>45146</v>
      </c>
      <c r="B387" s="5">
        <v>52.32</v>
      </c>
      <c r="C387" s="4">
        <v>51.86</v>
      </c>
      <c r="D387" s="4">
        <v>53.32</v>
      </c>
      <c r="E387" s="4">
        <v>51.16</v>
      </c>
      <c r="F387" s="4" t="s">
        <v>1739</v>
      </c>
      <c r="G387" s="2" t="s">
        <v>929</v>
      </c>
      <c r="I387">
        <f t="shared" si="86"/>
        <v>51.669499999999992</v>
      </c>
      <c r="J387">
        <f t="shared" si="87"/>
        <v>51.095749999999981</v>
      </c>
      <c r="L387">
        <f t="shared" si="88"/>
        <v>1</v>
      </c>
      <c r="M387">
        <f t="shared" si="89"/>
        <v>0</v>
      </c>
      <c r="O387">
        <f t="shared" si="90"/>
        <v>0.46000000000000085</v>
      </c>
      <c r="P387">
        <f t="shared" si="91"/>
        <v>0</v>
      </c>
      <c r="R387">
        <f t="shared" si="92"/>
        <v>0.73571428571428454</v>
      </c>
      <c r="S387">
        <f t="shared" si="93"/>
        <v>0.19285714285714203</v>
      </c>
      <c r="U387">
        <f t="shared" si="94"/>
        <v>79.230769230769283</v>
      </c>
      <c r="AH387">
        <f t="shared" ref="AH387:AH450" si="95">_xlfn.STDEV.S(I387:I917)</f>
        <v>3.1806797554682906</v>
      </c>
      <c r="AI387">
        <f t="shared" ref="AI387:AI450" si="96">I387-$AH$2</f>
        <v>38.218966635667513</v>
      </c>
      <c r="AJ387">
        <f t="shared" ref="AJ387:AJ450" si="97">I387+$AH$2</f>
        <v>65.120033364332471</v>
      </c>
      <c r="AL387">
        <f t="shared" ref="AL387:AL450" si="98">I387+(AH387*2)</f>
        <v>58.030859510936573</v>
      </c>
      <c r="AM387">
        <f t="shared" ref="AM387:AM450" si="99">I387-(AH387*2)</f>
        <v>45.308140489063412</v>
      </c>
    </row>
    <row r="388" spans="1:39" ht="16.5" x14ac:dyDescent="0.25">
      <c r="A388" s="1">
        <v>45145</v>
      </c>
      <c r="B388" s="5">
        <v>52.37</v>
      </c>
      <c r="C388" s="4">
        <v>51.5</v>
      </c>
      <c r="D388" s="4">
        <v>52.56</v>
      </c>
      <c r="E388" s="4">
        <v>51.45</v>
      </c>
      <c r="F388" s="4" t="s">
        <v>210</v>
      </c>
      <c r="G388" s="2" t="s">
        <v>1022</v>
      </c>
      <c r="I388">
        <f t="shared" si="86"/>
        <v>51.543999999999997</v>
      </c>
      <c r="J388">
        <f t="shared" si="87"/>
        <v>51.069749999999985</v>
      </c>
      <c r="L388">
        <f t="shared" si="88"/>
        <v>1</v>
      </c>
      <c r="M388">
        <f t="shared" si="89"/>
        <v>0</v>
      </c>
      <c r="O388">
        <f t="shared" si="90"/>
        <v>0.86999999999999744</v>
      </c>
      <c r="P388">
        <f t="shared" si="91"/>
        <v>0</v>
      </c>
      <c r="R388">
        <f t="shared" si="92"/>
        <v>0.78166666666666507</v>
      </c>
      <c r="S388">
        <f t="shared" si="93"/>
        <v>0.20124999999999904</v>
      </c>
      <c r="U388">
        <f t="shared" si="94"/>
        <v>79.525222551928834</v>
      </c>
      <c r="AH388">
        <f t="shared" si="95"/>
        <v>3.1738698231586979</v>
      </c>
      <c r="AI388">
        <f t="shared" si="96"/>
        <v>38.093466635667511</v>
      </c>
      <c r="AJ388">
        <f t="shared" si="97"/>
        <v>64.994533364332483</v>
      </c>
      <c r="AL388">
        <f t="shared" si="98"/>
        <v>57.89173964631739</v>
      </c>
      <c r="AM388">
        <f t="shared" si="99"/>
        <v>45.196260353682604</v>
      </c>
    </row>
    <row r="389" spans="1:39" ht="16.5" x14ac:dyDescent="0.25">
      <c r="A389" s="1">
        <v>45142</v>
      </c>
      <c r="B389" s="5">
        <v>51.62</v>
      </c>
      <c r="C389" s="4">
        <v>51.75</v>
      </c>
      <c r="D389" s="4">
        <v>51.9</v>
      </c>
      <c r="E389" s="4">
        <v>51.11</v>
      </c>
      <c r="F389" s="4" t="s">
        <v>225</v>
      </c>
      <c r="G389" s="2" t="s">
        <v>746</v>
      </c>
      <c r="I389">
        <f t="shared" si="86"/>
        <v>51.402000000000001</v>
      </c>
      <c r="J389">
        <f t="shared" si="87"/>
        <v>51.038249999999984</v>
      </c>
      <c r="L389">
        <f t="shared" si="88"/>
        <v>0</v>
      </c>
      <c r="M389">
        <f t="shared" si="89"/>
        <v>1</v>
      </c>
      <c r="O389">
        <f t="shared" si="90"/>
        <v>0</v>
      </c>
      <c r="P389">
        <f t="shared" si="91"/>
        <v>0.13000000000000256</v>
      </c>
      <c r="R389">
        <f t="shared" si="92"/>
        <v>0.85333333333333172</v>
      </c>
      <c r="S389">
        <f t="shared" si="93"/>
        <v>0.20124999999999904</v>
      </c>
      <c r="U389">
        <f t="shared" si="94"/>
        <v>80.916633741604159</v>
      </c>
      <c r="AH389">
        <f t="shared" si="95"/>
        <v>3.1655388472927175</v>
      </c>
      <c r="AI389">
        <f t="shared" si="96"/>
        <v>37.951466635667515</v>
      </c>
      <c r="AJ389">
        <f t="shared" si="97"/>
        <v>64.852533364332487</v>
      </c>
      <c r="AL389">
        <f t="shared" si="98"/>
        <v>57.733077694585432</v>
      </c>
      <c r="AM389">
        <f t="shared" si="99"/>
        <v>45.07092230541457</v>
      </c>
    </row>
    <row r="390" spans="1:39" ht="16.5" x14ac:dyDescent="0.25">
      <c r="A390" s="1">
        <v>45141</v>
      </c>
      <c r="B390" s="5">
        <v>51.59</v>
      </c>
      <c r="C390" s="4">
        <v>51.8</v>
      </c>
      <c r="D390" s="4">
        <v>51.82</v>
      </c>
      <c r="E390" s="4">
        <v>51.27</v>
      </c>
      <c r="F390" s="4" t="s">
        <v>1464</v>
      </c>
      <c r="G390" s="2" t="s">
        <v>565</v>
      </c>
      <c r="I390">
        <f t="shared" si="86"/>
        <v>51.258999999999993</v>
      </c>
      <c r="J390">
        <f t="shared" si="87"/>
        <v>51.026499999999984</v>
      </c>
      <c r="L390">
        <f t="shared" si="88"/>
        <v>0</v>
      </c>
      <c r="M390">
        <f t="shared" si="89"/>
        <v>1</v>
      </c>
      <c r="O390">
        <f t="shared" si="90"/>
        <v>0</v>
      </c>
      <c r="P390">
        <f t="shared" si="91"/>
        <v>0.20999999999999375</v>
      </c>
      <c r="R390">
        <f t="shared" si="92"/>
        <v>0.85333333333333172</v>
      </c>
      <c r="S390">
        <f t="shared" si="93"/>
        <v>0.21624999999999872</v>
      </c>
      <c r="U390">
        <f t="shared" si="94"/>
        <v>79.781846513439888</v>
      </c>
      <c r="AH390">
        <f t="shared" si="95"/>
        <v>3.1554146482417766</v>
      </c>
      <c r="AI390">
        <f t="shared" si="96"/>
        <v>37.808466635667514</v>
      </c>
      <c r="AJ390">
        <f t="shared" si="97"/>
        <v>64.709533364332472</v>
      </c>
      <c r="AL390">
        <f t="shared" si="98"/>
        <v>57.569829296483547</v>
      </c>
      <c r="AM390">
        <f t="shared" si="99"/>
        <v>44.948170703516439</v>
      </c>
    </row>
    <row r="391" spans="1:39" ht="16.5" x14ac:dyDescent="0.25">
      <c r="A391" s="1">
        <v>45140</v>
      </c>
      <c r="B391" s="5">
        <v>52</v>
      </c>
      <c r="C391" s="4">
        <v>52.48</v>
      </c>
      <c r="D391" s="4">
        <v>52.63</v>
      </c>
      <c r="E391" s="4">
        <v>52</v>
      </c>
      <c r="F391" s="4" t="s">
        <v>383</v>
      </c>
      <c r="G391" s="2" t="s">
        <v>1178</v>
      </c>
      <c r="I391">
        <f t="shared" si="86"/>
        <v>51.110499999999995</v>
      </c>
      <c r="J391">
        <f t="shared" si="87"/>
        <v>51.035499999999985</v>
      </c>
      <c r="L391">
        <f t="shared" si="88"/>
        <v>0</v>
      </c>
      <c r="M391">
        <f t="shared" si="89"/>
        <v>1</v>
      </c>
      <c r="O391">
        <f t="shared" si="90"/>
        <v>0</v>
      </c>
      <c r="P391">
        <f t="shared" si="91"/>
        <v>0.47999999999999687</v>
      </c>
      <c r="R391">
        <f t="shared" si="92"/>
        <v>0.77285714285714135</v>
      </c>
      <c r="S391">
        <f t="shared" si="93"/>
        <v>0.21714285714285658</v>
      </c>
      <c r="U391">
        <f t="shared" si="94"/>
        <v>78.066378066378078</v>
      </c>
      <c r="AH391">
        <f t="shared" si="95"/>
        <v>3.143349577318399</v>
      </c>
      <c r="AI391">
        <f t="shared" si="96"/>
        <v>37.659966635667516</v>
      </c>
      <c r="AJ391">
        <f t="shared" si="97"/>
        <v>64.561033364332474</v>
      </c>
      <c r="AL391">
        <f t="shared" si="98"/>
        <v>57.397199154636795</v>
      </c>
      <c r="AM391">
        <f t="shared" si="99"/>
        <v>44.823800845363195</v>
      </c>
    </row>
    <row r="392" spans="1:39" ht="16.5" x14ac:dyDescent="0.25">
      <c r="A392" s="1">
        <v>45139</v>
      </c>
      <c r="B392" s="5">
        <v>52.97</v>
      </c>
      <c r="C392" s="4">
        <v>53.17</v>
      </c>
      <c r="D392" s="4">
        <v>53.8</v>
      </c>
      <c r="E392" s="4">
        <v>52.97</v>
      </c>
      <c r="F392" s="4" t="s">
        <v>1563</v>
      </c>
      <c r="G392" s="2" t="s">
        <v>296</v>
      </c>
      <c r="I392">
        <f t="shared" si="86"/>
        <v>51.031999999999996</v>
      </c>
      <c r="J392">
        <f t="shared" si="87"/>
        <v>51.038749999999986</v>
      </c>
      <c r="L392">
        <f t="shared" si="88"/>
        <v>0</v>
      </c>
      <c r="M392">
        <f t="shared" si="89"/>
        <v>1</v>
      </c>
      <c r="O392">
        <f t="shared" si="90"/>
        <v>0</v>
      </c>
      <c r="P392">
        <f t="shared" si="91"/>
        <v>0.20000000000000284</v>
      </c>
      <c r="R392">
        <f t="shared" si="92"/>
        <v>0.75499999999999901</v>
      </c>
      <c r="S392">
        <f t="shared" si="93"/>
        <v>0.1733333333333332</v>
      </c>
      <c r="U392">
        <f t="shared" si="94"/>
        <v>81.328545780969478</v>
      </c>
      <c r="AH392">
        <f t="shared" si="95"/>
        <v>3.1291341964798156</v>
      </c>
      <c r="AI392">
        <f t="shared" si="96"/>
        <v>37.58146663566751</v>
      </c>
      <c r="AJ392">
        <f t="shared" si="97"/>
        <v>64.482533364332483</v>
      </c>
      <c r="AL392">
        <f t="shared" si="98"/>
        <v>57.290268392959625</v>
      </c>
      <c r="AM392">
        <f t="shared" si="99"/>
        <v>44.773731607040368</v>
      </c>
    </row>
    <row r="393" spans="1:39" ht="16.5" x14ac:dyDescent="0.25">
      <c r="A393" s="1">
        <v>45138</v>
      </c>
      <c r="B393" s="5">
        <v>53.14</v>
      </c>
      <c r="C393" s="4">
        <v>52.5</v>
      </c>
      <c r="D393" s="4">
        <v>53.69</v>
      </c>
      <c r="E393" s="4">
        <v>52.49</v>
      </c>
      <c r="F393" s="4" t="s">
        <v>1409</v>
      </c>
      <c r="G393" s="2" t="s">
        <v>1644</v>
      </c>
      <c r="I393">
        <f t="shared" si="86"/>
        <v>50.911999999999992</v>
      </c>
      <c r="J393">
        <f t="shared" si="87"/>
        <v>51.021499999999989</v>
      </c>
      <c r="L393">
        <f t="shared" si="88"/>
        <v>1</v>
      </c>
      <c r="M393">
        <f t="shared" si="89"/>
        <v>0</v>
      </c>
      <c r="O393">
        <f t="shared" si="90"/>
        <v>0.64000000000000057</v>
      </c>
      <c r="P393">
        <f t="shared" si="91"/>
        <v>0</v>
      </c>
      <c r="R393">
        <f t="shared" si="92"/>
        <v>0.69555555555555459</v>
      </c>
      <c r="S393">
        <f t="shared" si="93"/>
        <v>0.16799999999999926</v>
      </c>
      <c r="U393">
        <f t="shared" si="94"/>
        <v>80.545548121461707</v>
      </c>
      <c r="AH393">
        <f t="shared" si="95"/>
        <v>3.1133949425445389</v>
      </c>
      <c r="AI393">
        <f t="shared" si="96"/>
        <v>37.461466635667506</v>
      </c>
      <c r="AJ393">
        <f t="shared" si="97"/>
        <v>64.362533364332478</v>
      </c>
      <c r="AL393">
        <f t="shared" si="98"/>
        <v>57.138789885089068</v>
      </c>
      <c r="AM393">
        <f t="shared" si="99"/>
        <v>44.685210114910916</v>
      </c>
    </row>
    <row r="394" spans="1:39" ht="16.5" x14ac:dyDescent="0.25">
      <c r="A394" s="1">
        <v>45135</v>
      </c>
      <c r="B394" s="5">
        <v>52.4</v>
      </c>
      <c r="C394" s="4">
        <v>52.23</v>
      </c>
      <c r="D394" s="4">
        <v>52.54</v>
      </c>
      <c r="E394" s="4">
        <v>51.91</v>
      </c>
      <c r="F394" s="4" t="s">
        <v>210</v>
      </c>
      <c r="G394" s="2" t="s">
        <v>98</v>
      </c>
      <c r="I394">
        <f t="shared" si="86"/>
        <v>50.783499999999989</v>
      </c>
      <c r="J394">
        <f t="shared" si="87"/>
        <v>50.995999999999988</v>
      </c>
      <c r="L394">
        <f t="shared" si="88"/>
        <v>1</v>
      </c>
      <c r="M394">
        <f t="shared" si="89"/>
        <v>0</v>
      </c>
      <c r="O394">
        <f t="shared" si="90"/>
        <v>0.17000000000000171</v>
      </c>
      <c r="P394">
        <f t="shared" si="91"/>
        <v>0</v>
      </c>
      <c r="R394">
        <f t="shared" si="92"/>
        <v>0.65777777777777713</v>
      </c>
      <c r="S394">
        <f t="shared" si="93"/>
        <v>0.16799999999999926</v>
      </c>
      <c r="U394">
        <f t="shared" si="94"/>
        <v>79.655543595263779</v>
      </c>
      <c r="AH394">
        <f t="shared" si="95"/>
        <v>3.0955464433093138</v>
      </c>
      <c r="AI394">
        <f t="shared" si="96"/>
        <v>37.332966635667503</v>
      </c>
      <c r="AJ394">
        <f t="shared" si="97"/>
        <v>64.234033364332475</v>
      </c>
      <c r="AL394">
        <f t="shared" si="98"/>
        <v>56.974592886618616</v>
      </c>
      <c r="AM394">
        <f t="shared" si="99"/>
        <v>44.592407113381363</v>
      </c>
    </row>
    <row r="395" spans="1:39" ht="16.5" x14ac:dyDescent="0.25">
      <c r="A395" s="1">
        <v>45134</v>
      </c>
      <c r="B395" s="5">
        <v>52.28</v>
      </c>
      <c r="C395" s="4">
        <v>51.7</v>
      </c>
      <c r="D395" s="4">
        <v>52.3</v>
      </c>
      <c r="E395" s="4">
        <v>51.45</v>
      </c>
      <c r="F395" s="4" t="s">
        <v>1740</v>
      </c>
      <c r="G395" s="2" t="s">
        <v>1212</v>
      </c>
      <c r="I395">
        <f t="shared" si="86"/>
        <v>50.696999999999996</v>
      </c>
      <c r="J395">
        <f t="shared" si="87"/>
        <v>51.001249999999985</v>
      </c>
      <c r="L395">
        <f t="shared" si="88"/>
        <v>1</v>
      </c>
      <c r="M395">
        <f t="shared" si="89"/>
        <v>0</v>
      </c>
      <c r="O395">
        <f t="shared" si="90"/>
        <v>0.57999999999999829</v>
      </c>
      <c r="P395">
        <f t="shared" si="91"/>
        <v>0</v>
      </c>
      <c r="R395">
        <f t="shared" si="92"/>
        <v>0.71874999999999911</v>
      </c>
      <c r="S395">
        <f t="shared" si="93"/>
        <v>0.19833333333333295</v>
      </c>
      <c r="U395">
        <f t="shared" si="94"/>
        <v>78.373466606088158</v>
      </c>
      <c r="AH395">
        <f t="shared" si="95"/>
        <v>3.0753271630561665</v>
      </c>
      <c r="AI395">
        <f t="shared" si="96"/>
        <v>37.246466635667517</v>
      </c>
      <c r="AJ395">
        <f t="shared" si="97"/>
        <v>64.147533364332475</v>
      </c>
      <c r="AL395">
        <f t="shared" si="98"/>
        <v>56.847654326112327</v>
      </c>
      <c r="AM395">
        <f t="shared" si="99"/>
        <v>44.546345673887664</v>
      </c>
    </row>
    <row r="396" spans="1:39" ht="16.5" x14ac:dyDescent="0.25">
      <c r="A396" s="1">
        <v>45133</v>
      </c>
      <c r="B396" s="5">
        <v>51.52</v>
      </c>
      <c r="C396" s="4">
        <v>51.52</v>
      </c>
      <c r="D396" s="4">
        <v>51.83</v>
      </c>
      <c r="E396" s="4">
        <v>51.09</v>
      </c>
      <c r="F396" s="4" t="s">
        <v>95</v>
      </c>
      <c r="G396" s="2" t="s">
        <v>237</v>
      </c>
      <c r="I396">
        <f t="shared" si="86"/>
        <v>50.608499999999999</v>
      </c>
      <c r="J396">
        <f t="shared" si="87"/>
        <v>50.991749999999989</v>
      </c>
      <c r="L396">
        <f t="shared" si="88"/>
        <v>0</v>
      </c>
      <c r="M396">
        <f t="shared" si="89"/>
        <v>1</v>
      </c>
      <c r="O396">
        <f t="shared" si="90"/>
        <v>0</v>
      </c>
      <c r="P396">
        <f t="shared" si="91"/>
        <v>0</v>
      </c>
      <c r="R396">
        <f t="shared" si="92"/>
        <v>0.66999999999999904</v>
      </c>
      <c r="S396">
        <f t="shared" si="93"/>
        <v>0.19833333333333295</v>
      </c>
      <c r="U396">
        <f t="shared" si="94"/>
        <v>77.159309021113259</v>
      </c>
      <c r="AH396">
        <f t="shared" si="95"/>
        <v>3.0530958020554455</v>
      </c>
      <c r="AI396">
        <f t="shared" si="96"/>
        <v>37.15796663566752</v>
      </c>
      <c r="AJ396">
        <f t="shared" si="97"/>
        <v>64.059033364332478</v>
      </c>
      <c r="AL396">
        <f t="shared" si="98"/>
        <v>56.71469160411089</v>
      </c>
      <c r="AM396">
        <f t="shared" si="99"/>
        <v>44.502308395889109</v>
      </c>
    </row>
    <row r="397" spans="1:39" ht="16.5" x14ac:dyDescent="0.25">
      <c r="A397" s="1">
        <v>45132</v>
      </c>
      <c r="B397" s="5">
        <v>51.73</v>
      </c>
      <c r="C397" s="4">
        <v>50</v>
      </c>
      <c r="D397" s="4">
        <v>52.41</v>
      </c>
      <c r="E397" s="4">
        <v>49.82</v>
      </c>
      <c r="F397" s="4" t="s">
        <v>837</v>
      </c>
      <c r="G397" s="2" t="s">
        <v>1273</v>
      </c>
      <c r="I397">
        <f t="shared" si="86"/>
        <v>50.547499999999999</v>
      </c>
      <c r="J397">
        <f t="shared" si="87"/>
        <v>51.007249999999992</v>
      </c>
      <c r="L397">
        <f t="shared" si="88"/>
        <v>1</v>
      </c>
      <c r="M397">
        <f t="shared" si="89"/>
        <v>0</v>
      </c>
      <c r="O397">
        <f t="shared" si="90"/>
        <v>1.7299999999999969</v>
      </c>
      <c r="P397">
        <f t="shared" si="91"/>
        <v>0</v>
      </c>
      <c r="R397">
        <f t="shared" si="92"/>
        <v>0.66999999999999904</v>
      </c>
      <c r="S397">
        <f t="shared" si="93"/>
        <v>0.45333333333333314</v>
      </c>
      <c r="U397">
        <f t="shared" si="94"/>
        <v>59.643916913946569</v>
      </c>
      <c r="AH397">
        <f t="shared" si="95"/>
        <v>3.0286847128045364</v>
      </c>
      <c r="AI397">
        <f t="shared" si="96"/>
        <v>37.096966635667513</v>
      </c>
      <c r="AJ397">
        <f t="shared" si="97"/>
        <v>63.998033364332485</v>
      </c>
      <c r="AL397">
        <f t="shared" si="98"/>
        <v>56.604869425609074</v>
      </c>
      <c r="AM397">
        <f t="shared" si="99"/>
        <v>44.490130574390925</v>
      </c>
    </row>
    <row r="398" spans="1:39" ht="16.5" x14ac:dyDescent="0.25">
      <c r="A398" s="1">
        <v>45131</v>
      </c>
      <c r="B398" s="5">
        <v>51.49</v>
      </c>
      <c r="C398" s="4">
        <v>51.69</v>
      </c>
      <c r="D398" s="4">
        <v>52.01</v>
      </c>
      <c r="E398" s="4">
        <v>51.17</v>
      </c>
      <c r="F398" s="4" t="s">
        <v>288</v>
      </c>
      <c r="G398" s="2" t="s">
        <v>484</v>
      </c>
      <c r="I398">
        <f t="shared" si="86"/>
        <v>50.473999999999997</v>
      </c>
      <c r="J398">
        <f t="shared" si="87"/>
        <v>51.049499999999995</v>
      </c>
      <c r="L398">
        <f t="shared" si="88"/>
        <v>0</v>
      </c>
      <c r="M398">
        <f t="shared" si="89"/>
        <v>1</v>
      </c>
      <c r="O398">
        <f t="shared" si="90"/>
        <v>0</v>
      </c>
      <c r="P398">
        <f t="shared" si="91"/>
        <v>0.19999999999999574</v>
      </c>
      <c r="R398">
        <f t="shared" si="92"/>
        <v>0.51857142857142791</v>
      </c>
      <c r="S398">
        <f t="shared" si="93"/>
        <v>0.39571428571428513</v>
      </c>
      <c r="U398">
        <f t="shared" si="94"/>
        <v>56.71875</v>
      </c>
      <c r="AH398">
        <f t="shared" si="95"/>
        <v>3.0023183304200969</v>
      </c>
      <c r="AI398">
        <f t="shared" si="96"/>
        <v>37.023466635667518</v>
      </c>
      <c r="AJ398">
        <f t="shared" si="97"/>
        <v>63.924533364332476</v>
      </c>
      <c r="AL398">
        <f t="shared" si="98"/>
        <v>56.478636660840188</v>
      </c>
      <c r="AM398">
        <f t="shared" si="99"/>
        <v>44.469363339159806</v>
      </c>
    </row>
    <row r="399" spans="1:39" ht="16.5" x14ac:dyDescent="0.25">
      <c r="A399" s="1">
        <v>45128</v>
      </c>
      <c r="B399" s="5">
        <v>51.94</v>
      </c>
      <c r="C399" s="4">
        <v>52.07</v>
      </c>
      <c r="D399" s="4">
        <v>52.12</v>
      </c>
      <c r="E399" s="4">
        <v>51.19</v>
      </c>
      <c r="F399" s="4" t="s">
        <v>1409</v>
      </c>
      <c r="G399" s="2" t="s">
        <v>736</v>
      </c>
      <c r="I399">
        <f t="shared" si="86"/>
        <v>50.403999999999996</v>
      </c>
      <c r="J399">
        <f t="shared" si="87"/>
        <v>51.120999999999995</v>
      </c>
      <c r="L399">
        <f t="shared" si="88"/>
        <v>0</v>
      </c>
      <c r="M399">
        <f t="shared" si="89"/>
        <v>1</v>
      </c>
      <c r="O399">
        <f t="shared" si="90"/>
        <v>0</v>
      </c>
      <c r="P399">
        <f t="shared" si="91"/>
        <v>0.13000000000000256</v>
      </c>
      <c r="R399">
        <f t="shared" si="92"/>
        <v>0.51857142857142791</v>
      </c>
      <c r="S399">
        <f t="shared" si="93"/>
        <v>0.36714285714285716</v>
      </c>
      <c r="U399">
        <f t="shared" si="94"/>
        <v>58.548387096774164</v>
      </c>
      <c r="AH399">
        <f t="shared" si="95"/>
        <v>2.9736834626054751</v>
      </c>
      <c r="AI399">
        <f t="shared" si="96"/>
        <v>36.95346663566751</v>
      </c>
      <c r="AJ399">
        <f t="shared" si="97"/>
        <v>63.854533364332482</v>
      </c>
      <c r="AL399">
        <f t="shared" si="98"/>
        <v>56.351366925210947</v>
      </c>
      <c r="AM399">
        <f t="shared" si="99"/>
        <v>44.456633074789046</v>
      </c>
    </row>
    <row r="400" spans="1:39" ht="16.5" x14ac:dyDescent="0.25">
      <c r="A400" s="1">
        <v>45127</v>
      </c>
      <c r="B400" s="5">
        <v>52.16</v>
      </c>
      <c r="C400" s="4">
        <v>51.46</v>
      </c>
      <c r="D400" s="4">
        <v>52.21</v>
      </c>
      <c r="E400" s="4">
        <v>51.08</v>
      </c>
      <c r="F400" s="4" t="s">
        <v>197</v>
      </c>
      <c r="G400" s="2" t="s">
        <v>426</v>
      </c>
      <c r="I400">
        <f t="shared" si="86"/>
        <v>50.332000000000001</v>
      </c>
      <c r="J400">
        <f t="shared" si="87"/>
        <v>51.18249999999999</v>
      </c>
      <c r="L400">
        <f t="shared" si="88"/>
        <v>1</v>
      </c>
      <c r="M400">
        <f t="shared" si="89"/>
        <v>0</v>
      </c>
      <c r="O400">
        <f t="shared" si="90"/>
        <v>0.69999999999999574</v>
      </c>
      <c r="P400">
        <f t="shared" si="91"/>
        <v>0</v>
      </c>
      <c r="R400">
        <f t="shared" si="92"/>
        <v>0.51857142857142791</v>
      </c>
      <c r="S400">
        <f t="shared" si="93"/>
        <v>0.41714285714285637</v>
      </c>
      <c r="U400">
        <f t="shared" si="94"/>
        <v>55.419847328244288</v>
      </c>
      <c r="AH400">
        <f t="shared" si="95"/>
        <v>2.942667151325828</v>
      </c>
      <c r="AI400">
        <f t="shared" si="96"/>
        <v>36.881466635667522</v>
      </c>
      <c r="AJ400">
        <f t="shared" si="97"/>
        <v>63.78253336433248</v>
      </c>
      <c r="AL400">
        <f t="shared" si="98"/>
        <v>56.217334302651658</v>
      </c>
      <c r="AM400">
        <f t="shared" si="99"/>
        <v>44.446665697348344</v>
      </c>
    </row>
    <row r="401" spans="1:39" ht="16.5" x14ac:dyDescent="0.25">
      <c r="A401" s="1">
        <v>45126</v>
      </c>
      <c r="B401" s="5">
        <v>51.36</v>
      </c>
      <c r="C401" s="4">
        <v>51.62</v>
      </c>
      <c r="D401" s="4">
        <v>52.09</v>
      </c>
      <c r="E401" s="4">
        <v>51.05</v>
      </c>
      <c r="F401" s="4" t="s">
        <v>1561</v>
      </c>
      <c r="G401" s="2" t="s">
        <v>513</v>
      </c>
      <c r="I401">
        <f t="shared" si="86"/>
        <v>50.249000000000002</v>
      </c>
      <c r="J401">
        <f t="shared" si="87"/>
        <v>51.213000000000001</v>
      </c>
      <c r="L401">
        <f t="shared" si="88"/>
        <v>0</v>
      </c>
      <c r="M401">
        <f t="shared" si="89"/>
        <v>1</v>
      </c>
      <c r="O401">
        <f t="shared" si="90"/>
        <v>0</v>
      </c>
      <c r="P401">
        <f t="shared" si="91"/>
        <v>0.25999999999999801</v>
      </c>
      <c r="R401">
        <f t="shared" si="92"/>
        <v>0.44857142857142868</v>
      </c>
      <c r="S401">
        <f t="shared" si="93"/>
        <v>0.41714285714285637</v>
      </c>
      <c r="U401">
        <f t="shared" si="94"/>
        <v>51.815181518151867</v>
      </c>
      <c r="AH401">
        <f t="shared" si="95"/>
        <v>2.909061219037993</v>
      </c>
      <c r="AI401">
        <f t="shared" si="96"/>
        <v>36.798466635667523</v>
      </c>
      <c r="AJ401">
        <f t="shared" si="97"/>
        <v>63.699533364332481</v>
      </c>
      <c r="AL401">
        <f t="shared" si="98"/>
        <v>56.067122438075991</v>
      </c>
      <c r="AM401">
        <f t="shared" si="99"/>
        <v>44.430877561924014</v>
      </c>
    </row>
    <row r="402" spans="1:39" ht="16.5" x14ac:dyDescent="0.25">
      <c r="A402" s="1">
        <v>45125</v>
      </c>
      <c r="B402" s="5">
        <v>51.4</v>
      </c>
      <c r="C402" s="4">
        <v>50.1</v>
      </c>
      <c r="D402" s="4">
        <v>51.57</v>
      </c>
      <c r="E402" s="4">
        <v>50.1</v>
      </c>
      <c r="F402" s="4" t="s">
        <v>1460</v>
      </c>
      <c r="G402" s="2" t="s">
        <v>499</v>
      </c>
      <c r="I402">
        <f t="shared" si="86"/>
        <v>50.224499999999999</v>
      </c>
      <c r="J402">
        <f t="shared" si="87"/>
        <v>51.277999999999999</v>
      </c>
      <c r="L402">
        <f t="shared" si="88"/>
        <v>1</v>
      </c>
      <c r="M402">
        <f t="shared" si="89"/>
        <v>0</v>
      </c>
      <c r="O402">
        <f t="shared" si="90"/>
        <v>1.2999999999999972</v>
      </c>
      <c r="P402">
        <f t="shared" si="91"/>
        <v>0</v>
      </c>
      <c r="R402">
        <f t="shared" si="92"/>
        <v>0.44857142857142868</v>
      </c>
      <c r="S402">
        <f t="shared" si="93"/>
        <v>0.38714285714285729</v>
      </c>
      <c r="U402">
        <f t="shared" si="94"/>
        <v>53.675213675213669</v>
      </c>
      <c r="AH402">
        <f t="shared" si="95"/>
        <v>2.8724876337043903</v>
      </c>
      <c r="AI402">
        <f t="shared" si="96"/>
        <v>36.77396663566752</v>
      </c>
      <c r="AJ402">
        <f t="shared" si="97"/>
        <v>63.675033364332478</v>
      </c>
      <c r="AL402">
        <f t="shared" si="98"/>
        <v>55.969475267408782</v>
      </c>
      <c r="AM402">
        <f t="shared" si="99"/>
        <v>44.479524732591216</v>
      </c>
    </row>
    <row r="403" spans="1:39" ht="16.5" x14ac:dyDescent="0.25">
      <c r="A403" s="1">
        <v>45124</v>
      </c>
      <c r="B403" s="5">
        <v>50.22</v>
      </c>
      <c r="C403" s="4">
        <v>50.47</v>
      </c>
      <c r="D403" s="4">
        <v>50.59</v>
      </c>
      <c r="E403" s="4">
        <v>50.17</v>
      </c>
      <c r="F403" s="4" t="s">
        <v>1741</v>
      </c>
      <c r="G403" s="2" t="s">
        <v>310</v>
      </c>
      <c r="I403">
        <f t="shared" si="86"/>
        <v>50.198999999999998</v>
      </c>
      <c r="J403">
        <f t="shared" si="87"/>
        <v>51.344250000000002</v>
      </c>
      <c r="L403">
        <f t="shared" si="88"/>
        <v>0</v>
      </c>
      <c r="M403">
        <f t="shared" si="89"/>
        <v>1</v>
      </c>
      <c r="O403">
        <f t="shared" si="90"/>
        <v>0</v>
      </c>
      <c r="P403">
        <f t="shared" si="91"/>
        <v>0.25</v>
      </c>
      <c r="R403">
        <f t="shared" si="92"/>
        <v>0.30714285714285694</v>
      </c>
      <c r="S403">
        <f t="shared" si="93"/>
        <v>0.38714285714285729</v>
      </c>
      <c r="U403">
        <f t="shared" si="94"/>
        <v>44.238683127571996</v>
      </c>
      <c r="AH403">
        <f t="shared" si="95"/>
        <v>2.8336867238312178</v>
      </c>
      <c r="AI403">
        <f t="shared" si="96"/>
        <v>36.748466635667512</v>
      </c>
      <c r="AJ403">
        <f t="shared" si="97"/>
        <v>63.649533364332484</v>
      </c>
      <c r="AL403">
        <f t="shared" si="98"/>
        <v>55.866373447662433</v>
      </c>
      <c r="AM403">
        <f t="shared" si="99"/>
        <v>44.531626552337563</v>
      </c>
    </row>
    <row r="404" spans="1:39" ht="16.5" x14ac:dyDescent="0.25">
      <c r="A404" s="1">
        <v>45121</v>
      </c>
      <c r="B404" s="5">
        <v>50.31</v>
      </c>
      <c r="C404" s="4">
        <v>50.02</v>
      </c>
      <c r="D404" s="4">
        <v>50.45</v>
      </c>
      <c r="E404" s="4">
        <v>49.85</v>
      </c>
      <c r="F404" s="4" t="s">
        <v>97</v>
      </c>
      <c r="G404" s="2" t="s">
        <v>147</v>
      </c>
      <c r="I404">
        <f t="shared" si="86"/>
        <v>50.268999999999998</v>
      </c>
      <c r="J404">
        <f t="shared" si="87"/>
        <v>51.436750000000004</v>
      </c>
      <c r="L404">
        <f t="shared" si="88"/>
        <v>1</v>
      </c>
      <c r="M404">
        <f t="shared" si="89"/>
        <v>0</v>
      </c>
      <c r="O404">
        <f t="shared" si="90"/>
        <v>0.28999999999999915</v>
      </c>
      <c r="P404">
        <f t="shared" si="91"/>
        <v>0</v>
      </c>
      <c r="R404">
        <f t="shared" si="92"/>
        <v>0.30714285714285694</v>
      </c>
      <c r="S404">
        <f t="shared" si="93"/>
        <v>0.35857142857142932</v>
      </c>
      <c r="U404">
        <f t="shared" si="94"/>
        <v>46.137339055793923</v>
      </c>
      <c r="AH404">
        <f t="shared" si="95"/>
        <v>2.7924763927443621</v>
      </c>
      <c r="AI404">
        <f t="shared" si="96"/>
        <v>36.818466635667519</v>
      </c>
      <c r="AJ404">
        <f t="shared" si="97"/>
        <v>63.719533364332477</v>
      </c>
      <c r="AL404">
        <f t="shared" si="98"/>
        <v>55.853952785488723</v>
      </c>
      <c r="AM404">
        <f t="shared" si="99"/>
        <v>44.684047214511274</v>
      </c>
    </row>
    <row r="405" spans="1:39" ht="16.5" x14ac:dyDescent="0.25">
      <c r="A405" s="1">
        <v>45120</v>
      </c>
      <c r="B405" s="5">
        <v>50.63</v>
      </c>
      <c r="C405" s="4">
        <v>50</v>
      </c>
      <c r="D405" s="4">
        <v>50.78</v>
      </c>
      <c r="E405" s="4">
        <v>49.88</v>
      </c>
      <c r="F405" s="4" t="s">
        <v>1462</v>
      </c>
      <c r="G405" s="2" t="s">
        <v>420</v>
      </c>
      <c r="I405">
        <f t="shared" si="86"/>
        <v>50.37</v>
      </c>
      <c r="J405">
        <f t="shared" si="87"/>
        <v>51.54375000000001</v>
      </c>
      <c r="L405">
        <f t="shared" si="88"/>
        <v>1</v>
      </c>
      <c r="M405">
        <f t="shared" si="89"/>
        <v>0</v>
      </c>
      <c r="O405">
        <f t="shared" si="90"/>
        <v>0.63000000000000256</v>
      </c>
      <c r="P405">
        <f t="shared" si="91"/>
        <v>0</v>
      </c>
      <c r="R405">
        <f t="shared" si="92"/>
        <v>0.30999999999999989</v>
      </c>
      <c r="S405">
        <f t="shared" si="93"/>
        <v>0.38874999999999993</v>
      </c>
      <c r="U405">
        <f t="shared" si="94"/>
        <v>44.364937388193198</v>
      </c>
      <c r="AH405">
        <f t="shared" si="95"/>
        <v>2.7503722035611782</v>
      </c>
      <c r="AI405">
        <f t="shared" si="96"/>
        <v>36.919466635667519</v>
      </c>
      <c r="AJ405">
        <f t="shared" si="97"/>
        <v>63.820533364332476</v>
      </c>
      <c r="AL405">
        <f t="shared" si="98"/>
        <v>55.870744407122352</v>
      </c>
      <c r="AM405">
        <f t="shared" si="99"/>
        <v>44.869255592877643</v>
      </c>
    </row>
    <row r="406" spans="1:39" ht="16.5" x14ac:dyDescent="0.25">
      <c r="A406" s="1">
        <v>45119</v>
      </c>
      <c r="B406" s="5">
        <v>49.94</v>
      </c>
      <c r="C406" s="4">
        <v>49.72</v>
      </c>
      <c r="D406" s="4">
        <v>50.12</v>
      </c>
      <c r="E406" s="4">
        <v>49.37</v>
      </c>
      <c r="F406" s="4" t="s">
        <v>1507</v>
      </c>
      <c r="G406" s="2" t="s">
        <v>459</v>
      </c>
      <c r="I406">
        <f t="shared" si="86"/>
        <v>50.428999999999995</v>
      </c>
      <c r="J406">
        <f t="shared" si="87"/>
        <v>51.630749999999999</v>
      </c>
      <c r="L406">
        <f t="shared" si="88"/>
        <v>1</v>
      </c>
      <c r="M406">
        <f t="shared" si="89"/>
        <v>0</v>
      </c>
      <c r="O406">
        <f t="shared" si="90"/>
        <v>0.21999999999999886</v>
      </c>
      <c r="P406">
        <f t="shared" si="91"/>
        <v>0</v>
      </c>
      <c r="R406">
        <f t="shared" si="92"/>
        <v>0.24599999999999939</v>
      </c>
      <c r="S406">
        <f t="shared" si="93"/>
        <v>0.35333333333333328</v>
      </c>
      <c r="U406">
        <f t="shared" si="94"/>
        <v>41.045606229143438</v>
      </c>
      <c r="AH406">
        <f t="shared" si="95"/>
        <v>2.7078780571231498</v>
      </c>
      <c r="AI406">
        <f t="shared" si="96"/>
        <v>36.978466635667516</v>
      </c>
      <c r="AJ406">
        <f t="shared" si="97"/>
        <v>63.879533364332474</v>
      </c>
      <c r="AL406">
        <f t="shared" si="98"/>
        <v>55.844756114246294</v>
      </c>
      <c r="AM406">
        <f t="shared" si="99"/>
        <v>45.013243885753695</v>
      </c>
    </row>
    <row r="407" spans="1:39" ht="16.5" x14ac:dyDescent="0.25">
      <c r="A407" s="1">
        <v>45118</v>
      </c>
      <c r="B407" s="5">
        <v>49.81</v>
      </c>
      <c r="C407" s="4">
        <v>49.51</v>
      </c>
      <c r="D407" s="4">
        <v>49.84</v>
      </c>
      <c r="E407" s="4">
        <v>49.44</v>
      </c>
      <c r="F407" s="4" t="s">
        <v>1384</v>
      </c>
      <c r="G407" s="2" t="s">
        <v>696</v>
      </c>
      <c r="I407">
        <f t="shared" si="86"/>
        <v>50.522000000000006</v>
      </c>
      <c r="J407">
        <f t="shared" si="87"/>
        <v>51.727000000000011</v>
      </c>
      <c r="L407">
        <f t="shared" si="88"/>
        <v>1</v>
      </c>
      <c r="M407">
        <f t="shared" si="89"/>
        <v>0</v>
      </c>
      <c r="O407">
        <f t="shared" si="90"/>
        <v>0.30000000000000426</v>
      </c>
      <c r="P407">
        <f t="shared" si="91"/>
        <v>0</v>
      </c>
      <c r="R407">
        <f t="shared" si="92"/>
        <v>0.2524999999999995</v>
      </c>
      <c r="S407">
        <f t="shared" si="93"/>
        <v>0.31799999999999995</v>
      </c>
      <c r="U407">
        <f t="shared" si="94"/>
        <v>44.259421560035008</v>
      </c>
      <c r="AH407">
        <f t="shared" si="95"/>
        <v>2.6642064825957346</v>
      </c>
      <c r="AI407">
        <f t="shared" si="96"/>
        <v>37.07146663566752</v>
      </c>
      <c r="AJ407">
        <f t="shared" si="97"/>
        <v>63.972533364332492</v>
      </c>
      <c r="AL407">
        <f t="shared" si="98"/>
        <v>55.850412965191474</v>
      </c>
      <c r="AM407">
        <f t="shared" si="99"/>
        <v>45.193587034808537</v>
      </c>
    </row>
    <row r="408" spans="1:39" ht="16.5" x14ac:dyDescent="0.25">
      <c r="A408" s="1">
        <v>45117</v>
      </c>
      <c r="B408" s="5">
        <v>49.53</v>
      </c>
      <c r="C408" s="4">
        <v>49.88</v>
      </c>
      <c r="D408" s="4">
        <v>50.5</v>
      </c>
      <c r="E408" s="4">
        <v>49.44</v>
      </c>
      <c r="F408" s="4" t="s">
        <v>1742</v>
      </c>
      <c r="G408" s="2" t="s">
        <v>783</v>
      </c>
      <c r="I408">
        <f t="shared" si="86"/>
        <v>50.595500000000001</v>
      </c>
      <c r="J408">
        <f t="shared" si="87"/>
        <v>51.823</v>
      </c>
      <c r="L408">
        <f t="shared" si="88"/>
        <v>0</v>
      </c>
      <c r="M408">
        <f t="shared" si="89"/>
        <v>1</v>
      </c>
      <c r="O408">
        <f t="shared" si="90"/>
        <v>0</v>
      </c>
      <c r="P408">
        <f t="shared" si="91"/>
        <v>0.35000000000000142</v>
      </c>
      <c r="R408">
        <f t="shared" si="92"/>
        <v>0.23666666666666458</v>
      </c>
      <c r="S408">
        <f t="shared" si="93"/>
        <v>0.28909090909090907</v>
      </c>
      <c r="U408">
        <f t="shared" si="94"/>
        <v>45.014409221901801</v>
      </c>
      <c r="AH408">
        <f t="shared" si="95"/>
        <v>2.6199167227746787</v>
      </c>
      <c r="AI408">
        <f t="shared" si="96"/>
        <v>37.144966635667515</v>
      </c>
      <c r="AJ408">
        <f t="shared" si="97"/>
        <v>64.046033364332487</v>
      </c>
      <c r="AL408">
        <f t="shared" si="98"/>
        <v>55.83533344554936</v>
      </c>
      <c r="AM408">
        <f t="shared" si="99"/>
        <v>45.355666554450643</v>
      </c>
    </row>
    <row r="409" spans="1:39" ht="16.5" x14ac:dyDescent="0.25">
      <c r="A409" s="1">
        <v>45114</v>
      </c>
      <c r="B409" s="5">
        <v>48.76</v>
      </c>
      <c r="C409" s="4">
        <v>48.57</v>
      </c>
      <c r="D409" s="4">
        <v>49.13</v>
      </c>
      <c r="E409" s="4">
        <v>48.28</v>
      </c>
      <c r="F409" s="4" t="s">
        <v>1540</v>
      </c>
      <c r="G409" s="2" t="s">
        <v>1076</v>
      </c>
      <c r="I409">
        <f t="shared" si="86"/>
        <v>50.674499999999995</v>
      </c>
      <c r="J409">
        <f t="shared" si="87"/>
        <v>51.917250000000003</v>
      </c>
      <c r="L409">
        <f t="shared" si="88"/>
        <v>1</v>
      </c>
      <c r="M409">
        <f t="shared" si="89"/>
        <v>0</v>
      </c>
      <c r="O409">
        <f t="shared" si="90"/>
        <v>0.18999999999999773</v>
      </c>
      <c r="P409">
        <f t="shared" si="91"/>
        <v>0</v>
      </c>
      <c r="R409">
        <f t="shared" si="92"/>
        <v>0.23666666666666458</v>
      </c>
      <c r="S409">
        <f t="shared" si="93"/>
        <v>0.29818181818181827</v>
      </c>
      <c r="U409">
        <f t="shared" si="94"/>
        <v>44.249291784702322</v>
      </c>
      <c r="AH409">
        <f t="shared" si="95"/>
        <v>2.5746015306070733</v>
      </c>
      <c r="AI409">
        <f t="shared" si="96"/>
        <v>37.223966635667509</v>
      </c>
      <c r="AJ409">
        <f t="shared" si="97"/>
        <v>64.125033364332481</v>
      </c>
      <c r="AL409">
        <f t="shared" si="98"/>
        <v>55.82370306121414</v>
      </c>
      <c r="AM409">
        <f t="shared" si="99"/>
        <v>45.52529693878585</v>
      </c>
    </row>
    <row r="410" spans="1:39" ht="16.5" x14ac:dyDescent="0.25">
      <c r="A410" s="1">
        <v>45113</v>
      </c>
      <c r="B410" s="5">
        <v>48.62</v>
      </c>
      <c r="C410" s="4">
        <v>50.15</v>
      </c>
      <c r="D410" s="4">
        <v>50.23</v>
      </c>
      <c r="E410" s="4">
        <v>48.51</v>
      </c>
      <c r="F410" s="4" t="s">
        <v>1452</v>
      </c>
      <c r="G410" s="2" t="s">
        <v>1743</v>
      </c>
      <c r="I410">
        <f t="shared" si="86"/>
        <v>50.793999999999997</v>
      </c>
      <c r="J410">
        <f t="shared" si="87"/>
        <v>52.041499999999999</v>
      </c>
      <c r="L410">
        <f t="shared" si="88"/>
        <v>0</v>
      </c>
      <c r="M410">
        <f t="shared" si="89"/>
        <v>1</v>
      </c>
      <c r="O410">
        <f t="shared" si="90"/>
        <v>0</v>
      </c>
      <c r="P410">
        <f t="shared" si="91"/>
        <v>1.5300000000000011</v>
      </c>
      <c r="R410">
        <f t="shared" si="92"/>
        <v>0.25999999999999801</v>
      </c>
      <c r="S410">
        <f t="shared" si="93"/>
        <v>0.33000000000000007</v>
      </c>
      <c r="U410">
        <f t="shared" si="94"/>
        <v>44.067796610169296</v>
      </c>
      <c r="AH410">
        <f t="shared" si="95"/>
        <v>2.5283005642404968</v>
      </c>
      <c r="AI410">
        <f t="shared" si="96"/>
        <v>37.343466635667511</v>
      </c>
      <c r="AJ410">
        <f t="shared" si="97"/>
        <v>64.244533364332483</v>
      </c>
      <c r="AL410">
        <f t="shared" si="98"/>
        <v>55.850601128480989</v>
      </c>
      <c r="AM410">
        <f t="shared" si="99"/>
        <v>45.737398871519005</v>
      </c>
    </row>
    <row r="411" spans="1:39" ht="16.5" x14ac:dyDescent="0.25">
      <c r="A411" s="1">
        <v>45112</v>
      </c>
      <c r="B411" s="5">
        <v>50.43</v>
      </c>
      <c r="C411" s="4">
        <v>50.48</v>
      </c>
      <c r="D411" s="4">
        <v>50.58</v>
      </c>
      <c r="E411" s="4">
        <v>50.1</v>
      </c>
      <c r="F411" s="4" t="s">
        <v>1464</v>
      </c>
      <c r="G411" s="2" t="s">
        <v>596</v>
      </c>
      <c r="I411">
        <f t="shared" si="86"/>
        <v>50.960500000000003</v>
      </c>
      <c r="J411">
        <f t="shared" si="87"/>
        <v>52.174500000000002</v>
      </c>
      <c r="L411">
        <f t="shared" si="88"/>
        <v>0</v>
      </c>
      <c r="M411">
        <f t="shared" si="89"/>
        <v>1</v>
      </c>
      <c r="O411">
        <f t="shared" si="90"/>
        <v>0</v>
      </c>
      <c r="P411">
        <f t="shared" si="91"/>
        <v>4.9999999999997158E-2</v>
      </c>
      <c r="R411">
        <f t="shared" si="92"/>
        <v>0.29999999999999716</v>
      </c>
      <c r="S411">
        <f t="shared" si="93"/>
        <v>0.22090909090909089</v>
      </c>
      <c r="U411">
        <f t="shared" si="94"/>
        <v>57.59162303664899</v>
      </c>
      <c r="AH411">
        <f t="shared" si="95"/>
        <v>2.4817517133186455</v>
      </c>
      <c r="AI411">
        <f t="shared" si="96"/>
        <v>37.509966635667524</v>
      </c>
      <c r="AJ411">
        <f t="shared" si="97"/>
        <v>64.411033364332482</v>
      </c>
      <c r="AL411">
        <f t="shared" si="98"/>
        <v>55.924003426637292</v>
      </c>
      <c r="AM411">
        <f t="shared" si="99"/>
        <v>45.996996573362715</v>
      </c>
    </row>
    <row r="412" spans="1:39" ht="16.5" x14ac:dyDescent="0.25">
      <c r="A412" s="1">
        <v>45111</v>
      </c>
      <c r="B412" s="5">
        <v>50.57</v>
      </c>
      <c r="C412" s="4">
        <v>50.57</v>
      </c>
      <c r="D412" s="4">
        <v>50.9</v>
      </c>
      <c r="E412" s="4">
        <v>50.52</v>
      </c>
      <c r="F412" s="4" t="s">
        <v>1744</v>
      </c>
      <c r="G412" s="2" t="s">
        <v>365</v>
      </c>
      <c r="I412">
        <f t="shared" si="86"/>
        <v>51.045499999999997</v>
      </c>
      <c r="J412">
        <f t="shared" si="87"/>
        <v>52.371000000000002</v>
      </c>
      <c r="L412">
        <f t="shared" si="88"/>
        <v>0</v>
      </c>
      <c r="M412">
        <f t="shared" si="89"/>
        <v>1</v>
      </c>
      <c r="O412">
        <f t="shared" si="90"/>
        <v>0</v>
      </c>
      <c r="P412">
        <f t="shared" si="91"/>
        <v>0</v>
      </c>
      <c r="R412">
        <f t="shared" si="92"/>
        <v>0.24249999999999794</v>
      </c>
      <c r="S412">
        <f t="shared" si="93"/>
        <v>0.23800000000000027</v>
      </c>
      <c r="U412">
        <f t="shared" si="94"/>
        <v>50.46826222684679</v>
      </c>
      <c r="AH412">
        <f t="shared" si="95"/>
        <v>2.4358822538097158</v>
      </c>
      <c r="AI412">
        <f t="shared" si="96"/>
        <v>37.594966635667518</v>
      </c>
      <c r="AJ412">
        <f t="shared" si="97"/>
        <v>64.496033364332476</v>
      </c>
      <c r="AL412">
        <f t="shared" si="98"/>
        <v>55.917264507619429</v>
      </c>
      <c r="AM412">
        <f t="shared" si="99"/>
        <v>46.173735492380565</v>
      </c>
    </row>
    <row r="413" spans="1:39" ht="16.5" x14ac:dyDescent="0.25">
      <c r="A413" s="1">
        <v>45110</v>
      </c>
      <c r="B413" s="5">
        <v>50.57</v>
      </c>
      <c r="C413" s="4">
        <v>51.05</v>
      </c>
      <c r="D413" s="4">
        <v>51.42</v>
      </c>
      <c r="E413" s="4">
        <v>50.48</v>
      </c>
      <c r="F413" s="4" t="s">
        <v>1423</v>
      </c>
      <c r="G413" s="2" t="s">
        <v>321</v>
      </c>
      <c r="I413">
        <f t="shared" si="86"/>
        <v>51.131</v>
      </c>
      <c r="J413">
        <f t="shared" si="87"/>
        <v>52.565000000000012</v>
      </c>
      <c r="L413">
        <f t="shared" si="88"/>
        <v>0</v>
      </c>
      <c r="M413">
        <f t="shared" si="89"/>
        <v>1</v>
      </c>
      <c r="O413">
        <f t="shared" si="90"/>
        <v>0</v>
      </c>
      <c r="P413">
        <f t="shared" si="91"/>
        <v>0.47999999999999687</v>
      </c>
      <c r="R413">
        <f t="shared" si="92"/>
        <v>0.24599999999999794</v>
      </c>
      <c r="S413">
        <f t="shared" si="93"/>
        <v>0.2644444444444447</v>
      </c>
      <c r="U413">
        <f t="shared" si="94"/>
        <v>48.193295602960148</v>
      </c>
      <c r="AH413">
        <f t="shared" si="95"/>
        <v>2.3890894272467582</v>
      </c>
      <c r="AI413">
        <f t="shared" si="96"/>
        <v>37.680466635667514</v>
      </c>
      <c r="AJ413">
        <f t="shared" si="97"/>
        <v>64.581533364332486</v>
      </c>
      <c r="AL413">
        <f t="shared" si="98"/>
        <v>55.909178854493518</v>
      </c>
      <c r="AM413">
        <f t="shared" si="99"/>
        <v>46.352821145506482</v>
      </c>
    </row>
    <row r="414" spans="1:39" ht="16.5" x14ac:dyDescent="0.25">
      <c r="A414" s="1">
        <v>45107</v>
      </c>
      <c r="B414" s="5">
        <v>50.67</v>
      </c>
      <c r="C414" s="4">
        <v>50.46</v>
      </c>
      <c r="D414" s="4">
        <v>51.03</v>
      </c>
      <c r="E414" s="4">
        <v>50.46</v>
      </c>
      <c r="F414" s="4" t="s">
        <v>1407</v>
      </c>
      <c r="G414" s="2" t="s">
        <v>245</v>
      </c>
      <c r="I414">
        <f t="shared" si="86"/>
        <v>51.208500000000001</v>
      </c>
      <c r="J414">
        <f t="shared" si="87"/>
        <v>52.758500000000005</v>
      </c>
      <c r="L414">
        <f t="shared" si="88"/>
        <v>1</v>
      </c>
      <c r="M414">
        <f t="shared" si="89"/>
        <v>0</v>
      </c>
      <c r="O414">
        <f t="shared" si="90"/>
        <v>0.21000000000000085</v>
      </c>
      <c r="P414">
        <f t="shared" si="91"/>
        <v>0</v>
      </c>
      <c r="R414">
        <f t="shared" si="92"/>
        <v>0.24599999999999794</v>
      </c>
      <c r="S414">
        <f t="shared" si="93"/>
        <v>0.21111111111111175</v>
      </c>
      <c r="U414">
        <f t="shared" si="94"/>
        <v>53.816237238696843</v>
      </c>
      <c r="AH414">
        <f t="shared" si="95"/>
        <v>2.341320246219579</v>
      </c>
      <c r="AI414">
        <f t="shared" si="96"/>
        <v>37.757966635667515</v>
      </c>
      <c r="AJ414">
        <f t="shared" si="97"/>
        <v>64.659033364332487</v>
      </c>
      <c r="AL414">
        <f t="shared" si="98"/>
        <v>55.891140492439156</v>
      </c>
      <c r="AM414">
        <f t="shared" si="99"/>
        <v>46.525859507560845</v>
      </c>
    </row>
    <row r="415" spans="1:39" ht="16.5" x14ac:dyDescent="0.25">
      <c r="A415" s="1">
        <v>45106</v>
      </c>
      <c r="B415" s="5">
        <v>50.51</v>
      </c>
      <c r="C415" s="4">
        <v>50.56</v>
      </c>
      <c r="D415" s="4">
        <v>50.78</v>
      </c>
      <c r="E415" s="4">
        <v>50.41</v>
      </c>
      <c r="F415" s="4" t="s">
        <v>1383</v>
      </c>
      <c r="G415" s="2" t="s">
        <v>676</v>
      </c>
      <c r="I415">
        <f t="shared" si="86"/>
        <v>51.305499999999995</v>
      </c>
      <c r="J415">
        <f t="shared" si="87"/>
        <v>52.959249999999997</v>
      </c>
      <c r="L415">
        <f t="shared" si="88"/>
        <v>0</v>
      </c>
      <c r="M415">
        <f t="shared" si="89"/>
        <v>1</v>
      </c>
      <c r="O415">
        <f t="shared" si="90"/>
        <v>0</v>
      </c>
      <c r="P415">
        <f t="shared" si="91"/>
        <v>5.0000000000004263E-2</v>
      </c>
      <c r="R415">
        <f t="shared" si="92"/>
        <v>0.25499999999999723</v>
      </c>
      <c r="S415">
        <f t="shared" si="93"/>
        <v>0.20400000000000063</v>
      </c>
      <c r="U415">
        <f t="shared" si="94"/>
        <v>55.555555555555216</v>
      </c>
      <c r="AH415">
        <f t="shared" si="95"/>
        <v>2.2923351386066875</v>
      </c>
      <c r="AI415">
        <f t="shared" si="96"/>
        <v>37.854966635667509</v>
      </c>
      <c r="AJ415">
        <f t="shared" si="97"/>
        <v>64.756033364332481</v>
      </c>
      <c r="AL415">
        <f t="shared" si="98"/>
        <v>55.890170277213372</v>
      </c>
      <c r="AM415">
        <f t="shared" si="99"/>
        <v>46.720829722786618</v>
      </c>
    </row>
    <row r="416" spans="1:39" ht="16.5" x14ac:dyDescent="0.25">
      <c r="A416" s="1">
        <v>45105</v>
      </c>
      <c r="B416" s="5">
        <v>50.3</v>
      </c>
      <c r="C416" s="4">
        <v>49.99</v>
      </c>
      <c r="D416" s="4">
        <v>50.41</v>
      </c>
      <c r="E416" s="4">
        <v>49.47</v>
      </c>
      <c r="F416" s="4" t="s">
        <v>507</v>
      </c>
      <c r="G416" s="2" t="s">
        <v>1149</v>
      </c>
      <c r="I416">
        <f t="shared" si="86"/>
        <v>51.375</v>
      </c>
      <c r="J416">
        <f t="shared" si="87"/>
        <v>53.149000000000001</v>
      </c>
      <c r="L416">
        <f t="shared" si="88"/>
        <v>1</v>
      </c>
      <c r="M416">
        <f t="shared" si="89"/>
        <v>0</v>
      </c>
      <c r="O416">
        <f t="shared" si="90"/>
        <v>0.30999999999999517</v>
      </c>
      <c r="P416">
        <f t="shared" si="91"/>
        <v>0</v>
      </c>
      <c r="R416">
        <f t="shared" si="92"/>
        <v>0.25499999999999723</v>
      </c>
      <c r="S416">
        <f t="shared" si="93"/>
        <v>0.28400000000000036</v>
      </c>
      <c r="U416">
        <f t="shared" si="94"/>
        <v>47.30983302411844</v>
      </c>
      <c r="AH416">
        <f t="shared" si="95"/>
        <v>2.2424670797212056</v>
      </c>
      <c r="AI416">
        <f t="shared" si="96"/>
        <v>37.924466635667514</v>
      </c>
      <c r="AJ416">
        <f t="shared" si="97"/>
        <v>64.825533364332486</v>
      </c>
      <c r="AL416">
        <f t="shared" si="98"/>
        <v>55.85993415944241</v>
      </c>
      <c r="AM416">
        <f t="shared" si="99"/>
        <v>46.89006584055759</v>
      </c>
    </row>
    <row r="417" spans="1:39" ht="16.5" x14ac:dyDescent="0.25">
      <c r="A417" s="1">
        <v>45104</v>
      </c>
      <c r="B417" s="5">
        <v>50.26</v>
      </c>
      <c r="C417" s="4">
        <v>50.31</v>
      </c>
      <c r="D417" s="4">
        <v>50.46</v>
      </c>
      <c r="E417" s="4">
        <v>50.16</v>
      </c>
      <c r="F417" s="4" t="s">
        <v>537</v>
      </c>
      <c r="G417" s="2" t="s">
        <v>479</v>
      </c>
      <c r="I417">
        <f t="shared" si="86"/>
        <v>51.467000000000006</v>
      </c>
      <c r="J417">
        <f t="shared" si="87"/>
        <v>53.3215</v>
      </c>
      <c r="L417">
        <f t="shared" si="88"/>
        <v>0</v>
      </c>
      <c r="M417">
        <f t="shared" si="89"/>
        <v>1</v>
      </c>
      <c r="O417">
        <f t="shared" si="90"/>
        <v>0</v>
      </c>
      <c r="P417">
        <f t="shared" si="91"/>
        <v>5.0000000000004263E-2</v>
      </c>
      <c r="R417">
        <f t="shared" si="92"/>
        <v>0.23666666666666458</v>
      </c>
      <c r="S417">
        <f t="shared" si="93"/>
        <v>0.29363636363636397</v>
      </c>
      <c r="U417">
        <f t="shared" si="94"/>
        <v>44.628571428571185</v>
      </c>
      <c r="AH417">
        <f t="shared" si="95"/>
        <v>2.1910371485903593</v>
      </c>
      <c r="AI417">
        <f t="shared" si="96"/>
        <v>38.016466635667527</v>
      </c>
      <c r="AJ417">
        <f t="shared" si="97"/>
        <v>64.917533364332485</v>
      </c>
      <c r="AL417">
        <f t="shared" si="98"/>
        <v>55.849074297180721</v>
      </c>
      <c r="AM417">
        <f t="shared" si="99"/>
        <v>47.084925702819291</v>
      </c>
    </row>
    <row r="418" spans="1:39" ht="16.5" x14ac:dyDescent="0.25">
      <c r="A418" s="1">
        <v>45103</v>
      </c>
      <c r="B418" s="5">
        <v>50.09</v>
      </c>
      <c r="C418" s="4">
        <v>50.69</v>
      </c>
      <c r="D418" s="4">
        <v>50.69</v>
      </c>
      <c r="E418" s="4">
        <v>50.04</v>
      </c>
      <c r="F418" s="4" t="s">
        <v>759</v>
      </c>
      <c r="G418" s="2" t="s">
        <v>127</v>
      </c>
      <c r="I418">
        <f t="shared" si="86"/>
        <v>51.625</v>
      </c>
      <c r="J418">
        <f t="shared" si="87"/>
        <v>53.49499999999999</v>
      </c>
      <c r="L418">
        <f t="shared" si="88"/>
        <v>0</v>
      </c>
      <c r="M418">
        <f t="shared" si="89"/>
        <v>1</v>
      </c>
      <c r="O418">
        <f t="shared" si="90"/>
        <v>0</v>
      </c>
      <c r="P418">
        <f t="shared" si="91"/>
        <v>0.59999999999999432</v>
      </c>
      <c r="R418">
        <f t="shared" si="92"/>
        <v>0.23666666666666458</v>
      </c>
      <c r="S418">
        <f t="shared" si="93"/>
        <v>0.29545454545454547</v>
      </c>
      <c r="U418">
        <f t="shared" si="94"/>
        <v>44.476082004555593</v>
      </c>
      <c r="AH418">
        <f t="shared" si="95"/>
        <v>2.138431661613069</v>
      </c>
      <c r="AI418">
        <f t="shared" si="96"/>
        <v>38.174466635667514</v>
      </c>
      <c r="AJ418">
        <f t="shared" si="97"/>
        <v>65.075533364332486</v>
      </c>
      <c r="AL418">
        <f t="shared" si="98"/>
        <v>55.901863323226138</v>
      </c>
      <c r="AM418">
        <f t="shared" si="99"/>
        <v>47.348136676773862</v>
      </c>
    </row>
    <row r="419" spans="1:39" ht="16.5" x14ac:dyDescent="0.25">
      <c r="A419" s="1">
        <v>45100</v>
      </c>
      <c r="B419" s="5">
        <v>50.5</v>
      </c>
      <c r="C419" s="4">
        <v>50.57</v>
      </c>
      <c r="D419" s="4">
        <v>50.78</v>
      </c>
      <c r="E419" s="4">
        <v>50.17</v>
      </c>
      <c r="F419" s="4" t="s">
        <v>139</v>
      </c>
      <c r="G419" s="2" t="s">
        <v>365</v>
      </c>
      <c r="I419">
        <f t="shared" si="86"/>
        <v>51.838000000000001</v>
      </c>
      <c r="J419">
        <f t="shared" si="87"/>
        <v>53.736750000000008</v>
      </c>
      <c r="L419">
        <f t="shared" si="88"/>
        <v>0</v>
      </c>
      <c r="M419">
        <f t="shared" si="89"/>
        <v>1</v>
      </c>
      <c r="O419">
        <f t="shared" si="90"/>
        <v>0</v>
      </c>
      <c r="P419">
        <f t="shared" si="91"/>
        <v>7.0000000000000284E-2</v>
      </c>
      <c r="R419">
        <f t="shared" si="92"/>
        <v>0.24749999999999872</v>
      </c>
      <c r="S419">
        <f t="shared" si="93"/>
        <v>0.26500000000000057</v>
      </c>
      <c r="U419">
        <f t="shared" si="94"/>
        <v>48.29268292682908</v>
      </c>
      <c r="AH419">
        <f t="shared" si="95"/>
        <v>2.0861008259537472</v>
      </c>
      <c r="AI419">
        <f t="shared" si="96"/>
        <v>38.387466635667522</v>
      </c>
      <c r="AJ419">
        <f t="shared" si="97"/>
        <v>65.28853336433248</v>
      </c>
      <c r="AL419">
        <f t="shared" si="98"/>
        <v>56.010201651907494</v>
      </c>
      <c r="AM419">
        <f t="shared" si="99"/>
        <v>47.665798348092508</v>
      </c>
    </row>
    <row r="420" spans="1:39" ht="16.5" x14ac:dyDescent="0.25">
      <c r="A420" s="1">
        <v>45099</v>
      </c>
      <c r="B420" s="5">
        <v>50.5</v>
      </c>
      <c r="C420" s="4">
        <v>50.5</v>
      </c>
      <c r="D420" s="4">
        <v>50.74</v>
      </c>
      <c r="E420" s="4">
        <v>50.17</v>
      </c>
      <c r="F420" s="4" t="s">
        <v>383</v>
      </c>
      <c r="G420" s="2" t="s">
        <v>174</v>
      </c>
      <c r="I420">
        <f t="shared" si="86"/>
        <v>52.033000000000001</v>
      </c>
      <c r="J420">
        <f t="shared" si="87"/>
        <v>53.96725</v>
      </c>
      <c r="L420">
        <f t="shared" si="88"/>
        <v>0</v>
      </c>
      <c r="M420">
        <f t="shared" si="89"/>
        <v>1</v>
      </c>
      <c r="O420">
        <f t="shared" si="90"/>
        <v>0</v>
      </c>
      <c r="P420">
        <f t="shared" si="91"/>
        <v>0</v>
      </c>
      <c r="R420">
        <f t="shared" si="92"/>
        <v>0.24749999999999872</v>
      </c>
      <c r="S420">
        <f t="shared" si="93"/>
        <v>0.32700000000000101</v>
      </c>
      <c r="U420">
        <f t="shared" si="94"/>
        <v>43.080939947780479</v>
      </c>
      <c r="AH420">
        <f t="shared" si="95"/>
        <v>2.0353605609665597</v>
      </c>
      <c r="AI420">
        <f t="shared" si="96"/>
        <v>38.582466635667515</v>
      </c>
      <c r="AJ420">
        <f t="shared" si="97"/>
        <v>65.483533364332487</v>
      </c>
      <c r="AL420">
        <f t="shared" si="98"/>
        <v>56.10372112193312</v>
      </c>
      <c r="AM420">
        <f t="shared" si="99"/>
        <v>47.962278878066883</v>
      </c>
    </row>
    <row r="421" spans="1:39" ht="16.5" x14ac:dyDescent="0.25">
      <c r="A421" s="1">
        <v>45098</v>
      </c>
      <c r="B421" s="5">
        <v>50.87</v>
      </c>
      <c r="C421" s="4">
        <v>50.87</v>
      </c>
      <c r="D421" s="4">
        <v>51.26</v>
      </c>
      <c r="E421" s="4">
        <v>50.63</v>
      </c>
      <c r="F421" s="4" t="s">
        <v>141</v>
      </c>
      <c r="G421" s="2" t="s">
        <v>729</v>
      </c>
      <c r="I421">
        <f t="shared" si="86"/>
        <v>52.177</v>
      </c>
      <c r="J421">
        <f t="shared" si="87"/>
        <v>54.207499999999996</v>
      </c>
      <c r="L421">
        <f t="shared" si="88"/>
        <v>0</v>
      </c>
      <c r="M421">
        <f t="shared" si="89"/>
        <v>1</v>
      </c>
      <c r="O421">
        <f t="shared" si="90"/>
        <v>0</v>
      </c>
      <c r="P421">
        <f t="shared" si="91"/>
        <v>0</v>
      </c>
      <c r="R421">
        <f t="shared" si="92"/>
        <v>0.30799999999999839</v>
      </c>
      <c r="S421">
        <f t="shared" si="93"/>
        <v>0.36333333333333445</v>
      </c>
      <c r="U421">
        <f t="shared" si="94"/>
        <v>45.878848063554912</v>
      </c>
      <c r="AH421">
        <f t="shared" si="95"/>
        <v>1.9858922766755047</v>
      </c>
      <c r="AI421">
        <f t="shared" si="96"/>
        <v>38.726466635667521</v>
      </c>
      <c r="AJ421">
        <f t="shared" si="97"/>
        <v>65.627533364332479</v>
      </c>
      <c r="AL421">
        <f t="shared" si="98"/>
        <v>56.148784553351007</v>
      </c>
      <c r="AM421">
        <f t="shared" si="99"/>
        <v>48.205215446648992</v>
      </c>
    </row>
    <row r="422" spans="1:39" ht="16.5" x14ac:dyDescent="0.25">
      <c r="A422" s="1">
        <v>45097</v>
      </c>
      <c r="B422" s="5">
        <v>50.89</v>
      </c>
      <c r="C422" s="4">
        <v>51.34</v>
      </c>
      <c r="D422" s="4">
        <v>51.5</v>
      </c>
      <c r="E422" s="4">
        <v>50.87</v>
      </c>
      <c r="F422" s="4" t="s">
        <v>288</v>
      </c>
      <c r="G422" s="2" t="s">
        <v>361</v>
      </c>
      <c r="I422">
        <f t="shared" si="86"/>
        <v>52.331499999999991</v>
      </c>
      <c r="J422">
        <f t="shared" si="87"/>
        <v>54.446499999999993</v>
      </c>
      <c r="L422">
        <f t="shared" si="88"/>
        <v>0</v>
      </c>
      <c r="M422">
        <f t="shared" si="89"/>
        <v>1</v>
      </c>
      <c r="O422">
        <f t="shared" si="90"/>
        <v>0</v>
      </c>
      <c r="P422">
        <f t="shared" si="91"/>
        <v>0.45000000000000284</v>
      </c>
      <c r="R422">
        <f t="shared" si="92"/>
        <v>0.30799999999999839</v>
      </c>
      <c r="S422">
        <f t="shared" si="93"/>
        <v>0.44000000000000167</v>
      </c>
      <c r="U422">
        <f t="shared" si="94"/>
        <v>41.17647058823507</v>
      </c>
      <c r="AH422">
        <f t="shared" si="95"/>
        <v>1.9365751481086291</v>
      </c>
      <c r="AI422">
        <f t="shared" si="96"/>
        <v>38.880966635667505</v>
      </c>
      <c r="AJ422">
        <f t="shared" si="97"/>
        <v>65.782033364332477</v>
      </c>
      <c r="AL422">
        <f t="shared" si="98"/>
        <v>56.204650296217253</v>
      </c>
      <c r="AM422">
        <f t="shared" si="99"/>
        <v>48.45834970378273</v>
      </c>
    </row>
    <row r="423" spans="1:39" ht="16.5" x14ac:dyDescent="0.25">
      <c r="A423" s="1">
        <v>45096</v>
      </c>
      <c r="B423" s="5">
        <v>51.62</v>
      </c>
      <c r="C423" s="4">
        <v>52.3</v>
      </c>
      <c r="D423" s="4">
        <v>52.42</v>
      </c>
      <c r="E423" s="4">
        <v>51.62</v>
      </c>
      <c r="F423" s="4" t="s">
        <v>286</v>
      </c>
      <c r="G423" s="2" t="s">
        <v>1745</v>
      </c>
      <c r="I423">
        <f t="shared" si="86"/>
        <v>52.4895</v>
      </c>
      <c r="J423">
        <f t="shared" si="87"/>
        <v>54.684999999999988</v>
      </c>
      <c r="L423">
        <f t="shared" si="88"/>
        <v>0</v>
      </c>
      <c r="M423">
        <f t="shared" si="89"/>
        <v>1</v>
      </c>
      <c r="O423">
        <f t="shared" si="90"/>
        <v>0</v>
      </c>
      <c r="P423">
        <f t="shared" si="91"/>
        <v>0.67999999999999972</v>
      </c>
      <c r="R423">
        <f t="shared" si="92"/>
        <v>0.30799999999999839</v>
      </c>
      <c r="S423">
        <f t="shared" si="93"/>
        <v>0.5033333333333343</v>
      </c>
      <c r="U423">
        <f t="shared" si="94"/>
        <v>37.962202136400819</v>
      </c>
      <c r="AH423">
        <f t="shared" si="95"/>
        <v>1.8876788742134123</v>
      </c>
      <c r="AI423">
        <f t="shared" si="96"/>
        <v>39.038966635667521</v>
      </c>
      <c r="AJ423">
        <f t="shared" si="97"/>
        <v>65.940033364332479</v>
      </c>
      <c r="AL423">
        <f t="shared" si="98"/>
        <v>56.264857748426827</v>
      </c>
      <c r="AM423">
        <f t="shared" si="99"/>
        <v>48.714142251573172</v>
      </c>
    </row>
    <row r="424" spans="1:39" ht="16.5" x14ac:dyDescent="0.25">
      <c r="A424" s="1">
        <v>45093</v>
      </c>
      <c r="B424" s="5">
        <v>52.33</v>
      </c>
      <c r="C424" s="4">
        <v>51.95</v>
      </c>
      <c r="D424" s="4">
        <v>52.69</v>
      </c>
      <c r="E424" s="4">
        <v>51.77</v>
      </c>
      <c r="F424" s="4" t="s">
        <v>875</v>
      </c>
      <c r="G424" s="2" t="s">
        <v>554</v>
      </c>
      <c r="I424">
        <f t="shared" si="86"/>
        <v>52.604499999999994</v>
      </c>
      <c r="J424">
        <f t="shared" si="87"/>
        <v>54.911749999999984</v>
      </c>
      <c r="L424">
        <f t="shared" si="88"/>
        <v>1</v>
      </c>
      <c r="M424">
        <f t="shared" si="89"/>
        <v>0</v>
      </c>
      <c r="O424">
        <f t="shared" si="90"/>
        <v>0.37999999999999545</v>
      </c>
      <c r="P424">
        <f t="shared" si="91"/>
        <v>0</v>
      </c>
      <c r="R424">
        <f t="shared" si="92"/>
        <v>0.30799999999999839</v>
      </c>
      <c r="S424">
        <f t="shared" si="93"/>
        <v>0.51888888888888984</v>
      </c>
      <c r="U424">
        <f t="shared" si="94"/>
        <v>37.248051599032351</v>
      </c>
      <c r="AH424">
        <f t="shared" si="95"/>
        <v>1.8393251470376337</v>
      </c>
      <c r="AI424">
        <f t="shared" si="96"/>
        <v>39.153966635667516</v>
      </c>
      <c r="AJ424">
        <f t="shared" si="97"/>
        <v>66.055033364332473</v>
      </c>
      <c r="AL424">
        <f t="shared" si="98"/>
        <v>56.283150294075263</v>
      </c>
      <c r="AM424">
        <f t="shared" si="99"/>
        <v>48.925849705924726</v>
      </c>
    </row>
    <row r="425" spans="1:39" ht="16.5" x14ac:dyDescent="0.25">
      <c r="A425" s="1">
        <v>45092</v>
      </c>
      <c r="B425" s="5">
        <v>51.81</v>
      </c>
      <c r="C425" s="4">
        <v>51.74</v>
      </c>
      <c r="D425" s="4">
        <v>52.01</v>
      </c>
      <c r="E425" s="4">
        <v>51.62</v>
      </c>
      <c r="F425" s="4" t="s">
        <v>128</v>
      </c>
      <c r="G425" s="2" t="s">
        <v>949</v>
      </c>
      <c r="I425">
        <f t="shared" si="86"/>
        <v>52.717499999999994</v>
      </c>
      <c r="J425">
        <f t="shared" si="87"/>
        <v>55.128249999999994</v>
      </c>
      <c r="L425">
        <f t="shared" si="88"/>
        <v>1</v>
      </c>
      <c r="M425">
        <f t="shared" si="89"/>
        <v>0</v>
      </c>
      <c r="O425">
        <f t="shared" si="90"/>
        <v>7.0000000000000284E-2</v>
      </c>
      <c r="P425">
        <f t="shared" si="91"/>
        <v>0</v>
      </c>
      <c r="R425">
        <f t="shared" si="92"/>
        <v>0.28999999999999915</v>
      </c>
      <c r="S425">
        <f t="shared" si="93"/>
        <v>0.48200000000000076</v>
      </c>
      <c r="U425">
        <f t="shared" si="94"/>
        <v>37.564766839378137</v>
      </c>
      <c r="AH425">
        <f t="shared" si="95"/>
        <v>1.7904927079517277</v>
      </c>
      <c r="AI425">
        <f t="shared" si="96"/>
        <v>39.266966635667515</v>
      </c>
      <c r="AJ425">
        <f t="shared" si="97"/>
        <v>66.168033364332473</v>
      </c>
      <c r="AL425">
        <f t="shared" si="98"/>
        <v>56.29848541590345</v>
      </c>
      <c r="AM425">
        <f t="shared" si="99"/>
        <v>49.136514584096538</v>
      </c>
    </row>
    <row r="426" spans="1:39" ht="16.5" x14ac:dyDescent="0.25">
      <c r="A426" s="1">
        <v>45091</v>
      </c>
      <c r="B426" s="5">
        <v>51.8</v>
      </c>
      <c r="C426" s="4">
        <v>51.54</v>
      </c>
      <c r="D426" s="4">
        <v>52.03</v>
      </c>
      <c r="E426" s="4">
        <v>51.37</v>
      </c>
      <c r="F426" s="4" t="s">
        <v>1536</v>
      </c>
      <c r="G426" s="2" t="s">
        <v>524</v>
      </c>
      <c r="I426">
        <f t="shared" si="86"/>
        <v>52.832499999999996</v>
      </c>
      <c r="J426">
        <f t="shared" si="87"/>
        <v>55.365249999999989</v>
      </c>
      <c r="L426">
        <f t="shared" si="88"/>
        <v>1</v>
      </c>
      <c r="M426">
        <f t="shared" si="89"/>
        <v>0</v>
      </c>
      <c r="O426">
        <f t="shared" si="90"/>
        <v>0.25999999999999801</v>
      </c>
      <c r="P426">
        <f t="shared" si="91"/>
        <v>0</v>
      </c>
      <c r="R426">
        <f t="shared" si="92"/>
        <v>0.52249999999999908</v>
      </c>
      <c r="S426">
        <f t="shared" si="93"/>
        <v>0.48200000000000076</v>
      </c>
      <c r="U426">
        <f t="shared" si="94"/>
        <v>52.01592832254844</v>
      </c>
      <c r="AH426">
        <f t="shared" si="95"/>
        <v>1.7410934329468883</v>
      </c>
      <c r="AI426">
        <f t="shared" si="96"/>
        <v>39.38196663566751</v>
      </c>
      <c r="AJ426">
        <f t="shared" si="97"/>
        <v>66.283033364332482</v>
      </c>
      <c r="AL426">
        <f t="shared" si="98"/>
        <v>56.314686865893776</v>
      </c>
      <c r="AM426">
        <f t="shared" si="99"/>
        <v>49.350313134106216</v>
      </c>
    </row>
    <row r="427" spans="1:39" ht="16.5" x14ac:dyDescent="0.25">
      <c r="A427" s="1">
        <v>45090</v>
      </c>
      <c r="B427" s="5">
        <v>51.28</v>
      </c>
      <c r="C427" s="4">
        <v>51.28</v>
      </c>
      <c r="D427" s="4">
        <v>51.46</v>
      </c>
      <c r="E427" s="4">
        <v>50.8</v>
      </c>
      <c r="F427" s="4" t="s">
        <v>1540</v>
      </c>
      <c r="G427" s="2" t="s">
        <v>821</v>
      </c>
      <c r="I427">
        <f t="shared" si="86"/>
        <v>52.931999999999995</v>
      </c>
      <c r="J427">
        <f t="shared" si="87"/>
        <v>55.605249999999998</v>
      </c>
      <c r="L427">
        <f t="shared" si="88"/>
        <v>0</v>
      </c>
      <c r="M427">
        <f t="shared" si="89"/>
        <v>1</v>
      </c>
      <c r="O427">
        <f t="shared" si="90"/>
        <v>0</v>
      </c>
      <c r="P427">
        <f t="shared" si="91"/>
        <v>0</v>
      </c>
      <c r="R427">
        <f t="shared" si="92"/>
        <v>0.60999999999999943</v>
      </c>
      <c r="S427">
        <f t="shared" si="93"/>
        <v>0.4754545454545458</v>
      </c>
      <c r="U427">
        <f t="shared" si="94"/>
        <v>56.197654941373493</v>
      </c>
      <c r="AH427">
        <f t="shared" si="95"/>
        <v>1.6911326825886586</v>
      </c>
      <c r="AI427">
        <f t="shared" si="96"/>
        <v>39.481466635667516</v>
      </c>
      <c r="AJ427">
        <f t="shared" si="97"/>
        <v>66.382533364332474</v>
      </c>
      <c r="AL427">
        <f t="shared" si="98"/>
        <v>56.314265365177313</v>
      </c>
      <c r="AM427">
        <f t="shared" si="99"/>
        <v>49.549734634822677</v>
      </c>
    </row>
    <row r="428" spans="1:39" ht="16.5" x14ac:dyDescent="0.25">
      <c r="A428" s="1">
        <v>45089</v>
      </c>
      <c r="B428" s="5">
        <v>51.11</v>
      </c>
      <c r="C428" s="4">
        <v>51.25</v>
      </c>
      <c r="D428" s="4">
        <v>51.33</v>
      </c>
      <c r="E428" s="4">
        <v>50.92</v>
      </c>
      <c r="F428" s="4" t="s">
        <v>1395</v>
      </c>
      <c r="G428" s="2" t="s">
        <v>513</v>
      </c>
      <c r="I428">
        <f t="shared" si="86"/>
        <v>53.0505</v>
      </c>
      <c r="J428">
        <f t="shared" si="87"/>
        <v>55.861249999999998</v>
      </c>
      <c r="L428">
        <f t="shared" si="88"/>
        <v>0</v>
      </c>
      <c r="M428">
        <f t="shared" si="89"/>
        <v>1</v>
      </c>
      <c r="O428">
        <f t="shared" si="90"/>
        <v>0</v>
      </c>
      <c r="P428">
        <f t="shared" si="91"/>
        <v>0.14000000000000057</v>
      </c>
      <c r="R428">
        <f t="shared" si="92"/>
        <v>0.51999999999999957</v>
      </c>
      <c r="S428">
        <f t="shared" si="93"/>
        <v>0.52300000000000035</v>
      </c>
      <c r="U428">
        <f t="shared" si="94"/>
        <v>49.856184084371968</v>
      </c>
      <c r="AH428">
        <f t="shared" si="95"/>
        <v>1.6401473215889355</v>
      </c>
      <c r="AI428">
        <f t="shared" si="96"/>
        <v>39.599966635667514</v>
      </c>
      <c r="AJ428">
        <f t="shared" si="97"/>
        <v>66.501033364332486</v>
      </c>
      <c r="AL428">
        <f t="shared" si="98"/>
        <v>56.330794643177867</v>
      </c>
      <c r="AM428">
        <f t="shared" si="99"/>
        <v>49.770205356822132</v>
      </c>
    </row>
    <row r="429" spans="1:39" ht="16.5" x14ac:dyDescent="0.25">
      <c r="A429" s="1">
        <v>45086</v>
      </c>
      <c r="B429" s="5">
        <v>51.15</v>
      </c>
      <c r="C429" s="4">
        <v>52</v>
      </c>
      <c r="D429" s="4">
        <v>52.01</v>
      </c>
      <c r="E429" s="4">
        <v>50.89</v>
      </c>
      <c r="F429" s="4" t="s">
        <v>1740</v>
      </c>
      <c r="G429" s="2" t="s">
        <v>317</v>
      </c>
      <c r="I429">
        <f t="shared" si="86"/>
        <v>53.159999999999989</v>
      </c>
      <c r="J429">
        <f t="shared" si="87"/>
        <v>56.117500000000007</v>
      </c>
      <c r="L429">
        <f t="shared" si="88"/>
        <v>0</v>
      </c>
      <c r="M429">
        <f t="shared" si="89"/>
        <v>1</v>
      </c>
      <c r="O429">
        <f t="shared" si="90"/>
        <v>0</v>
      </c>
      <c r="P429">
        <f t="shared" si="91"/>
        <v>0.85000000000000142</v>
      </c>
      <c r="R429">
        <f t="shared" si="92"/>
        <v>0.45399999999999918</v>
      </c>
      <c r="S429">
        <f t="shared" si="93"/>
        <v>0.56555555555555592</v>
      </c>
      <c r="U429">
        <f t="shared" si="94"/>
        <v>44.529206625980756</v>
      </c>
      <c r="AH429">
        <f t="shared" si="95"/>
        <v>1.5885615821422789</v>
      </c>
      <c r="AI429">
        <f t="shared" si="96"/>
        <v>39.709466635667511</v>
      </c>
      <c r="AJ429">
        <f t="shared" si="97"/>
        <v>66.610533364332468</v>
      </c>
      <c r="AL429">
        <f t="shared" si="98"/>
        <v>56.337123164284549</v>
      </c>
      <c r="AM429">
        <f t="shared" si="99"/>
        <v>49.98287683571543</v>
      </c>
    </row>
    <row r="430" spans="1:39" ht="16.5" x14ac:dyDescent="0.25">
      <c r="A430" s="1">
        <v>45085</v>
      </c>
      <c r="B430" s="5">
        <v>51.95</v>
      </c>
      <c r="C430" s="4">
        <v>52.34</v>
      </c>
      <c r="D430" s="4">
        <v>52.39</v>
      </c>
      <c r="E430" s="4">
        <v>51.94</v>
      </c>
      <c r="F430" s="4" t="s">
        <v>60</v>
      </c>
      <c r="G430" s="2" t="s">
        <v>258</v>
      </c>
      <c r="I430">
        <f t="shared" si="86"/>
        <v>53.289000000000001</v>
      </c>
      <c r="J430">
        <f t="shared" si="87"/>
        <v>56.365000000000009</v>
      </c>
      <c r="L430">
        <f t="shared" si="88"/>
        <v>0</v>
      </c>
      <c r="M430">
        <f t="shared" si="89"/>
        <v>1</v>
      </c>
      <c r="O430">
        <f t="shared" si="90"/>
        <v>0</v>
      </c>
      <c r="P430">
        <f t="shared" si="91"/>
        <v>0.39000000000000057</v>
      </c>
      <c r="R430">
        <f t="shared" si="92"/>
        <v>0.45399999999999918</v>
      </c>
      <c r="S430">
        <f t="shared" si="93"/>
        <v>0.54444444444444429</v>
      </c>
      <c r="U430">
        <f t="shared" si="94"/>
        <v>45.47073225016689</v>
      </c>
      <c r="AH430">
        <f t="shared" si="95"/>
        <v>1.5360645611303363</v>
      </c>
      <c r="AI430">
        <f t="shared" si="96"/>
        <v>39.838466635667515</v>
      </c>
      <c r="AJ430">
        <f t="shared" si="97"/>
        <v>66.739533364332488</v>
      </c>
      <c r="AL430">
        <f t="shared" si="98"/>
        <v>56.361129122260671</v>
      </c>
      <c r="AM430">
        <f t="shared" si="99"/>
        <v>50.216870877739332</v>
      </c>
    </row>
    <row r="431" spans="1:39" ht="16.5" x14ac:dyDescent="0.25">
      <c r="A431" s="1">
        <v>45084</v>
      </c>
      <c r="B431" s="5">
        <v>52.13</v>
      </c>
      <c r="C431" s="4">
        <v>52.2</v>
      </c>
      <c r="D431" s="4">
        <v>52.59</v>
      </c>
      <c r="E431" s="4">
        <v>52.05</v>
      </c>
      <c r="F431" s="4" t="s">
        <v>415</v>
      </c>
      <c r="G431" s="2" t="s">
        <v>163</v>
      </c>
      <c r="I431">
        <f t="shared" si="86"/>
        <v>53.388500000000001</v>
      </c>
      <c r="J431">
        <f t="shared" si="87"/>
        <v>56.568500000000014</v>
      </c>
      <c r="L431">
        <f t="shared" si="88"/>
        <v>0</v>
      </c>
      <c r="M431">
        <f t="shared" si="89"/>
        <v>1</v>
      </c>
      <c r="O431">
        <f t="shared" si="90"/>
        <v>0</v>
      </c>
      <c r="P431">
        <f t="shared" si="91"/>
        <v>7.0000000000000284E-2</v>
      </c>
      <c r="R431">
        <f t="shared" si="92"/>
        <v>0.44333333333333275</v>
      </c>
      <c r="S431">
        <f t="shared" si="93"/>
        <v>0.56374999999999975</v>
      </c>
      <c r="U431">
        <f t="shared" si="94"/>
        <v>44.021514273893231</v>
      </c>
      <c r="AH431">
        <f t="shared" si="95"/>
        <v>1.4831290500701477</v>
      </c>
      <c r="AI431">
        <f t="shared" si="96"/>
        <v>39.937966635667522</v>
      </c>
      <c r="AJ431">
        <f t="shared" si="97"/>
        <v>66.839033364332479</v>
      </c>
      <c r="AL431">
        <f t="shared" si="98"/>
        <v>56.354758100140295</v>
      </c>
      <c r="AM431">
        <f t="shared" si="99"/>
        <v>50.422241899859706</v>
      </c>
    </row>
    <row r="432" spans="1:39" ht="16.5" x14ac:dyDescent="0.25">
      <c r="A432" s="1">
        <v>45083</v>
      </c>
      <c r="B432" s="5">
        <v>52.28</v>
      </c>
      <c r="C432" s="4">
        <v>52</v>
      </c>
      <c r="D432" s="4">
        <v>52.39</v>
      </c>
      <c r="E432" s="4">
        <v>51.85</v>
      </c>
      <c r="F432" s="4" t="s">
        <v>136</v>
      </c>
      <c r="G432" s="2" t="s">
        <v>958</v>
      </c>
      <c r="I432">
        <f t="shared" si="86"/>
        <v>53.696499999999993</v>
      </c>
      <c r="J432">
        <f t="shared" si="87"/>
        <v>56.773250000000004</v>
      </c>
      <c r="L432">
        <f t="shared" si="88"/>
        <v>1</v>
      </c>
      <c r="M432">
        <f t="shared" si="89"/>
        <v>0</v>
      </c>
      <c r="O432">
        <f t="shared" si="90"/>
        <v>0.28000000000000114</v>
      </c>
      <c r="P432">
        <f t="shared" si="91"/>
        <v>0</v>
      </c>
      <c r="R432">
        <f t="shared" si="92"/>
        <v>0.44333333333333275</v>
      </c>
      <c r="S432">
        <f t="shared" si="93"/>
        <v>0.55499999999999972</v>
      </c>
      <c r="U432">
        <f t="shared" si="94"/>
        <v>44.407345575959916</v>
      </c>
      <c r="AH432">
        <f t="shared" si="95"/>
        <v>1.4288288265837781</v>
      </c>
      <c r="AI432">
        <f t="shared" si="96"/>
        <v>40.245966635667514</v>
      </c>
      <c r="AJ432">
        <f t="shared" si="97"/>
        <v>67.147033364332472</v>
      </c>
      <c r="AL432">
        <f t="shared" si="98"/>
        <v>56.55415765316755</v>
      </c>
      <c r="AM432">
        <f t="shared" si="99"/>
        <v>50.838842346832436</v>
      </c>
    </row>
    <row r="433" spans="1:39" ht="16.5" x14ac:dyDescent="0.25">
      <c r="A433" s="1">
        <v>45082</v>
      </c>
      <c r="B433" s="5">
        <v>52.12</v>
      </c>
      <c r="C433" s="4">
        <v>52.81</v>
      </c>
      <c r="D433" s="4">
        <v>52.81</v>
      </c>
      <c r="E433" s="4">
        <v>52.12</v>
      </c>
      <c r="F433" s="4" t="s">
        <v>302</v>
      </c>
      <c r="G433" s="2" t="s">
        <v>634</v>
      </c>
      <c r="I433">
        <f t="shared" si="86"/>
        <v>53.998999999999988</v>
      </c>
      <c r="J433">
        <f t="shared" si="87"/>
        <v>56.980249999999998</v>
      </c>
      <c r="L433">
        <f t="shared" si="88"/>
        <v>0</v>
      </c>
      <c r="M433">
        <f t="shared" si="89"/>
        <v>1</v>
      </c>
      <c r="O433">
        <f t="shared" si="90"/>
        <v>0</v>
      </c>
      <c r="P433">
        <f t="shared" si="91"/>
        <v>0.69000000000000483</v>
      </c>
      <c r="R433">
        <f t="shared" si="92"/>
        <v>0.43499999999999872</v>
      </c>
      <c r="S433">
        <f t="shared" si="93"/>
        <v>0.55499999999999972</v>
      </c>
      <c r="U433">
        <f t="shared" si="94"/>
        <v>43.939393939393881</v>
      </c>
      <c r="AH433">
        <f t="shared" si="95"/>
        <v>1.3793143763188551</v>
      </c>
      <c r="AI433">
        <f t="shared" si="96"/>
        <v>40.548466635667509</v>
      </c>
      <c r="AJ433">
        <f t="shared" si="97"/>
        <v>67.449533364332467</v>
      </c>
      <c r="AL433">
        <f t="shared" si="98"/>
        <v>56.7576287526377</v>
      </c>
      <c r="AM433">
        <f t="shared" si="99"/>
        <v>51.240371247362276</v>
      </c>
    </row>
    <row r="434" spans="1:39" ht="16.5" x14ac:dyDescent="0.25">
      <c r="A434" s="1">
        <v>45079</v>
      </c>
      <c r="B434" s="5">
        <v>52.61</v>
      </c>
      <c r="C434" s="4">
        <v>52.06</v>
      </c>
      <c r="D434" s="4">
        <v>52.64</v>
      </c>
      <c r="E434" s="4">
        <v>51.72</v>
      </c>
      <c r="F434" s="4" t="s">
        <v>1462</v>
      </c>
      <c r="G434" s="2" t="s">
        <v>420</v>
      </c>
      <c r="I434">
        <f t="shared" si="86"/>
        <v>54.308499999999995</v>
      </c>
      <c r="J434">
        <f t="shared" si="87"/>
        <v>57.16525</v>
      </c>
      <c r="L434">
        <f t="shared" si="88"/>
        <v>1</v>
      </c>
      <c r="M434">
        <f t="shared" si="89"/>
        <v>0</v>
      </c>
      <c r="O434">
        <f t="shared" si="90"/>
        <v>0.54999999999999716</v>
      </c>
      <c r="P434">
        <f t="shared" si="91"/>
        <v>0</v>
      </c>
      <c r="R434">
        <f t="shared" si="92"/>
        <v>0.43142857142856983</v>
      </c>
      <c r="S434">
        <f t="shared" si="93"/>
        <v>0.5357142857142847</v>
      </c>
      <c r="U434">
        <f t="shared" si="94"/>
        <v>44.608567208271744</v>
      </c>
      <c r="AH434">
        <f t="shared" si="95"/>
        <v>1.3346961789654841</v>
      </c>
      <c r="AI434">
        <f t="shared" si="96"/>
        <v>40.857966635667509</v>
      </c>
      <c r="AJ434">
        <f t="shared" si="97"/>
        <v>67.759033364332481</v>
      </c>
      <c r="AL434">
        <f t="shared" si="98"/>
        <v>56.977892357930962</v>
      </c>
      <c r="AM434">
        <f t="shared" si="99"/>
        <v>51.639107642069028</v>
      </c>
    </row>
    <row r="435" spans="1:39" ht="16.5" x14ac:dyDescent="0.25">
      <c r="A435" s="1">
        <v>45078</v>
      </c>
      <c r="B435" s="5">
        <v>51.9</v>
      </c>
      <c r="C435" s="4">
        <v>52.59</v>
      </c>
      <c r="D435" s="4">
        <v>52.65</v>
      </c>
      <c r="E435" s="4">
        <v>51.46</v>
      </c>
      <c r="F435" s="4" t="s">
        <v>1435</v>
      </c>
      <c r="G435" s="2" t="s">
        <v>93</v>
      </c>
      <c r="I435">
        <f t="shared" si="86"/>
        <v>54.613</v>
      </c>
      <c r="J435">
        <f t="shared" si="87"/>
        <v>57.320500000000003</v>
      </c>
      <c r="L435">
        <f t="shared" si="88"/>
        <v>0</v>
      </c>
      <c r="M435">
        <f t="shared" si="89"/>
        <v>1</v>
      </c>
      <c r="O435">
        <f t="shared" si="90"/>
        <v>0</v>
      </c>
      <c r="P435">
        <f t="shared" si="91"/>
        <v>0.69000000000000483</v>
      </c>
      <c r="R435">
        <f t="shared" si="92"/>
        <v>0.41166666666666529</v>
      </c>
      <c r="S435">
        <f t="shared" si="93"/>
        <v>0.56874999999999964</v>
      </c>
      <c r="U435">
        <f t="shared" si="94"/>
        <v>41.988950276243024</v>
      </c>
      <c r="AH435">
        <f t="shared" si="95"/>
        <v>1.2953943858388757</v>
      </c>
      <c r="AI435">
        <f t="shared" si="96"/>
        <v>41.162466635667514</v>
      </c>
      <c r="AJ435">
        <f t="shared" si="97"/>
        <v>68.063533364332486</v>
      </c>
      <c r="AL435">
        <f t="shared" si="98"/>
        <v>57.20378877167775</v>
      </c>
      <c r="AM435">
        <f t="shared" si="99"/>
        <v>52.022211228322249</v>
      </c>
    </row>
    <row r="436" spans="1:39" ht="16.5" x14ac:dyDescent="0.25">
      <c r="A436" s="1">
        <v>45077</v>
      </c>
      <c r="B436" s="5">
        <v>52.14</v>
      </c>
      <c r="C436" s="4">
        <v>53.16</v>
      </c>
      <c r="D436" s="4">
        <v>53.26</v>
      </c>
      <c r="E436" s="4">
        <v>52.14</v>
      </c>
      <c r="F436" s="4" t="s">
        <v>923</v>
      </c>
      <c r="G436" s="2" t="s">
        <v>882</v>
      </c>
      <c r="I436">
        <f t="shared" si="86"/>
        <v>54.923000000000002</v>
      </c>
      <c r="J436">
        <f t="shared" si="87"/>
        <v>57.5</v>
      </c>
      <c r="L436">
        <f t="shared" si="88"/>
        <v>0</v>
      </c>
      <c r="M436">
        <f t="shared" si="89"/>
        <v>1</v>
      </c>
      <c r="O436">
        <f t="shared" si="90"/>
        <v>0</v>
      </c>
      <c r="P436">
        <f t="shared" si="91"/>
        <v>1.019999999999996</v>
      </c>
      <c r="R436">
        <f t="shared" si="92"/>
        <v>0.38142857142856962</v>
      </c>
      <c r="S436">
        <f t="shared" si="93"/>
        <v>0.55142857142857038</v>
      </c>
      <c r="U436">
        <f t="shared" si="94"/>
        <v>40.888208269525201</v>
      </c>
      <c r="AH436">
        <f t="shared" si="95"/>
        <v>1.2614374123398049</v>
      </c>
      <c r="AI436">
        <f t="shared" si="96"/>
        <v>41.472466635667516</v>
      </c>
      <c r="AJ436">
        <f t="shared" si="97"/>
        <v>68.373533364332488</v>
      </c>
      <c r="AL436">
        <f t="shared" si="98"/>
        <v>57.445874824679613</v>
      </c>
      <c r="AM436">
        <f t="shared" si="99"/>
        <v>52.40012517532039</v>
      </c>
    </row>
    <row r="437" spans="1:39" ht="16.5" x14ac:dyDescent="0.25">
      <c r="A437" s="1">
        <v>45076</v>
      </c>
      <c r="B437" s="5">
        <v>53.42</v>
      </c>
      <c r="C437" s="4">
        <v>54.24</v>
      </c>
      <c r="D437" s="4">
        <v>54.48</v>
      </c>
      <c r="E437" s="4">
        <v>53.42</v>
      </c>
      <c r="F437" s="4" t="s">
        <v>204</v>
      </c>
      <c r="G437" s="2" t="s">
        <v>341</v>
      </c>
      <c r="I437">
        <f t="shared" si="86"/>
        <v>55.176000000000002</v>
      </c>
      <c r="J437">
        <f t="shared" si="87"/>
        <v>57.664499999999997</v>
      </c>
      <c r="L437">
        <f t="shared" si="88"/>
        <v>0</v>
      </c>
      <c r="M437">
        <f t="shared" si="89"/>
        <v>1</v>
      </c>
      <c r="O437">
        <f t="shared" si="90"/>
        <v>0</v>
      </c>
      <c r="P437">
        <f t="shared" si="91"/>
        <v>0.82000000000000028</v>
      </c>
      <c r="R437">
        <f t="shared" si="92"/>
        <v>0.38142857142856962</v>
      </c>
      <c r="S437">
        <f t="shared" si="93"/>
        <v>0.77142857142857124</v>
      </c>
      <c r="U437">
        <f t="shared" si="94"/>
        <v>33.085501858735967</v>
      </c>
      <c r="AH437">
        <f t="shared" si="95"/>
        <v>1.2330477869883445</v>
      </c>
      <c r="AI437">
        <f t="shared" si="96"/>
        <v>41.725466635667516</v>
      </c>
      <c r="AJ437">
        <f t="shared" si="97"/>
        <v>68.626533364332488</v>
      </c>
      <c r="AL437">
        <f t="shared" si="98"/>
        <v>57.64209557397669</v>
      </c>
      <c r="AM437">
        <f t="shared" si="99"/>
        <v>52.709904426023314</v>
      </c>
    </row>
    <row r="438" spans="1:39" ht="16.5" x14ac:dyDescent="0.25">
      <c r="A438" s="1">
        <v>45075</v>
      </c>
      <c r="B438" s="5">
        <v>54.35</v>
      </c>
      <c r="C438" s="4">
        <v>54.5</v>
      </c>
      <c r="D438" s="4">
        <v>54.95</v>
      </c>
      <c r="E438" s="4">
        <v>54.31</v>
      </c>
      <c r="F438" s="4" t="s">
        <v>1746</v>
      </c>
      <c r="G438" s="2" t="s">
        <v>533</v>
      </c>
      <c r="I438">
        <f t="shared" si="86"/>
        <v>55.365000000000009</v>
      </c>
      <c r="J438">
        <f t="shared" si="87"/>
        <v>57.773499999999999</v>
      </c>
      <c r="L438">
        <f t="shared" si="88"/>
        <v>0</v>
      </c>
      <c r="M438">
        <f t="shared" si="89"/>
        <v>1</v>
      </c>
      <c r="O438">
        <f t="shared" si="90"/>
        <v>0</v>
      </c>
      <c r="P438">
        <f t="shared" si="91"/>
        <v>0.14999999999999858</v>
      </c>
      <c r="R438">
        <f t="shared" si="92"/>
        <v>0.38142857142856962</v>
      </c>
      <c r="S438">
        <f t="shared" si="93"/>
        <v>0.65571428571428514</v>
      </c>
      <c r="U438">
        <f t="shared" si="94"/>
        <v>36.77685950413214</v>
      </c>
      <c r="AH438">
        <f t="shared" si="95"/>
        <v>1.2088667347164013</v>
      </c>
      <c r="AI438">
        <f t="shared" si="96"/>
        <v>41.914466635667523</v>
      </c>
      <c r="AJ438">
        <f t="shared" si="97"/>
        <v>68.815533364332495</v>
      </c>
      <c r="AL438">
        <f t="shared" si="98"/>
        <v>57.782733469432813</v>
      </c>
      <c r="AM438">
        <f t="shared" si="99"/>
        <v>52.947266530567205</v>
      </c>
    </row>
    <row r="439" spans="1:39" ht="16.5" x14ac:dyDescent="0.25">
      <c r="A439" s="1">
        <v>45072</v>
      </c>
      <c r="B439" s="5">
        <v>54.4</v>
      </c>
      <c r="C439" s="4">
        <v>53.4</v>
      </c>
      <c r="D439" s="4">
        <v>54.55</v>
      </c>
      <c r="E439" s="4">
        <v>53.26</v>
      </c>
      <c r="F439" s="4" t="s">
        <v>1578</v>
      </c>
      <c r="G439" s="2" t="s">
        <v>100</v>
      </c>
      <c r="I439">
        <f t="shared" si="86"/>
        <v>55.635500000000015</v>
      </c>
      <c r="J439">
        <f t="shared" si="87"/>
        <v>57.846500000000006</v>
      </c>
      <c r="L439">
        <f t="shared" si="88"/>
        <v>1</v>
      </c>
      <c r="M439">
        <f t="shared" si="89"/>
        <v>0</v>
      </c>
      <c r="O439">
        <f t="shared" si="90"/>
        <v>1</v>
      </c>
      <c r="P439">
        <f t="shared" si="91"/>
        <v>0</v>
      </c>
      <c r="R439">
        <f t="shared" si="92"/>
        <v>0.33874999999999833</v>
      </c>
      <c r="S439">
        <f t="shared" si="93"/>
        <v>0.73999999999999966</v>
      </c>
      <c r="U439">
        <f t="shared" si="94"/>
        <v>31.402085747392718</v>
      </c>
      <c r="AH439">
        <f t="shared" si="95"/>
        <v>1.187455555117737</v>
      </c>
      <c r="AI439">
        <f t="shared" si="96"/>
        <v>42.184966635667536</v>
      </c>
      <c r="AJ439">
        <f t="shared" si="97"/>
        <v>69.086033364332494</v>
      </c>
      <c r="AL439">
        <f t="shared" si="98"/>
        <v>58.010411110235488</v>
      </c>
      <c r="AM439">
        <f t="shared" si="99"/>
        <v>53.260588889764541</v>
      </c>
    </row>
    <row r="440" spans="1:39" ht="16.5" x14ac:dyDescent="0.25">
      <c r="A440" s="1">
        <v>45071</v>
      </c>
      <c r="B440" s="5">
        <v>53.38</v>
      </c>
      <c r="C440" s="4">
        <v>53.79</v>
      </c>
      <c r="D440" s="4">
        <v>53.79</v>
      </c>
      <c r="E440" s="4">
        <v>53</v>
      </c>
      <c r="F440" s="4" t="s">
        <v>935</v>
      </c>
      <c r="G440" s="2" t="s">
        <v>53</v>
      </c>
      <c r="I440">
        <f t="shared" si="86"/>
        <v>55.90150000000002</v>
      </c>
      <c r="J440">
        <f t="shared" si="87"/>
        <v>57.908249999999995</v>
      </c>
      <c r="L440">
        <f t="shared" si="88"/>
        <v>0</v>
      </c>
      <c r="M440">
        <f t="shared" si="89"/>
        <v>1</v>
      </c>
      <c r="O440">
        <f t="shared" si="90"/>
        <v>0</v>
      </c>
      <c r="P440">
        <f t="shared" si="91"/>
        <v>0.40999999999999659</v>
      </c>
      <c r="R440">
        <f t="shared" si="92"/>
        <v>0.24428571428571239</v>
      </c>
      <c r="S440">
        <f t="shared" si="93"/>
        <v>0.66285714285714192</v>
      </c>
      <c r="U440">
        <f t="shared" si="94"/>
        <v>26.929133858267591</v>
      </c>
      <c r="AH440">
        <f t="shared" si="95"/>
        <v>1.1706183769415359</v>
      </c>
      <c r="AI440">
        <f t="shared" si="96"/>
        <v>42.450966635667541</v>
      </c>
      <c r="AJ440">
        <f t="shared" si="97"/>
        <v>69.352033364332499</v>
      </c>
      <c r="AL440">
        <f t="shared" si="98"/>
        <v>58.242736753883094</v>
      </c>
      <c r="AM440">
        <f t="shared" si="99"/>
        <v>53.560263246116946</v>
      </c>
    </row>
    <row r="441" spans="1:39" ht="16.5" x14ac:dyDescent="0.25">
      <c r="A441" s="1">
        <v>45070</v>
      </c>
      <c r="B441" s="5">
        <v>53.96</v>
      </c>
      <c r="C441" s="4">
        <v>53.71</v>
      </c>
      <c r="D441" s="4">
        <v>54.2</v>
      </c>
      <c r="E441" s="4">
        <v>53.67</v>
      </c>
      <c r="F441" s="4" t="s">
        <v>1510</v>
      </c>
      <c r="G441" s="2" t="s">
        <v>623</v>
      </c>
      <c r="I441">
        <f t="shared" si="86"/>
        <v>56.238</v>
      </c>
      <c r="J441">
        <f t="shared" si="87"/>
        <v>57.973749999999995</v>
      </c>
      <c r="L441">
        <f t="shared" si="88"/>
        <v>1</v>
      </c>
      <c r="M441">
        <f t="shared" si="89"/>
        <v>0</v>
      </c>
      <c r="O441">
        <f t="shared" si="90"/>
        <v>0.25</v>
      </c>
      <c r="P441">
        <f t="shared" si="91"/>
        <v>0</v>
      </c>
      <c r="R441">
        <f t="shared" si="92"/>
        <v>0.24999999999999911</v>
      </c>
      <c r="S441">
        <f t="shared" si="93"/>
        <v>0.70499999999999952</v>
      </c>
      <c r="U441">
        <f t="shared" si="94"/>
        <v>26.178010471204132</v>
      </c>
      <c r="AH441">
        <f t="shared" si="95"/>
        <v>1.1581047400061681</v>
      </c>
      <c r="AI441">
        <f t="shared" si="96"/>
        <v>42.787466635667514</v>
      </c>
      <c r="AJ441">
        <f t="shared" si="97"/>
        <v>69.688533364332486</v>
      </c>
      <c r="AL441">
        <f t="shared" si="98"/>
        <v>58.554209480012332</v>
      </c>
      <c r="AM441">
        <f t="shared" si="99"/>
        <v>53.921790519987667</v>
      </c>
    </row>
    <row r="442" spans="1:39" ht="16.5" x14ac:dyDescent="0.25">
      <c r="A442" s="1">
        <v>45069</v>
      </c>
      <c r="B442" s="5">
        <v>54.05</v>
      </c>
      <c r="C442" s="4">
        <v>53.86</v>
      </c>
      <c r="D442" s="4">
        <v>54.14</v>
      </c>
      <c r="E442" s="4">
        <v>53.45</v>
      </c>
      <c r="F442" s="4" t="s">
        <v>343</v>
      </c>
      <c r="G442" s="2" t="s">
        <v>662</v>
      </c>
      <c r="I442">
        <f t="shared" si="86"/>
        <v>56.561500000000009</v>
      </c>
      <c r="J442">
        <f t="shared" si="87"/>
        <v>58.013500000000001</v>
      </c>
      <c r="L442">
        <f t="shared" si="88"/>
        <v>1</v>
      </c>
      <c r="M442">
        <f t="shared" si="89"/>
        <v>0</v>
      </c>
      <c r="O442">
        <f t="shared" si="90"/>
        <v>0.18999999999999773</v>
      </c>
      <c r="P442">
        <f t="shared" si="91"/>
        <v>0</v>
      </c>
      <c r="R442">
        <f t="shared" si="92"/>
        <v>0.32499999999999929</v>
      </c>
      <c r="S442">
        <f t="shared" si="93"/>
        <v>0.70499999999999952</v>
      </c>
      <c r="U442">
        <f t="shared" si="94"/>
        <v>31.553398058252384</v>
      </c>
      <c r="AH442">
        <f t="shared" si="95"/>
        <v>1.1508646877729336</v>
      </c>
      <c r="AI442">
        <f t="shared" si="96"/>
        <v>43.110966635667523</v>
      </c>
      <c r="AJ442">
        <f t="shared" si="97"/>
        <v>70.012033364332495</v>
      </c>
      <c r="AL442">
        <f t="shared" si="98"/>
        <v>58.863229375545878</v>
      </c>
      <c r="AM442">
        <f t="shared" si="99"/>
        <v>54.259770624454141</v>
      </c>
    </row>
    <row r="443" spans="1:39" ht="16.5" x14ac:dyDescent="0.25">
      <c r="A443" s="1">
        <v>45068</v>
      </c>
      <c r="B443" s="5">
        <v>53.92</v>
      </c>
      <c r="C443" s="4">
        <v>54.58</v>
      </c>
      <c r="D443" s="4">
        <v>54.69</v>
      </c>
      <c r="E443" s="4">
        <v>53.92</v>
      </c>
      <c r="F443" s="4" t="s">
        <v>305</v>
      </c>
      <c r="G443" s="2" t="s">
        <v>431</v>
      </c>
      <c r="I443">
        <f t="shared" si="86"/>
        <v>56.880500000000019</v>
      </c>
      <c r="J443">
        <f t="shared" si="87"/>
        <v>58.060750000000006</v>
      </c>
      <c r="L443">
        <f t="shared" si="88"/>
        <v>0</v>
      </c>
      <c r="M443">
        <f t="shared" si="89"/>
        <v>1</v>
      </c>
      <c r="O443">
        <f t="shared" si="90"/>
        <v>0</v>
      </c>
      <c r="P443">
        <f t="shared" si="91"/>
        <v>0.65999999999999659</v>
      </c>
      <c r="R443">
        <f t="shared" si="92"/>
        <v>0.34428571428571381</v>
      </c>
      <c r="S443">
        <f t="shared" si="93"/>
        <v>0.64714285714285624</v>
      </c>
      <c r="U443">
        <f t="shared" si="94"/>
        <v>34.726224783861667</v>
      </c>
      <c r="AH443">
        <f t="shared" si="95"/>
        <v>1.1480601259187235</v>
      </c>
      <c r="AI443">
        <f t="shared" si="96"/>
        <v>43.42996663566754</v>
      </c>
      <c r="AJ443">
        <f t="shared" si="97"/>
        <v>70.331033364332498</v>
      </c>
      <c r="AL443">
        <f t="shared" si="98"/>
        <v>59.176620251837463</v>
      </c>
      <c r="AM443">
        <f t="shared" si="99"/>
        <v>54.584379748162576</v>
      </c>
    </row>
    <row r="444" spans="1:39" ht="16.5" x14ac:dyDescent="0.25">
      <c r="A444" s="1">
        <v>45065</v>
      </c>
      <c r="B444" s="5">
        <v>54.59</v>
      </c>
      <c r="C444" s="4">
        <v>54.2</v>
      </c>
      <c r="D444" s="4">
        <v>54.76</v>
      </c>
      <c r="E444" s="4">
        <v>54.03</v>
      </c>
      <c r="F444" s="4" t="s">
        <v>654</v>
      </c>
      <c r="G444" s="2" t="s">
        <v>1004</v>
      </c>
      <c r="I444">
        <f t="shared" si="86"/>
        <v>57.219000000000008</v>
      </c>
      <c r="J444">
        <f t="shared" si="87"/>
        <v>58.128499999999995</v>
      </c>
      <c r="L444">
        <f t="shared" si="88"/>
        <v>1</v>
      </c>
      <c r="M444">
        <f t="shared" si="89"/>
        <v>0</v>
      </c>
      <c r="O444">
        <f t="shared" si="90"/>
        <v>0.39000000000000057</v>
      </c>
      <c r="P444">
        <f t="shared" si="91"/>
        <v>0</v>
      </c>
      <c r="R444">
        <f t="shared" si="92"/>
        <v>0.34428571428571381</v>
      </c>
      <c r="S444">
        <f t="shared" si="93"/>
        <v>0.62428571428571389</v>
      </c>
      <c r="U444">
        <f t="shared" si="94"/>
        <v>35.545722713864293</v>
      </c>
      <c r="AH444">
        <f t="shared" si="95"/>
        <v>1.1489245401318848</v>
      </c>
      <c r="AI444">
        <f t="shared" si="96"/>
        <v>43.768466635667522</v>
      </c>
      <c r="AJ444">
        <f t="shared" si="97"/>
        <v>70.669533364332494</v>
      </c>
      <c r="AL444">
        <f t="shared" si="98"/>
        <v>59.516849080263775</v>
      </c>
      <c r="AM444">
        <f t="shared" si="99"/>
        <v>54.921150919736242</v>
      </c>
    </row>
    <row r="445" spans="1:39" ht="16.5" x14ac:dyDescent="0.25">
      <c r="A445" s="1">
        <v>45064</v>
      </c>
      <c r="B445" s="5">
        <v>54.11</v>
      </c>
      <c r="C445" s="4">
        <v>54.11</v>
      </c>
      <c r="D445" s="4">
        <v>54.55</v>
      </c>
      <c r="E445" s="4">
        <v>54.04</v>
      </c>
      <c r="F445" s="4" t="s">
        <v>134</v>
      </c>
      <c r="G445" s="2" t="s">
        <v>1058</v>
      </c>
      <c r="I445">
        <f t="shared" si="86"/>
        <v>57.539000000000009</v>
      </c>
      <c r="J445">
        <f t="shared" si="87"/>
        <v>58.193249999999992</v>
      </c>
      <c r="L445">
        <f t="shared" si="88"/>
        <v>0</v>
      </c>
      <c r="M445">
        <f t="shared" si="89"/>
        <v>1</v>
      </c>
      <c r="O445">
        <f t="shared" si="90"/>
        <v>0</v>
      </c>
      <c r="P445">
        <f t="shared" si="91"/>
        <v>0</v>
      </c>
      <c r="R445">
        <f t="shared" si="92"/>
        <v>0.336666666666666</v>
      </c>
      <c r="S445">
        <f t="shared" si="93"/>
        <v>0.55999999999999961</v>
      </c>
      <c r="U445">
        <f t="shared" si="94"/>
        <v>37.546468401486955</v>
      </c>
      <c r="AH445">
        <f t="shared" si="95"/>
        <v>1.1528118800248148</v>
      </c>
      <c r="AI445">
        <f t="shared" si="96"/>
        <v>44.08846663566753</v>
      </c>
      <c r="AJ445">
        <f t="shared" si="97"/>
        <v>70.989533364332488</v>
      </c>
      <c r="AL445">
        <f t="shared" si="98"/>
        <v>59.844623760049636</v>
      </c>
      <c r="AM445">
        <f t="shared" si="99"/>
        <v>55.233376239950381</v>
      </c>
    </row>
    <row r="446" spans="1:39" ht="16.5" x14ac:dyDescent="0.25">
      <c r="A446" s="1">
        <v>45063</v>
      </c>
      <c r="B446" s="5">
        <v>53.79</v>
      </c>
      <c r="C446" s="4">
        <v>53.56</v>
      </c>
      <c r="D446" s="4">
        <v>53.9</v>
      </c>
      <c r="E446" s="4">
        <v>53.05</v>
      </c>
      <c r="F446" s="4" t="s">
        <v>1384</v>
      </c>
      <c r="G446" s="2" t="s">
        <v>450</v>
      </c>
      <c r="I446">
        <f t="shared" si="86"/>
        <v>57.898000000000003</v>
      </c>
      <c r="J446">
        <f t="shared" si="87"/>
        <v>58.241250000000001</v>
      </c>
      <c r="L446">
        <f t="shared" si="88"/>
        <v>1</v>
      </c>
      <c r="M446">
        <f t="shared" si="89"/>
        <v>0</v>
      </c>
      <c r="O446">
        <f t="shared" si="90"/>
        <v>0.22999999999999687</v>
      </c>
      <c r="P446">
        <f t="shared" si="91"/>
        <v>0</v>
      </c>
      <c r="R446">
        <f t="shared" si="92"/>
        <v>0.336666666666666</v>
      </c>
      <c r="S446">
        <f t="shared" si="93"/>
        <v>0.625</v>
      </c>
      <c r="U446">
        <f t="shared" si="94"/>
        <v>35.008665511265121</v>
      </c>
      <c r="AH446">
        <f t="shared" si="95"/>
        <v>1.1586406099980517</v>
      </c>
      <c r="AI446">
        <f t="shared" si="96"/>
        <v>44.447466635667524</v>
      </c>
      <c r="AJ446">
        <f t="shared" si="97"/>
        <v>71.348533364332482</v>
      </c>
      <c r="AL446">
        <f t="shared" si="98"/>
        <v>60.215281219996108</v>
      </c>
      <c r="AM446">
        <f t="shared" si="99"/>
        <v>55.580718780003899</v>
      </c>
    </row>
    <row r="447" spans="1:39" ht="16.5" x14ac:dyDescent="0.25">
      <c r="A447" s="1">
        <v>45062</v>
      </c>
      <c r="B447" s="5">
        <v>53.65</v>
      </c>
      <c r="C447" s="4">
        <v>53.24</v>
      </c>
      <c r="D447" s="4">
        <v>54.23</v>
      </c>
      <c r="E447" s="4">
        <v>53.2</v>
      </c>
      <c r="F447" s="4" t="s">
        <v>1591</v>
      </c>
      <c r="G447" s="2" t="s">
        <v>835</v>
      </c>
      <c r="I447">
        <f t="shared" si="86"/>
        <v>58.278499999999994</v>
      </c>
      <c r="J447">
        <f t="shared" si="87"/>
        <v>58.291749999999993</v>
      </c>
      <c r="L447">
        <f t="shared" si="88"/>
        <v>1</v>
      </c>
      <c r="M447">
        <f t="shared" si="89"/>
        <v>0</v>
      </c>
      <c r="O447">
        <f t="shared" si="90"/>
        <v>0.40999999999999659</v>
      </c>
      <c r="P447">
        <f t="shared" si="91"/>
        <v>0</v>
      </c>
      <c r="R447">
        <f t="shared" si="92"/>
        <v>0.3033333333333334</v>
      </c>
      <c r="S447">
        <f t="shared" si="93"/>
        <v>0.625</v>
      </c>
      <c r="U447">
        <f t="shared" si="94"/>
        <v>32.675044883303414</v>
      </c>
      <c r="AH447">
        <f t="shared" si="95"/>
        <v>1.1654899502175939</v>
      </c>
      <c r="AI447">
        <f t="shared" si="96"/>
        <v>44.827966635667508</v>
      </c>
      <c r="AJ447">
        <f t="shared" si="97"/>
        <v>71.72903336433248</v>
      </c>
      <c r="AL447">
        <f t="shared" si="98"/>
        <v>60.609479900435183</v>
      </c>
      <c r="AM447">
        <f t="shared" si="99"/>
        <v>55.947520099564805</v>
      </c>
    </row>
    <row r="448" spans="1:39" ht="16.5" x14ac:dyDescent="0.25">
      <c r="A448" s="1">
        <v>45061</v>
      </c>
      <c r="B448" s="5">
        <v>53.3</v>
      </c>
      <c r="C448" s="4">
        <v>54.1</v>
      </c>
      <c r="D448" s="4">
        <v>54.28</v>
      </c>
      <c r="E448" s="4">
        <v>52.19</v>
      </c>
      <c r="F448" s="4" t="s">
        <v>1747</v>
      </c>
      <c r="G448" s="2" t="s">
        <v>792</v>
      </c>
      <c r="I448">
        <f t="shared" si="86"/>
        <v>58.672000000000004</v>
      </c>
      <c r="J448">
        <f t="shared" si="87"/>
        <v>58.344749999999991</v>
      </c>
      <c r="L448">
        <f t="shared" si="88"/>
        <v>0</v>
      </c>
      <c r="M448">
        <f t="shared" si="89"/>
        <v>1</v>
      </c>
      <c r="O448">
        <f t="shared" si="90"/>
        <v>0</v>
      </c>
      <c r="P448">
        <f t="shared" si="91"/>
        <v>0.80000000000000426</v>
      </c>
      <c r="R448">
        <f t="shared" si="92"/>
        <v>0.26166666666666671</v>
      </c>
      <c r="S448">
        <f t="shared" si="93"/>
        <v>0.625</v>
      </c>
      <c r="U448">
        <f t="shared" si="94"/>
        <v>29.511278195488728</v>
      </c>
      <c r="AH448">
        <f t="shared" si="95"/>
        <v>1.1719983620602439</v>
      </c>
      <c r="AI448">
        <f t="shared" si="96"/>
        <v>45.221466635667525</v>
      </c>
      <c r="AJ448">
        <f t="shared" si="97"/>
        <v>72.122533364332483</v>
      </c>
      <c r="AL448">
        <f t="shared" si="98"/>
        <v>61.015996724120491</v>
      </c>
      <c r="AM448">
        <f t="shared" si="99"/>
        <v>56.328003275879517</v>
      </c>
    </row>
    <row r="449" spans="1:39" ht="16.5" x14ac:dyDescent="0.25">
      <c r="A449" s="1">
        <v>45058</v>
      </c>
      <c r="B449" s="5">
        <v>53.73</v>
      </c>
      <c r="C449" s="4">
        <v>53.53</v>
      </c>
      <c r="D449" s="4">
        <v>54.65</v>
      </c>
      <c r="E449" s="4">
        <v>53.48</v>
      </c>
      <c r="F449" s="4" t="s">
        <v>896</v>
      </c>
      <c r="G449" s="2" t="s">
        <v>548</v>
      </c>
      <c r="I449">
        <f t="shared" si="86"/>
        <v>59.074999999999989</v>
      </c>
      <c r="J449">
        <f t="shared" si="87"/>
        <v>58.405999999999985</v>
      </c>
      <c r="L449">
        <f t="shared" si="88"/>
        <v>1</v>
      </c>
      <c r="M449">
        <f t="shared" si="89"/>
        <v>0</v>
      </c>
      <c r="O449">
        <f t="shared" si="90"/>
        <v>0.19999999999999574</v>
      </c>
      <c r="P449">
        <f t="shared" si="91"/>
        <v>0</v>
      </c>
      <c r="R449">
        <f t="shared" si="92"/>
        <v>0.26166666666666671</v>
      </c>
      <c r="S449">
        <f t="shared" si="93"/>
        <v>0.56624999999999925</v>
      </c>
      <c r="U449">
        <f t="shared" si="94"/>
        <v>31.605435329642717</v>
      </c>
      <c r="AH449">
        <f t="shared" si="95"/>
        <v>1.176521719486578</v>
      </c>
      <c r="AI449">
        <f t="shared" si="96"/>
        <v>45.624466635667503</v>
      </c>
      <c r="AJ449">
        <f t="shared" si="97"/>
        <v>72.525533364332475</v>
      </c>
      <c r="AL449">
        <f t="shared" si="98"/>
        <v>61.428043438973148</v>
      </c>
      <c r="AM449">
        <f t="shared" si="99"/>
        <v>56.721956561026829</v>
      </c>
    </row>
    <row r="450" spans="1:39" ht="16.5" x14ac:dyDescent="0.25">
      <c r="A450" s="1">
        <v>45057</v>
      </c>
      <c r="B450" s="5">
        <v>53.94</v>
      </c>
      <c r="C450" s="4">
        <v>56.5</v>
      </c>
      <c r="D450" s="4">
        <v>56.5</v>
      </c>
      <c r="E450" s="4">
        <v>53.68</v>
      </c>
      <c r="F450" s="4" t="s">
        <v>1748</v>
      </c>
      <c r="G450" s="2" t="s">
        <v>1749</v>
      </c>
      <c r="I450">
        <f t="shared" ref="I450:I513" si="100">AVERAGE(B450:B469)</f>
        <v>59.440999999999995</v>
      </c>
      <c r="J450">
        <f t="shared" ref="J450:J513" si="101">AVERAGE(B450:B489)</f>
        <v>58.493249999999989</v>
      </c>
      <c r="L450">
        <f t="shared" ref="L450:L513" si="102">IF($C450&lt;$B450,1,0)</f>
        <v>0</v>
      </c>
      <c r="M450">
        <f t="shared" ref="M450:M513" si="103">IF($C450&lt;$B450,0,1)</f>
        <v>1</v>
      </c>
      <c r="O450">
        <f t="shared" ref="O450:O513" si="104">IF($C450&lt;$B450,B450-C450,0)</f>
        <v>0</v>
      </c>
      <c r="P450">
        <f t="shared" ref="P450:P513" si="105">IF($B450&lt;$C450,C450-B450,0)</f>
        <v>2.5600000000000023</v>
      </c>
      <c r="R450">
        <f t="shared" ref="R450:R513" si="106">SUM(O450:O463)/SUM(L450:L463)</f>
        <v>0.27400000000000091</v>
      </c>
      <c r="S450">
        <f t="shared" ref="S450:S513" si="107">SUM(P450:P463)/SUM(M450:M463)</f>
        <v>0.52666666666666606</v>
      </c>
      <c r="U450">
        <f t="shared" ref="U450:U513" si="108">100-(100/(1+(R450/S450)))</f>
        <v>34.221482098251556</v>
      </c>
      <c r="AH450">
        <f t="shared" si="95"/>
        <v>1.1771684608675883</v>
      </c>
      <c r="AI450">
        <f t="shared" si="96"/>
        <v>45.990466635667516</v>
      </c>
      <c r="AJ450">
        <f t="shared" si="97"/>
        <v>72.891533364332474</v>
      </c>
      <c r="AL450">
        <f t="shared" si="98"/>
        <v>61.795336921735171</v>
      </c>
      <c r="AM450">
        <f t="shared" si="99"/>
        <v>57.08666307826482</v>
      </c>
    </row>
    <row r="451" spans="1:39" ht="16.5" x14ac:dyDescent="0.25">
      <c r="A451" s="1">
        <v>45056</v>
      </c>
      <c r="B451" s="5">
        <v>58.29</v>
      </c>
      <c r="C451" s="4">
        <v>58.3</v>
      </c>
      <c r="D451" s="4">
        <v>58.64</v>
      </c>
      <c r="E451" s="4">
        <v>58.06</v>
      </c>
      <c r="F451" s="4" t="s">
        <v>1510</v>
      </c>
      <c r="G451" s="2" t="s">
        <v>241</v>
      </c>
      <c r="I451">
        <f t="shared" si="100"/>
        <v>59.748499999999993</v>
      </c>
      <c r="J451">
        <f t="shared" si="101"/>
        <v>58.546249999999986</v>
      </c>
      <c r="L451">
        <f t="shared" si="102"/>
        <v>0</v>
      </c>
      <c r="M451">
        <f t="shared" si="103"/>
        <v>1</v>
      </c>
      <c r="O451">
        <f t="shared" si="104"/>
        <v>0</v>
      </c>
      <c r="P451">
        <f t="shared" si="105"/>
        <v>9.9999999999980105E-3</v>
      </c>
      <c r="R451">
        <f t="shared" si="106"/>
        <v>0.27400000000000091</v>
      </c>
      <c r="S451">
        <f t="shared" si="107"/>
        <v>0.27555555555555444</v>
      </c>
      <c r="U451">
        <f t="shared" si="108"/>
        <v>49.858471492115022</v>
      </c>
      <c r="AH451">
        <f t="shared" ref="AH451:AH514" si="109">_xlfn.STDEV.S(I451:I981)</f>
        <v>1.1724917802195198</v>
      </c>
      <c r="AI451">
        <f t="shared" ref="AI451:AI514" si="110">I451-$AH$2</f>
        <v>46.297966635667507</v>
      </c>
      <c r="AJ451">
        <f t="shared" ref="AJ451:AJ514" si="111">I451+$AH$2</f>
        <v>73.199033364332479</v>
      </c>
      <c r="AL451">
        <f t="shared" ref="AL451:AL514" si="112">I451+(AH451*2)</f>
        <v>62.093483560439033</v>
      </c>
      <c r="AM451">
        <f t="shared" ref="AM451:AM514" si="113">I451-(AH451*2)</f>
        <v>57.403516439560953</v>
      </c>
    </row>
    <row r="452" spans="1:39" ht="16.5" x14ac:dyDescent="0.25">
      <c r="A452" s="1">
        <v>45055</v>
      </c>
      <c r="B452" s="5">
        <v>58.33</v>
      </c>
      <c r="C452" s="4">
        <v>58.29</v>
      </c>
      <c r="D452" s="4">
        <v>58.36</v>
      </c>
      <c r="E452" s="4">
        <v>57.92</v>
      </c>
      <c r="F452" s="4" t="s">
        <v>588</v>
      </c>
      <c r="G452" s="2" t="s">
        <v>166</v>
      </c>
      <c r="I452">
        <f t="shared" si="100"/>
        <v>59.84999999999998</v>
      </c>
      <c r="J452">
        <f t="shared" si="101"/>
        <v>58.531499999999973</v>
      </c>
      <c r="L452">
        <f t="shared" si="102"/>
        <v>1</v>
      </c>
      <c r="M452">
        <f t="shared" si="103"/>
        <v>0</v>
      </c>
      <c r="O452">
        <f t="shared" si="104"/>
        <v>3.9999999999999147E-2</v>
      </c>
      <c r="P452">
        <f t="shared" si="105"/>
        <v>0</v>
      </c>
      <c r="R452">
        <f t="shared" si="106"/>
        <v>0.27400000000000091</v>
      </c>
      <c r="S452">
        <f t="shared" si="107"/>
        <v>0.28666666666666568</v>
      </c>
      <c r="U452">
        <f t="shared" si="108"/>
        <v>48.870392390012057</v>
      </c>
      <c r="AH452">
        <f t="shared" si="109"/>
        <v>1.1617256752753184</v>
      </c>
      <c r="AI452">
        <f t="shared" si="110"/>
        <v>46.399466635667494</v>
      </c>
      <c r="AJ452">
        <f t="shared" si="111"/>
        <v>73.300533364332466</v>
      </c>
      <c r="AL452">
        <f t="shared" si="112"/>
        <v>62.173451350550614</v>
      </c>
      <c r="AM452">
        <f t="shared" si="113"/>
        <v>57.526548649449346</v>
      </c>
    </row>
    <row r="453" spans="1:39" ht="16.5" x14ac:dyDescent="0.25">
      <c r="A453" s="1">
        <v>45054</v>
      </c>
      <c r="B453" s="5">
        <v>58.31</v>
      </c>
      <c r="C453" s="4">
        <v>58.51</v>
      </c>
      <c r="D453" s="4">
        <v>58.59</v>
      </c>
      <c r="E453" s="4">
        <v>58.01</v>
      </c>
      <c r="F453" s="4" t="s">
        <v>759</v>
      </c>
      <c r="G453" s="2" t="s">
        <v>292</v>
      </c>
      <c r="I453">
        <f t="shared" si="100"/>
        <v>59.96149999999998</v>
      </c>
      <c r="J453">
        <f t="shared" si="101"/>
        <v>58.523749999999971</v>
      </c>
      <c r="L453">
        <f t="shared" si="102"/>
        <v>0</v>
      </c>
      <c r="M453">
        <f t="shared" si="103"/>
        <v>1</v>
      </c>
      <c r="O453">
        <f t="shared" si="104"/>
        <v>0</v>
      </c>
      <c r="P453">
        <f t="shared" si="105"/>
        <v>0.19999999999999574</v>
      </c>
      <c r="R453">
        <f t="shared" si="106"/>
        <v>0.33250000000000135</v>
      </c>
      <c r="S453">
        <f t="shared" si="107"/>
        <v>0.29199999999999948</v>
      </c>
      <c r="U453">
        <f t="shared" si="108"/>
        <v>53.242594075260357</v>
      </c>
      <c r="AH453">
        <f t="shared" si="109"/>
        <v>1.1479313258658927</v>
      </c>
      <c r="AI453">
        <f t="shared" si="110"/>
        <v>46.510966635667501</v>
      </c>
      <c r="AJ453">
        <f t="shared" si="111"/>
        <v>73.412033364332459</v>
      </c>
      <c r="AL453">
        <f t="shared" si="112"/>
        <v>62.257362651731768</v>
      </c>
      <c r="AM453">
        <f t="shared" si="113"/>
        <v>57.665637348268191</v>
      </c>
    </row>
    <row r="454" spans="1:39" ht="16.5" x14ac:dyDescent="0.25">
      <c r="A454" s="1">
        <v>45051</v>
      </c>
      <c r="B454" s="5">
        <v>58.7</v>
      </c>
      <c r="C454" s="4">
        <v>58.41</v>
      </c>
      <c r="D454" s="4">
        <v>58.7</v>
      </c>
      <c r="E454" s="4">
        <v>57.59</v>
      </c>
      <c r="F454" s="4" t="s">
        <v>698</v>
      </c>
      <c r="G454" s="2" t="s">
        <v>444</v>
      </c>
      <c r="I454">
        <f t="shared" si="100"/>
        <v>60.021999999999991</v>
      </c>
      <c r="J454">
        <f t="shared" si="101"/>
        <v>58.527749999999969</v>
      </c>
      <c r="L454">
        <f t="shared" si="102"/>
        <v>1</v>
      </c>
      <c r="M454">
        <f t="shared" si="103"/>
        <v>0</v>
      </c>
      <c r="O454">
        <f t="shared" si="104"/>
        <v>0.29000000000000625</v>
      </c>
      <c r="P454">
        <f t="shared" si="105"/>
        <v>0</v>
      </c>
      <c r="R454">
        <f t="shared" si="106"/>
        <v>0.29000000000000198</v>
      </c>
      <c r="S454">
        <f t="shared" si="107"/>
        <v>0.30222222222222211</v>
      </c>
      <c r="U454">
        <f t="shared" si="108"/>
        <v>48.968105065666222</v>
      </c>
      <c r="AH454">
        <f t="shared" si="109"/>
        <v>1.1304149128939636</v>
      </c>
      <c r="AI454">
        <f t="shared" si="110"/>
        <v>46.571466635667505</v>
      </c>
      <c r="AJ454">
        <f t="shared" si="111"/>
        <v>73.472533364332477</v>
      </c>
      <c r="AL454">
        <f t="shared" si="112"/>
        <v>62.282829825787921</v>
      </c>
      <c r="AM454">
        <f t="shared" si="113"/>
        <v>57.761170174212062</v>
      </c>
    </row>
    <row r="455" spans="1:39" ht="16.5" x14ac:dyDescent="0.25">
      <c r="A455" s="1">
        <v>45050</v>
      </c>
      <c r="B455" s="5">
        <v>58.1</v>
      </c>
      <c r="C455" s="4">
        <v>57.25</v>
      </c>
      <c r="D455" s="4">
        <v>58.25</v>
      </c>
      <c r="E455" s="4">
        <v>57.2</v>
      </c>
      <c r="F455" s="4" t="s">
        <v>262</v>
      </c>
      <c r="G455" s="2" t="s">
        <v>769</v>
      </c>
      <c r="I455">
        <f t="shared" si="100"/>
        <v>60.027999999999999</v>
      </c>
      <c r="J455">
        <f t="shared" si="101"/>
        <v>58.491499999999988</v>
      </c>
      <c r="L455">
        <f t="shared" si="102"/>
        <v>1</v>
      </c>
      <c r="M455">
        <f t="shared" si="103"/>
        <v>0</v>
      </c>
      <c r="O455">
        <f t="shared" si="104"/>
        <v>0.85000000000000142</v>
      </c>
      <c r="P455">
        <f t="shared" si="105"/>
        <v>0</v>
      </c>
      <c r="R455">
        <f t="shared" si="106"/>
        <v>0.29800000000000038</v>
      </c>
      <c r="S455">
        <f t="shared" si="107"/>
        <v>0.30222222222222211</v>
      </c>
      <c r="U455">
        <f t="shared" si="108"/>
        <v>49.648278415401741</v>
      </c>
      <c r="AH455">
        <f t="shared" si="109"/>
        <v>1.1099228877396541</v>
      </c>
      <c r="AI455">
        <f t="shared" si="110"/>
        <v>46.57746663566752</v>
      </c>
      <c r="AJ455">
        <f t="shared" si="111"/>
        <v>73.478533364332478</v>
      </c>
      <c r="AL455">
        <f t="shared" si="112"/>
        <v>62.247845775479306</v>
      </c>
      <c r="AM455">
        <f t="shared" si="113"/>
        <v>57.808154224520692</v>
      </c>
    </row>
    <row r="456" spans="1:39" ht="16.5" x14ac:dyDescent="0.25">
      <c r="A456" s="1">
        <v>45049</v>
      </c>
      <c r="B456" s="5">
        <v>57.2</v>
      </c>
      <c r="C456" s="4">
        <v>57.5</v>
      </c>
      <c r="D456" s="4">
        <v>57.7</v>
      </c>
      <c r="E456" s="4">
        <v>56.69</v>
      </c>
      <c r="F456" s="4" t="s">
        <v>1383</v>
      </c>
      <c r="G456" s="2" t="s">
        <v>365</v>
      </c>
      <c r="I456">
        <f t="shared" si="100"/>
        <v>60.076999999999984</v>
      </c>
      <c r="J456">
        <f t="shared" si="101"/>
        <v>58.479749999999989</v>
      </c>
      <c r="L456">
        <f t="shared" si="102"/>
        <v>0</v>
      </c>
      <c r="M456">
        <f t="shared" si="103"/>
        <v>1</v>
      </c>
      <c r="O456">
        <f t="shared" si="104"/>
        <v>0</v>
      </c>
      <c r="P456">
        <f t="shared" si="105"/>
        <v>0.29999999999999716</v>
      </c>
      <c r="R456">
        <f t="shared" si="106"/>
        <v>0.30999999999999944</v>
      </c>
      <c r="S456">
        <f t="shared" si="107"/>
        <v>0.30222222222222211</v>
      </c>
      <c r="U456">
        <f t="shared" si="108"/>
        <v>50.635208711433727</v>
      </c>
      <c r="AH456">
        <f t="shared" si="109"/>
        <v>1.0875505526540585</v>
      </c>
      <c r="AI456">
        <f t="shared" si="110"/>
        <v>46.626466635667498</v>
      </c>
      <c r="AJ456">
        <f t="shared" si="111"/>
        <v>73.52753336433247</v>
      </c>
      <c r="AL456">
        <f t="shared" si="112"/>
        <v>62.2521011053081</v>
      </c>
      <c r="AM456">
        <f t="shared" si="113"/>
        <v>57.901898894691868</v>
      </c>
    </row>
    <row r="457" spans="1:39" ht="16.5" x14ac:dyDescent="0.25">
      <c r="A457" s="1">
        <v>45048</v>
      </c>
      <c r="B457" s="5">
        <v>57.2</v>
      </c>
      <c r="C457" s="4">
        <v>57.7</v>
      </c>
      <c r="D457" s="4">
        <v>58.06</v>
      </c>
      <c r="E457" s="4">
        <v>57.09</v>
      </c>
      <c r="F457" s="4" t="s">
        <v>1654</v>
      </c>
      <c r="G457" s="2" t="s">
        <v>1750</v>
      </c>
      <c r="I457">
        <f t="shared" si="100"/>
        <v>60.152999999999999</v>
      </c>
      <c r="J457">
        <f t="shared" si="101"/>
        <v>58.489749999999994</v>
      </c>
      <c r="L457">
        <f t="shared" si="102"/>
        <v>0</v>
      </c>
      <c r="M457">
        <f t="shared" si="103"/>
        <v>1</v>
      </c>
      <c r="O457">
        <f t="shared" si="104"/>
        <v>0</v>
      </c>
      <c r="P457">
        <f t="shared" si="105"/>
        <v>0.5</v>
      </c>
      <c r="R457">
        <f t="shared" si="106"/>
        <v>0.30999999999999944</v>
      </c>
      <c r="S457">
        <f t="shared" si="107"/>
        <v>0.28333333333333299</v>
      </c>
      <c r="U457">
        <f t="shared" si="108"/>
        <v>52.247191011235948</v>
      </c>
      <c r="AH457">
        <f t="shared" si="109"/>
        <v>1.061825514979718</v>
      </c>
      <c r="AI457">
        <f t="shared" si="110"/>
        <v>46.70246663566752</v>
      </c>
      <c r="AJ457">
        <f t="shared" si="111"/>
        <v>73.603533364332478</v>
      </c>
      <c r="AL457">
        <f t="shared" si="112"/>
        <v>62.276651029959432</v>
      </c>
      <c r="AM457">
        <f t="shared" si="113"/>
        <v>58.029348970040566</v>
      </c>
    </row>
    <row r="458" spans="1:39" ht="16.5" x14ac:dyDescent="0.25">
      <c r="A458" s="1">
        <v>45044</v>
      </c>
      <c r="B458" s="5">
        <v>59.76</v>
      </c>
      <c r="C458" s="4">
        <v>59.87</v>
      </c>
      <c r="D458" s="4">
        <v>60.15</v>
      </c>
      <c r="E458" s="4">
        <v>58.91</v>
      </c>
      <c r="F458" s="4" t="s">
        <v>1509</v>
      </c>
      <c r="G458" s="2" t="s">
        <v>1508</v>
      </c>
      <c r="I458">
        <f t="shared" si="100"/>
        <v>60.181999999999995</v>
      </c>
      <c r="J458">
        <f t="shared" si="101"/>
        <v>58.480249999999998</v>
      </c>
      <c r="L458">
        <f t="shared" si="102"/>
        <v>0</v>
      </c>
      <c r="M458">
        <f t="shared" si="103"/>
        <v>1</v>
      </c>
      <c r="O458">
        <f t="shared" si="104"/>
        <v>0</v>
      </c>
      <c r="P458">
        <f t="shared" si="105"/>
        <v>0.10999999999999943</v>
      </c>
      <c r="R458">
        <f t="shared" si="106"/>
        <v>0.30999999999999944</v>
      </c>
      <c r="S458">
        <f t="shared" si="107"/>
        <v>0.27444444444444432</v>
      </c>
      <c r="U458">
        <f t="shared" si="108"/>
        <v>53.041825095057</v>
      </c>
      <c r="AH458">
        <f t="shared" si="109"/>
        <v>1.0313845046473313</v>
      </c>
      <c r="AI458">
        <f t="shared" si="110"/>
        <v>46.731466635667516</v>
      </c>
      <c r="AJ458">
        <f t="shared" si="111"/>
        <v>73.632533364332474</v>
      </c>
      <c r="AL458">
        <f t="shared" si="112"/>
        <v>62.244769009294657</v>
      </c>
      <c r="AM458">
        <f t="shared" si="113"/>
        <v>58.119230990705333</v>
      </c>
    </row>
    <row r="459" spans="1:39" ht="16.5" x14ac:dyDescent="0.25">
      <c r="A459" s="1">
        <v>45043</v>
      </c>
      <c r="B459" s="5">
        <v>59.72</v>
      </c>
      <c r="C459" s="4">
        <v>60.24</v>
      </c>
      <c r="D459" s="4">
        <v>60.31</v>
      </c>
      <c r="E459" s="4">
        <v>59.58</v>
      </c>
      <c r="F459" s="4" t="s">
        <v>1383</v>
      </c>
      <c r="G459" s="2" t="s">
        <v>392</v>
      </c>
      <c r="I459">
        <f t="shared" si="100"/>
        <v>60.057500000000005</v>
      </c>
      <c r="J459">
        <f t="shared" si="101"/>
        <v>58.394750000000009</v>
      </c>
      <c r="L459">
        <f t="shared" si="102"/>
        <v>0</v>
      </c>
      <c r="M459">
        <f t="shared" si="103"/>
        <v>1</v>
      </c>
      <c r="O459">
        <f t="shared" si="104"/>
        <v>0</v>
      </c>
      <c r="P459">
        <f t="shared" si="105"/>
        <v>0.52000000000000313</v>
      </c>
      <c r="R459">
        <f t="shared" si="106"/>
        <v>0.37666666666666632</v>
      </c>
      <c r="S459">
        <f t="shared" si="107"/>
        <v>0.29499999999999993</v>
      </c>
      <c r="U459">
        <f t="shared" si="108"/>
        <v>56.079404466501224</v>
      </c>
      <c r="AH459">
        <f t="shared" si="109"/>
        <v>0.99703433818469012</v>
      </c>
      <c r="AI459">
        <f t="shared" si="110"/>
        <v>46.606966635667519</v>
      </c>
      <c r="AJ459">
        <f t="shared" si="111"/>
        <v>73.508033364332491</v>
      </c>
      <c r="AL459">
        <f t="shared" si="112"/>
        <v>62.051568676369385</v>
      </c>
      <c r="AM459">
        <f t="shared" si="113"/>
        <v>58.063431323630624</v>
      </c>
    </row>
    <row r="460" spans="1:39" ht="16.5" x14ac:dyDescent="0.25">
      <c r="A460" s="1">
        <v>45042</v>
      </c>
      <c r="B460" s="5">
        <v>60.11</v>
      </c>
      <c r="C460" s="4">
        <v>60.08</v>
      </c>
      <c r="D460" s="4">
        <v>60.81</v>
      </c>
      <c r="E460" s="4">
        <v>59.81</v>
      </c>
      <c r="F460" s="4" t="s">
        <v>1423</v>
      </c>
      <c r="G460" s="2" t="s">
        <v>413</v>
      </c>
      <c r="I460">
        <f t="shared" si="100"/>
        <v>59.914999999999999</v>
      </c>
      <c r="J460">
        <f t="shared" si="101"/>
        <v>58.309000000000005</v>
      </c>
      <c r="L460">
        <f t="shared" si="102"/>
        <v>1</v>
      </c>
      <c r="M460">
        <f t="shared" si="103"/>
        <v>0</v>
      </c>
      <c r="O460">
        <f t="shared" si="104"/>
        <v>3.0000000000001137E-2</v>
      </c>
      <c r="P460">
        <f t="shared" si="105"/>
        <v>0</v>
      </c>
      <c r="R460">
        <f t="shared" si="106"/>
        <v>0.44285714285714306</v>
      </c>
      <c r="S460">
        <f t="shared" si="107"/>
        <v>0.26285714285714235</v>
      </c>
      <c r="U460">
        <f t="shared" si="108"/>
        <v>62.753036437247019</v>
      </c>
      <c r="AH460">
        <f t="shared" si="109"/>
        <v>0.96367308649339933</v>
      </c>
      <c r="AI460">
        <f t="shared" si="110"/>
        <v>46.46446663566752</v>
      </c>
      <c r="AJ460">
        <f t="shared" si="111"/>
        <v>73.365533364332478</v>
      </c>
      <c r="AL460">
        <f t="shared" si="112"/>
        <v>61.842346172986801</v>
      </c>
      <c r="AM460">
        <f t="shared" si="113"/>
        <v>57.987653827013197</v>
      </c>
    </row>
    <row r="461" spans="1:39" ht="16.5" x14ac:dyDescent="0.25">
      <c r="A461" s="1">
        <v>45041</v>
      </c>
      <c r="B461" s="5">
        <v>60.43</v>
      </c>
      <c r="C461" s="4">
        <v>60.27</v>
      </c>
      <c r="D461" s="4">
        <v>60.64</v>
      </c>
      <c r="E461" s="4">
        <v>59.97</v>
      </c>
      <c r="F461" s="4" t="s">
        <v>376</v>
      </c>
      <c r="G461" s="2" t="s">
        <v>365</v>
      </c>
      <c r="I461">
        <f t="shared" si="100"/>
        <v>59.709500000000006</v>
      </c>
      <c r="J461">
        <f t="shared" si="101"/>
        <v>58.270750000000007</v>
      </c>
      <c r="L461">
        <f t="shared" si="102"/>
        <v>1</v>
      </c>
      <c r="M461">
        <f t="shared" si="103"/>
        <v>0</v>
      </c>
      <c r="O461">
        <f t="shared" si="104"/>
        <v>0.15999999999999659</v>
      </c>
      <c r="P461">
        <f t="shared" si="105"/>
        <v>0</v>
      </c>
      <c r="R461">
        <f t="shared" si="106"/>
        <v>0.51166666666666671</v>
      </c>
      <c r="S461">
        <f t="shared" si="107"/>
        <v>0.30749999999999922</v>
      </c>
      <c r="U461">
        <f t="shared" si="108"/>
        <v>62.461851475076358</v>
      </c>
      <c r="AH461">
        <f t="shared" si="109"/>
        <v>0.93203745319618858</v>
      </c>
      <c r="AI461">
        <f t="shared" si="110"/>
        <v>46.25896663566752</v>
      </c>
      <c r="AJ461">
        <f t="shared" si="111"/>
        <v>73.160033364332492</v>
      </c>
      <c r="AL461">
        <f t="shared" si="112"/>
        <v>61.573574906392381</v>
      </c>
      <c r="AM461">
        <f t="shared" si="113"/>
        <v>57.845425093607631</v>
      </c>
    </row>
    <row r="462" spans="1:39" ht="16.5" x14ac:dyDescent="0.25">
      <c r="A462" s="1">
        <v>45040</v>
      </c>
      <c r="B462" s="5">
        <v>60.43</v>
      </c>
      <c r="C462" s="4">
        <v>60.76</v>
      </c>
      <c r="D462" s="4">
        <v>60.77</v>
      </c>
      <c r="E462" s="4">
        <v>60.13</v>
      </c>
      <c r="F462" s="4" t="s">
        <v>109</v>
      </c>
      <c r="G462" s="2" t="s">
        <v>693</v>
      </c>
      <c r="I462">
        <f t="shared" si="100"/>
        <v>59.465499999999999</v>
      </c>
      <c r="J462">
        <f t="shared" si="101"/>
        <v>58.225499999999997</v>
      </c>
      <c r="L462">
        <f t="shared" si="102"/>
        <v>0</v>
      </c>
      <c r="M462">
        <f t="shared" si="103"/>
        <v>1</v>
      </c>
      <c r="O462">
        <f t="shared" si="104"/>
        <v>0</v>
      </c>
      <c r="P462">
        <f t="shared" si="105"/>
        <v>0.32999999999999829</v>
      </c>
      <c r="R462">
        <f t="shared" si="106"/>
        <v>0.54000000000000037</v>
      </c>
      <c r="S462">
        <f t="shared" si="107"/>
        <v>0.30749999999999922</v>
      </c>
      <c r="U462">
        <f t="shared" si="108"/>
        <v>63.716814159292106</v>
      </c>
      <c r="AH462">
        <f t="shared" si="109"/>
        <v>0.90444204793105742</v>
      </c>
      <c r="AI462">
        <f t="shared" si="110"/>
        <v>46.01496663566752</v>
      </c>
      <c r="AJ462">
        <f t="shared" si="111"/>
        <v>72.916033364332478</v>
      </c>
      <c r="AL462">
        <f t="shared" si="112"/>
        <v>61.274384095862111</v>
      </c>
      <c r="AM462">
        <f t="shared" si="113"/>
        <v>57.656615904137887</v>
      </c>
    </row>
    <row r="463" spans="1:39" ht="16.5" x14ac:dyDescent="0.25">
      <c r="A463" s="1">
        <v>45037</v>
      </c>
      <c r="B463" s="5">
        <v>60.69</v>
      </c>
      <c r="C463" s="4">
        <v>60.9</v>
      </c>
      <c r="D463" s="4">
        <v>61.08</v>
      </c>
      <c r="E463" s="4">
        <v>59.77</v>
      </c>
      <c r="F463" s="4" t="s">
        <v>1668</v>
      </c>
      <c r="G463" s="2" t="s">
        <v>354</v>
      </c>
      <c r="I463">
        <f t="shared" si="100"/>
        <v>59.241</v>
      </c>
      <c r="J463">
        <f t="shared" si="101"/>
        <v>58.212499999999991</v>
      </c>
      <c r="L463">
        <f t="shared" si="102"/>
        <v>0</v>
      </c>
      <c r="M463">
        <f t="shared" si="103"/>
        <v>1</v>
      </c>
      <c r="O463">
        <f t="shared" si="104"/>
        <v>0</v>
      </c>
      <c r="P463">
        <f t="shared" si="105"/>
        <v>0.21000000000000085</v>
      </c>
      <c r="R463">
        <f t="shared" si="106"/>
        <v>0.54857142857142904</v>
      </c>
      <c r="S463">
        <f t="shared" si="107"/>
        <v>0.30428571428571366</v>
      </c>
      <c r="U463">
        <f t="shared" si="108"/>
        <v>64.32160804020107</v>
      </c>
      <c r="AH463">
        <f t="shared" si="109"/>
        <v>0.88227964838617279</v>
      </c>
      <c r="AI463">
        <f t="shared" si="110"/>
        <v>45.790466635667514</v>
      </c>
      <c r="AJ463">
        <f t="shared" si="111"/>
        <v>72.691533364332486</v>
      </c>
      <c r="AL463">
        <f t="shared" si="112"/>
        <v>61.005559296772347</v>
      </c>
      <c r="AM463">
        <f t="shared" si="113"/>
        <v>57.476440703227652</v>
      </c>
    </row>
    <row r="464" spans="1:39" ht="16.5" x14ac:dyDescent="0.25">
      <c r="A464" s="1">
        <v>45036</v>
      </c>
      <c r="B464" s="5">
        <v>60.99</v>
      </c>
      <c r="C464" s="4">
        <v>61.29</v>
      </c>
      <c r="D464" s="4">
        <v>61.48</v>
      </c>
      <c r="E464" s="4">
        <v>60.91</v>
      </c>
      <c r="F464" s="4" t="s">
        <v>722</v>
      </c>
      <c r="G464" s="2" t="s">
        <v>354</v>
      </c>
      <c r="I464">
        <f t="shared" si="100"/>
        <v>59.038000000000011</v>
      </c>
      <c r="J464">
        <f t="shared" si="101"/>
        <v>58.171749999999996</v>
      </c>
      <c r="L464">
        <f t="shared" si="102"/>
        <v>0</v>
      </c>
      <c r="M464">
        <f t="shared" si="103"/>
        <v>1</v>
      </c>
      <c r="O464">
        <f t="shared" si="104"/>
        <v>0</v>
      </c>
      <c r="P464">
        <f t="shared" si="105"/>
        <v>0.29999999999999716</v>
      </c>
      <c r="R464">
        <f t="shared" si="106"/>
        <v>0.53625000000000078</v>
      </c>
      <c r="S464">
        <f t="shared" si="107"/>
        <v>0.31999999999999912</v>
      </c>
      <c r="U464">
        <f t="shared" si="108"/>
        <v>62.627737226277475</v>
      </c>
      <c r="AH464">
        <f t="shared" si="109"/>
        <v>0.86496588834760291</v>
      </c>
      <c r="AI464">
        <f t="shared" si="110"/>
        <v>45.587466635667525</v>
      </c>
      <c r="AJ464">
        <f t="shared" si="111"/>
        <v>72.488533364332497</v>
      </c>
      <c r="AL464">
        <f t="shared" si="112"/>
        <v>60.767931776695214</v>
      </c>
      <c r="AM464">
        <f t="shared" si="113"/>
        <v>57.308068223304808</v>
      </c>
    </row>
    <row r="465" spans="1:39" ht="16.5" x14ac:dyDescent="0.25">
      <c r="A465" s="1">
        <v>45035</v>
      </c>
      <c r="B465" s="5">
        <v>61.29</v>
      </c>
      <c r="C465" s="4">
        <v>61.4</v>
      </c>
      <c r="D465" s="4">
        <v>61.57</v>
      </c>
      <c r="E465" s="4">
        <v>60.88</v>
      </c>
      <c r="F465" s="4" t="s">
        <v>81</v>
      </c>
      <c r="G465" s="2" t="s">
        <v>310</v>
      </c>
      <c r="I465">
        <f t="shared" si="100"/>
        <v>58.847500000000011</v>
      </c>
      <c r="J465">
        <f t="shared" si="101"/>
        <v>58.128249999999994</v>
      </c>
      <c r="L465">
        <f t="shared" si="102"/>
        <v>0</v>
      </c>
      <c r="M465">
        <f t="shared" si="103"/>
        <v>1</v>
      </c>
      <c r="O465">
        <f t="shared" si="104"/>
        <v>0</v>
      </c>
      <c r="P465">
        <f t="shared" si="105"/>
        <v>0.10999999999999943</v>
      </c>
      <c r="R465">
        <f t="shared" si="106"/>
        <v>0.517777777777779</v>
      </c>
      <c r="S465">
        <f t="shared" si="107"/>
        <v>0.32399999999999951</v>
      </c>
      <c r="U465">
        <f t="shared" si="108"/>
        <v>61.510031678986358</v>
      </c>
      <c r="AH465">
        <f t="shared" si="109"/>
        <v>0.85183855372432227</v>
      </c>
      <c r="AI465">
        <f t="shared" si="110"/>
        <v>45.396966635667525</v>
      </c>
      <c r="AJ465">
        <f t="shared" si="111"/>
        <v>72.298033364332497</v>
      </c>
      <c r="AL465">
        <f t="shared" si="112"/>
        <v>60.551177107448652</v>
      </c>
      <c r="AM465">
        <f t="shared" si="113"/>
        <v>57.14382289255137</v>
      </c>
    </row>
    <row r="466" spans="1:39" ht="16.5" x14ac:dyDescent="0.25">
      <c r="A466" s="1">
        <v>45034</v>
      </c>
      <c r="B466" s="5">
        <v>61.4</v>
      </c>
      <c r="C466" s="4">
        <v>61.74</v>
      </c>
      <c r="D466" s="4">
        <v>61.91</v>
      </c>
      <c r="E466" s="4">
        <v>61.08</v>
      </c>
      <c r="F466" s="4" t="s">
        <v>113</v>
      </c>
      <c r="G466" s="2" t="s">
        <v>321</v>
      </c>
      <c r="I466">
        <f t="shared" si="100"/>
        <v>58.584500000000006</v>
      </c>
      <c r="J466">
        <f t="shared" si="101"/>
        <v>58.069499999999991</v>
      </c>
      <c r="L466">
        <f t="shared" si="102"/>
        <v>0</v>
      </c>
      <c r="M466">
        <f t="shared" si="103"/>
        <v>1</v>
      </c>
      <c r="O466">
        <f t="shared" si="104"/>
        <v>0</v>
      </c>
      <c r="P466">
        <f t="shared" si="105"/>
        <v>0.34000000000000341</v>
      </c>
      <c r="R466">
        <f t="shared" si="106"/>
        <v>0.52300000000000113</v>
      </c>
      <c r="S466">
        <f t="shared" si="107"/>
        <v>0.3774999999999995</v>
      </c>
      <c r="U466">
        <f t="shared" si="108"/>
        <v>58.078845086063382</v>
      </c>
      <c r="AH466">
        <f t="shared" si="109"/>
        <v>0.84246809045108595</v>
      </c>
      <c r="AI466">
        <f t="shared" si="110"/>
        <v>45.13396663566752</v>
      </c>
      <c r="AJ466">
        <f t="shared" si="111"/>
        <v>72.035033364332492</v>
      </c>
      <c r="AL466">
        <f t="shared" si="112"/>
        <v>60.269436180902176</v>
      </c>
      <c r="AM466">
        <f t="shared" si="113"/>
        <v>56.899563819097835</v>
      </c>
    </row>
    <row r="467" spans="1:39" ht="16.5" x14ac:dyDescent="0.25">
      <c r="A467" s="1">
        <v>45033</v>
      </c>
      <c r="B467" s="5">
        <v>61.52</v>
      </c>
      <c r="C467" s="4">
        <v>61.4</v>
      </c>
      <c r="D467" s="4">
        <v>61.79</v>
      </c>
      <c r="E467" s="4">
        <v>61</v>
      </c>
      <c r="F467" s="4" t="s">
        <v>456</v>
      </c>
      <c r="G467" s="2" t="s">
        <v>450</v>
      </c>
      <c r="I467">
        <f t="shared" si="100"/>
        <v>58.304999999999993</v>
      </c>
      <c r="J467">
        <f t="shared" si="101"/>
        <v>58.012499999999989</v>
      </c>
      <c r="L467">
        <f t="shared" si="102"/>
        <v>1</v>
      </c>
      <c r="M467">
        <f t="shared" si="103"/>
        <v>0</v>
      </c>
      <c r="O467">
        <f t="shared" si="104"/>
        <v>0.12000000000000455</v>
      </c>
      <c r="P467">
        <f t="shared" si="105"/>
        <v>0</v>
      </c>
      <c r="R467">
        <f t="shared" si="106"/>
        <v>0.52300000000000113</v>
      </c>
      <c r="S467">
        <f t="shared" si="107"/>
        <v>0.31749999999999901</v>
      </c>
      <c r="U467">
        <f t="shared" si="108"/>
        <v>62.224866151100656</v>
      </c>
      <c r="AH467">
        <f t="shared" si="109"/>
        <v>0.83820319994749393</v>
      </c>
      <c r="AI467">
        <f t="shared" si="110"/>
        <v>44.854466635667507</v>
      </c>
      <c r="AJ467">
        <f t="shared" si="111"/>
        <v>71.755533364332479</v>
      </c>
      <c r="AL467">
        <f t="shared" si="112"/>
        <v>59.981406399894979</v>
      </c>
      <c r="AM467">
        <f t="shared" si="113"/>
        <v>56.628593600105006</v>
      </c>
    </row>
    <row r="468" spans="1:39" ht="16.5" x14ac:dyDescent="0.25">
      <c r="A468" s="1">
        <v>45030</v>
      </c>
      <c r="B468" s="5">
        <v>61.36</v>
      </c>
      <c r="C468" s="4">
        <v>61.03</v>
      </c>
      <c r="D468" s="4">
        <v>61.55</v>
      </c>
      <c r="E468" s="4">
        <v>60.96</v>
      </c>
      <c r="F468" s="4" t="s">
        <v>99</v>
      </c>
      <c r="G468" s="2" t="s">
        <v>491</v>
      </c>
      <c r="I468">
        <f t="shared" si="100"/>
        <v>58.017499999999984</v>
      </c>
      <c r="J468">
        <f t="shared" si="101"/>
        <v>57.960749999999983</v>
      </c>
      <c r="L468">
        <f t="shared" si="102"/>
        <v>1</v>
      </c>
      <c r="M468">
        <f t="shared" si="103"/>
        <v>0</v>
      </c>
      <c r="O468">
        <f t="shared" si="104"/>
        <v>0.32999999999999829</v>
      </c>
      <c r="P468">
        <f t="shared" si="105"/>
        <v>0</v>
      </c>
      <c r="R468">
        <f t="shared" si="106"/>
        <v>0.56777777777777849</v>
      </c>
      <c r="S468">
        <f t="shared" si="107"/>
        <v>0.32399999999999951</v>
      </c>
      <c r="U468">
        <f t="shared" si="108"/>
        <v>63.668078744081797</v>
      </c>
      <c r="AH468">
        <f t="shared" si="109"/>
        <v>0.83855003641337278</v>
      </c>
      <c r="AI468">
        <f t="shared" si="110"/>
        <v>44.566966635667498</v>
      </c>
      <c r="AJ468">
        <f t="shared" si="111"/>
        <v>71.46803336433247</v>
      </c>
      <c r="AL468">
        <f t="shared" si="112"/>
        <v>59.694600072826731</v>
      </c>
      <c r="AM468">
        <f t="shared" si="113"/>
        <v>56.340399927173237</v>
      </c>
    </row>
    <row r="469" spans="1:39" ht="16.5" x14ac:dyDescent="0.25">
      <c r="A469" s="1">
        <v>45029</v>
      </c>
      <c r="B469" s="5">
        <v>61.05</v>
      </c>
      <c r="C469" s="4">
        <v>60.14</v>
      </c>
      <c r="D469" s="4">
        <v>61.18</v>
      </c>
      <c r="E469" s="4">
        <v>59.94</v>
      </c>
      <c r="F469" s="4" t="s">
        <v>1536</v>
      </c>
      <c r="G469" s="2" t="s">
        <v>117</v>
      </c>
      <c r="I469">
        <f t="shared" si="100"/>
        <v>57.736999999999988</v>
      </c>
      <c r="J469">
        <f t="shared" si="101"/>
        <v>57.93024999999998</v>
      </c>
      <c r="L469">
        <f t="shared" si="102"/>
        <v>1</v>
      </c>
      <c r="M469">
        <f t="shared" si="103"/>
        <v>0</v>
      </c>
      <c r="O469">
        <f t="shared" si="104"/>
        <v>0.90999999999999659</v>
      </c>
      <c r="P469">
        <f t="shared" si="105"/>
        <v>0</v>
      </c>
      <c r="R469">
        <f t="shared" si="106"/>
        <v>0.59750000000000103</v>
      </c>
      <c r="S469">
        <f t="shared" si="107"/>
        <v>0.35333333333333289</v>
      </c>
      <c r="U469">
        <f t="shared" si="108"/>
        <v>62.839614373356767</v>
      </c>
      <c r="AH469">
        <f t="shared" si="109"/>
        <v>0.842507797537836</v>
      </c>
      <c r="AI469">
        <f t="shared" si="110"/>
        <v>44.286466635667509</v>
      </c>
      <c r="AJ469">
        <f t="shared" si="111"/>
        <v>71.187533364332467</v>
      </c>
      <c r="AL469">
        <f t="shared" si="112"/>
        <v>59.422015595075656</v>
      </c>
      <c r="AM469">
        <f t="shared" si="113"/>
        <v>56.051984404924319</v>
      </c>
    </row>
    <row r="470" spans="1:39" ht="16.5" x14ac:dyDescent="0.25">
      <c r="A470" s="1">
        <v>45028</v>
      </c>
      <c r="B470" s="5">
        <v>60.09</v>
      </c>
      <c r="C470" s="4">
        <v>60.22</v>
      </c>
      <c r="D470" s="4">
        <v>60.22</v>
      </c>
      <c r="E470" s="4">
        <v>59.35</v>
      </c>
      <c r="F470" s="4" t="s">
        <v>89</v>
      </c>
      <c r="G470" s="2" t="s">
        <v>388</v>
      </c>
      <c r="I470">
        <f t="shared" si="100"/>
        <v>57.54549999999999</v>
      </c>
      <c r="J470">
        <f t="shared" si="101"/>
        <v>57.915499999999973</v>
      </c>
      <c r="L470">
        <f t="shared" si="102"/>
        <v>0</v>
      </c>
      <c r="M470">
        <f t="shared" si="103"/>
        <v>1</v>
      </c>
      <c r="O470">
        <f t="shared" si="104"/>
        <v>0</v>
      </c>
      <c r="P470">
        <f t="shared" si="105"/>
        <v>0.12999999999999545</v>
      </c>
      <c r="R470">
        <f t="shared" si="106"/>
        <v>0.55285714285714449</v>
      </c>
      <c r="S470">
        <f t="shared" si="107"/>
        <v>0.40999999999999964</v>
      </c>
      <c r="U470">
        <f t="shared" si="108"/>
        <v>57.418397626112849</v>
      </c>
      <c r="AH470">
        <f t="shared" si="109"/>
        <v>0.84870752942518968</v>
      </c>
      <c r="AI470">
        <f t="shared" si="110"/>
        <v>44.094966635667504</v>
      </c>
      <c r="AJ470">
        <f t="shared" si="111"/>
        <v>70.996033364332476</v>
      </c>
      <c r="AL470">
        <f t="shared" si="112"/>
        <v>59.242915058850372</v>
      </c>
      <c r="AM470">
        <f t="shared" si="113"/>
        <v>55.848084941149608</v>
      </c>
    </row>
    <row r="471" spans="1:39" ht="16.5" x14ac:dyDescent="0.25">
      <c r="A471" s="1">
        <v>45027</v>
      </c>
      <c r="B471" s="5">
        <v>60.32</v>
      </c>
      <c r="C471" s="4">
        <v>60.74</v>
      </c>
      <c r="D471" s="4">
        <v>61.14</v>
      </c>
      <c r="E471" s="4">
        <v>60.01</v>
      </c>
      <c r="F471" s="4" t="s">
        <v>109</v>
      </c>
      <c r="G471" s="2" t="s">
        <v>814</v>
      </c>
      <c r="I471">
        <f t="shared" si="100"/>
        <v>57.34399999999998</v>
      </c>
      <c r="J471">
        <f t="shared" si="101"/>
        <v>57.901999999999987</v>
      </c>
      <c r="L471">
        <f t="shared" si="102"/>
        <v>0</v>
      </c>
      <c r="M471">
        <f t="shared" si="103"/>
        <v>1</v>
      </c>
      <c r="O471">
        <f t="shared" si="104"/>
        <v>0</v>
      </c>
      <c r="P471">
        <f t="shared" si="105"/>
        <v>0.42000000000000171</v>
      </c>
      <c r="R471">
        <f t="shared" si="106"/>
        <v>0.58625000000000149</v>
      </c>
      <c r="S471">
        <f t="shared" si="107"/>
        <v>0.456666666666667</v>
      </c>
      <c r="U471">
        <f t="shared" si="108"/>
        <v>56.212544946064767</v>
      </c>
      <c r="AH471">
        <f t="shared" si="109"/>
        <v>0.85569424025265917</v>
      </c>
      <c r="AI471">
        <f t="shared" si="110"/>
        <v>43.893466635667494</v>
      </c>
      <c r="AJ471">
        <f t="shared" si="111"/>
        <v>70.794533364332466</v>
      </c>
      <c r="AL471">
        <f t="shared" si="112"/>
        <v>59.0553884805053</v>
      </c>
      <c r="AM471">
        <f t="shared" si="113"/>
        <v>55.63261151949466</v>
      </c>
    </row>
    <row r="472" spans="1:39" ht="16.5" x14ac:dyDescent="0.25">
      <c r="A472" s="1">
        <v>45022</v>
      </c>
      <c r="B472" s="5">
        <v>60.56</v>
      </c>
      <c r="C472" s="4">
        <v>59.85</v>
      </c>
      <c r="D472" s="4">
        <v>60.75</v>
      </c>
      <c r="E472" s="4">
        <v>59.53</v>
      </c>
      <c r="F472" s="4" t="s">
        <v>1513</v>
      </c>
      <c r="G472" s="2" t="s">
        <v>182</v>
      </c>
      <c r="I472">
        <f t="shared" si="100"/>
        <v>57.212999999999987</v>
      </c>
      <c r="J472">
        <f t="shared" si="101"/>
        <v>57.86399999999999</v>
      </c>
      <c r="L472">
        <f t="shared" si="102"/>
        <v>1</v>
      </c>
      <c r="M472">
        <f t="shared" si="103"/>
        <v>0</v>
      </c>
      <c r="O472">
        <f t="shared" si="104"/>
        <v>0.71000000000000085</v>
      </c>
      <c r="P472">
        <f t="shared" si="105"/>
        <v>0</v>
      </c>
      <c r="R472">
        <f t="shared" si="106"/>
        <v>0.54666666666666841</v>
      </c>
      <c r="S472">
        <f t="shared" si="107"/>
        <v>0.46400000000000008</v>
      </c>
      <c r="U472">
        <f t="shared" si="108"/>
        <v>54.089709762533055</v>
      </c>
      <c r="AH472">
        <f t="shared" si="109"/>
        <v>0.862760333588939</v>
      </c>
      <c r="AI472">
        <f t="shared" si="110"/>
        <v>43.762466635667508</v>
      </c>
      <c r="AJ472">
        <f t="shared" si="111"/>
        <v>70.663533364332466</v>
      </c>
      <c r="AL472">
        <f t="shared" si="112"/>
        <v>58.938520667177862</v>
      </c>
      <c r="AM472">
        <f t="shared" si="113"/>
        <v>55.487479332822112</v>
      </c>
    </row>
    <row r="473" spans="1:39" ht="16.5" x14ac:dyDescent="0.25">
      <c r="A473" s="1">
        <v>45021</v>
      </c>
      <c r="B473" s="5">
        <v>59.52</v>
      </c>
      <c r="C473" s="4">
        <v>58.68</v>
      </c>
      <c r="D473" s="4">
        <v>59.71</v>
      </c>
      <c r="E473" s="4">
        <v>58.6</v>
      </c>
      <c r="F473" s="4" t="s">
        <v>191</v>
      </c>
      <c r="G473" s="2" t="s">
        <v>1072</v>
      </c>
      <c r="I473">
        <f t="shared" si="100"/>
        <v>57.085999999999991</v>
      </c>
      <c r="J473">
        <f t="shared" si="101"/>
        <v>57.860749999999996</v>
      </c>
      <c r="L473">
        <f t="shared" si="102"/>
        <v>1</v>
      </c>
      <c r="M473">
        <f t="shared" si="103"/>
        <v>0</v>
      </c>
      <c r="O473">
        <f t="shared" si="104"/>
        <v>0.84000000000000341</v>
      </c>
      <c r="P473">
        <f t="shared" si="105"/>
        <v>0</v>
      </c>
      <c r="R473">
        <f t="shared" si="106"/>
        <v>0.52625000000000188</v>
      </c>
      <c r="S473">
        <f t="shared" si="107"/>
        <v>0.43666666666666626</v>
      </c>
      <c r="U473">
        <f t="shared" si="108"/>
        <v>54.651665945478257</v>
      </c>
      <c r="AH473">
        <f t="shared" si="109"/>
        <v>0.86949681488137998</v>
      </c>
      <c r="AI473">
        <f t="shared" si="110"/>
        <v>43.635466635667512</v>
      </c>
      <c r="AJ473">
        <f t="shared" si="111"/>
        <v>70.53653336433247</v>
      </c>
      <c r="AL473">
        <f t="shared" si="112"/>
        <v>58.824993629762751</v>
      </c>
      <c r="AM473">
        <f t="shared" si="113"/>
        <v>55.347006370237231</v>
      </c>
    </row>
    <row r="474" spans="1:39" ht="16.5" x14ac:dyDescent="0.25">
      <c r="A474" s="1">
        <v>45020</v>
      </c>
      <c r="B474" s="5">
        <v>58.82</v>
      </c>
      <c r="C474" s="4">
        <v>59.44</v>
      </c>
      <c r="D474" s="4">
        <v>59.55</v>
      </c>
      <c r="E474" s="4">
        <v>58.82</v>
      </c>
      <c r="F474" s="4" t="s">
        <v>216</v>
      </c>
      <c r="G474" s="2" t="s">
        <v>647</v>
      </c>
      <c r="I474">
        <f t="shared" si="100"/>
        <v>57.033499999999989</v>
      </c>
      <c r="J474">
        <f t="shared" si="101"/>
        <v>57.934999999999988</v>
      </c>
      <c r="L474">
        <f t="shared" si="102"/>
        <v>0</v>
      </c>
      <c r="M474">
        <f t="shared" si="103"/>
        <v>1</v>
      </c>
      <c r="O474">
        <f t="shared" si="104"/>
        <v>0</v>
      </c>
      <c r="P474">
        <f t="shared" si="105"/>
        <v>0.61999999999999744</v>
      </c>
      <c r="R474">
        <f t="shared" si="106"/>
        <v>0.48142857142857309</v>
      </c>
      <c r="S474">
        <f t="shared" si="107"/>
        <v>0.48571428571428449</v>
      </c>
      <c r="U474">
        <f t="shared" si="108"/>
        <v>49.77843426883323</v>
      </c>
      <c r="AH474">
        <f t="shared" si="109"/>
        <v>0.87554944623282971</v>
      </c>
      <c r="AI474">
        <f t="shared" si="110"/>
        <v>43.582966635667503</v>
      </c>
      <c r="AJ474">
        <f t="shared" si="111"/>
        <v>70.484033364332475</v>
      </c>
      <c r="AL474">
        <f t="shared" si="112"/>
        <v>58.784598892465652</v>
      </c>
      <c r="AM474">
        <f t="shared" si="113"/>
        <v>55.282401107534326</v>
      </c>
    </row>
    <row r="475" spans="1:39" ht="16.5" x14ac:dyDescent="0.25">
      <c r="A475" s="1">
        <v>45019</v>
      </c>
      <c r="B475" s="5">
        <v>59.08</v>
      </c>
      <c r="C475" s="4">
        <v>58.75</v>
      </c>
      <c r="D475" s="4">
        <v>59.39</v>
      </c>
      <c r="E475" s="4">
        <v>58.63</v>
      </c>
      <c r="F475" s="4" t="s">
        <v>33</v>
      </c>
      <c r="G475" s="2" t="s">
        <v>104</v>
      </c>
      <c r="I475">
        <f t="shared" si="100"/>
        <v>56.954999999999998</v>
      </c>
      <c r="J475">
        <f t="shared" si="101"/>
        <v>57.938249999999982</v>
      </c>
      <c r="L475">
        <f t="shared" si="102"/>
        <v>1</v>
      </c>
      <c r="M475">
        <f t="shared" si="103"/>
        <v>0</v>
      </c>
      <c r="O475">
        <f t="shared" si="104"/>
        <v>0.32999999999999829</v>
      </c>
      <c r="P475">
        <f t="shared" si="105"/>
        <v>0</v>
      </c>
      <c r="R475">
        <f t="shared" si="106"/>
        <v>0.48142857142857309</v>
      </c>
      <c r="S475">
        <f t="shared" si="107"/>
        <v>0.61285714285714177</v>
      </c>
      <c r="U475">
        <f t="shared" si="108"/>
        <v>43.99477806788525</v>
      </c>
      <c r="AH475">
        <f t="shared" si="109"/>
        <v>0.88126302023707326</v>
      </c>
      <c r="AI475">
        <f t="shared" si="110"/>
        <v>43.504466635667512</v>
      </c>
      <c r="AJ475">
        <f t="shared" si="111"/>
        <v>70.405533364332484</v>
      </c>
      <c r="AL475">
        <f t="shared" si="112"/>
        <v>58.717526040474148</v>
      </c>
      <c r="AM475">
        <f t="shared" si="113"/>
        <v>55.192473959525849</v>
      </c>
    </row>
    <row r="476" spans="1:39" ht="16.5" x14ac:dyDescent="0.25">
      <c r="A476" s="1">
        <v>45016</v>
      </c>
      <c r="B476" s="5">
        <v>58.72</v>
      </c>
      <c r="C476" s="4">
        <v>58.12</v>
      </c>
      <c r="D476" s="4">
        <v>59</v>
      </c>
      <c r="E476" s="4">
        <v>58</v>
      </c>
      <c r="F476" s="4" t="s">
        <v>1399</v>
      </c>
      <c r="G476" s="2" t="s">
        <v>672</v>
      </c>
      <c r="I476">
        <f t="shared" si="100"/>
        <v>56.882500000000007</v>
      </c>
      <c r="J476">
        <f t="shared" si="101"/>
        <v>57.915999999999983</v>
      </c>
      <c r="L476">
        <f t="shared" si="102"/>
        <v>1</v>
      </c>
      <c r="M476">
        <f t="shared" si="103"/>
        <v>0</v>
      </c>
      <c r="O476">
        <f t="shared" si="104"/>
        <v>0.60000000000000142</v>
      </c>
      <c r="P476">
        <f t="shared" si="105"/>
        <v>0</v>
      </c>
      <c r="R476">
        <f t="shared" si="106"/>
        <v>0.55714285714285894</v>
      </c>
      <c r="S476">
        <f t="shared" si="107"/>
        <v>0.61285714285714177</v>
      </c>
      <c r="U476">
        <f t="shared" si="108"/>
        <v>47.619047619047741</v>
      </c>
      <c r="AH476">
        <f t="shared" si="109"/>
        <v>0.88625902046409055</v>
      </c>
      <c r="AI476">
        <f t="shared" si="110"/>
        <v>43.431966635667521</v>
      </c>
      <c r="AJ476">
        <f t="shared" si="111"/>
        <v>70.333033364332493</v>
      </c>
      <c r="AL476">
        <f t="shared" si="112"/>
        <v>58.655018040928191</v>
      </c>
      <c r="AM476">
        <f t="shared" si="113"/>
        <v>55.109981959071824</v>
      </c>
    </row>
    <row r="477" spans="1:39" ht="16.5" x14ac:dyDescent="0.25">
      <c r="A477" s="1">
        <v>45015</v>
      </c>
      <c r="B477" s="5">
        <v>57.78</v>
      </c>
      <c r="C477" s="4">
        <v>57.33</v>
      </c>
      <c r="D477" s="4">
        <v>58.1</v>
      </c>
      <c r="E477" s="4">
        <v>57.27</v>
      </c>
      <c r="F477" s="4" t="s">
        <v>109</v>
      </c>
      <c r="G477" s="2" t="s">
        <v>1004</v>
      </c>
      <c r="I477">
        <f t="shared" si="100"/>
        <v>56.826499999999996</v>
      </c>
      <c r="J477">
        <f t="shared" si="101"/>
        <v>57.864999999999974</v>
      </c>
      <c r="L477">
        <f t="shared" si="102"/>
        <v>1</v>
      </c>
      <c r="M477">
        <f t="shared" si="103"/>
        <v>0</v>
      </c>
      <c r="O477">
        <f t="shared" si="104"/>
        <v>0.45000000000000284</v>
      </c>
      <c r="P477">
        <f t="shared" si="105"/>
        <v>0</v>
      </c>
      <c r="R477">
        <f t="shared" si="106"/>
        <v>0.55000000000000193</v>
      </c>
      <c r="S477">
        <f t="shared" si="107"/>
        <v>0.72999999999999865</v>
      </c>
      <c r="U477">
        <f t="shared" si="108"/>
        <v>42.968750000000128</v>
      </c>
      <c r="AH477">
        <f t="shared" si="109"/>
        <v>0.89040990897667815</v>
      </c>
      <c r="AI477">
        <f t="shared" si="110"/>
        <v>43.37596663566751</v>
      </c>
      <c r="AJ477">
        <f t="shared" si="111"/>
        <v>70.277033364332482</v>
      </c>
      <c r="AL477">
        <f t="shared" si="112"/>
        <v>58.607319817953353</v>
      </c>
      <c r="AM477">
        <f t="shared" si="113"/>
        <v>55.045680182046638</v>
      </c>
    </row>
    <row r="478" spans="1:39" ht="16.5" x14ac:dyDescent="0.25">
      <c r="A478" s="1">
        <v>45014</v>
      </c>
      <c r="B478" s="5">
        <v>57.27</v>
      </c>
      <c r="C478" s="4">
        <v>56.9</v>
      </c>
      <c r="D478" s="4">
        <v>57.59</v>
      </c>
      <c r="E478" s="4">
        <v>56.9</v>
      </c>
      <c r="F478" s="4" t="s">
        <v>46</v>
      </c>
      <c r="G478" s="2" t="s">
        <v>856</v>
      </c>
      <c r="I478">
        <f t="shared" si="100"/>
        <v>56.778500000000008</v>
      </c>
      <c r="J478">
        <f t="shared" si="101"/>
        <v>57.840499999999999</v>
      </c>
      <c r="L478">
        <f t="shared" si="102"/>
        <v>1</v>
      </c>
      <c r="M478">
        <f t="shared" si="103"/>
        <v>0</v>
      </c>
      <c r="O478">
        <f t="shared" si="104"/>
        <v>0.37000000000000455</v>
      </c>
      <c r="P478">
        <f t="shared" si="105"/>
        <v>0</v>
      </c>
      <c r="R478">
        <f t="shared" si="106"/>
        <v>0.51833333333333564</v>
      </c>
      <c r="S478">
        <f t="shared" si="107"/>
        <v>0.72999999999999865</v>
      </c>
      <c r="U478">
        <f t="shared" si="108"/>
        <v>41.522029372496817</v>
      </c>
      <c r="AH478">
        <f t="shared" si="109"/>
        <v>0.89375642074462303</v>
      </c>
      <c r="AI478">
        <f t="shared" si="110"/>
        <v>43.327966635667522</v>
      </c>
      <c r="AJ478">
        <f t="shared" si="111"/>
        <v>70.229033364332494</v>
      </c>
      <c r="AL478">
        <f t="shared" si="112"/>
        <v>58.566012841489254</v>
      </c>
      <c r="AM478">
        <f t="shared" si="113"/>
        <v>54.990987158510762</v>
      </c>
    </row>
    <row r="479" spans="1:39" ht="16.5" x14ac:dyDescent="0.25">
      <c r="A479" s="1">
        <v>45013</v>
      </c>
      <c r="B479" s="5">
        <v>56.87</v>
      </c>
      <c r="C479" s="4">
        <v>56.3</v>
      </c>
      <c r="D479" s="4">
        <v>57.26</v>
      </c>
      <c r="E479" s="4">
        <v>56.3</v>
      </c>
      <c r="F479" s="4" t="s">
        <v>537</v>
      </c>
      <c r="G479" s="2" t="s">
        <v>667</v>
      </c>
      <c r="I479">
        <f t="shared" si="100"/>
        <v>56.731999999999992</v>
      </c>
      <c r="J479">
        <f t="shared" si="101"/>
        <v>57.821249999999999</v>
      </c>
      <c r="L479">
        <f t="shared" si="102"/>
        <v>1</v>
      </c>
      <c r="M479">
        <f t="shared" si="103"/>
        <v>0</v>
      </c>
      <c r="O479">
        <f t="shared" si="104"/>
        <v>0.57000000000000028</v>
      </c>
      <c r="P479">
        <f t="shared" si="105"/>
        <v>0</v>
      </c>
      <c r="R479">
        <f t="shared" si="106"/>
        <v>0.54800000000000182</v>
      </c>
      <c r="S479">
        <f t="shared" si="107"/>
        <v>0.6755555555555538</v>
      </c>
      <c r="U479">
        <f t="shared" si="108"/>
        <v>44.787504540501423</v>
      </c>
      <c r="AH479">
        <f t="shared" si="109"/>
        <v>0.89626995872190141</v>
      </c>
      <c r="AI479">
        <f t="shared" si="110"/>
        <v>43.281466635667513</v>
      </c>
      <c r="AJ479">
        <f t="shared" si="111"/>
        <v>70.182533364332471</v>
      </c>
      <c r="AL479">
        <f t="shared" si="112"/>
        <v>58.524539917443796</v>
      </c>
      <c r="AM479">
        <f t="shared" si="113"/>
        <v>54.939460082556188</v>
      </c>
    </row>
    <row r="480" spans="1:39" ht="16.5" x14ac:dyDescent="0.25">
      <c r="A480" s="1">
        <v>45012</v>
      </c>
      <c r="B480" s="5">
        <v>56</v>
      </c>
      <c r="C480" s="4">
        <v>56.1</v>
      </c>
      <c r="D480" s="4">
        <v>56.27</v>
      </c>
      <c r="E480" s="4">
        <v>55.7</v>
      </c>
      <c r="F480" s="4" t="s">
        <v>132</v>
      </c>
      <c r="G480" s="2" t="s">
        <v>1421</v>
      </c>
      <c r="I480">
        <f t="shared" si="100"/>
        <v>56.70300000000001</v>
      </c>
      <c r="J480">
        <f t="shared" si="101"/>
        <v>57.8245</v>
      </c>
      <c r="L480">
        <f t="shared" si="102"/>
        <v>0</v>
      </c>
      <c r="M480">
        <f t="shared" si="103"/>
        <v>1</v>
      </c>
      <c r="O480">
        <f t="shared" si="104"/>
        <v>0</v>
      </c>
      <c r="P480">
        <f t="shared" si="105"/>
        <v>0.10000000000000142</v>
      </c>
      <c r="R480">
        <f t="shared" si="106"/>
        <v>0.66600000000000104</v>
      </c>
      <c r="S480">
        <f t="shared" si="107"/>
        <v>0.6755555555555538</v>
      </c>
      <c r="U480">
        <f t="shared" si="108"/>
        <v>49.64386284578444</v>
      </c>
      <c r="AH480">
        <f t="shared" si="109"/>
        <v>0.89782873731777779</v>
      </c>
      <c r="AI480">
        <f t="shared" si="110"/>
        <v>43.252466635667531</v>
      </c>
      <c r="AJ480">
        <f t="shared" si="111"/>
        <v>70.153533364332489</v>
      </c>
      <c r="AL480">
        <f t="shared" si="112"/>
        <v>58.498657474635564</v>
      </c>
      <c r="AM480">
        <f t="shared" si="113"/>
        <v>54.907342525364456</v>
      </c>
    </row>
    <row r="481" spans="1:39" ht="16.5" x14ac:dyDescent="0.25">
      <c r="A481" s="1">
        <v>45009</v>
      </c>
      <c r="B481" s="5">
        <v>55.55</v>
      </c>
      <c r="C481" s="4">
        <v>55.9</v>
      </c>
      <c r="D481" s="4">
        <v>55.9</v>
      </c>
      <c r="E481" s="4">
        <v>54.8</v>
      </c>
      <c r="F481" s="4" t="s">
        <v>1590</v>
      </c>
      <c r="G481" s="2" t="s">
        <v>1729</v>
      </c>
      <c r="I481">
        <f t="shared" si="100"/>
        <v>56.832000000000008</v>
      </c>
      <c r="J481">
        <f t="shared" si="101"/>
        <v>57.847000000000016</v>
      </c>
      <c r="L481">
        <f t="shared" si="102"/>
        <v>0</v>
      </c>
      <c r="M481">
        <f t="shared" si="103"/>
        <v>1</v>
      </c>
      <c r="O481">
        <f t="shared" si="104"/>
        <v>0</v>
      </c>
      <c r="P481">
        <f t="shared" si="105"/>
        <v>0.35000000000000142</v>
      </c>
      <c r="R481">
        <f t="shared" si="106"/>
        <v>0.66600000000000104</v>
      </c>
      <c r="S481">
        <f t="shared" si="107"/>
        <v>0.68999999999999773</v>
      </c>
      <c r="U481">
        <f t="shared" si="108"/>
        <v>49.115044247787729</v>
      </c>
      <c r="AH481">
        <f t="shared" si="109"/>
        <v>0.89860949650990574</v>
      </c>
      <c r="AI481">
        <f t="shared" si="110"/>
        <v>43.381466635667522</v>
      </c>
      <c r="AJ481">
        <f t="shared" si="111"/>
        <v>70.282533364332494</v>
      </c>
      <c r="AL481">
        <f t="shared" si="112"/>
        <v>58.629218993019819</v>
      </c>
      <c r="AM481">
        <f t="shared" si="113"/>
        <v>55.034781006980197</v>
      </c>
    </row>
    <row r="482" spans="1:39" ht="16.5" x14ac:dyDescent="0.25">
      <c r="A482" s="1">
        <v>45008</v>
      </c>
      <c r="B482" s="5">
        <v>55.94</v>
      </c>
      <c r="C482" s="4">
        <v>56.44</v>
      </c>
      <c r="D482" s="4">
        <v>56.55</v>
      </c>
      <c r="E482" s="4">
        <v>55.77</v>
      </c>
      <c r="F482" s="4" t="s">
        <v>759</v>
      </c>
      <c r="G482" s="2" t="s">
        <v>540</v>
      </c>
      <c r="I482">
        <f t="shared" si="100"/>
        <v>56.985500000000002</v>
      </c>
      <c r="J482">
        <f t="shared" si="101"/>
        <v>57.865250000000017</v>
      </c>
      <c r="L482">
        <f t="shared" si="102"/>
        <v>0</v>
      </c>
      <c r="M482">
        <f t="shared" si="103"/>
        <v>1</v>
      </c>
      <c r="O482">
        <f t="shared" si="104"/>
        <v>0</v>
      </c>
      <c r="P482">
        <f t="shared" si="105"/>
        <v>0.5</v>
      </c>
      <c r="R482">
        <f t="shared" si="106"/>
        <v>0.55833333333333479</v>
      </c>
      <c r="S482">
        <f t="shared" si="107"/>
        <v>0.73249999999999726</v>
      </c>
      <c r="U482">
        <f t="shared" si="108"/>
        <v>43.253712072304872</v>
      </c>
      <c r="AH482">
        <f t="shared" si="109"/>
        <v>0.90147877816491451</v>
      </c>
      <c r="AI482">
        <f t="shared" si="110"/>
        <v>43.534966635667516</v>
      </c>
      <c r="AJ482">
        <f t="shared" si="111"/>
        <v>70.436033364332488</v>
      </c>
      <c r="AL482">
        <f t="shared" si="112"/>
        <v>58.788457556329831</v>
      </c>
      <c r="AM482">
        <f t="shared" si="113"/>
        <v>55.182542443670172</v>
      </c>
    </row>
    <row r="483" spans="1:39" ht="16.5" x14ac:dyDescent="0.25">
      <c r="A483" s="1">
        <v>45007</v>
      </c>
      <c r="B483" s="5">
        <v>56.63</v>
      </c>
      <c r="C483" s="4">
        <v>57.38</v>
      </c>
      <c r="D483" s="4">
        <v>57.53</v>
      </c>
      <c r="E483" s="4">
        <v>56.63</v>
      </c>
      <c r="F483" s="4" t="s">
        <v>141</v>
      </c>
      <c r="G483" s="2" t="s">
        <v>719</v>
      </c>
      <c r="I483">
        <f t="shared" si="100"/>
        <v>57.184000000000005</v>
      </c>
      <c r="J483">
        <f t="shared" si="101"/>
        <v>57.867750000000015</v>
      </c>
      <c r="L483">
        <f t="shared" si="102"/>
        <v>0</v>
      </c>
      <c r="M483">
        <f t="shared" si="103"/>
        <v>1</v>
      </c>
      <c r="O483">
        <f t="shared" si="104"/>
        <v>0</v>
      </c>
      <c r="P483">
        <f t="shared" si="105"/>
        <v>0.75</v>
      </c>
      <c r="R483">
        <f t="shared" si="106"/>
        <v>0.57714285714285907</v>
      </c>
      <c r="S483">
        <f t="shared" si="107"/>
        <v>0.76571428571428257</v>
      </c>
      <c r="U483">
        <f t="shared" si="108"/>
        <v>42.978723404255504</v>
      </c>
      <c r="AH483">
        <f t="shared" si="109"/>
        <v>0.90663092739027051</v>
      </c>
      <c r="AI483">
        <f t="shared" si="110"/>
        <v>43.733466635667526</v>
      </c>
      <c r="AJ483">
        <f t="shared" si="111"/>
        <v>70.634533364332484</v>
      </c>
      <c r="AL483">
        <f t="shared" si="112"/>
        <v>58.997261854780547</v>
      </c>
      <c r="AM483">
        <f t="shared" si="113"/>
        <v>55.370738145219462</v>
      </c>
    </row>
    <row r="484" spans="1:39" ht="16.5" x14ac:dyDescent="0.25">
      <c r="A484" s="1">
        <v>45006</v>
      </c>
      <c r="B484" s="5">
        <v>57.18</v>
      </c>
      <c r="C484" s="4">
        <v>56.36</v>
      </c>
      <c r="D484" s="4">
        <v>57.39</v>
      </c>
      <c r="E484" s="4">
        <v>56.36</v>
      </c>
      <c r="F484" s="4" t="s">
        <v>1423</v>
      </c>
      <c r="G484" s="2" t="s">
        <v>289</v>
      </c>
      <c r="I484">
        <f t="shared" si="100"/>
        <v>57.305500000000009</v>
      </c>
      <c r="J484">
        <f t="shared" si="101"/>
        <v>57.83900000000002</v>
      </c>
      <c r="L484">
        <f t="shared" si="102"/>
        <v>1</v>
      </c>
      <c r="M484">
        <f t="shared" si="103"/>
        <v>0</v>
      </c>
      <c r="O484">
        <f t="shared" si="104"/>
        <v>0.82000000000000028</v>
      </c>
      <c r="P484">
        <f t="shared" si="105"/>
        <v>0</v>
      </c>
      <c r="R484">
        <f t="shared" si="106"/>
        <v>0.60750000000000171</v>
      </c>
      <c r="S484">
        <f t="shared" si="107"/>
        <v>0.76833333333332965</v>
      </c>
      <c r="U484">
        <f t="shared" si="108"/>
        <v>44.155057540884499</v>
      </c>
      <c r="AH484">
        <f t="shared" si="109"/>
        <v>0.91420889937897909</v>
      </c>
      <c r="AI484">
        <f t="shared" si="110"/>
        <v>43.854966635667523</v>
      </c>
      <c r="AJ484">
        <f t="shared" si="111"/>
        <v>70.756033364332495</v>
      </c>
      <c r="AL484">
        <f t="shared" si="112"/>
        <v>59.13391779875797</v>
      </c>
      <c r="AM484">
        <f t="shared" si="113"/>
        <v>55.477082201242048</v>
      </c>
    </row>
    <row r="485" spans="1:39" ht="16.5" x14ac:dyDescent="0.25">
      <c r="A485" s="1">
        <v>45005</v>
      </c>
      <c r="B485" s="5">
        <v>56.03</v>
      </c>
      <c r="C485" s="4">
        <v>55.8</v>
      </c>
      <c r="D485" s="4">
        <v>56.53</v>
      </c>
      <c r="E485" s="4">
        <v>54.89</v>
      </c>
      <c r="F485" s="4" t="s">
        <v>1482</v>
      </c>
      <c r="G485" s="2" t="s">
        <v>90</v>
      </c>
      <c r="I485">
        <f t="shared" si="100"/>
        <v>57.409000000000006</v>
      </c>
      <c r="J485">
        <f t="shared" si="101"/>
        <v>57.797500000000014</v>
      </c>
      <c r="L485">
        <f t="shared" si="102"/>
        <v>1</v>
      </c>
      <c r="M485">
        <f t="shared" si="103"/>
        <v>0</v>
      </c>
      <c r="O485">
        <f t="shared" si="104"/>
        <v>0.23000000000000398</v>
      </c>
      <c r="P485">
        <f t="shared" si="105"/>
        <v>0</v>
      </c>
      <c r="R485">
        <f t="shared" si="106"/>
        <v>0.52000000000000224</v>
      </c>
      <c r="S485">
        <f t="shared" si="107"/>
        <v>0.76833333333332965</v>
      </c>
      <c r="U485">
        <f t="shared" si="108"/>
        <v>40.362225097024798</v>
      </c>
      <c r="AH485">
        <f t="shared" si="109"/>
        <v>0.92301578009727414</v>
      </c>
      <c r="AI485">
        <f t="shared" si="110"/>
        <v>43.95846663566752</v>
      </c>
      <c r="AJ485">
        <f t="shared" si="111"/>
        <v>70.859533364332492</v>
      </c>
      <c r="AL485">
        <f t="shared" si="112"/>
        <v>59.255031560194553</v>
      </c>
      <c r="AM485">
        <f t="shared" si="113"/>
        <v>55.562968439805459</v>
      </c>
    </row>
    <row r="486" spans="1:39" ht="16.5" x14ac:dyDescent="0.25">
      <c r="A486" s="1">
        <v>45002</v>
      </c>
      <c r="B486" s="5">
        <v>55.81</v>
      </c>
      <c r="C486" s="4">
        <v>56.11</v>
      </c>
      <c r="D486" s="4">
        <v>56.94</v>
      </c>
      <c r="E486" s="4">
        <v>55.53</v>
      </c>
      <c r="F486" s="4" t="s">
        <v>1037</v>
      </c>
      <c r="G486" s="2" t="s">
        <v>1508</v>
      </c>
      <c r="I486">
        <f t="shared" si="100"/>
        <v>57.554500000000004</v>
      </c>
      <c r="J486">
        <f t="shared" si="101"/>
        <v>57.795750000000012</v>
      </c>
      <c r="L486">
        <f t="shared" si="102"/>
        <v>0</v>
      </c>
      <c r="M486">
        <f t="shared" si="103"/>
        <v>1</v>
      </c>
      <c r="O486">
        <f t="shared" si="104"/>
        <v>0</v>
      </c>
      <c r="P486">
        <f t="shared" si="105"/>
        <v>0.29999999999999716</v>
      </c>
      <c r="R486">
        <f t="shared" si="106"/>
        <v>0.56142857142857339</v>
      </c>
      <c r="S486">
        <f t="shared" si="107"/>
        <v>0.76571428571428257</v>
      </c>
      <c r="U486">
        <f t="shared" si="108"/>
        <v>42.303552206674027</v>
      </c>
      <c r="AH486">
        <f t="shared" si="109"/>
        <v>0.93271780386851055</v>
      </c>
      <c r="AI486">
        <f t="shared" si="110"/>
        <v>44.103966635667518</v>
      </c>
      <c r="AJ486">
        <f t="shared" si="111"/>
        <v>71.00503336433249</v>
      </c>
      <c r="AL486">
        <f t="shared" si="112"/>
        <v>59.419935607737024</v>
      </c>
      <c r="AM486">
        <f t="shared" si="113"/>
        <v>55.689064392262985</v>
      </c>
    </row>
    <row r="487" spans="1:39" ht="16.5" x14ac:dyDescent="0.25">
      <c r="A487" s="1">
        <v>45001</v>
      </c>
      <c r="B487" s="5">
        <v>55.77</v>
      </c>
      <c r="C487" s="4">
        <v>56.55</v>
      </c>
      <c r="D487" s="4">
        <v>56.8</v>
      </c>
      <c r="E487" s="4">
        <v>55.18</v>
      </c>
      <c r="F487" s="4" t="s">
        <v>1714</v>
      </c>
      <c r="G487" s="2" t="s">
        <v>440</v>
      </c>
      <c r="I487">
        <f t="shared" si="100"/>
        <v>57.720000000000006</v>
      </c>
      <c r="J487">
        <f t="shared" si="101"/>
        <v>57.810250000000011</v>
      </c>
      <c r="L487">
        <f t="shared" si="102"/>
        <v>0</v>
      </c>
      <c r="M487">
        <f t="shared" si="103"/>
        <v>1</v>
      </c>
      <c r="O487">
        <f t="shared" si="104"/>
        <v>0</v>
      </c>
      <c r="P487">
        <f t="shared" si="105"/>
        <v>0.77999999999999403</v>
      </c>
      <c r="R487">
        <f t="shared" si="106"/>
        <v>0.56142857142857339</v>
      </c>
      <c r="S487">
        <f t="shared" si="107"/>
        <v>0.79714285714285482</v>
      </c>
      <c r="U487">
        <f t="shared" si="108"/>
        <v>41.324921135646839</v>
      </c>
      <c r="AH487">
        <f t="shared" si="109"/>
        <v>0.94321139924537456</v>
      </c>
      <c r="AI487">
        <f t="shared" si="110"/>
        <v>44.269466635667527</v>
      </c>
      <c r="AJ487">
        <f t="shared" si="111"/>
        <v>71.170533364332485</v>
      </c>
      <c r="AL487">
        <f t="shared" si="112"/>
        <v>59.606422798490755</v>
      </c>
      <c r="AM487">
        <f t="shared" si="113"/>
        <v>55.833577201509257</v>
      </c>
    </row>
    <row r="488" spans="1:39" ht="16.5" x14ac:dyDescent="0.25">
      <c r="A488" s="1">
        <v>45000</v>
      </c>
      <c r="B488" s="5">
        <v>55.75</v>
      </c>
      <c r="C488" s="4">
        <v>57.26</v>
      </c>
      <c r="D488" s="4">
        <v>57.64</v>
      </c>
      <c r="E488" s="4">
        <v>55.73</v>
      </c>
      <c r="F488" s="4" t="s">
        <v>1575</v>
      </c>
      <c r="G488" s="2" t="s">
        <v>890</v>
      </c>
      <c r="I488">
        <f t="shared" si="100"/>
        <v>57.904000000000011</v>
      </c>
      <c r="J488">
        <f t="shared" si="101"/>
        <v>57.809000000000005</v>
      </c>
      <c r="L488">
        <f t="shared" si="102"/>
        <v>0</v>
      </c>
      <c r="M488">
        <f t="shared" si="103"/>
        <v>1</v>
      </c>
      <c r="O488">
        <f t="shared" si="104"/>
        <v>0</v>
      </c>
      <c r="P488">
        <f t="shared" si="105"/>
        <v>1.509999999999998</v>
      </c>
      <c r="R488">
        <f t="shared" si="106"/>
        <v>0.56142857142857339</v>
      </c>
      <c r="S488">
        <f t="shared" si="107"/>
        <v>0.8842857142857129</v>
      </c>
      <c r="U488">
        <f t="shared" si="108"/>
        <v>38.833992094861784</v>
      </c>
      <c r="AH488">
        <f t="shared" si="109"/>
        <v>0.9539834996975648</v>
      </c>
      <c r="AI488">
        <f t="shared" si="110"/>
        <v>44.453466635667525</v>
      </c>
      <c r="AJ488">
        <f t="shared" si="111"/>
        <v>71.354533364332497</v>
      </c>
      <c r="AL488">
        <f t="shared" si="112"/>
        <v>59.811966999395139</v>
      </c>
      <c r="AM488">
        <f t="shared" si="113"/>
        <v>55.996033000604882</v>
      </c>
    </row>
    <row r="489" spans="1:39" ht="16.5" x14ac:dyDescent="0.25">
      <c r="A489" s="1">
        <v>44999</v>
      </c>
      <c r="B489" s="5">
        <v>57.22</v>
      </c>
      <c r="C489" s="4">
        <v>56.36</v>
      </c>
      <c r="D489" s="4">
        <v>57.73</v>
      </c>
      <c r="E489" s="4">
        <v>55.98</v>
      </c>
      <c r="F489" s="4" t="s">
        <v>1383</v>
      </c>
      <c r="G489" s="2" t="s">
        <v>1696</v>
      </c>
      <c r="I489">
        <f t="shared" si="100"/>
        <v>58.123500000000014</v>
      </c>
      <c r="J489">
        <f t="shared" si="101"/>
        <v>57.822250000000011</v>
      </c>
      <c r="L489">
        <f t="shared" si="102"/>
        <v>1</v>
      </c>
      <c r="M489">
        <f t="shared" si="103"/>
        <v>0</v>
      </c>
      <c r="O489">
        <f t="shared" si="104"/>
        <v>0.85999999999999943</v>
      </c>
      <c r="P489">
        <f t="shared" si="105"/>
        <v>0</v>
      </c>
      <c r="R489">
        <f t="shared" si="106"/>
        <v>0.60000000000000142</v>
      </c>
      <c r="S489">
        <f t="shared" si="107"/>
        <v>0.77999999999999881</v>
      </c>
      <c r="U489">
        <f t="shared" si="108"/>
        <v>43.478260869565311</v>
      </c>
      <c r="AH489">
        <f t="shared" si="109"/>
        <v>0.96421596805524257</v>
      </c>
      <c r="AI489">
        <f t="shared" si="110"/>
        <v>44.672966635667535</v>
      </c>
      <c r="AJ489">
        <f t="shared" si="111"/>
        <v>71.574033364332493</v>
      </c>
      <c r="AL489">
        <f t="shared" si="112"/>
        <v>60.051931936110499</v>
      </c>
      <c r="AM489">
        <f t="shared" si="113"/>
        <v>56.195068063889529</v>
      </c>
    </row>
    <row r="490" spans="1:39" ht="16.5" x14ac:dyDescent="0.25">
      <c r="A490" s="1">
        <v>44998</v>
      </c>
      <c r="B490" s="5">
        <v>56.06</v>
      </c>
      <c r="C490" s="4">
        <v>57.61</v>
      </c>
      <c r="D490" s="4">
        <v>57.63</v>
      </c>
      <c r="E490" s="4">
        <v>56.06</v>
      </c>
      <c r="F490" s="4" t="s">
        <v>1426</v>
      </c>
      <c r="G490" s="2" t="s">
        <v>1751</v>
      </c>
      <c r="I490">
        <f t="shared" si="100"/>
        <v>58.285499999999999</v>
      </c>
      <c r="J490">
        <f t="shared" si="101"/>
        <v>57.817000000000007</v>
      </c>
      <c r="L490">
        <f t="shared" si="102"/>
        <v>0</v>
      </c>
      <c r="M490">
        <f t="shared" si="103"/>
        <v>1</v>
      </c>
      <c r="O490">
        <f t="shared" si="104"/>
        <v>0</v>
      </c>
      <c r="P490">
        <f t="shared" si="105"/>
        <v>1.5499999999999972</v>
      </c>
      <c r="R490">
        <f t="shared" si="106"/>
        <v>0.52875000000000139</v>
      </c>
      <c r="S490">
        <f t="shared" si="107"/>
        <v>0.77999999999999881</v>
      </c>
      <c r="U490">
        <f t="shared" si="108"/>
        <v>40.401146131805255</v>
      </c>
      <c r="AH490">
        <f t="shared" si="109"/>
        <v>0.97249610252271479</v>
      </c>
      <c r="AI490">
        <f t="shared" si="110"/>
        <v>44.834966635667513</v>
      </c>
      <c r="AJ490">
        <f t="shared" si="111"/>
        <v>71.736033364332485</v>
      </c>
      <c r="AL490">
        <f t="shared" si="112"/>
        <v>60.230492205045429</v>
      </c>
      <c r="AM490">
        <f t="shared" si="113"/>
        <v>56.340507794954569</v>
      </c>
    </row>
    <row r="491" spans="1:39" ht="16.5" x14ac:dyDescent="0.25">
      <c r="A491" s="1">
        <v>44995</v>
      </c>
      <c r="B491" s="5">
        <v>57.7</v>
      </c>
      <c r="C491" s="4">
        <v>57.44</v>
      </c>
      <c r="D491" s="4">
        <v>57.89</v>
      </c>
      <c r="E491" s="4">
        <v>56.83</v>
      </c>
      <c r="F491" s="4" t="s">
        <v>1540</v>
      </c>
      <c r="G491" s="2" t="s">
        <v>1074</v>
      </c>
      <c r="I491">
        <f t="shared" si="100"/>
        <v>58.46</v>
      </c>
      <c r="J491">
        <f t="shared" si="101"/>
        <v>57.851500000000009</v>
      </c>
      <c r="L491">
        <f t="shared" si="102"/>
        <v>1</v>
      </c>
      <c r="M491">
        <f t="shared" si="103"/>
        <v>0</v>
      </c>
      <c r="O491">
        <f t="shared" si="104"/>
        <v>0.26000000000000512</v>
      </c>
      <c r="P491">
        <f t="shared" si="105"/>
        <v>0</v>
      </c>
      <c r="R491">
        <f t="shared" si="106"/>
        <v>0.49777777777777898</v>
      </c>
      <c r="S491">
        <f t="shared" si="107"/>
        <v>0.62599999999999911</v>
      </c>
      <c r="U491">
        <f t="shared" si="108"/>
        <v>44.295036582954417</v>
      </c>
      <c r="AH491">
        <f t="shared" si="109"/>
        <v>0.97836706493836512</v>
      </c>
      <c r="AI491">
        <f t="shared" si="110"/>
        <v>45.009466635667522</v>
      </c>
      <c r="AJ491">
        <f t="shared" si="111"/>
        <v>71.91053336433248</v>
      </c>
      <c r="AL491">
        <f t="shared" si="112"/>
        <v>60.41673412987673</v>
      </c>
      <c r="AM491">
        <f t="shared" si="113"/>
        <v>56.503265870123272</v>
      </c>
    </row>
    <row r="492" spans="1:39" ht="16.5" x14ac:dyDescent="0.25">
      <c r="A492" s="1">
        <v>44994</v>
      </c>
      <c r="B492" s="5">
        <v>58.02</v>
      </c>
      <c r="C492" s="4">
        <v>58.26</v>
      </c>
      <c r="D492" s="4">
        <v>58.44</v>
      </c>
      <c r="E492" s="4">
        <v>58.02</v>
      </c>
      <c r="F492" s="4" t="s">
        <v>58</v>
      </c>
      <c r="G492" s="2" t="s">
        <v>992</v>
      </c>
      <c r="I492">
        <f t="shared" si="100"/>
        <v>58.515000000000001</v>
      </c>
      <c r="J492">
        <f t="shared" si="101"/>
        <v>57.844250000000009</v>
      </c>
      <c r="L492">
        <f t="shared" si="102"/>
        <v>0</v>
      </c>
      <c r="M492">
        <f t="shared" si="103"/>
        <v>1</v>
      </c>
      <c r="O492">
        <f t="shared" si="104"/>
        <v>0</v>
      </c>
      <c r="P492">
        <f t="shared" si="105"/>
        <v>0.23999999999999488</v>
      </c>
      <c r="R492">
        <f t="shared" si="106"/>
        <v>0.52750000000000075</v>
      </c>
      <c r="S492">
        <f t="shared" si="107"/>
        <v>0.60499999999999921</v>
      </c>
      <c r="U492">
        <f t="shared" si="108"/>
        <v>46.578366445916188</v>
      </c>
      <c r="AH492">
        <f t="shared" si="109"/>
        <v>0.98047682491147325</v>
      </c>
      <c r="AI492">
        <f t="shared" si="110"/>
        <v>45.064466635667515</v>
      </c>
      <c r="AJ492">
        <f t="shared" si="111"/>
        <v>71.965533364332487</v>
      </c>
      <c r="AL492">
        <f t="shared" si="112"/>
        <v>60.475953649822948</v>
      </c>
      <c r="AM492">
        <f t="shared" si="113"/>
        <v>56.554046350177053</v>
      </c>
    </row>
    <row r="493" spans="1:39" ht="16.5" x14ac:dyDescent="0.25">
      <c r="A493" s="1">
        <v>44993</v>
      </c>
      <c r="B493" s="5">
        <v>58.47</v>
      </c>
      <c r="C493" s="4">
        <v>57.31</v>
      </c>
      <c r="D493" s="4">
        <v>58.77</v>
      </c>
      <c r="E493" s="4">
        <v>57.27</v>
      </c>
      <c r="F493" s="4" t="s">
        <v>1693</v>
      </c>
      <c r="G493" s="2" t="s">
        <v>1603</v>
      </c>
      <c r="I493">
        <f t="shared" si="100"/>
        <v>58.6355</v>
      </c>
      <c r="J493">
        <f t="shared" si="101"/>
        <v>57.839743589743598</v>
      </c>
      <c r="L493">
        <f t="shared" si="102"/>
        <v>1</v>
      </c>
      <c r="M493">
        <f t="shared" si="103"/>
        <v>0</v>
      </c>
      <c r="O493">
        <f t="shared" si="104"/>
        <v>1.1599999999999966</v>
      </c>
      <c r="P493">
        <f t="shared" si="105"/>
        <v>0</v>
      </c>
      <c r="R493">
        <f t="shared" si="106"/>
        <v>0.47444444444444478</v>
      </c>
      <c r="S493">
        <f t="shared" si="107"/>
        <v>0.67800000000000016</v>
      </c>
      <c r="U493">
        <f t="shared" si="108"/>
        <v>41.168530659467812</v>
      </c>
      <c r="AH493">
        <f t="shared" si="109"/>
        <v>0.98073812661562854</v>
      </c>
      <c r="AI493">
        <f t="shared" si="110"/>
        <v>45.184966635667521</v>
      </c>
      <c r="AJ493">
        <f t="shared" si="111"/>
        <v>72.086033364332479</v>
      </c>
      <c r="AL493">
        <f t="shared" si="112"/>
        <v>60.596976253231254</v>
      </c>
      <c r="AM493">
        <f t="shared" si="113"/>
        <v>56.674023746768746</v>
      </c>
    </row>
    <row r="494" spans="1:39" ht="16.5" x14ac:dyDescent="0.25">
      <c r="A494" s="1">
        <v>44992</v>
      </c>
      <c r="B494" s="5">
        <v>57.25</v>
      </c>
      <c r="C494" s="4">
        <v>57.48</v>
      </c>
      <c r="D494" s="4">
        <v>58.06</v>
      </c>
      <c r="E494" s="4">
        <v>57.17</v>
      </c>
      <c r="F494" s="4" t="s">
        <v>1561</v>
      </c>
      <c r="G494" s="2" t="s">
        <v>292</v>
      </c>
      <c r="I494">
        <f t="shared" si="100"/>
        <v>58.836500000000001</v>
      </c>
      <c r="J494">
        <f t="shared" si="101"/>
        <v>57.823157894736845</v>
      </c>
      <c r="L494">
        <f t="shared" si="102"/>
        <v>0</v>
      </c>
      <c r="M494">
        <f t="shared" si="103"/>
        <v>1</v>
      </c>
      <c r="O494">
        <f t="shared" si="104"/>
        <v>0</v>
      </c>
      <c r="P494">
        <f t="shared" si="105"/>
        <v>0.22999999999999687</v>
      </c>
      <c r="R494">
        <f t="shared" si="106"/>
        <v>0.38875000000000082</v>
      </c>
      <c r="S494">
        <f t="shared" si="107"/>
        <v>0.66499999999999915</v>
      </c>
      <c r="U494">
        <f t="shared" si="108"/>
        <v>36.892052194543375</v>
      </c>
      <c r="AH494">
        <f t="shared" si="109"/>
        <v>0.9767674077287255</v>
      </c>
      <c r="AI494">
        <f t="shared" si="110"/>
        <v>45.385966635667515</v>
      </c>
      <c r="AJ494">
        <f t="shared" si="111"/>
        <v>72.287033364332487</v>
      </c>
      <c r="AL494">
        <f t="shared" si="112"/>
        <v>60.790034815457453</v>
      </c>
      <c r="AM494">
        <f t="shared" si="113"/>
        <v>56.882965184542549</v>
      </c>
    </row>
    <row r="495" spans="1:39" ht="16.5" x14ac:dyDescent="0.25">
      <c r="A495" s="1">
        <v>44991</v>
      </c>
      <c r="B495" s="5">
        <v>57.63</v>
      </c>
      <c r="C495" s="4">
        <v>57.61</v>
      </c>
      <c r="D495" s="4">
        <v>57.82</v>
      </c>
      <c r="E495" s="4">
        <v>57.3</v>
      </c>
      <c r="F495" s="4" t="s">
        <v>128</v>
      </c>
      <c r="G495" s="2" t="s">
        <v>418</v>
      </c>
      <c r="I495">
        <f t="shared" si="100"/>
        <v>58.921500000000002</v>
      </c>
      <c r="J495">
        <f t="shared" si="101"/>
        <v>57.838648648648658</v>
      </c>
      <c r="L495">
        <f t="shared" si="102"/>
        <v>1</v>
      </c>
      <c r="M495">
        <f t="shared" si="103"/>
        <v>0</v>
      </c>
      <c r="O495">
        <f t="shared" si="104"/>
        <v>2.0000000000003126E-2</v>
      </c>
      <c r="P495">
        <f t="shared" si="105"/>
        <v>0</v>
      </c>
      <c r="R495">
        <f t="shared" si="106"/>
        <v>0.38875000000000082</v>
      </c>
      <c r="S495">
        <f t="shared" si="107"/>
        <v>0.66499999999999915</v>
      </c>
      <c r="U495">
        <f t="shared" si="108"/>
        <v>36.892052194543375</v>
      </c>
      <c r="AH495">
        <f t="shared" si="109"/>
        <v>0.9642896889490804</v>
      </c>
      <c r="AI495">
        <f t="shared" si="110"/>
        <v>45.470966635667523</v>
      </c>
      <c r="AJ495">
        <f t="shared" si="111"/>
        <v>72.372033364332481</v>
      </c>
      <c r="AL495">
        <f t="shared" si="112"/>
        <v>60.850079377898162</v>
      </c>
      <c r="AM495">
        <f t="shared" si="113"/>
        <v>56.992920622101842</v>
      </c>
    </row>
    <row r="496" spans="1:39" ht="16.5" x14ac:dyDescent="0.25">
      <c r="A496" s="1">
        <v>44988</v>
      </c>
      <c r="B496" s="5">
        <v>57.6</v>
      </c>
      <c r="C496" s="4">
        <v>56.91</v>
      </c>
      <c r="D496" s="4">
        <v>57.7</v>
      </c>
      <c r="E496" s="4">
        <v>56.86</v>
      </c>
      <c r="F496" s="4" t="s">
        <v>107</v>
      </c>
      <c r="G496" s="2" t="s">
        <v>420</v>
      </c>
      <c r="I496">
        <f t="shared" si="100"/>
        <v>58.9495</v>
      </c>
      <c r="J496">
        <f t="shared" si="101"/>
        <v>57.844444444444449</v>
      </c>
      <c r="L496">
        <f t="shared" si="102"/>
        <v>1</v>
      </c>
      <c r="M496">
        <f t="shared" si="103"/>
        <v>0</v>
      </c>
      <c r="O496">
        <f t="shared" si="104"/>
        <v>0.69000000000000483</v>
      </c>
      <c r="P496">
        <f t="shared" si="105"/>
        <v>0</v>
      </c>
      <c r="R496">
        <f t="shared" si="106"/>
        <v>0.4662500000000005</v>
      </c>
      <c r="S496">
        <f t="shared" si="107"/>
        <v>0.66499999999999915</v>
      </c>
      <c r="U496">
        <f t="shared" si="108"/>
        <v>41.215469613259721</v>
      </c>
      <c r="AH496">
        <f t="shared" si="109"/>
        <v>0.94567636354308815</v>
      </c>
      <c r="AI496">
        <f t="shared" si="110"/>
        <v>45.498966635667514</v>
      </c>
      <c r="AJ496">
        <f t="shared" si="111"/>
        <v>72.400033364332486</v>
      </c>
      <c r="AL496">
        <f t="shared" si="112"/>
        <v>60.84085272708618</v>
      </c>
      <c r="AM496">
        <f t="shared" si="113"/>
        <v>57.058147272913821</v>
      </c>
    </row>
    <row r="497" spans="1:39" ht="16.5" x14ac:dyDescent="0.25">
      <c r="A497" s="1">
        <v>44987</v>
      </c>
      <c r="B497" s="5">
        <v>56.82</v>
      </c>
      <c r="C497" s="4">
        <v>56</v>
      </c>
      <c r="D497" s="4">
        <v>56.9</v>
      </c>
      <c r="E497" s="4">
        <v>55.67</v>
      </c>
      <c r="F497" s="4" t="s">
        <v>1529</v>
      </c>
      <c r="G497" s="2" t="s">
        <v>333</v>
      </c>
      <c r="I497">
        <f t="shared" si="100"/>
        <v>58.903499999999994</v>
      </c>
      <c r="J497">
        <f t="shared" si="101"/>
        <v>57.851428571428578</v>
      </c>
      <c r="L497">
        <f t="shared" si="102"/>
        <v>1</v>
      </c>
      <c r="M497">
        <f t="shared" si="103"/>
        <v>0</v>
      </c>
      <c r="O497">
        <f t="shared" si="104"/>
        <v>0.82000000000000028</v>
      </c>
      <c r="P497">
        <f t="shared" si="105"/>
        <v>0</v>
      </c>
      <c r="R497">
        <f t="shared" si="106"/>
        <v>0.48624999999999918</v>
      </c>
      <c r="S497">
        <f t="shared" si="107"/>
        <v>0.66499999999999915</v>
      </c>
      <c r="U497">
        <f t="shared" si="108"/>
        <v>42.236699239956558</v>
      </c>
      <c r="AH497">
        <f t="shared" si="109"/>
        <v>0.92219932443036756</v>
      </c>
      <c r="AI497">
        <f t="shared" si="110"/>
        <v>45.452966635667508</v>
      </c>
      <c r="AJ497">
        <f t="shared" si="111"/>
        <v>72.35403336433248</v>
      </c>
      <c r="AL497">
        <f t="shared" si="112"/>
        <v>60.747898648860726</v>
      </c>
      <c r="AM497">
        <f t="shared" si="113"/>
        <v>57.059101351139262</v>
      </c>
    </row>
    <row r="498" spans="1:39" ht="16.5" x14ac:dyDescent="0.25">
      <c r="A498" s="1">
        <v>44986</v>
      </c>
      <c r="B498" s="5">
        <v>56.34</v>
      </c>
      <c r="C498" s="4">
        <v>56.22</v>
      </c>
      <c r="D498" s="4">
        <v>56.71</v>
      </c>
      <c r="E498" s="4">
        <v>55.8</v>
      </c>
      <c r="F498" s="4" t="s">
        <v>1575</v>
      </c>
      <c r="G498" s="2" t="s">
        <v>326</v>
      </c>
      <c r="I498">
        <f t="shared" si="100"/>
        <v>58.902499999999996</v>
      </c>
      <c r="J498">
        <f t="shared" si="101"/>
        <v>57.881764705882361</v>
      </c>
      <c r="L498">
        <f t="shared" si="102"/>
        <v>1</v>
      </c>
      <c r="M498">
        <f t="shared" si="103"/>
        <v>0</v>
      </c>
      <c r="O498">
        <f t="shared" si="104"/>
        <v>0.12000000000000455</v>
      </c>
      <c r="P498">
        <f t="shared" si="105"/>
        <v>0</v>
      </c>
      <c r="R498">
        <f t="shared" si="106"/>
        <v>0.43857142857142761</v>
      </c>
      <c r="S498">
        <f t="shared" si="107"/>
        <v>0.77000000000000013</v>
      </c>
      <c r="U498">
        <f t="shared" si="108"/>
        <v>36.288416075650069</v>
      </c>
      <c r="AH498">
        <f t="shared" si="109"/>
        <v>0.89672686063656903</v>
      </c>
      <c r="AI498">
        <f t="shared" si="110"/>
        <v>45.451966635667517</v>
      </c>
      <c r="AJ498">
        <f t="shared" si="111"/>
        <v>72.353033364332475</v>
      </c>
      <c r="AL498">
        <f t="shared" si="112"/>
        <v>60.695953721273135</v>
      </c>
      <c r="AM498">
        <f t="shared" si="113"/>
        <v>57.109046278726858</v>
      </c>
    </row>
    <row r="499" spans="1:39" ht="16.5" x14ac:dyDescent="0.25">
      <c r="A499" s="1">
        <v>44985</v>
      </c>
      <c r="B499" s="5">
        <v>56.29</v>
      </c>
      <c r="C499" s="4">
        <v>57.04</v>
      </c>
      <c r="D499" s="4">
        <v>57.49</v>
      </c>
      <c r="E499" s="4">
        <v>55.4</v>
      </c>
      <c r="F499" s="4" t="s">
        <v>1752</v>
      </c>
      <c r="G499" s="2" t="s">
        <v>1753</v>
      </c>
      <c r="I499">
        <f t="shared" si="100"/>
        <v>58.910499999999999</v>
      </c>
      <c r="J499">
        <f t="shared" si="101"/>
        <v>57.928484848484857</v>
      </c>
      <c r="L499">
        <f t="shared" si="102"/>
        <v>0</v>
      </c>
      <c r="M499">
        <f t="shared" si="103"/>
        <v>1</v>
      </c>
      <c r="O499">
        <f t="shared" si="104"/>
        <v>0</v>
      </c>
      <c r="P499">
        <f t="shared" si="105"/>
        <v>0.75</v>
      </c>
      <c r="R499">
        <f t="shared" si="106"/>
        <v>0.49166666666666475</v>
      </c>
      <c r="S499">
        <f t="shared" si="107"/>
        <v>1.1275000000000004</v>
      </c>
      <c r="U499">
        <f t="shared" si="108"/>
        <v>30.365414307771402</v>
      </c>
      <c r="AH499">
        <f t="shared" si="109"/>
        <v>0.8663053786520114</v>
      </c>
      <c r="AI499">
        <f t="shared" si="110"/>
        <v>45.459966635667513</v>
      </c>
      <c r="AJ499">
        <f t="shared" si="111"/>
        <v>72.361033364332485</v>
      </c>
      <c r="AL499">
        <f t="shared" si="112"/>
        <v>60.643110757304022</v>
      </c>
      <c r="AM499">
        <f t="shared" si="113"/>
        <v>57.177889242695976</v>
      </c>
    </row>
    <row r="500" spans="1:39" ht="16.5" x14ac:dyDescent="0.25">
      <c r="A500" s="1">
        <v>44984</v>
      </c>
      <c r="B500" s="5">
        <v>58.58</v>
      </c>
      <c r="C500" s="4">
        <v>59.1</v>
      </c>
      <c r="D500" s="4">
        <v>59.54</v>
      </c>
      <c r="E500" s="4">
        <v>58.58</v>
      </c>
      <c r="F500" s="4" t="s">
        <v>1378</v>
      </c>
      <c r="G500" s="2" t="s">
        <v>241</v>
      </c>
      <c r="I500">
        <f t="shared" si="100"/>
        <v>58.945999999999991</v>
      </c>
      <c r="J500">
        <f t="shared" si="101"/>
        <v>57.979687500000004</v>
      </c>
      <c r="L500">
        <f t="shared" si="102"/>
        <v>0</v>
      </c>
      <c r="M500">
        <f t="shared" si="103"/>
        <v>1</v>
      </c>
      <c r="O500">
        <f t="shared" si="104"/>
        <v>0</v>
      </c>
      <c r="P500">
        <f t="shared" si="105"/>
        <v>0.52000000000000313</v>
      </c>
      <c r="R500">
        <f t="shared" si="106"/>
        <v>0.85285714285714165</v>
      </c>
      <c r="S500">
        <f t="shared" si="107"/>
        <v>1.1814285714285719</v>
      </c>
      <c r="U500">
        <f t="shared" si="108"/>
        <v>41.924157303370741</v>
      </c>
      <c r="AH500">
        <f t="shared" si="109"/>
        <v>0.82912567575915042</v>
      </c>
      <c r="AI500">
        <f t="shared" si="110"/>
        <v>45.495466635667512</v>
      </c>
      <c r="AJ500">
        <f t="shared" si="111"/>
        <v>72.39653336433247</v>
      </c>
      <c r="AL500">
        <f t="shared" si="112"/>
        <v>60.604251351518293</v>
      </c>
      <c r="AM500">
        <f t="shared" si="113"/>
        <v>57.287748648481688</v>
      </c>
    </row>
    <row r="501" spans="1:39" ht="16.5" x14ac:dyDescent="0.25">
      <c r="A501" s="1">
        <v>44981</v>
      </c>
      <c r="B501" s="5">
        <v>58.62</v>
      </c>
      <c r="C501" s="4">
        <v>60.01</v>
      </c>
      <c r="D501" s="4">
        <v>60.27</v>
      </c>
      <c r="E501" s="4">
        <v>58.62</v>
      </c>
      <c r="F501" s="4" t="s">
        <v>1754</v>
      </c>
      <c r="G501" s="2" t="s">
        <v>80</v>
      </c>
      <c r="I501">
        <f t="shared" si="100"/>
        <v>58.861999999999988</v>
      </c>
      <c r="J501">
        <f t="shared" si="101"/>
        <v>57.960322580645162</v>
      </c>
      <c r="L501">
        <f t="shared" si="102"/>
        <v>0</v>
      </c>
      <c r="M501">
        <f t="shared" si="103"/>
        <v>1</v>
      </c>
      <c r="O501">
        <f t="shared" si="104"/>
        <v>0</v>
      </c>
      <c r="P501">
        <f t="shared" si="105"/>
        <v>1.3900000000000006</v>
      </c>
      <c r="R501">
        <f t="shared" si="106"/>
        <v>0.81624999999999925</v>
      </c>
      <c r="S501">
        <f t="shared" si="107"/>
        <v>1.2916666666666667</v>
      </c>
      <c r="U501">
        <f t="shared" si="108"/>
        <v>38.723067799960447</v>
      </c>
      <c r="AH501">
        <f t="shared" si="109"/>
        <v>0.78119890169604778</v>
      </c>
      <c r="AI501">
        <f t="shared" si="110"/>
        <v>45.411466635667509</v>
      </c>
      <c r="AJ501">
        <f t="shared" si="111"/>
        <v>72.312533364332467</v>
      </c>
      <c r="AL501">
        <f t="shared" si="112"/>
        <v>60.424397803392083</v>
      </c>
      <c r="AM501">
        <f t="shared" si="113"/>
        <v>57.299602196607893</v>
      </c>
    </row>
    <row r="502" spans="1:39" ht="16.5" x14ac:dyDescent="0.25">
      <c r="A502" s="1">
        <v>44980</v>
      </c>
      <c r="B502" s="5">
        <v>59.91</v>
      </c>
      <c r="C502" s="4">
        <v>59.04</v>
      </c>
      <c r="D502" s="4">
        <v>60.29</v>
      </c>
      <c r="E502" s="4">
        <v>58.86</v>
      </c>
      <c r="F502" s="4" t="s">
        <v>46</v>
      </c>
      <c r="G502" s="2" t="s">
        <v>433</v>
      </c>
      <c r="I502">
        <f t="shared" si="100"/>
        <v>58.74499999999999</v>
      </c>
      <c r="J502">
        <f t="shared" si="101"/>
        <v>57.93833333333334</v>
      </c>
      <c r="L502">
        <f t="shared" si="102"/>
        <v>1</v>
      </c>
      <c r="M502">
        <f t="shared" si="103"/>
        <v>0</v>
      </c>
      <c r="O502">
        <f t="shared" si="104"/>
        <v>0.86999999999999744</v>
      </c>
      <c r="P502">
        <f t="shared" si="105"/>
        <v>0</v>
      </c>
      <c r="R502">
        <f t="shared" si="106"/>
        <v>0.91333333333333244</v>
      </c>
      <c r="S502">
        <f t="shared" si="107"/>
        <v>1.2719999999999998</v>
      </c>
      <c r="U502">
        <f t="shared" si="108"/>
        <v>41.793776693105528</v>
      </c>
      <c r="AH502">
        <f t="shared" si="109"/>
        <v>0.72880470706625566</v>
      </c>
      <c r="AI502">
        <f t="shared" si="110"/>
        <v>45.294466635667504</v>
      </c>
      <c r="AJ502">
        <f t="shared" si="111"/>
        <v>72.195533364332476</v>
      </c>
      <c r="AL502">
        <f t="shared" si="112"/>
        <v>60.202609414132503</v>
      </c>
      <c r="AM502">
        <f t="shared" si="113"/>
        <v>57.287390585867477</v>
      </c>
    </row>
    <row r="503" spans="1:39" ht="16.5" x14ac:dyDescent="0.25">
      <c r="A503" s="1">
        <v>44979</v>
      </c>
      <c r="B503" s="5">
        <v>59.06</v>
      </c>
      <c r="C503" s="4">
        <v>58.77</v>
      </c>
      <c r="D503" s="4">
        <v>59.06</v>
      </c>
      <c r="E503" s="4">
        <v>58.54</v>
      </c>
      <c r="F503" s="4" t="s">
        <v>58</v>
      </c>
      <c r="G503" s="2" t="s">
        <v>296</v>
      </c>
      <c r="I503">
        <f t="shared" si="100"/>
        <v>58.55149999999999</v>
      </c>
      <c r="J503">
        <f t="shared" si="101"/>
        <v>57.870344827586209</v>
      </c>
      <c r="L503">
        <f t="shared" si="102"/>
        <v>1</v>
      </c>
      <c r="M503">
        <f t="shared" si="103"/>
        <v>0</v>
      </c>
      <c r="O503">
        <f t="shared" si="104"/>
        <v>0.28999999999999915</v>
      </c>
      <c r="P503">
        <f t="shared" si="105"/>
        <v>0</v>
      </c>
      <c r="R503">
        <f t="shared" si="106"/>
        <v>0.91874999999999929</v>
      </c>
      <c r="S503">
        <f t="shared" si="107"/>
        <v>1.0700000000000003</v>
      </c>
      <c r="U503">
        <f t="shared" si="108"/>
        <v>46.197360150848503</v>
      </c>
      <c r="AH503">
        <f t="shared" si="109"/>
        <v>0.67357814504655966</v>
      </c>
      <c r="AI503">
        <f t="shared" si="110"/>
        <v>45.100966635667504</v>
      </c>
      <c r="AJ503">
        <f t="shared" si="111"/>
        <v>72.002033364332476</v>
      </c>
      <c r="AL503">
        <f t="shared" si="112"/>
        <v>59.898656290093108</v>
      </c>
      <c r="AM503">
        <f t="shared" si="113"/>
        <v>57.204343709906873</v>
      </c>
    </row>
    <row r="504" spans="1:39" ht="16.5" x14ac:dyDescent="0.25">
      <c r="A504" s="1">
        <v>44978</v>
      </c>
      <c r="B504" s="5">
        <v>59.25</v>
      </c>
      <c r="C504" s="4">
        <v>59</v>
      </c>
      <c r="D504" s="4">
        <v>59.67</v>
      </c>
      <c r="E504" s="4">
        <v>58.77</v>
      </c>
      <c r="F504" s="4" t="s">
        <v>210</v>
      </c>
      <c r="G504" s="2" t="s">
        <v>416</v>
      </c>
      <c r="I504">
        <f t="shared" si="100"/>
        <v>58.372499999999988</v>
      </c>
      <c r="J504">
        <f t="shared" si="101"/>
        <v>57.827857142857148</v>
      </c>
      <c r="L504">
        <f t="shared" si="102"/>
        <v>1</v>
      </c>
      <c r="M504">
        <f t="shared" si="103"/>
        <v>0</v>
      </c>
      <c r="O504">
        <f t="shared" si="104"/>
        <v>0.25</v>
      </c>
      <c r="P504">
        <f t="shared" si="105"/>
        <v>0</v>
      </c>
      <c r="R504">
        <f t="shared" si="106"/>
        <v>0.90124999999999922</v>
      </c>
      <c r="S504">
        <f t="shared" si="107"/>
        <v>1.0700000000000003</v>
      </c>
      <c r="U504">
        <f t="shared" si="108"/>
        <v>45.719720989220008</v>
      </c>
      <c r="AH504">
        <f t="shared" si="109"/>
        <v>0.62189415117256086</v>
      </c>
      <c r="AI504">
        <f t="shared" si="110"/>
        <v>44.921966635667502</v>
      </c>
      <c r="AJ504">
        <f t="shared" si="111"/>
        <v>71.823033364332474</v>
      </c>
      <c r="AL504">
        <f t="shared" si="112"/>
        <v>59.616288302345112</v>
      </c>
      <c r="AM504">
        <f t="shared" si="113"/>
        <v>57.128711697654865</v>
      </c>
    </row>
    <row r="505" spans="1:39" ht="16.5" x14ac:dyDescent="0.25">
      <c r="A505" s="1">
        <v>44977</v>
      </c>
      <c r="B505" s="5">
        <v>58.94</v>
      </c>
      <c r="C505" s="4">
        <v>59.44</v>
      </c>
      <c r="D505" s="4">
        <v>59.57</v>
      </c>
      <c r="E505" s="4">
        <v>58.68</v>
      </c>
      <c r="F505" s="4" t="s">
        <v>1755</v>
      </c>
      <c r="G505" s="2" t="s">
        <v>219</v>
      </c>
      <c r="I505">
        <f t="shared" si="100"/>
        <v>58.185999999999993</v>
      </c>
      <c r="J505">
        <f t="shared" si="101"/>
        <v>57.775185185185187</v>
      </c>
      <c r="L505">
        <f t="shared" si="102"/>
        <v>0</v>
      </c>
      <c r="M505">
        <f t="shared" si="103"/>
        <v>1</v>
      </c>
      <c r="O505">
        <f t="shared" si="104"/>
        <v>0</v>
      </c>
      <c r="P505">
        <f t="shared" si="105"/>
        <v>0.5</v>
      </c>
      <c r="R505">
        <f t="shared" si="106"/>
        <v>0.99428571428571344</v>
      </c>
      <c r="S505">
        <f t="shared" si="107"/>
        <v>0.99571428571428555</v>
      </c>
      <c r="U505">
        <f t="shared" si="108"/>
        <v>49.964106245513264</v>
      </c>
      <c r="AH505">
        <f t="shared" si="109"/>
        <v>0.57339279932051967</v>
      </c>
      <c r="AI505">
        <f t="shared" si="110"/>
        <v>44.735466635667507</v>
      </c>
      <c r="AJ505">
        <f t="shared" si="111"/>
        <v>71.636533364332479</v>
      </c>
      <c r="AL505">
        <f t="shared" si="112"/>
        <v>59.332785598641031</v>
      </c>
      <c r="AM505">
        <f t="shared" si="113"/>
        <v>57.039214401358954</v>
      </c>
    </row>
    <row r="506" spans="1:39" ht="16.5" x14ac:dyDescent="0.25">
      <c r="A506" s="1">
        <v>44974</v>
      </c>
      <c r="B506" s="5">
        <v>59.12</v>
      </c>
      <c r="C506" s="4">
        <v>59.07</v>
      </c>
      <c r="D506" s="4">
        <v>59.52</v>
      </c>
      <c r="E506" s="4">
        <v>58.73</v>
      </c>
      <c r="F506" s="4" t="s">
        <v>141</v>
      </c>
      <c r="G506" s="2" t="s">
        <v>1210</v>
      </c>
      <c r="I506">
        <f t="shared" si="100"/>
        <v>58.036999999999992</v>
      </c>
      <c r="J506">
        <f t="shared" si="101"/>
        <v>57.730384615384615</v>
      </c>
      <c r="L506">
        <f t="shared" si="102"/>
        <v>1</v>
      </c>
      <c r="M506">
        <f t="shared" si="103"/>
        <v>0</v>
      </c>
      <c r="O506">
        <f t="shared" si="104"/>
        <v>4.9999999999997158E-2</v>
      </c>
      <c r="P506">
        <f t="shared" si="105"/>
        <v>0</v>
      </c>
      <c r="R506">
        <f t="shared" si="106"/>
        <v>0.88874999999999904</v>
      </c>
      <c r="S506">
        <f t="shared" si="107"/>
        <v>1.0783333333333331</v>
      </c>
      <c r="U506">
        <f t="shared" si="108"/>
        <v>45.181105697945327</v>
      </c>
      <c r="AH506">
        <f t="shared" si="109"/>
        <v>0.5297267177815107</v>
      </c>
      <c r="AI506">
        <f t="shared" si="110"/>
        <v>44.586466635667506</v>
      </c>
      <c r="AJ506">
        <f t="shared" si="111"/>
        <v>71.487533364332478</v>
      </c>
      <c r="AL506">
        <f t="shared" si="112"/>
        <v>59.096453435563014</v>
      </c>
      <c r="AM506">
        <f t="shared" si="113"/>
        <v>56.97754656443697</v>
      </c>
    </row>
    <row r="507" spans="1:39" ht="16.5" x14ac:dyDescent="0.25">
      <c r="A507" s="1">
        <v>44973</v>
      </c>
      <c r="B507" s="5">
        <v>59.45</v>
      </c>
      <c r="C507" s="4">
        <v>60.05</v>
      </c>
      <c r="D507" s="4">
        <v>60.25</v>
      </c>
      <c r="E507" s="4">
        <v>58.91</v>
      </c>
      <c r="F507" s="4" t="s">
        <v>1408</v>
      </c>
      <c r="G507" s="2" t="s">
        <v>1556</v>
      </c>
      <c r="I507">
        <f t="shared" si="100"/>
        <v>57.900500000000001</v>
      </c>
      <c r="J507">
        <f t="shared" si="101"/>
        <v>57.674800000000005</v>
      </c>
      <c r="L507">
        <f t="shared" si="102"/>
        <v>0</v>
      </c>
      <c r="M507">
        <f t="shared" si="103"/>
        <v>1</v>
      </c>
      <c r="O507">
        <f t="shared" si="104"/>
        <v>0</v>
      </c>
      <c r="P507">
        <f t="shared" si="105"/>
        <v>0.59999999999999432</v>
      </c>
      <c r="R507">
        <f t="shared" si="106"/>
        <v>0.95999999999999908</v>
      </c>
      <c r="S507">
        <f t="shared" si="107"/>
        <v>1.0783333333333331</v>
      </c>
      <c r="U507">
        <f t="shared" si="108"/>
        <v>47.09730171708911</v>
      </c>
      <c r="AH507">
        <f t="shared" si="109"/>
        <v>0.48851664089229652</v>
      </c>
      <c r="AI507">
        <f t="shared" si="110"/>
        <v>44.449966635667522</v>
      </c>
      <c r="AJ507">
        <f t="shared" si="111"/>
        <v>71.35103336433248</v>
      </c>
      <c r="AL507">
        <f t="shared" si="112"/>
        <v>58.877533281784594</v>
      </c>
      <c r="AM507">
        <f t="shared" si="113"/>
        <v>56.923466718215408</v>
      </c>
    </row>
    <row r="508" spans="1:39" ht="16.5" x14ac:dyDescent="0.25">
      <c r="A508" s="1">
        <v>44972</v>
      </c>
      <c r="B508" s="5">
        <v>60.14</v>
      </c>
      <c r="C508" s="4">
        <v>60.37</v>
      </c>
      <c r="D508" s="4">
        <v>60.89</v>
      </c>
      <c r="E508" s="4">
        <v>59.29</v>
      </c>
      <c r="F508" s="4" t="s">
        <v>1437</v>
      </c>
      <c r="G508" s="2" t="s">
        <v>413</v>
      </c>
      <c r="I508">
        <f t="shared" si="100"/>
        <v>57.713999999999999</v>
      </c>
      <c r="J508">
        <f t="shared" si="101"/>
        <v>57.600833333333334</v>
      </c>
      <c r="L508">
        <f t="shared" si="102"/>
        <v>0</v>
      </c>
      <c r="M508">
        <f t="shared" si="103"/>
        <v>1</v>
      </c>
      <c r="O508">
        <f t="shared" si="104"/>
        <v>0</v>
      </c>
      <c r="P508">
        <f t="shared" si="105"/>
        <v>0.22999999999999687</v>
      </c>
      <c r="R508">
        <f t="shared" si="106"/>
        <v>0.86444444444444379</v>
      </c>
      <c r="S508">
        <f t="shared" si="107"/>
        <v>1.1740000000000008</v>
      </c>
      <c r="U508">
        <f t="shared" si="108"/>
        <v>42.407064210182021</v>
      </c>
      <c r="AH508">
        <f t="shared" si="109"/>
        <v>0.44926229206345392</v>
      </c>
      <c r="AI508">
        <f t="shared" si="110"/>
        <v>44.263466635667513</v>
      </c>
      <c r="AJ508">
        <f t="shared" si="111"/>
        <v>71.164533364332485</v>
      </c>
      <c r="AL508">
        <f t="shared" si="112"/>
        <v>58.612524584126909</v>
      </c>
      <c r="AM508">
        <f t="shared" si="113"/>
        <v>56.815475415873088</v>
      </c>
    </row>
    <row r="509" spans="1:39" ht="16.5" x14ac:dyDescent="0.25">
      <c r="A509" s="1">
        <v>44971</v>
      </c>
      <c r="B509" s="5">
        <v>60.46</v>
      </c>
      <c r="C509" s="4">
        <v>59.82</v>
      </c>
      <c r="D509" s="4">
        <v>60.91</v>
      </c>
      <c r="E509" s="4">
        <v>59.8</v>
      </c>
      <c r="F509" s="4" t="s">
        <v>1399</v>
      </c>
      <c r="G509" s="2" t="s">
        <v>785</v>
      </c>
      <c r="I509">
        <f t="shared" si="100"/>
        <v>57.521000000000001</v>
      </c>
      <c r="J509">
        <f t="shared" si="101"/>
        <v>57.490434782608702</v>
      </c>
      <c r="L509">
        <f t="shared" si="102"/>
        <v>1</v>
      </c>
      <c r="M509">
        <f t="shared" si="103"/>
        <v>0</v>
      </c>
      <c r="O509">
        <f t="shared" si="104"/>
        <v>0.64000000000000057</v>
      </c>
      <c r="P509">
        <f t="shared" si="105"/>
        <v>0</v>
      </c>
      <c r="R509">
        <f t="shared" si="106"/>
        <v>0.79199999999999948</v>
      </c>
      <c r="S509">
        <f t="shared" si="107"/>
        <v>1.4100000000000019</v>
      </c>
      <c r="U509">
        <f t="shared" si="108"/>
        <v>35.967302452316034</v>
      </c>
      <c r="AH509">
        <f t="shared" si="109"/>
        <v>0.4177914168514536</v>
      </c>
      <c r="AI509">
        <f t="shared" si="110"/>
        <v>44.070466635667515</v>
      </c>
      <c r="AJ509">
        <f t="shared" si="111"/>
        <v>70.971533364332487</v>
      </c>
      <c r="AL509">
        <f t="shared" si="112"/>
        <v>58.356582833702909</v>
      </c>
      <c r="AM509">
        <f t="shared" si="113"/>
        <v>56.685417166297093</v>
      </c>
    </row>
    <row r="510" spans="1:39" ht="16.5" x14ac:dyDescent="0.25">
      <c r="A510" s="1">
        <v>44970</v>
      </c>
      <c r="B510" s="5">
        <v>59.55</v>
      </c>
      <c r="C510" s="4">
        <v>58.7</v>
      </c>
      <c r="D510" s="4">
        <v>59.59</v>
      </c>
      <c r="E510" s="4">
        <v>58.56</v>
      </c>
      <c r="F510" s="4" t="s">
        <v>757</v>
      </c>
      <c r="G510" s="2" t="s">
        <v>685</v>
      </c>
      <c r="I510">
        <f t="shared" si="100"/>
        <v>57.348500000000001</v>
      </c>
      <c r="J510">
        <f t="shared" si="101"/>
        <v>57.355454545454556</v>
      </c>
      <c r="L510">
        <f t="shared" si="102"/>
        <v>1</v>
      </c>
      <c r="M510">
        <f t="shared" si="103"/>
        <v>0</v>
      </c>
      <c r="O510">
        <f t="shared" si="104"/>
        <v>0.84999999999999432</v>
      </c>
      <c r="P510">
        <f t="shared" si="105"/>
        <v>0</v>
      </c>
      <c r="R510">
        <f t="shared" si="106"/>
        <v>0.7289999999999992</v>
      </c>
      <c r="S510">
        <f t="shared" si="107"/>
        <v>1.4100000000000019</v>
      </c>
      <c r="U510">
        <f t="shared" si="108"/>
        <v>34.081346423562351</v>
      </c>
      <c r="AH510">
        <f t="shared" si="109"/>
        <v>0.39612880830181635</v>
      </c>
      <c r="AI510">
        <f t="shared" si="110"/>
        <v>43.897966635667515</v>
      </c>
      <c r="AJ510">
        <f t="shared" si="111"/>
        <v>70.799033364332487</v>
      </c>
      <c r="AL510">
        <f t="shared" si="112"/>
        <v>58.140757616603636</v>
      </c>
      <c r="AM510">
        <f t="shared" si="113"/>
        <v>56.556242383396366</v>
      </c>
    </row>
    <row r="511" spans="1:39" ht="16.5" x14ac:dyDescent="0.25">
      <c r="A511" s="1">
        <v>44967</v>
      </c>
      <c r="B511" s="5">
        <v>58.8</v>
      </c>
      <c r="C511" s="4">
        <v>60.2</v>
      </c>
      <c r="D511" s="4">
        <v>61.02</v>
      </c>
      <c r="E511" s="4">
        <v>58.65</v>
      </c>
      <c r="F511" s="4" t="s">
        <v>1616</v>
      </c>
      <c r="G511" s="2" t="s">
        <v>1605</v>
      </c>
      <c r="I511">
        <f t="shared" si="100"/>
        <v>57.243000000000009</v>
      </c>
      <c r="J511">
        <f t="shared" si="101"/>
        <v>57.250952380952391</v>
      </c>
      <c r="L511">
        <f t="shared" si="102"/>
        <v>0</v>
      </c>
      <c r="M511">
        <f t="shared" si="103"/>
        <v>1</v>
      </c>
      <c r="O511">
        <f t="shared" si="104"/>
        <v>0</v>
      </c>
      <c r="P511">
        <f t="shared" si="105"/>
        <v>1.4000000000000057</v>
      </c>
      <c r="R511">
        <f t="shared" si="106"/>
        <v>0.71555555555555528</v>
      </c>
      <c r="S511">
        <f t="shared" si="107"/>
        <v>1.2240000000000009</v>
      </c>
      <c r="U511">
        <f t="shared" si="108"/>
        <v>36.892758936755243</v>
      </c>
      <c r="AH511">
        <f t="shared" si="109"/>
        <v>0.38341726897302514</v>
      </c>
      <c r="AI511">
        <f t="shared" si="110"/>
        <v>43.792466635667523</v>
      </c>
      <c r="AJ511">
        <f t="shared" si="111"/>
        <v>70.693533364332495</v>
      </c>
      <c r="AL511">
        <f t="shared" si="112"/>
        <v>58.009834537946062</v>
      </c>
      <c r="AM511">
        <f t="shared" si="113"/>
        <v>56.476165462053956</v>
      </c>
    </row>
    <row r="512" spans="1:39" ht="16.5" x14ac:dyDescent="0.25">
      <c r="A512" s="1">
        <v>44966</v>
      </c>
      <c r="B512" s="5">
        <v>60.43</v>
      </c>
      <c r="C512" s="4">
        <v>64.06</v>
      </c>
      <c r="D512" s="4">
        <v>65.66</v>
      </c>
      <c r="E512" s="4">
        <v>60.25</v>
      </c>
      <c r="F512" s="4" t="s">
        <v>1168</v>
      </c>
      <c r="G512" s="2" t="s">
        <v>1756</v>
      </c>
      <c r="I512">
        <f t="shared" si="100"/>
        <v>57.173500000000011</v>
      </c>
      <c r="J512">
        <f t="shared" si="101"/>
        <v>57.173500000000011</v>
      </c>
      <c r="L512">
        <f t="shared" si="102"/>
        <v>0</v>
      </c>
      <c r="M512">
        <f t="shared" si="103"/>
        <v>1</v>
      </c>
      <c r="O512">
        <f t="shared" si="104"/>
        <v>0</v>
      </c>
      <c r="P512">
        <f t="shared" si="105"/>
        <v>3.6300000000000026</v>
      </c>
      <c r="R512">
        <f t="shared" si="106"/>
        <v>0.71555555555555528</v>
      </c>
      <c r="S512">
        <f t="shared" si="107"/>
        <v>1.0799999999999996</v>
      </c>
      <c r="U512">
        <f t="shared" si="108"/>
        <v>39.851485148514854</v>
      </c>
      <c r="AH512">
        <f t="shared" si="109"/>
        <v>0.37507935600483938</v>
      </c>
      <c r="AI512">
        <f t="shared" si="110"/>
        <v>43.722966635667532</v>
      </c>
      <c r="AJ512">
        <f t="shared" si="111"/>
        <v>70.62403336433249</v>
      </c>
      <c r="AL512">
        <f t="shared" si="112"/>
        <v>57.92365871200969</v>
      </c>
      <c r="AM512">
        <f t="shared" si="113"/>
        <v>56.423341287990333</v>
      </c>
    </row>
    <row r="513" spans="1:39" ht="16.5" x14ac:dyDescent="0.25">
      <c r="A513" s="1">
        <v>44965</v>
      </c>
      <c r="B513" s="5">
        <v>62.49</v>
      </c>
      <c r="C513" s="4">
        <v>59.47</v>
      </c>
      <c r="D513" s="4">
        <v>62.89</v>
      </c>
      <c r="E513" s="4">
        <v>58.43</v>
      </c>
      <c r="F513" s="4" t="s">
        <v>987</v>
      </c>
      <c r="G513" s="2" t="s">
        <v>1757</v>
      </c>
      <c r="I513">
        <f t="shared" si="100"/>
        <v>57.002105263157894</v>
      </c>
      <c r="J513">
        <f t="shared" si="101"/>
        <v>57.002105263157894</v>
      </c>
      <c r="L513">
        <f t="shared" si="102"/>
        <v>1</v>
      </c>
      <c r="M513">
        <f t="shared" si="103"/>
        <v>0</v>
      </c>
      <c r="O513">
        <f t="shared" si="104"/>
        <v>3.0200000000000031</v>
      </c>
      <c r="P513">
        <f t="shared" si="105"/>
        <v>0</v>
      </c>
      <c r="R513">
        <f t="shared" si="106"/>
        <v>0.67399999999999949</v>
      </c>
      <c r="S513">
        <f t="shared" si="107"/>
        <v>0.44249999999999901</v>
      </c>
      <c r="U513">
        <f t="shared" si="108"/>
        <v>60.367218987908672</v>
      </c>
      <c r="AH513">
        <f t="shared" si="109"/>
        <v>0.3689417514114498</v>
      </c>
      <c r="AI513">
        <f t="shared" si="110"/>
        <v>43.551571898825415</v>
      </c>
      <c r="AJ513">
        <f t="shared" si="111"/>
        <v>70.452638627490373</v>
      </c>
      <c r="AL513">
        <f t="shared" si="112"/>
        <v>57.73998876598079</v>
      </c>
      <c r="AM513">
        <f t="shared" si="113"/>
        <v>56.264221760334998</v>
      </c>
    </row>
    <row r="514" spans="1:39" ht="16.5" x14ac:dyDescent="0.25">
      <c r="A514" s="1">
        <v>44964</v>
      </c>
      <c r="B514" s="5">
        <v>58.95</v>
      </c>
      <c r="C514" s="4">
        <v>58.39</v>
      </c>
      <c r="D514" s="4">
        <v>59.04</v>
      </c>
      <c r="E514" s="4">
        <v>58.08</v>
      </c>
      <c r="F514" s="4" t="s">
        <v>1481</v>
      </c>
      <c r="G514" s="2" t="s">
        <v>1758</v>
      </c>
      <c r="I514">
        <f t="shared" ref="I514:I531" si="114">AVERAGE(B514:B533)</f>
        <v>56.697222222222216</v>
      </c>
      <c r="J514">
        <f t="shared" ref="J514:J531" si="115">AVERAGE(B514:B553)</f>
        <v>56.697222222222216</v>
      </c>
      <c r="L514">
        <f t="shared" ref="L514:L531" si="116">IF($C514&lt;$B514,1,0)</f>
        <v>1</v>
      </c>
      <c r="M514">
        <f t="shared" ref="M514:M531" si="117">IF($C514&lt;$B514,0,1)</f>
        <v>0</v>
      </c>
      <c r="O514">
        <f t="shared" ref="O514:O531" si="118">IF($C514&lt;$B514,B514-C514,0)</f>
        <v>0.56000000000000227</v>
      </c>
      <c r="P514">
        <f t="shared" ref="P514:P531" si="119">IF($B514&lt;$C514,C514-B514,0)</f>
        <v>0</v>
      </c>
      <c r="R514">
        <f t="shared" ref="R514:R531" si="120">SUM(O514:O527)/SUM(L514:L527)</f>
        <v>0.41333333333333244</v>
      </c>
      <c r="S514">
        <f t="shared" ref="S514:S531" si="121">SUM(P514:P527)/SUM(M514:M527)</f>
        <v>0.40999999999999942</v>
      </c>
      <c r="U514">
        <f t="shared" ref="U514:U531" si="122">100-(100/(1+(R514/S514)))</f>
        <v>50.202429149797553</v>
      </c>
      <c r="AH514">
        <f t="shared" si="109"/>
        <v>0.37154132795060718</v>
      </c>
      <c r="AI514">
        <f t="shared" si="110"/>
        <v>43.246688857889737</v>
      </c>
      <c r="AJ514">
        <f t="shared" si="111"/>
        <v>70.147755586554695</v>
      </c>
      <c r="AL514">
        <f t="shared" si="112"/>
        <v>57.440304878123428</v>
      </c>
      <c r="AM514">
        <f t="shared" si="113"/>
        <v>55.954139566321004</v>
      </c>
    </row>
    <row r="515" spans="1:39" ht="16.5" x14ac:dyDescent="0.25">
      <c r="A515" s="1">
        <v>44963</v>
      </c>
      <c r="B515" s="5">
        <v>58.19</v>
      </c>
      <c r="C515" s="4">
        <v>56.5</v>
      </c>
      <c r="D515" s="4">
        <v>59.02</v>
      </c>
      <c r="E515" s="4">
        <v>56.11</v>
      </c>
      <c r="F515" s="4" t="s">
        <v>1652</v>
      </c>
      <c r="G515" s="2" t="s">
        <v>115</v>
      </c>
      <c r="I515">
        <f t="shared" si="114"/>
        <v>56.564705882352939</v>
      </c>
      <c r="J515">
        <f t="shared" si="115"/>
        <v>56.564705882352939</v>
      </c>
      <c r="L515">
        <f t="shared" si="116"/>
        <v>1</v>
      </c>
      <c r="M515">
        <f t="shared" si="117"/>
        <v>0</v>
      </c>
      <c r="O515">
        <f t="shared" si="118"/>
        <v>1.6899999999999977</v>
      </c>
      <c r="P515">
        <f t="shared" si="119"/>
        <v>0</v>
      </c>
      <c r="R515">
        <f t="shared" si="120"/>
        <v>0.39499999999999869</v>
      </c>
      <c r="S515">
        <f t="shared" si="121"/>
        <v>0.46666666666666617</v>
      </c>
      <c r="U515">
        <f t="shared" si="122"/>
        <v>45.841392649903234</v>
      </c>
      <c r="AH515">
        <f t="shared" ref="AH515:AH530" si="123">_xlfn.STDEV.S(I515:I1045)</f>
        <v>0.38291994964311121</v>
      </c>
      <c r="AI515">
        <f t="shared" ref="AI515:AI530" si="124">I515-$AH$2</f>
        <v>43.114172518020453</v>
      </c>
      <c r="AJ515">
        <f t="shared" ref="AJ515:AJ530" si="125">I515+$AH$2</f>
        <v>70.015239246685425</v>
      </c>
      <c r="AL515">
        <f t="shared" ref="AL515:AL530" si="126">I515+(AH515*2)</f>
        <v>57.330545781639159</v>
      </c>
      <c r="AM515">
        <f t="shared" ref="AM515:AM530" si="127">I515-(AH515*2)</f>
        <v>55.798865983066719</v>
      </c>
    </row>
    <row r="516" spans="1:39" ht="16.5" x14ac:dyDescent="0.25">
      <c r="A516" s="1">
        <v>44960</v>
      </c>
      <c r="B516" s="5">
        <v>56.68</v>
      </c>
      <c r="C516" s="4">
        <v>56.74</v>
      </c>
      <c r="D516" s="4">
        <v>56.96</v>
      </c>
      <c r="E516" s="4">
        <v>56.41</v>
      </c>
      <c r="F516" s="4" t="s">
        <v>1578</v>
      </c>
      <c r="G516" s="2" t="s">
        <v>69</v>
      </c>
      <c r="I516">
        <f t="shared" si="114"/>
        <v>56.463124999999998</v>
      </c>
      <c r="J516">
        <f t="shared" si="115"/>
        <v>56.463124999999998</v>
      </c>
      <c r="L516">
        <f t="shared" si="116"/>
        <v>0</v>
      </c>
      <c r="M516">
        <f t="shared" si="117"/>
        <v>1</v>
      </c>
      <c r="O516">
        <f t="shared" si="118"/>
        <v>0</v>
      </c>
      <c r="P516">
        <f t="shared" si="119"/>
        <v>6.0000000000002274E-2</v>
      </c>
      <c r="R516">
        <f t="shared" si="120"/>
        <v>0.20999999999999883</v>
      </c>
      <c r="S516">
        <f t="shared" si="121"/>
        <v>0.45857142857142869</v>
      </c>
      <c r="U516">
        <f t="shared" si="122"/>
        <v>31.410256410256281</v>
      </c>
      <c r="AH516">
        <f t="shared" si="123"/>
        <v>0.39447924452695998</v>
      </c>
      <c r="AI516">
        <f t="shared" si="124"/>
        <v>43.012591635667519</v>
      </c>
      <c r="AJ516">
        <f t="shared" si="125"/>
        <v>69.913658364332477</v>
      </c>
      <c r="AL516">
        <f t="shared" si="126"/>
        <v>57.252083489053916</v>
      </c>
      <c r="AM516">
        <f t="shared" si="127"/>
        <v>55.67416651094608</v>
      </c>
    </row>
    <row r="517" spans="1:39" ht="16.5" x14ac:dyDescent="0.25">
      <c r="A517" s="1">
        <v>44959</v>
      </c>
      <c r="B517" s="5">
        <v>56.8</v>
      </c>
      <c r="C517" s="4">
        <v>56.65</v>
      </c>
      <c r="D517" s="4">
        <v>57.05</v>
      </c>
      <c r="E517" s="4">
        <v>56.09</v>
      </c>
      <c r="F517" s="4" t="s">
        <v>1408</v>
      </c>
      <c r="G517" s="2" t="s">
        <v>416</v>
      </c>
      <c r="I517">
        <f t="shared" si="114"/>
        <v>56.448666666666661</v>
      </c>
      <c r="J517">
        <f t="shared" si="115"/>
        <v>56.448666666666661</v>
      </c>
      <c r="L517">
        <f t="shared" si="116"/>
        <v>1</v>
      </c>
      <c r="M517">
        <f t="shared" si="117"/>
        <v>0</v>
      </c>
      <c r="O517">
        <f t="shared" si="118"/>
        <v>0.14999999999999858</v>
      </c>
      <c r="P517">
        <f t="shared" si="119"/>
        <v>0</v>
      </c>
      <c r="R517">
        <f t="shared" si="120"/>
        <v>0.20999999999999883</v>
      </c>
      <c r="S517">
        <f t="shared" si="121"/>
        <v>0.50142857142857111</v>
      </c>
      <c r="U517">
        <f t="shared" si="122"/>
        <v>29.518072289156521</v>
      </c>
      <c r="AH517">
        <f t="shared" si="123"/>
        <v>0.40404101957032151</v>
      </c>
      <c r="AI517">
        <f t="shared" si="124"/>
        <v>42.998133302334182</v>
      </c>
      <c r="AJ517">
        <f t="shared" si="125"/>
        <v>69.89920003099914</v>
      </c>
      <c r="AL517">
        <f t="shared" si="126"/>
        <v>57.256748705807304</v>
      </c>
      <c r="AM517">
        <f t="shared" si="127"/>
        <v>55.640584627526017</v>
      </c>
    </row>
    <row r="518" spans="1:39" ht="16.5" x14ac:dyDescent="0.25">
      <c r="A518" s="1">
        <v>44958</v>
      </c>
      <c r="B518" s="5">
        <v>56.5</v>
      </c>
      <c r="C518" s="4">
        <v>57.05</v>
      </c>
      <c r="D518" s="4">
        <v>57.1</v>
      </c>
      <c r="E518" s="4">
        <v>56.26</v>
      </c>
      <c r="F518" s="4" t="s">
        <v>1555</v>
      </c>
      <c r="G518" s="2" t="s">
        <v>535</v>
      </c>
      <c r="I518">
        <f t="shared" si="114"/>
        <v>56.423571428571428</v>
      </c>
      <c r="J518">
        <f t="shared" si="115"/>
        <v>56.423571428571428</v>
      </c>
      <c r="L518">
        <f t="shared" si="116"/>
        <v>0</v>
      </c>
      <c r="M518">
        <f t="shared" si="117"/>
        <v>1</v>
      </c>
      <c r="O518">
        <f t="shared" si="118"/>
        <v>0</v>
      </c>
      <c r="P518">
        <f t="shared" si="119"/>
        <v>0.54999999999999716</v>
      </c>
      <c r="R518">
        <f t="shared" si="120"/>
        <v>0.3128571428571415</v>
      </c>
      <c r="S518">
        <f t="shared" si="121"/>
        <v>0.50142857142857111</v>
      </c>
      <c r="U518">
        <f t="shared" si="122"/>
        <v>38.42105263157886</v>
      </c>
      <c r="AH518">
        <f t="shared" si="123"/>
        <v>0.41347692011295462</v>
      </c>
      <c r="AI518">
        <f t="shared" si="124"/>
        <v>42.973038064238949</v>
      </c>
      <c r="AJ518">
        <f t="shared" si="125"/>
        <v>69.874104792903907</v>
      </c>
      <c r="AL518">
        <f t="shared" si="126"/>
        <v>57.25052526879734</v>
      </c>
      <c r="AM518">
        <f t="shared" si="127"/>
        <v>55.596617588345516</v>
      </c>
    </row>
    <row r="519" spans="1:39" ht="16.5" x14ac:dyDescent="0.25">
      <c r="A519" s="1">
        <v>44957</v>
      </c>
      <c r="B519" s="5">
        <v>57</v>
      </c>
      <c r="C519" s="4">
        <v>56.85</v>
      </c>
      <c r="D519" s="4">
        <v>57</v>
      </c>
      <c r="E519" s="4">
        <v>56.03</v>
      </c>
      <c r="F519" s="4" t="s">
        <v>1378</v>
      </c>
      <c r="G519" s="2" t="s">
        <v>372</v>
      </c>
      <c r="I519">
        <f t="shared" si="114"/>
        <v>56.417692307692306</v>
      </c>
      <c r="J519">
        <f t="shared" si="115"/>
        <v>56.417692307692306</v>
      </c>
      <c r="L519">
        <f t="shared" si="116"/>
        <v>1</v>
      </c>
      <c r="M519">
        <f t="shared" si="117"/>
        <v>0</v>
      </c>
      <c r="O519">
        <f t="shared" si="118"/>
        <v>0.14999999999999858</v>
      </c>
      <c r="P519">
        <f t="shared" si="119"/>
        <v>0</v>
      </c>
      <c r="R519">
        <f t="shared" si="120"/>
        <v>0.3128571428571415</v>
      </c>
      <c r="S519">
        <f t="shared" si="121"/>
        <v>0.49333333333333346</v>
      </c>
      <c r="U519">
        <f t="shared" si="122"/>
        <v>38.806851742468879</v>
      </c>
      <c r="AH519">
        <f t="shared" si="123"/>
        <v>0.4218164622876901</v>
      </c>
      <c r="AI519">
        <f t="shared" si="124"/>
        <v>42.96715894335982</v>
      </c>
      <c r="AJ519">
        <f t="shared" si="125"/>
        <v>69.868225672024792</v>
      </c>
      <c r="AL519">
        <f t="shared" si="126"/>
        <v>57.261325232267687</v>
      </c>
      <c r="AM519">
        <f t="shared" si="127"/>
        <v>55.574059383116925</v>
      </c>
    </row>
    <row r="520" spans="1:39" ht="16.5" x14ac:dyDescent="0.25">
      <c r="A520" s="1">
        <v>44956</v>
      </c>
      <c r="B520" s="5">
        <v>56.9</v>
      </c>
      <c r="C520" s="4">
        <v>56.28</v>
      </c>
      <c r="D520" s="4">
        <v>57.25</v>
      </c>
      <c r="E520" s="4">
        <v>56.28</v>
      </c>
      <c r="F520" s="4" t="s">
        <v>89</v>
      </c>
      <c r="G520" s="2" t="s">
        <v>311</v>
      </c>
      <c r="I520">
        <f t="shared" si="114"/>
        <v>56.369166666666665</v>
      </c>
      <c r="J520">
        <f t="shared" si="115"/>
        <v>56.369166666666665</v>
      </c>
      <c r="L520">
        <f t="shared" si="116"/>
        <v>1</v>
      </c>
      <c r="M520">
        <f t="shared" si="117"/>
        <v>0</v>
      </c>
      <c r="O520">
        <f t="shared" si="118"/>
        <v>0.61999999999999744</v>
      </c>
      <c r="P520">
        <f t="shared" si="119"/>
        <v>0</v>
      </c>
      <c r="R520">
        <f t="shared" si="120"/>
        <v>0.33999999999999869</v>
      </c>
      <c r="S520">
        <f t="shared" si="121"/>
        <v>0.49333333333333346</v>
      </c>
      <c r="U520">
        <f t="shared" si="122"/>
        <v>40.799999999999898</v>
      </c>
      <c r="AH520">
        <f t="shared" si="123"/>
        <v>0.42951042114020244</v>
      </c>
      <c r="AI520">
        <f t="shared" si="124"/>
        <v>42.918633302334186</v>
      </c>
      <c r="AJ520">
        <f t="shared" si="125"/>
        <v>69.819700030999144</v>
      </c>
      <c r="AL520">
        <f t="shared" si="126"/>
        <v>57.228187508947073</v>
      </c>
      <c r="AM520">
        <f t="shared" si="127"/>
        <v>55.510145824386257</v>
      </c>
    </row>
    <row r="521" spans="1:39" ht="16.5" x14ac:dyDescent="0.25">
      <c r="A521" s="1">
        <v>44953</v>
      </c>
      <c r="B521" s="5">
        <v>56.28</v>
      </c>
      <c r="C521" s="4">
        <v>56.18</v>
      </c>
      <c r="D521" s="4">
        <v>56.62</v>
      </c>
      <c r="E521" s="4">
        <v>56.01</v>
      </c>
      <c r="F521" s="4" t="s">
        <v>1676</v>
      </c>
      <c r="G521" s="2" t="s">
        <v>251</v>
      </c>
      <c r="I521">
        <f t="shared" si="114"/>
        <v>56.320909090909076</v>
      </c>
      <c r="J521">
        <f t="shared" si="115"/>
        <v>56.320909090909076</v>
      </c>
      <c r="L521">
        <f t="shared" si="116"/>
        <v>1</v>
      </c>
      <c r="M521">
        <f t="shared" si="117"/>
        <v>0</v>
      </c>
      <c r="O521">
        <f t="shared" si="118"/>
        <v>0.10000000000000142</v>
      </c>
      <c r="P521">
        <f t="shared" si="119"/>
        <v>0</v>
      </c>
      <c r="R521">
        <f t="shared" si="120"/>
        <v>0.28399999999999892</v>
      </c>
      <c r="S521">
        <f t="shared" si="121"/>
        <v>0.49333333333333346</v>
      </c>
      <c r="U521">
        <f t="shared" si="122"/>
        <v>36.535162950257195</v>
      </c>
      <c r="AH521">
        <f t="shared" si="123"/>
        <v>0.43193940112587509</v>
      </c>
      <c r="AI521">
        <f t="shared" si="124"/>
        <v>42.870375726576597</v>
      </c>
      <c r="AJ521">
        <f t="shared" si="125"/>
        <v>69.771442455241555</v>
      </c>
      <c r="AL521">
        <f t="shared" si="126"/>
        <v>57.184787893160824</v>
      </c>
      <c r="AM521">
        <f t="shared" si="127"/>
        <v>55.457030288657329</v>
      </c>
    </row>
    <row r="522" spans="1:39" ht="16.5" x14ac:dyDescent="0.25">
      <c r="A522" s="1">
        <v>44952</v>
      </c>
      <c r="B522" s="5">
        <v>56.04</v>
      </c>
      <c r="C522" s="4">
        <v>55.9</v>
      </c>
      <c r="D522" s="4">
        <v>56.26</v>
      </c>
      <c r="E522" s="4">
        <v>55.67</v>
      </c>
      <c r="F522" s="4" t="s">
        <v>1398</v>
      </c>
      <c r="G522" s="2" t="s">
        <v>524</v>
      </c>
      <c r="I522">
        <f t="shared" si="114"/>
        <v>56.325000000000003</v>
      </c>
      <c r="J522">
        <f t="shared" si="115"/>
        <v>56.325000000000003</v>
      </c>
      <c r="L522">
        <f t="shared" si="116"/>
        <v>1</v>
      </c>
      <c r="M522">
        <f t="shared" si="117"/>
        <v>0</v>
      </c>
      <c r="O522">
        <f t="shared" si="118"/>
        <v>0.14000000000000057</v>
      </c>
      <c r="P522">
        <f t="shared" si="119"/>
        <v>0</v>
      </c>
      <c r="R522">
        <f t="shared" si="120"/>
        <v>0.32999999999999829</v>
      </c>
      <c r="S522">
        <f t="shared" si="121"/>
        <v>0.49333333333333346</v>
      </c>
      <c r="U522">
        <f t="shared" si="122"/>
        <v>40.080971659918902</v>
      </c>
      <c r="AH522">
        <f t="shared" si="123"/>
        <v>0.42453164744112143</v>
      </c>
      <c r="AI522">
        <f t="shared" si="124"/>
        <v>42.874466635667517</v>
      </c>
      <c r="AJ522">
        <f t="shared" si="125"/>
        <v>69.775533364332489</v>
      </c>
      <c r="AL522">
        <f t="shared" si="126"/>
        <v>57.174063294882245</v>
      </c>
      <c r="AM522">
        <f t="shared" si="127"/>
        <v>55.475936705117761</v>
      </c>
    </row>
    <row r="523" spans="1:39" ht="16.5" x14ac:dyDescent="0.25">
      <c r="A523" s="1">
        <v>44951</v>
      </c>
      <c r="B523" s="5">
        <v>55.48</v>
      </c>
      <c r="C523" s="4">
        <v>55.47</v>
      </c>
      <c r="D523" s="4">
        <v>55.69</v>
      </c>
      <c r="E523" s="4">
        <v>55.1</v>
      </c>
      <c r="F523" s="4" t="s">
        <v>1513</v>
      </c>
      <c r="G523" s="2" t="s">
        <v>241</v>
      </c>
      <c r="I523">
        <f t="shared" si="114"/>
        <v>56.356666666666669</v>
      </c>
      <c r="J523">
        <f t="shared" si="115"/>
        <v>56.356666666666669</v>
      </c>
      <c r="L523">
        <f t="shared" si="116"/>
        <v>1</v>
      </c>
      <c r="M523">
        <f t="shared" si="117"/>
        <v>0</v>
      </c>
      <c r="O523">
        <f t="shared" si="118"/>
        <v>9.9999999999980105E-3</v>
      </c>
      <c r="P523">
        <f t="shared" si="119"/>
        <v>0</v>
      </c>
      <c r="R523">
        <f t="shared" si="120"/>
        <v>0.39333333333333087</v>
      </c>
      <c r="S523">
        <f t="shared" si="121"/>
        <v>0.49333333333333346</v>
      </c>
      <c r="U523">
        <f t="shared" si="122"/>
        <v>44.360902255638933</v>
      </c>
      <c r="AH523">
        <f t="shared" si="123"/>
        <v>0.40757058784533368</v>
      </c>
      <c r="AI523">
        <f t="shared" si="124"/>
        <v>42.906133302334183</v>
      </c>
      <c r="AJ523">
        <f t="shared" si="125"/>
        <v>69.807200030999155</v>
      </c>
      <c r="AL523">
        <f t="shared" si="126"/>
        <v>57.171807842357339</v>
      </c>
      <c r="AM523">
        <f t="shared" si="127"/>
        <v>55.541525490975999</v>
      </c>
    </row>
    <row r="524" spans="1:39" ht="16.5" x14ac:dyDescent="0.25">
      <c r="A524" s="1">
        <v>44950</v>
      </c>
      <c r="B524" s="5">
        <v>55.52</v>
      </c>
      <c r="C524" s="4">
        <v>56</v>
      </c>
      <c r="D524" s="4">
        <v>56.02</v>
      </c>
      <c r="E524" s="4">
        <v>55.21</v>
      </c>
      <c r="F524" s="4" t="s">
        <v>202</v>
      </c>
      <c r="G524" s="2" t="s">
        <v>565</v>
      </c>
      <c r="I524">
        <f t="shared" si="114"/>
        <v>56.466250000000002</v>
      </c>
      <c r="J524">
        <f t="shared" si="115"/>
        <v>56.466250000000002</v>
      </c>
      <c r="L524">
        <f t="shared" si="116"/>
        <v>0</v>
      </c>
      <c r="M524">
        <f t="shared" si="117"/>
        <v>1</v>
      </c>
      <c r="O524">
        <f t="shared" si="118"/>
        <v>0</v>
      </c>
      <c r="P524">
        <f t="shared" si="119"/>
        <v>0.47999999999999687</v>
      </c>
      <c r="R524">
        <f t="shared" si="120"/>
        <v>0.5849999999999973</v>
      </c>
      <c r="S524">
        <f t="shared" si="121"/>
        <v>0.49333333333333346</v>
      </c>
      <c r="U524">
        <f t="shared" si="122"/>
        <v>54.250386398763403</v>
      </c>
      <c r="AH524">
        <f t="shared" si="123"/>
        <v>0.37834746409767467</v>
      </c>
      <c r="AI524">
        <f t="shared" si="124"/>
        <v>43.015716635667516</v>
      </c>
      <c r="AJ524">
        <f t="shared" si="125"/>
        <v>69.916783364332488</v>
      </c>
      <c r="AL524">
        <f t="shared" si="126"/>
        <v>57.222944928195353</v>
      </c>
      <c r="AM524">
        <f t="shared" si="127"/>
        <v>55.709555071804651</v>
      </c>
    </row>
    <row r="525" spans="1:39" ht="16.5" x14ac:dyDescent="0.25">
      <c r="A525" s="1">
        <v>44949</v>
      </c>
      <c r="B525" s="5">
        <v>55.96</v>
      </c>
      <c r="C525" s="4">
        <v>56.64</v>
      </c>
      <c r="D525" s="4">
        <v>56.68</v>
      </c>
      <c r="E525" s="4">
        <v>55.63</v>
      </c>
      <c r="F525" s="4" t="s">
        <v>195</v>
      </c>
      <c r="G525" s="2" t="s">
        <v>1388</v>
      </c>
      <c r="I525">
        <f t="shared" si="114"/>
        <v>56.601428571428578</v>
      </c>
      <c r="J525">
        <f t="shared" si="115"/>
        <v>56.601428571428578</v>
      </c>
      <c r="L525">
        <f t="shared" si="116"/>
        <v>0</v>
      </c>
      <c r="M525">
        <f t="shared" si="117"/>
        <v>1</v>
      </c>
      <c r="O525">
        <f t="shared" si="118"/>
        <v>0</v>
      </c>
      <c r="P525">
        <f t="shared" si="119"/>
        <v>0.67999999999999972</v>
      </c>
      <c r="R525">
        <f t="shared" si="120"/>
        <v>0.5849999999999973</v>
      </c>
      <c r="S525">
        <f t="shared" si="121"/>
        <v>0.49600000000000077</v>
      </c>
      <c r="U525">
        <f t="shared" si="122"/>
        <v>54.116558741905486</v>
      </c>
      <c r="AH525">
        <f t="shared" si="123"/>
        <v>0.3463907323624254</v>
      </c>
      <c r="AI525">
        <f t="shared" si="124"/>
        <v>43.150895207096099</v>
      </c>
      <c r="AJ525">
        <f t="shared" si="125"/>
        <v>70.051961935761057</v>
      </c>
      <c r="AL525">
        <f t="shared" si="126"/>
        <v>57.29421003615343</v>
      </c>
      <c r="AM525">
        <f t="shared" si="127"/>
        <v>55.908647106703725</v>
      </c>
    </row>
    <row r="526" spans="1:39" ht="16.5" x14ac:dyDescent="0.25">
      <c r="A526" s="1">
        <v>44946</v>
      </c>
      <c r="B526" s="5">
        <v>56.39</v>
      </c>
      <c r="C526" s="4">
        <v>56.09</v>
      </c>
      <c r="D526" s="4">
        <v>56.48</v>
      </c>
      <c r="E526" s="4">
        <v>55.83</v>
      </c>
      <c r="F526" s="4" t="s">
        <v>1378</v>
      </c>
      <c r="G526" s="2" t="s">
        <v>243</v>
      </c>
      <c r="I526">
        <f t="shared" si="114"/>
        <v>56.708333333333336</v>
      </c>
      <c r="J526">
        <f t="shared" si="115"/>
        <v>56.708333333333336</v>
      </c>
      <c r="L526">
        <f t="shared" si="116"/>
        <v>1</v>
      </c>
      <c r="M526">
        <f t="shared" si="117"/>
        <v>0</v>
      </c>
      <c r="O526">
        <f t="shared" si="118"/>
        <v>0.29999999999999716</v>
      </c>
      <c r="P526">
        <f t="shared" si="119"/>
        <v>0</v>
      </c>
      <c r="R526">
        <f t="shared" si="120"/>
        <v>0.5849999999999973</v>
      </c>
      <c r="S526">
        <f t="shared" si="121"/>
        <v>0.45000000000000107</v>
      </c>
      <c r="U526">
        <f t="shared" si="122"/>
        <v>56.521739130434611</v>
      </c>
      <c r="AH526">
        <f t="shared" si="123"/>
        <v>0.31671850452903594</v>
      </c>
      <c r="AI526">
        <f t="shared" si="124"/>
        <v>43.257799969000857</v>
      </c>
      <c r="AJ526">
        <f t="shared" si="125"/>
        <v>70.158866697665815</v>
      </c>
      <c r="AL526">
        <f t="shared" si="126"/>
        <v>57.341770342391406</v>
      </c>
      <c r="AM526">
        <f t="shared" si="127"/>
        <v>56.074896324275265</v>
      </c>
    </row>
    <row r="527" spans="1:39" ht="16.5" x14ac:dyDescent="0.25">
      <c r="A527" s="1">
        <v>44945</v>
      </c>
      <c r="B527" s="5">
        <v>55.72</v>
      </c>
      <c r="C527" s="4">
        <v>56</v>
      </c>
      <c r="D527" s="4">
        <v>56.79</v>
      </c>
      <c r="E527" s="4">
        <v>55.44</v>
      </c>
      <c r="F527" s="4" t="s">
        <v>1391</v>
      </c>
      <c r="G527" s="2" t="s">
        <v>1503</v>
      </c>
      <c r="I527">
        <f t="shared" si="114"/>
        <v>56.772000000000006</v>
      </c>
      <c r="J527">
        <f t="shared" si="115"/>
        <v>56.772000000000006</v>
      </c>
      <c r="L527">
        <f t="shared" si="116"/>
        <v>0</v>
      </c>
      <c r="M527">
        <f t="shared" si="117"/>
        <v>1</v>
      </c>
      <c r="O527">
        <f t="shared" si="118"/>
        <v>0</v>
      </c>
      <c r="P527">
        <f t="shared" si="119"/>
        <v>0.28000000000000114</v>
      </c>
      <c r="R527">
        <f t="shared" si="120"/>
        <v>0.86999999999999744</v>
      </c>
      <c r="S527">
        <f t="shared" si="121"/>
        <v>0.45000000000000107</v>
      </c>
      <c r="U527">
        <f t="shared" si="122"/>
        <v>65.909090909090793</v>
      </c>
      <c r="AH527">
        <f t="shared" si="123"/>
        <v>0.27911799575726692</v>
      </c>
      <c r="AI527">
        <f t="shared" si="124"/>
        <v>43.32146663566752</v>
      </c>
      <c r="AJ527">
        <f t="shared" si="125"/>
        <v>70.222533364332492</v>
      </c>
      <c r="AL527">
        <f t="shared" si="126"/>
        <v>57.330235991514542</v>
      </c>
      <c r="AM527">
        <f t="shared" si="127"/>
        <v>56.21376400848547</v>
      </c>
    </row>
    <row r="528" spans="1:39" ht="16.5" x14ac:dyDescent="0.25">
      <c r="A528" s="1">
        <v>44944</v>
      </c>
      <c r="B528" s="5">
        <v>56.28</v>
      </c>
      <c r="C528" s="4">
        <v>57.03</v>
      </c>
      <c r="D528" s="4">
        <v>57.13</v>
      </c>
      <c r="E528" s="4">
        <v>56.07</v>
      </c>
      <c r="F528" s="4" t="s">
        <v>1399</v>
      </c>
      <c r="G528" s="2" t="s">
        <v>1490</v>
      </c>
      <c r="I528">
        <f t="shared" si="114"/>
        <v>57.034999999999997</v>
      </c>
      <c r="J528">
        <f t="shared" si="115"/>
        <v>57.034999999999997</v>
      </c>
      <c r="L528">
        <f t="shared" si="116"/>
        <v>0</v>
      </c>
      <c r="M528">
        <f t="shared" si="117"/>
        <v>1</v>
      </c>
      <c r="O528">
        <f t="shared" si="118"/>
        <v>0</v>
      </c>
      <c r="P528">
        <f t="shared" si="119"/>
        <v>0.75</v>
      </c>
      <c r="R528">
        <f t="shared" si="120"/>
        <v>0.86999999999999744</v>
      </c>
      <c r="S528">
        <f t="shared" si="121"/>
        <v>0.50666666666666771</v>
      </c>
      <c r="U528">
        <f t="shared" si="122"/>
        <v>63.196125907990201</v>
      </c>
      <c r="AH528">
        <f t="shared" si="123"/>
        <v>0.18042388361239162</v>
      </c>
      <c r="AI528">
        <f t="shared" si="124"/>
        <v>43.584466635667511</v>
      </c>
      <c r="AJ528">
        <f t="shared" si="125"/>
        <v>70.485533364332483</v>
      </c>
      <c r="AL528">
        <f t="shared" si="126"/>
        <v>57.39584776722478</v>
      </c>
      <c r="AM528">
        <f t="shared" si="127"/>
        <v>56.674152232775214</v>
      </c>
    </row>
    <row r="529" spans="1:39" ht="16.5" x14ac:dyDescent="0.25">
      <c r="A529" s="1">
        <v>44943</v>
      </c>
      <c r="B529" s="5">
        <v>57.01</v>
      </c>
      <c r="C529" s="4">
        <v>57.42</v>
      </c>
      <c r="D529" s="4">
        <v>57.69</v>
      </c>
      <c r="E529" s="4">
        <v>56.78</v>
      </c>
      <c r="F529" s="4" t="s">
        <v>1478</v>
      </c>
      <c r="G529" s="2" t="s">
        <v>501</v>
      </c>
      <c r="I529">
        <f t="shared" si="114"/>
        <v>57.286666666666662</v>
      </c>
      <c r="J529">
        <f t="shared" si="115"/>
        <v>57.286666666666662</v>
      </c>
      <c r="L529">
        <f t="shared" si="116"/>
        <v>0</v>
      </c>
      <c r="M529">
        <f t="shared" si="117"/>
        <v>1</v>
      </c>
      <c r="O529">
        <f t="shared" si="118"/>
        <v>0</v>
      </c>
      <c r="P529">
        <f t="shared" si="119"/>
        <v>0.41000000000000369</v>
      </c>
      <c r="R529">
        <f t="shared" si="120"/>
        <v>0.86999999999999744</v>
      </c>
      <c r="S529">
        <f t="shared" si="121"/>
        <v>0.38500000000000156</v>
      </c>
      <c r="U529">
        <f t="shared" si="122"/>
        <v>69.32270916334646</v>
      </c>
      <c r="AH529">
        <f t="shared" si="123"/>
        <v>7.5908082817557704E-2</v>
      </c>
      <c r="AI529">
        <f t="shared" si="124"/>
        <v>43.836133302334176</v>
      </c>
      <c r="AJ529">
        <f t="shared" si="125"/>
        <v>70.737200030999148</v>
      </c>
      <c r="AL529">
        <f t="shared" si="126"/>
        <v>57.43848283230178</v>
      </c>
      <c r="AM529">
        <f t="shared" si="127"/>
        <v>57.134850501031544</v>
      </c>
    </row>
    <row r="530" spans="1:39" ht="16.5" x14ac:dyDescent="0.25">
      <c r="A530" s="1">
        <v>44942</v>
      </c>
      <c r="B530" s="5">
        <v>57.44</v>
      </c>
      <c r="C530" s="4">
        <v>57.8</v>
      </c>
      <c r="D530" s="4">
        <v>57.87</v>
      </c>
      <c r="E530" s="4">
        <v>57.13</v>
      </c>
      <c r="F530" s="4" t="s">
        <v>134</v>
      </c>
      <c r="G530" s="2" t="s">
        <v>418</v>
      </c>
      <c r="I530">
        <f t="shared" si="114"/>
        <v>57.424999999999997</v>
      </c>
      <c r="J530">
        <f t="shared" si="115"/>
        <v>57.424999999999997</v>
      </c>
      <c r="L530">
        <f t="shared" si="116"/>
        <v>0</v>
      </c>
      <c r="M530">
        <f t="shared" si="117"/>
        <v>1</v>
      </c>
      <c r="O530">
        <f t="shared" si="118"/>
        <v>0</v>
      </c>
      <c r="P530">
        <f t="shared" si="119"/>
        <v>0.35999999999999943</v>
      </c>
      <c r="R530">
        <f t="shared" si="120"/>
        <v>0.86999999999999744</v>
      </c>
      <c r="S530">
        <f t="shared" si="121"/>
        <v>0.35999999999999943</v>
      </c>
      <c r="U530">
        <f t="shared" si="122"/>
        <v>70.731707317073145</v>
      </c>
      <c r="AH530">
        <f t="shared" si="123"/>
        <v>1.0606601717798614E-2</v>
      </c>
      <c r="AI530">
        <f t="shared" si="124"/>
        <v>43.974466635667511</v>
      </c>
      <c r="AJ530">
        <f t="shared" si="125"/>
        <v>70.875533364332483</v>
      </c>
      <c r="AL530">
        <f t="shared" si="126"/>
        <v>57.446213203435597</v>
      </c>
      <c r="AM530">
        <f t="shared" si="127"/>
        <v>57.403786796564397</v>
      </c>
    </row>
    <row r="531" spans="1:39" ht="16.5" x14ac:dyDescent="0.25">
      <c r="A531" s="1">
        <v>44939</v>
      </c>
      <c r="B531" s="5">
        <v>57.41</v>
      </c>
      <c r="C531" s="4">
        <v>56.54</v>
      </c>
      <c r="D531" s="4">
        <v>57.8</v>
      </c>
      <c r="E531" s="4">
        <v>56.41</v>
      </c>
      <c r="F531" s="4" t="s">
        <v>943</v>
      </c>
      <c r="G531" s="2" t="s">
        <v>1144</v>
      </c>
      <c r="I531">
        <f t="shared" si="114"/>
        <v>57.41</v>
      </c>
      <c r="J531">
        <f t="shared" si="115"/>
        <v>57.41</v>
      </c>
      <c r="L531">
        <f t="shared" si="116"/>
        <v>1</v>
      </c>
      <c r="M531">
        <f t="shared" si="117"/>
        <v>0</v>
      </c>
      <c r="O531">
        <f t="shared" si="118"/>
        <v>0.86999999999999744</v>
      </c>
      <c r="P531">
        <f t="shared" si="119"/>
        <v>0</v>
      </c>
      <c r="R531">
        <f t="shared" si="120"/>
        <v>0.86999999999999744</v>
      </c>
      <c r="S531" t="e">
        <f t="shared" si="121"/>
        <v>#DIV/0!</v>
      </c>
      <c r="U531" t="e">
        <f t="shared" si="122"/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7931-95D4-4A37-8E13-532101805981}">
  <dimension ref="A1:AM531"/>
  <sheetViews>
    <sheetView tabSelected="1" zoomScale="85" zoomScaleNormal="85" workbookViewId="0">
      <selection activeCell="AD15" sqref="AD15"/>
    </sheetView>
  </sheetViews>
  <sheetFormatPr baseColWidth="10" defaultColWidth="11.42578125" defaultRowHeight="15" x14ac:dyDescent="0.25"/>
  <sheetData>
    <row r="1" spans="1:39" ht="49.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4" t="s">
        <v>1759</v>
      </c>
      <c r="J1" s="4" t="s">
        <v>1760</v>
      </c>
      <c r="L1" s="4" t="s">
        <v>1761</v>
      </c>
      <c r="M1" s="4" t="s">
        <v>1762</v>
      </c>
      <c r="O1" s="4" t="s">
        <v>1763</v>
      </c>
      <c r="P1" s="4" t="s">
        <v>1764</v>
      </c>
      <c r="R1" s="4" t="s">
        <v>1765</v>
      </c>
      <c r="S1" s="4" t="s">
        <v>1766</v>
      </c>
      <c r="U1" s="4" t="s">
        <v>15</v>
      </c>
      <c r="V1" s="4" t="s">
        <v>16</v>
      </c>
      <c r="W1" s="4" t="s">
        <v>777</v>
      </c>
      <c r="AB1" t="s">
        <v>778</v>
      </c>
      <c r="AC1" s="6" t="s">
        <v>1767</v>
      </c>
      <c r="AH1" t="s">
        <v>1768</v>
      </c>
      <c r="AI1" t="s">
        <v>1769</v>
      </c>
      <c r="AJ1" t="s">
        <v>780</v>
      </c>
      <c r="AL1" t="s">
        <v>1770</v>
      </c>
      <c r="AM1" t="s">
        <v>1771</v>
      </c>
    </row>
    <row r="2" spans="1:39" ht="16.5" x14ac:dyDescent="0.25">
      <c r="A2" s="1">
        <v>45700</v>
      </c>
      <c r="B2" s="5">
        <v>57.87</v>
      </c>
      <c r="C2" s="4">
        <v>56.47</v>
      </c>
      <c r="D2" s="4">
        <v>59</v>
      </c>
      <c r="E2" s="4">
        <v>55.89</v>
      </c>
      <c r="F2" s="4" t="s">
        <v>1510</v>
      </c>
      <c r="G2" s="2" t="s">
        <v>477</v>
      </c>
      <c r="I2">
        <f t="shared" ref="I2:I65" si="0">AVERAGE(B2:B20)</f>
        <v>55.212105263157902</v>
      </c>
      <c r="J2">
        <f t="shared" ref="J2:J65" si="1">AVERAGE(B2:B41)</f>
        <v>52.955999999999996</v>
      </c>
      <c r="L2">
        <f>IF($C2&lt;$B2,1,0)</f>
        <v>1</v>
      </c>
      <c r="M2">
        <f>IF($C2&lt;$B2,0,1)</f>
        <v>0</v>
      </c>
      <c r="O2">
        <f>IF($C2&lt;$B2,B2-C2,0)</f>
        <v>1.3999999999999986</v>
      </c>
      <c r="P2">
        <f>IF($B2&lt;$C2,C2-B2,0)</f>
        <v>0</v>
      </c>
      <c r="R2">
        <f>SUM(O2:O15)/SUM(L2:L15)</f>
        <v>1.0400000000000005</v>
      </c>
      <c r="S2">
        <f>SUM(P2:P15)/SUM(M2:M15)</f>
        <v>1.2933333333333341</v>
      </c>
      <c r="U2">
        <f>100-(100/(1+(R2/S2)))</f>
        <v>44.571428571428562</v>
      </c>
      <c r="V2">
        <v>64</v>
      </c>
      <c r="W2">
        <v>42</v>
      </c>
      <c r="AB2">
        <f>((B2-E2)/(D2-E2))*100</f>
        <v>63.665594855305372</v>
      </c>
      <c r="AC2">
        <f>AVERAGE(AB2:AB16)</f>
        <v>53.15183956615239</v>
      </c>
      <c r="AH2">
        <f>_xlfn.STDEV.S(I2:I532)</f>
        <v>11.456609915658991</v>
      </c>
      <c r="AI2">
        <f>I2-$AH$2</f>
        <v>43.755495347498908</v>
      </c>
      <c r="AJ2">
        <f>I2+$AH$2</f>
        <v>66.668715178816896</v>
      </c>
      <c r="AL2">
        <f>I2+(AH2*2)</f>
        <v>78.125325094475883</v>
      </c>
      <c r="AM2">
        <f>I2-(AH2*2)</f>
        <v>32.298885431839921</v>
      </c>
    </row>
    <row r="3" spans="1:39" ht="16.5" x14ac:dyDescent="0.25">
      <c r="A3" s="1">
        <v>45699</v>
      </c>
      <c r="B3" s="5">
        <v>57.3</v>
      </c>
      <c r="C3" s="4">
        <v>56.82</v>
      </c>
      <c r="D3" s="4">
        <v>58.08</v>
      </c>
      <c r="E3" s="4">
        <v>56.6</v>
      </c>
      <c r="F3" s="4" t="s">
        <v>1714</v>
      </c>
      <c r="G3" s="2" t="s">
        <v>487</v>
      </c>
      <c r="I3">
        <f t="shared" si="0"/>
        <v>54.815789473684212</v>
      </c>
      <c r="J3">
        <f t="shared" si="1"/>
        <v>52.785749999999993</v>
      </c>
      <c r="L3">
        <f t="shared" ref="L3:L66" si="2">IF($C3&lt;$B3,1,0)</f>
        <v>1</v>
      </c>
      <c r="M3">
        <f t="shared" ref="M3:M66" si="3">IF($C3&lt;$B3,0,1)</f>
        <v>0</v>
      </c>
      <c r="O3">
        <f t="shared" ref="O3:O66" si="4">IF($C3&lt;$B3,B3-C3,0)</f>
        <v>0.47999999999999687</v>
      </c>
      <c r="P3">
        <f t="shared" ref="P3:P66" si="5">IF($B3&lt;$C3,C3-B3,0)</f>
        <v>0</v>
      </c>
      <c r="R3">
        <f t="shared" ref="R3:R66" si="6">SUM(O3:O16)/SUM(L3:L16)</f>
        <v>1.2127272727272731</v>
      </c>
      <c r="S3">
        <f t="shared" ref="S3:S66" si="7">SUM(P3:P16)/SUM(M3:M16)</f>
        <v>1.2933333333333341</v>
      </c>
      <c r="U3">
        <f t="shared" ref="U3:U14" si="8">100-(100/(1+(R3/S3)))</f>
        <v>48.391777509068916</v>
      </c>
      <c r="V3">
        <v>64</v>
      </c>
      <c r="W3">
        <v>42</v>
      </c>
      <c r="AB3">
        <f t="shared" ref="AB3:AB14" si="9">((B3-E3)/(D3-E3))*100</f>
        <v>47.297297297297106</v>
      </c>
      <c r="AC3">
        <f t="shared" ref="AC3:AC14" si="10">AVERAGE(AB3:AB17)</f>
        <v>52.27569329205631</v>
      </c>
      <c r="AH3">
        <f t="shared" ref="AH3:AH66" si="11">_xlfn.STDEV.S(I3:I533)</f>
        <v>11.379230464251219</v>
      </c>
      <c r="AI3">
        <f t="shared" ref="AI3:AI66" si="12">I3-$AH$2</f>
        <v>43.359179558025218</v>
      </c>
      <c r="AJ3">
        <f t="shared" ref="AJ3:AJ66" si="13">I3+$AH$2</f>
        <v>66.272399389343207</v>
      </c>
      <c r="AL3">
        <f t="shared" ref="AL3:AL66" si="14">I3+(AH3*2)</f>
        <v>77.574250402186649</v>
      </c>
      <c r="AM3">
        <f t="shared" ref="AM3:AM66" si="15">I3-(AH3*2)</f>
        <v>32.057328545181775</v>
      </c>
    </row>
    <row r="4" spans="1:39" ht="16.5" x14ac:dyDescent="0.25">
      <c r="A4" s="1">
        <v>45698</v>
      </c>
      <c r="B4" s="5">
        <v>57.38</v>
      </c>
      <c r="C4" s="4">
        <v>57.5</v>
      </c>
      <c r="D4" s="4">
        <v>57.74</v>
      </c>
      <c r="E4" s="4">
        <v>56.1</v>
      </c>
      <c r="F4" s="4" t="s">
        <v>259</v>
      </c>
      <c r="G4" s="2" t="s">
        <v>55</v>
      </c>
      <c r="I4">
        <f t="shared" si="0"/>
        <v>54.548421052631582</v>
      </c>
      <c r="J4">
        <f t="shared" si="1"/>
        <v>52.588000000000001</v>
      </c>
      <c r="L4">
        <f t="shared" si="2"/>
        <v>0</v>
      </c>
      <c r="M4">
        <f t="shared" si="3"/>
        <v>1</v>
      </c>
      <c r="O4">
        <f t="shared" si="4"/>
        <v>0</v>
      </c>
      <c r="P4">
        <f t="shared" si="5"/>
        <v>0.11999999999999744</v>
      </c>
      <c r="R4">
        <f t="shared" si="6"/>
        <v>1.327272727272728</v>
      </c>
      <c r="S4">
        <f t="shared" si="7"/>
        <v>1.2933333333333341</v>
      </c>
      <c r="U4">
        <f t="shared" si="8"/>
        <v>50.647548566142461</v>
      </c>
      <c r="V4">
        <v>64</v>
      </c>
      <c r="W4">
        <v>42</v>
      </c>
      <c r="AB4">
        <f t="shared" si="9"/>
        <v>78.048780487804919</v>
      </c>
      <c r="AC4">
        <f t="shared" si="10"/>
        <v>52.728274746125336</v>
      </c>
      <c r="AH4">
        <f t="shared" si="11"/>
        <v>11.302849756805472</v>
      </c>
      <c r="AI4">
        <f t="shared" si="12"/>
        <v>43.091811136972595</v>
      </c>
      <c r="AJ4">
        <f t="shared" si="13"/>
        <v>66.005030968290569</v>
      </c>
      <c r="AL4">
        <f t="shared" si="14"/>
        <v>77.154120566242526</v>
      </c>
      <c r="AM4">
        <f t="shared" si="15"/>
        <v>31.942721539020638</v>
      </c>
    </row>
    <row r="5" spans="1:39" ht="16.5" x14ac:dyDescent="0.25">
      <c r="A5" s="1">
        <v>45695</v>
      </c>
      <c r="B5" s="5">
        <v>57.1</v>
      </c>
      <c r="C5" s="4">
        <v>56.76</v>
      </c>
      <c r="D5" s="4">
        <v>58.58</v>
      </c>
      <c r="E5" s="4">
        <v>56.48</v>
      </c>
      <c r="F5" s="4" t="s">
        <v>1439</v>
      </c>
      <c r="G5" s="2" t="s">
        <v>90</v>
      </c>
      <c r="I5">
        <f t="shared" si="0"/>
        <v>54.204210526315798</v>
      </c>
      <c r="J5">
        <f t="shared" si="1"/>
        <v>52.444500000000005</v>
      </c>
      <c r="L5">
        <f t="shared" si="2"/>
        <v>1</v>
      </c>
      <c r="M5">
        <f t="shared" si="3"/>
        <v>0</v>
      </c>
      <c r="O5">
        <f t="shared" si="4"/>
        <v>0.34000000000000341</v>
      </c>
      <c r="P5">
        <f t="shared" si="5"/>
        <v>0</v>
      </c>
      <c r="R5">
        <f t="shared" si="6"/>
        <v>1.3950000000000007</v>
      </c>
      <c r="S5">
        <f t="shared" si="7"/>
        <v>1.8800000000000026</v>
      </c>
      <c r="U5">
        <f t="shared" si="8"/>
        <v>42.595419847328216</v>
      </c>
      <c r="V5">
        <v>64</v>
      </c>
      <c r="W5">
        <v>42</v>
      </c>
      <c r="AB5">
        <f t="shared" si="9"/>
        <v>29.523809523809717</v>
      </c>
      <c r="AC5">
        <f t="shared" si="10"/>
        <v>50.196224171957375</v>
      </c>
      <c r="AH5">
        <f t="shared" si="11"/>
        <v>11.226781002115148</v>
      </c>
      <c r="AI5">
        <f t="shared" si="12"/>
        <v>42.747600610656804</v>
      </c>
      <c r="AJ5">
        <f t="shared" si="13"/>
        <v>65.660820441974792</v>
      </c>
      <c r="AL5">
        <f t="shared" si="14"/>
        <v>76.657772530546097</v>
      </c>
      <c r="AM5">
        <f t="shared" si="15"/>
        <v>31.750648522085502</v>
      </c>
    </row>
    <row r="6" spans="1:39" ht="16.5" x14ac:dyDescent="0.25">
      <c r="A6" s="1">
        <v>45694</v>
      </c>
      <c r="B6" s="5">
        <v>56.88</v>
      </c>
      <c r="C6" s="4">
        <v>56.18</v>
      </c>
      <c r="D6" s="4">
        <v>58.42</v>
      </c>
      <c r="E6" s="4">
        <v>55.74</v>
      </c>
      <c r="F6" s="4" t="s">
        <v>1656</v>
      </c>
      <c r="G6" s="2" t="s">
        <v>1583</v>
      </c>
      <c r="I6">
        <f t="shared" si="0"/>
        <v>53.79</v>
      </c>
      <c r="J6">
        <f t="shared" si="1"/>
        <v>52.313499999999998</v>
      </c>
      <c r="L6">
        <f t="shared" si="2"/>
        <v>1</v>
      </c>
      <c r="M6">
        <f t="shared" si="3"/>
        <v>0</v>
      </c>
      <c r="O6">
        <f t="shared" si="4"/>
        <v>0.70000000000000284</v>
      </c>
      <c r="P6">
        <f t="shared" si="5"/>
        <v>0</v>
      </c>
      <c r="R6">
        <f t="shared" si="6"/>
        <v>1.4909090909090914</v>
      </c>
      <c r="S6">
        <f t="shared" si="7"/>
        <v>1.4533333333333356</v>
      </c>
      <c r="U6">
        <f t="shared" si="8"/>
        <v>50.638122684232165</v>
      </c>
      <c r="V6">
        <v>64</v>
      </c>
      <c r="W6">
        <v>42</v>
      </c>
      <c r="AB6">
        <f t="shared" si="9"/>
        <v>42.537313432835852</v>
      </c>
      <c r="AC6">
        <f t="shared" si="10"/>
        <v>52.493159132862672</v>
      </c>
      <c r="AH6">
        <f t="shared" si="11"/>
        <v>11.151447859218244</v>
      </c>
      <c r="AI6">
        <f t="shared" si="12"/>
        <v>42.333390084341005</v>
      </c>
      <c r="AJ6">
        <f t="shared" si="13"/>
        <v>65.246609915658993</v>
      </c>
      <c r="AL6">
        <f t="shared" si="14"/>
        <v>76.092895718436495</v>
      </c>
      <c r="AM6">
        <f t="shared" si="15"/>
        <v>31.487104281563511</v>
      </c>
    </row>
    <row r="7" spans="1:39" ht="16.5" x14ac:dyDescent="0.25">
      <c r="A7" s="1">
        <v>45693</v>
      </c>
      <c r="B7" s="5">
        <v>55.5</v>
      </c>
      <c r="C7" s="4">
        <v>54.26</v>
      </c>
      <c r="D7" s="4">
        <v>56.32</v>
      </c>
      <c r="E7" s="4">
        <v>53.92</v>
      </c>
      <c r="F7" s="4" t="s">
        <v>1408</v>
      </c>
      <c r="G7" s="2" t="s">
        <v>133</v>
      </c>
      <c r="I7">
        <f t="shared" si="0"/>
        <v>53.401578947368421</v>
      </c>
      <c r="J7">
        <f t="shared" si="1"/>
        <v>52.216999999999999</v>
      </c>
      <c r="L7">
        <f t="shared" si="2"/>
        <v>1</v>
      </c>
      <c r="M7">
        <f t="shared" si="3"/>
        <v>0</v>
      </c>
      <c r="O7">
        <f t="shared" si="4"/>
        <v>1.240000000000002</v>
      </c>
      <c r="P7">
        <f t="shared" si="5"/>
        <v>0</v>
      </c>
      <c r="R7">
        <f t="shared" si="6"/>
        <v>1.5054545454545456</v>
      </c>
      <c r="S7">
        <f t="shared" si="7"/>
        <v>1.4533333333333356</v>
      </c>
      <c r="U7">
        <f t="shared" si="8"/>
        <v>50.880786562884026</v>
      </c>
      <c r="V7">
        <v>64</v>
      </c>
      <c r="W7">
        <v>42</v>
      </c>
      <c r="AB7">
        <f t="shared" si="9"/>
        <v>65.8333333333333</v>
      </c>
      <c r="AC7">
        <f t="shared" si="10"/>
        <v>53.737639845366026</v>
      </c>
      <c r="AH7">
        <f t="shared" si="11"/>
        <v>11.077241004277763</v>
      </c>
      <c r="AI7">
        <f t="shared" si="12"/>
        <v>41.944969031709434</v>
      </c>
      <c r="AJ7">
        <f t="shared" si="13"/>
        <v>64.858188863027408</v>
      </c>
      <c r="AL7">
        <f t="shared" si="14"/>
        <v>75.556060955923954</v>
      </c>
      <c r="AM7">
        <f t="shared" si="15"/>
        <v>31.247096938812895</v>
      </c>
    </row>
    <row r="8" spans="1:39" ht="16.5" x14ac:dyDescent="0.25">
      <c r="A8" s="1">
        <v>45692</v>
      </c>
      <c r="B8" s="5">
        <v>54.12</v>
      </c>
      <c r="C8" s="4">
        <v>55.6</v>
      </c>
      <c r="D8" s="4">
        <v>56.16</v>
      </c>
      <c r="E8" s="4">
        <v>54.12</v>
      </c>
      <c r="F8" s="4" t="s">
        <v>1706</v>
      </c>
      <c r="G8" s="2" t="s">
        <v>1772</v>
      </c>
      <c r="I8">
        <f t="shared" si="0"/>
        <v>53.212105263157902</v>
      </c>
      <c r="J8">
        <f t="shared" si="1"/>
        <v>52.117000000000004</v>
      </c>
      <c r="L8">
        <f t="shared" si="2"/>
        <v>0</v>
      </c>
      <c r="M8">
        <f t="shared" si="3"/>
        <v>1</v>
      </c>
      <c r="O8">
        <f t="shared" si="4"/>
        <v>0</v>
      </c>
      <c r="P8">
        <f t="shared" si="5"/>
        <v>1.480000000000004</v>
      </c>
      <c r="R8">
        <f t="shared" si="6"/>
        <v>1.532</v>
      </c>
      <c r="S8">
        <f t="shared" si="7"/>
        <v>1.2150000000000016</v>
      </c>
      <c r="U8">
        <f t="shared" si="8"/>
        <v>55.769930833636664</v>
      </c>
      <c r="V8">
        <v>64</v>
      </c>
      <c r="W8">
        <v>42</v>
      </c>
      <c r="AB8">
        <f t="shared" si="9"/>
        <v>0</v>
      </c>
      <c r="AC8">
        <f t="shared" si="10"/>
        <v>52.009683632799273</v>
      </c>
      <c r="AH8">
        <f t="shared" si="11"/>
        <v>11.004034421518689</v>
      </c>
      <c r="AI8">
        <f t="shared" si="12"/>
        <v>41.755495347498908</v>
      </c>
      <c r="AJ8">
        <f t="shared" si="13"/>
        <v>64.668715178816896</v>
      </c>
      <c r="AL8">
        <f t="shared" si="14"/>
        <v>75.220174106195287</v>
      </c>
      <c r="AM8">
        <f t="shared" si="15"/>
        <v>31.204036420120524</v>
      </c>
    </row>
    <row r="9" spans="1:39" ht="16.5" x14ac:dyDescent="0.25">
      <c r="A9" s="1">
        <v>45691</v>
      </c>
      <c r="B9" s="5">
        <v>55.48</v>
      </c>
      <c r="C9" s="4">
        <v>54.3</v>
      </c>
      <c r="D9" s="4">
        <v>56.06</v>
      </c>
      <c r="E9" s="4">
        <v>54</v>
      </c>
      <c r="F9" s="4" t="s">
        <v>1671</v>
      </c>
      <c r="G9" s="2" t="s">
        <v>1773</v>
      </c>
      <c r="I9">
        <f t="shared" si="0"/>
        <v>53.021578947368425</v>
      </c>
      <c r="J9">
        <f t="shared" si="1"/>
        <v>52.044999999999995</v>
      </c>
      <c r="L9">
        <f t="shared" si="2"/>
        <v>1</v>
      </c>
      <c r="M9">
        <f t="shared" si="3"/>
        <v>0</v>
      </c>
      <c r="O9">
        <f t="shared" si="4"/>
        <v>1.1799999999999997</v>
      </c>
      <c r="P9">
        <f t="shared" si="5"/>
        <v>0</v>
      </c>
      <c r="R9">
        <f t="shared" si="6"/>
        <v>1.4854545454545451</v>
      </c>
      <c r="S9">
        <f t="shared" si="7"/>
        <v>1.1266666666666676</v>
      </c>
      <c r="U9">
        <f t="shared" si="8"/>
        <v>56.867749419953569</v>
      </c>
      <c r="V9">
        <v>64</v>
      </c>
      <c r="W9">
        <v>42</v>
      </c>
      <c r="AB9">
        <f t="shared" si="9"/>
        <v>71.844660194174523</v>
      </c>
      <c r="AC9">
        <f t="shared" si="10"/>
        <v>60.677964238265815</v>
      </c>
      <c r="AH9">
        <f t="shared" si="11"/>
        <v>10.930762861698961</v>
      </c>
      <c r="AI9">
        <f t="shared" si="12"/>
        <v>41.564969031709438</v>
      </c>
      <c r="AJ9">
        <f t="shared" si="13"/>
        <v>64.478188863027412</v>
      </c>
      <c r="AL9">
        <f t="shared" si="14"/>
        <v>74.883104670766343</v>
      </c>
      <c r="AM9">
        <f t="shared" si="15"/>
        <v>31.160053223970504</v>
      </c>
    </row>
    <row r="10" spans="1:39" ht="16.5" x14ac:dyDescent="0.25">
      <c r="A10" s="1">
        <v>45688</v>
      </c>
      <c r="B10" s="5">
        <v>57.84</v>
      </c>
      <c r="C10" s="4">
        <v>57.2</v>
      </c>
      <c r="D10" s="4">
        <v>59.44</v>
      </c>
      <c r="E10" s="4">
        <v>56.84</v>
      </c>
      <c r="F10" s="4" t="s">
        <v>1774</v>
      </c>
      <c r="G10" s="2" t="s">
        <v>1673</v>
      </c>
      <c r="I10">
        <f t="shared" si="0"/>
        <v>52.927894736842113</v>
      </c>
      <c r="J10">
        <f t="shared" si="1"/>
        <v>51.945499999999996</v>
      </c>
      <c r="L10">
        <f t="shared" si="2"/>
        <v>1</v>
      </c>
      <c r="M10">
        <f t="shared" si="3"/>
        <v>0</v>
      </c>
      <c r="O10">
        <f t="shared" si="4"/>
        <v>0.64000000000000057</v>
      </c>
      <c r="P10">
        <f t="shared" si="5"/>
        <v>0</v>
      </c>
      <c r="R10">
        <f t="shared" si="6"/>
        <v>1.4863636363636366</v>
      </c>
      <c r="S10">
        <f t="shared" si="7"/>
        <v>1.1266666666666676</v>
      </c>
      <c r="U10">
        <f t="shared" si="8"/>
        <v>56.88275542154701</v>
      </c>
      <c r="V10">
        <v>64</v>
      </c>
      <c r="W10">
        <v>42</v>
      </c>
      <c r="AB10">
        <f t="shared" si="9"/>
        <v>38.461538461538545</v>
      </c>
      <c r="AC10">
        <f t="shared" si="10"/>
        <v>58.444625047084074</v>
      </c>
      <c r="AH10">
        <f t="shared" si="11"/>
        <v>10.857430964923294</v>
      </c>
      <c r="AI10">
        <f t="shared" si="12"/>
        <v>41.471284821183119</v>
      </c>
      <c r="AJ10">
        <f t="shared" si="13"/>
        <v>64.384504652501107</v>
      </c>
      <c r="AL10">
        <f t="shared" si="14"/>
        <v>74.642756666688697</v>
      </c>
      <c r="AM10">
        <f t="shared" si="15"/>
        <v>31.213032806995525</v>
      </c>
    </row>
    <row r="11" spans="1:39" ht="16.5" x14ac:dyDescent="0.25">
      <c r="A11" s="1">
        <v>45687</v>
      </c>
      <c r="B11" s="5">
        <v>56.72</v>
      </c>
      <c r="C11" s="4">
        <v>55</v>
      </c>
      <c r="D11" s="4">
        <v>57.06</v>
      </c>
      <c r="E11" s="4">
        <v>54.86</v>
      </c>
      <c r="F11" s="4" t="s">
        <v>1775</v>
      </c>
      <c r="G11" s="2" t="s">
        <v>1776</v>
      </c>
      <c r="I11">
        <f t="shared" si="0"/>
        <v>52.753157894736852</v>
      </c>
      <c r="J11">
        <f t="shared" si="1"/>
        <v>51.774999999999999</v>
      </c>
      <c r="L11">
        <f t="shared" si="2"/>
        <v>1</v>
      </c>
      <c r="M11">
        <f t="shared" si="3"/>
        <v>0</v>
      </c>
      <c r="O11">
        <f t="shared" si="4"/>
        <v>1.7199999999999989</v>
      </c>
      <c r="P11">
        <f t="shared" si="5"/>
        <v>0</v>
      </c>
      <c r="R11">
        <f t="shared" si="6"/>
        <v>1.5710000000000002</v>
      </c>
      <c r="S11">
        <f t="shared" si="7"/>
        <v>0.90750000000000064</v>
      </c>
      <c r="U11">
        <f t="shared" si="8"/>
        <v>63.385111962880764</v>
      </c>
      <c r="V11">
        <v>64</v>
      </c>
      <c r="W11">
        <v>42</v>
      </c>
      <c r="AB11">
        <f t="shared" si="9"/>
        <v>84.545454545454419</v>
      </c>
      <c r="AC11">
        <f t="shared" si="10"/>
        <v>63.440396693470461</v>
      </c>
      <c r="AH11">
        <f t="shared" si="11"/>
        <v>10.783505795090678</v>
      </c>
      <c r="AI11">
        <f t="shared" si="12"/>
        <v>41.296547979077857</v>
      </c>
      <c r="AJ11">
        <f t="shared" si="13"/>
        <v>64.209767810395846</v>
      </c>
      <c r="AL11">
        <f t="shared" si="14"/>
        <v>74.32016948491821</v>
      </c>
      <c r="AM11">
        <f t="shared" si="15"/>
        <v>31.186146304555496</v>
      </c>
    </row>
    <row r="12" spans="1:39" ht="16.5" x14ac:dyDescent="0.25">
      <c r="A12" s="1">
        <v>45686</v>
      </c>
      <c r="B12" s="5">
        <v>54.52</v>
      </c>
      <c r="C12" s="4">
        <v>53.6</v>
      </c>
      <c r="D12" s="4">
        <v>55</v>
      </c>
      <c r="E12" s="4">
        <v>52.44</v>
      </c>
      <c r="F12" s="4" t="s">
        <v>1777</v>
      </c>
      <c r="G12" s="2" t="s">
        <v>1778</v>
      </c>
      <c r="I12">
        <f t="shared" si="0"/>
        <v>52.503684210526323</v>
      </c>
      <c r="J12">
        <f t="shared" si="1"/>
        <v>51.615499999999997</v>
      </c>
      <c r="L12">
        <f t="shared" si="2"/>
        <v>1</v>
      </c>
      <c r="M12">
        <f t="shared" si="3"/>
        <v>0</v>
      </c>
      <c r="O12">
        <f t="shared" si="4"/>
        <v>0.92000000000000171</v>
      </c>
      <c r="P12">
        <f t="shared" si="5"/>
        <v>0</v>
      </c>
      <c r="R12">
        <f t="shared" si="6"/>
        <v>1.5544444444444447</v>
      </c>
      <c r="S12">
        <f t="shared" si="7"/>
        <v>1.2579999999999998</v>
      </c>
      <c r="U12">
        <f t="shared" si="8"/>
        <v>55.270227560050579</v>
      </c>
      <c r="V12">
        <v>64</v>
      </c>
      <c r="W12">
        <v>42</v>
      </c>
      <c r="AB12">
        <f t="shared" si="9"/>
        <v>81.250000000000128</v>
      </c>
      <c r="AC12">
        <f t="shared" si="10"/>
        <v>56.405377409475797</v>
      </c>
      <c r="AH12">
        <f t="shared" si="11"/>
        <v>10.709422797864152</v>
      </c>
      <c r="AI12">
        <f t="shared" si="12"/>
        <v>41.047074294867329</v>
      </c>
      <c r="AJ12">
        <f t="shared" si="13"/>
        <v>63.960294126185318</v>
      </c>
      <c r="AL12">
        <f t="shared" si="14"/>
        <v>73.92252980625463</v>
      </c>
      <c r="AM12">
        <f t="shared" si="15"/>
        <v>31.08483861479802</v>
      </c>
    </row>
    <row r="13" spans="1:39" ht="16.5" x14ac:dyDescent="0.25">
      <c r="A13" s="1">
        <v>45685</v>
      </c>
      <c r="B13" s="5">
        <v>51.96</v>
      </c>
      <c r="C13" s="4">
        <v>50.5</v>
      </c>
      <c r="D13" s="4">
        <v>53.6</v>
      </c>
      <c r="E13" s="4">
        <v>49.33</v>
      </c>
      <c r="F13" s="4" t="s">
        <v>1779</v>
      </c>
      <c r="G13" s="2" t="s">
        <v>1780</v>
      </c>
      <c r="I13">
        <f t="shared" si="0"/>
        <v>52.31</v>
      </c>
      <c r="J13">
        <f t="shared" si="1"/>
        <v>51.466750000000005</v>
      </c>
      <c r="L13">
        <f t="shared" si="2"/>
        <v>1</v>
      </c>
      <c r="M13">
        <f t="shared" si="3"/>
        <v>0</v>
      </c>
      <c r="O13">
        <f t="shared" si="4"/>
        <v>1.4600000000000009</v>
      </c>
      <c r="P13">
        <f t="shared" si="5"/>
        <v>0</v>
      </c>
      <c r="R13">
        <f t="shared" si="6"/>
        <v>1.5966666666666665</v>
      </c>
      <c r="S13">
        <f t="shared" si="7"/>
        <v>1.2579999999999998</v>
      </c>
      <c r="U13">
        <f t="shared" si="8"/>
        <v>55.931807566557687</v>
      </c>
      <c r="V13">
        <v>64</v>
      </c>
      <c r="W13">
        <v>42</v>
      </c>
      <c r="AB13">
        <f t="shared" si="9"/>
        <v>61.592505854800947</v>
      </c>
      <c r="AC13">
        <f t="shared" si="10"/>
        <v>43.983066114213642</v>
      </c>
      <c r="AH13">
        <f t="shared" si="11"/>
        <v>10.635593742262138</v>
      </c>
      <c r="AI13">
        <f t="shared" si="12"/>
        <v>40.853390084341015</v>
      </c>
      <c r="AJ13">
        <f t="shared" si="13"/>
        <v>63.766609915658989</v>
      </c>
      <c r="AL13">
        <f t="shared" si="14"/>
        <v>73.581187484524278</v>
      </c>
      <c r="AM13">
        <f t="shared" si="15"/>
        <v>31.038812515475726</v>
      </c>
    </row>
    <row r="14" spans="1:39" ht="16.5" x14ac:dyDescent="0.25">
      <c r="A14" s="1">
        <v>45684</v>
      </c>
      <c r="B14" s="5">
        <v>48.32</v>
      </c>
      <c r="C14" s="4">
        <v>50.6</v>
      </c>
      <c r="D14" s="4">
        <v>52.34</v>
      </c>
      <c r="E14" s="4">
        <v>46.88</v>
      </c>
      <c r="F14" s="4" t="s">
        <v>1781</v>
      </c>
      <c r="G14" s="2" t="s">
        <v>1782</v>
      </c>
      <c r="I14">
        <f t="shared" si="0"/>
        <v>52.226842105263167</v>
      </c>
      <c r="J14">
        <f t="shared" si="1"/>
        <v>51.376749999999994</v>
      </c>
      <c r="L14">
        <f t="shared" si="2"/>
        <v>0</v>
      </c>
      <c r="M14">
        <f t="shared" si="3"/>
        <v>1</v>
      </c>
      <c r="O14">
        <f t="shared" si="4"/>
        <v>0</v>
      </c>
      <c r="P14">
        <f t="shared" si="5"/>
        <v>2.2800000000000011</v>
      </c>
      <c r="R14">
        <f t="shared" si="6"/>
        <v>1.6137499999999996</v>
      </c>
      <c r="S14">
        <f t="shared" si="7"/>
        <v>1.2649999999999995</v>
      </c>
      <c r="U14">
        <f t="shared" si="8"/>
        <v>56.057316543638734</v>
      </c>
      <c r="V14">
        <v>64</v>
      </c>
      <c r="W14">
        <v>42</v>
      </c>
      <c r="AB14">
        <f t="shared" si="9"/>
        <v>26.37362637362633</v>
      </c>
      <c r="AC14">
        <f t="shared" si="10"/>
        <v>26.37362637362633</v>
      </c>
      <c r="AH14">
        <f t="shared" si="11"/>
        <v>10.561712833208375</v>
      </c>
      <c r="AI14">
        <f t="shared" si="12"/>
        <v>40.770232189604172</v>
      </c>
      <c r="AJ14">
        <f t="shared" si="13"/>
        <v>63.683452020922161</v>
      </c>
      <c r="AL14">
        <f t="shared" si="14"/>
        <v>73.35026777167991</v>
      </c>
      <c r="AM14">
        <f t="shared" si="15"/>
        <v>31.103416438846416</v>
      </c>
    </row>
    <row r="15" spans="1:39" ht="16.5" x14ac:dyDescent="0.25">
      <c r="A15" s="1">
        <v>45681</v>
      </c>
      <c r="B15" s="5">
        <v>60.36</v>
      </c>
      <c r="C15" s="4">
        <v>59</v>
      </c>
      <c r="D15" s="4">
        <v>60.4</v>
      </c>
      <c r="E15" s="4">
        <v>58.72</v>
      </c>
      <c r="F15" s="4" t="s">
        <v>1107</v>
      </c>
      <c r="G15" s="2" t="s">
        <v>758</v>
      </c>
      <c r="I15">
        <f t="shared" si="0"/>
        <v>52.319473684210536</v>
      </c>
      <c r="J15">
        <f t="shared" si="1"/>
        <v>51.4</v>
      </c>
      <c r="L15">
        <f t="shared" si="2"/>
        <v>1</v>
      </c>
      <c r="M15">
        <f t="shared" si="3"/>
        <v>0</v>
      </c>
      <c r="O15">
        <f t="shared" si="4"/>
        <v>1.3599999999999994</v>
      </c>
      <c r="P15">
        <f t="shared" si="5"/>
        <v>0</v>
      </c>
      <c r="R15">
        <f t="shared" si="6"/>
        <v>1.6137499999999996</v>
      </c>
      <c r="S15">
        <f t="shared" si="7"/>
        <v>1.0583333333333325</v>
      </c>
      <c r="AH15">
        <f t="shared" si="11"/>
        <v>10.487159750088631</v>
      </c>
      <c r="AI15">
        <f t="shared" si="12"/>
        <v>40.862863768551549</v>
      </c>
      <c r="AJ15">
        <f t="shared" si="13"/>
        <v>63.776083599869523</v>
      </c>
      <c r="AL15">
        <f t="shared" si="14"/>
        <v>73.293793184387795</v>
      </c>
      <c r="AM15">
        <f t="shared" si="15"/>
        <v>31.345154184033273</v>
      </c>
    </row>
    <row r="16" spans="1:39" ht="16.5" x14ac:dyDescent="0.25">
      <c r="A16" s="1">
        <v>45680</v>
      </c>
      <c r="B16" s="5">
        <v>58.8</v>
      </c>
      <c r="C16" s="4">
        <v>55.5</v>
      </c>
      <c r="D16" s="4">
        <v>58.8</v>
      </c>
      <c r="E16" s="4">
        <v>55.38</v>
      </c>
      <c r="F16" s="4" t="s">
        <v>1635</v>
      </c>
      <c r="G16" s="2" t="s">
        <v>1783</v>
      </c>
      <c r="I16">
        <f t="shared" si="0"/>
        <v>51.83315789473685</v>
      </c>
      <c r="J16">
        <f t="shared" si="1"/>
        <v>51.099749999999993</v>
      </c>
      <c r="L16">
        <f t="shared" si="2"/>
        <v>1</v>
      </c>
      <c r="M16">
        <f t="shared" si="3"/>
        <v>0</v>
      </c>
      <c r="O16">
        <f t="shared" si="4"/>
        <v>3.2999999999999972</v>
      </c>
      <c r="P16">
        <f t="shared" si="5"/>
        <v>0</v>
      </c>
      <c r="R16">
        <f t="shared" si="6"/>
        <v>1.69625</v>
      </c>
      <c r="S16">
        <f t="shared" si="7"/>
        <v>1.0583333333333325</v>
      </c>
      <c r="AH16">
        <f t="shared" si="11"/>
        <v>10.410920515543392</v>
      </c>
      <c r="AI16">
        <f t="shared" si="12"/>
        <v>40.376547979077856</v>
      </c>
      <c r="AJ16">
        <f t="shared" si="13"/>
        <v>63.289767810395844</v>
      </c>
      <c r="AL16">
        <f t="shared" si="14"/>
        <v>72.654998925823634</v>
      </c>
      <c r="AM16">
        <f t="shared" si="15"/>
        <v>31.011316863650066</v>
      </c>
    </row>
    <row r="17" spans="1:39" ht="16.5" x14ac:dyDescent="0.25">
      <c r="A17" s="1">
        <v>45679</v>
      </c>
      <c r="B17" s="5">
        <v>55.14</v>
      </c>
      <c r="C17" s="4">
        <v>53.4</v>
      </c>
      <c r="D17" s="4">
        <v>56.9</v>
      </c>
      <c r="E17" s="4">
        <v>53.24</v>
      </c>
      <c r="F17" s="4" t="s">
        <v>1784</v>
      </c>
      <c r="G17" s="2" t="s">
        <v>1785</v>
      </c>
      <c r="I17">
        <f t="shared" si="0"/>
        <v>51.406842105263173</v>
      </c>
      <c r="J17">
        <f t="shared" si="1"/>
        <v>50.811499999999995</v>
      </c>
      <c r="L17">
        <f t="shared" si="2"/>
        <v>1</v>
      </c>
      <c r="M17">
        <f t="shared" si="3"/>
        <v>0</v>
      </c>
      <c r="O17">
        <f t="shared" si="4"/>
        <v>1.740000000000002</v>
      </c>
      <c r="P17">
        <f t="shared" si="5"/>
        <v>0</v>
      </c>
      <c r="R17">
        <f t="shared" si="6"/>
        <v>1.3937499999999998</v>
      </c>
      <c r="S17">
        <f t="shared" si="7"/>
        <v>1.0583333333333325</v>
      </c>
      <c r="AH17">
        <f t="shared" si="11"/>
        <v>10.336257159706006</v>
      </c>
      <c r="AI17">
        <f t="shared" si="12"/>
        <v>39.950232189604179</v>
      </c>
      <c r="AJ17">
        <f t="shared" si="13"/>
        <v>62.863452020922168</v>
      </c>
      <c r="AL17">
        <f t="shared" si="14"/>
        <v>72.079356424675183</v>
      </c>
      <c r="AM17">
        <f t="shared" si="15"/>
        <v>30.734327785851161</v>
      </c>
    </row>
    <row r="18" spans="1:39" ht="16.5" x14ac:dyDescent="0.25">
      <c r="A18" s="1">
        <v>45678</v>
      </c>
      <c r="B18" s="5">
        <v>51.76</v>
      </c>
      <c r="C18" s="4">
        <v>49.62</v>
      </c>
      <c r="D18" s="4">
        <v>51.76</v>
      </c>
      <c r="E18" s="4">
        <v>49.37</v>
      </c>
      <c r="F18" s="4" t="s">
        <v>1570</v>
      </c>
      <c r="G18" s="2" t="s">
        <v>192</v>
      </c>
      <c r="I18">
        <f t="shared" si="0"/>
        <v>51.136315789473691</v>
      </c>
      <c r="J18">
        <f t="shared" si="1"/>
        <v>50.573499999999989</v>
      </c>
      <c r="L18">
        <f t="shared" si="2"/>
        <v>1</v>
      </c>
      <c r="M18">
        <f t="shared" si="3"/>
        <v>0</v>
      </c>
      <c r="O18">
        <f t="shared" si="4"/>
        <v>2.1400000000000006</v>
      </c>
      <c r="P18">
        <f t="shared" si="5"/>
        <v>0</v>
      </c>
      <c r="R18">
        <f t="shared" si="6"/>
        <v>1.24125</v>
      </c>
      <c r="S18">
        <f t="shared" si="7"/>
        <v>1.0583333333333325</v>
      </c>
      <c r="AH18">
        <f t="shared" si="11"/>
        <v>10.262847428331151</v>
      </c>
      <c r="AI18">
        <f t="shared" si="12"/>
        <v>39.679705873814697</v>
      </c>
      <c r="AJ18">
        <f t="shared" si="13"/>
        <v>62.592925705132686</v>
      </c>
      <c r="AL18">
        <f t="shared" si="14"/>
        <v>71.662010646135997</v>
      </c>
      <c r="AM18">
        <f t="shared" si="15"/>
        <v>30.61062093281139</v>
      </c>
    </row>
    <row r="19" spans="1:39" ht="16.5" x14ac:dyDescent="0.25">
      <c r="A19" s="1">
        <v>45677</v>
      </c>
      <c r="B19" s="5">
        <v>50.1</v>
      </c>
      <c r="C19" s="4">
        <v>50.7</v>
      </c>
      <c r="D19" s="4">
        <v>51.44</v>
      </c>
      <c r="E19" s="4">
        <v>49.64</v>
      </c>
      <c r="F19" s="4" t="s">
        <v>1575</v>
      </c>
      <c r="G19" s="2" t="s">
        <v>1486</v>
      </c>
      <c r="I19">
        <f t="shared" si="0"/>
        <v>51.107894736842113</v>
      </c>
      <c r="J19">
        <f t="shared" si="1"/>
        <v>50.421999999999997</v>
      </c>
      <c r="L19">
        <f t="shared" si="2"/>
        <v>0</v>
      </c>
      <c r="M19">
        <f t="shared" si="3"/>
        <v>1</v>
      </c>
      <c r="O19">
        <f t="shared" si="4"/>
        <v>0</v>
      </c>
      <c r="P19">
        <f t="shared" si="5"/>
        <v>0.60000000000000142</v>
      </c>
      <c r="R19">
        <f t="shared" si="6"/>
        <v>1.0525000000000002</v>
      </c>
      <c r="S19">
        <f t="shared" si="7"/>
        <v>1.0583333333333325</v>
      </c>
      <c r="AH19">
        <f t="shared" si="11"/>
        <v>10.189827174365725</v>
      </c>
      <c r="AI19">
        <f t="shared" si="12"/>
        <v>39.651284821183125</v>
      </c>
      <c r="AJ19">
        <f t="shared" si="13"/>
        <v>62.5645046525011</v>
      </c>
      <c r="AL19">
        <f t="shared" si="14"/>
        <v>71.487549085573562</v>
      </c>
      <c r="AM19">
        <f t="shared" si="15"/>
        <v>30.728240388110663</v>
      </c>
    </row>
    <row r="20" spans="1:39" ht="16.5" x14ac:dyDescent="0.25">
      <c r="A20" s="1">
        <v>45674</v>
      </c>
      <c r="B20" s="5">
        <v>51.88</v>
      </c>
      <c r="C20" s="4">
        <v>51.02</v>
      </c>
      <c r="D20" s="4">
        <v>52.3</v>
      </c>
      <c r="E20" s="4">
        <v>50.32</v>
      </c>
      <c r="F20" s="4" t="s">
        <v>1515</v>
      </c>
      <c r="G20" s="2" t="s">
        <v>961</v>
      </c>
      <c r="I20">
        <f t="shared" si="0"/>
        <v>51.160526315789483</v>
      </c>
      <c r="J20">
        <f t="shared" si="1"/>
        <v>50.310499999999998</v>
      </c>
      <c r="L20">
        <f t="shared" si="2"/>
        <v>1</v>
      </c>
      <c r="M20">
        <f t="shared" si="3"/>
        <v>0</v>
      </c>
      <c r="O20">
        <f t="shared" si="4"/>
        <v>0.85999999999999943</v>
      </c>
      <c r="P20">
        <f t="shared" si="5"/>
        <v>0</v>
      </c>
      <c r="R20">
        <f t="shared" si="6"/>
        <v>1.0525000000000002</v>
      </c>
      <c r="S20">
        <f t="shared" si="7"/>
        <v>1.1116666666666657</v>
      </c>
      <c r="AH20">
        <f t="shared" si="11"/>
        <v>10.115824816693484</v>
      </c>
      <c r="AI20">
        <f t="shared" si="12"/>
        <v>39.703916400130495</v>
      </c>
      <c r="AJ20">
        <f t="shared" si="13"/>
        <v>62.61713623144847</v>
      </c>
      <c r="AL20">
        <f t="shared" si="14"/>
        <v>71.392175949176448</v>
      </c>
      <c r="AM20">
        <f t="shared" si="15"/>
        <v>30.928876682402514</v>
      </c>
    </row>
    <row r="21" spans="1:39" ht="16.5" x14ac:dyDescent="0.25">
      <c r="A21" s="1">
        <v>45673</v>
      </c>
      <c r="B21" s="5">
        <v>50.34</v>
      </c>
      <c r="C21" s="4">
        <v>50.84</v>
      </c>
      <c r="D21" s="4">
        <v>52.44</v>
      </c>
      <c r="E21" s="4">
        <v>49.61</v>
      </c>
      <c r="F21" s="4" t="s">
        <v>1492</v>
      </c>
      <c r="G21" s="2" t="s">
        <v>1786</v>
      </c>
      <c r="I21">
        <f t="shared" si="0"/>
        <v>51.119473684210533</v>
      </c>
      <c r="J21">
        <f t="shared" si="1"/>
        <v>50.188249999999996</v>
      </c>
      <c r="L21">
        <f t="shared" si="2"/>
        <v>0</v>
      </c>
      <c r="M21">
        <f t="shared" si="3"/>
        <v>1</v>
      </c>
      <c r="O21">
        <f t="shared" si="4"/>
        <v>0</v>
      </c>
      <c r="P21">
        <f t="shared" si="5"/>
        <v>0.5</v>
      </c>
      <c r="R21">
        <f t="shared" si="6"/>
        <v>0.99249999999999972</v>
      </c>
      <c r="S21">
        <f t="shared" si="7"/>
        <v>1.1116666666666657</v>
      </c>
      <c r="AH21">
        <f t="shared" si="11"/>
        <v>10.04034591088082</v>
      </c>
      <c r="AI21">
        <f t="shared" si="12"/>
        <v>39.662863768551546</v>
      </c>
      <c r="AJ21">
        <f t="shared" si="13"/>
        <v>62.57608359986952</v>
      </c>
      <c r="AL21">
        <f t="shared" si="14"/>
        <v>71.200165505972166</v>
      </c>
      <c r="AM21">
        <f t="shared" si="15"/>
        <v>31.038781862448893</v>
      </c>
    </row>
    <row r="22" spans="1:39" ht="16.5" x14ac:dyDescent="0.25">
      <c r="A22" s="1">
        <v>45672</v>
      </c>
      <c r="B22" s="5">
        <v>52.22</v>
      </c>
      <c r="C22" s="4">
        <v>51.2</v>
      </c>
      <c r="D22" s="4">
        <v>53.06</v>
      </c>
      <c r="E22" s="4">
        <v>50.7</v>
      </c>
      <c r="F22" s="4" t="s">
        <v>1409</v>
      </c>
      <c r="G22" s="2" t="s">
        <v>108</v>
      </c>
      <c r="I22">
        <f t="shared" si="0"/>
        <v>51.042631578947379</v>
      </c>
      <c r="J22">
        <f t="shared" si="1"/>
        <v>50.084999999999994</v>
      </c>
      <c r="L22">
        <f t="shared" si="2"/>
        <v>1</v>
      </c>
      <c r="M22">
        <f t="shared" si="3"/>
        <v>0</v>
      </c>
      <c r="O22">
        <f t="shared" si="4"/>
        <v>1.019999999999996</v>
      </c>
      <c r="P22">
        <f t="shared" si="5"/>
        <v>0</v>
      </c>
      <c r="R22">
        <f t="shared" si="6"/>
        <v>1.0322222222222222</v>
      </c>
      <c r="S22">
        <f t="shared" si="7"/>
        <v>1.2339999999999989</v>
      </c>
      <c r="AH22">
        <f t="shared" si="11"/>
        <v>9.9638961874123417</v>
      </c>
      <c r="AI22">
        <f t="shared" si="12"/>
        <v>39.586021663288392</v>
      </c>
      <c r="AJ22">
        <f t="shared" si="13"/>
        <v>62.499241494606366</v>
      </c>
      <c r="AL22">
        <f t="shared" si="14"/>
        <v>70.97042395377207</v>
      </c>
      <c r="AM22">
        <f t="shared" si="15"/>
        <v>31.114839204122696</v>
      </c>
    </row>
    <row r="23" spans="1:39" ht="16.5" x14ac:dyDescent="0.25">
      <c r="A23" s="1">
        <v>45671</v>
      </c>
      <c r="B23" s="5">
        <v>50.84</v>
      </c>
      <c r="C23" s="4">
        <v>49.65</v>
      </c>
      <c r="D23" s="4">
        <v>51.18</v>
      </c>
      <c r="E23" s="4">
        <v>49.31</v>
      </c>
      <c r="F23" s="4" t="s">
        <v>383</v>
      </c>
      <c r="G23" s="2" t="s">
        <v>1447</v>
      </c>
      <c r="I23">
        <f t="shared" si="0"/>
        <v>50.876315789473686</v>
      </c>
      <c r="J23">
        <f t="shared" si="1"/>
        <v>49.937749999999994</v>
      </c>
      <c r="L23">
        <f t="shared" si="2"/>
        <v>1</v>
      </c>
      <c r="M23">
        <f t="shared" si="3"/>
        <v>0</v>
      </c>
      <c r="O23">
        <f t="shared" si="4"/>
        <v>1.1900000000000048</v>
      </c>
      <c r="P23">
        <f t="shared" si="5"/>
        <v>0</v>
      </c>
      <c r="R23">
        <f t="shared" si="6"/>
        <v>0.93444444444444485</v>
      </c>
      <c r="S23">
        <f t="shared" si="7"/>
        <v>1.2339999999999989</v>
      </c>
      <c r="AH23">
        <f t="shared" si="11"/>
        <v>9.8866613242805421</v>
      </c>
      <c r="AI23">
        <f t="shared" si="12"/>
        <v>39.419705873814692</v>
      </c>
      <c r="AJ23">
        <f t="shared" si="13"/>
        <v>62.332925705132681</v>
      </c>
      <c r="AL23">
        <f t="shared" si="14"/>
        <v>70.649638438034771</v>
      </c>
      <c r="AM23">
        <f t="shared" si="15"/>
        <v>31.102993140912602</v>
      </c>
    </row>
    <row r="24" spans="1:39" ht="16.5" x14ac:dyDescent="0.25">
      <c r="A24" s="1">
        <v>45670</v>
      </c>
      <c r="B24" s="5">
        <v>49.23</v>
      </c>
      <c r="C24" s="4">
        <v>49.48</v>
      </c>
      <c r="D24" s="4">
        <v>50.06</v>
      </c>
      <c r="E24" s="4">
        <v>48.99</v>
      </c>
      <c r="F24" s="4" t="s">
        <v>1460</v>
      </c>
      <c r="G24" s="2" t="s">
        <v>1074</v>
      </c>
      <c r="I24">
        <f t="shared" si="0"/>
        <v>50.887894736842114</v>
      </c>
      <c r="J24">
        <f t="shared" si="1"/>
        <v>49.640499999999989</v>
      </c>
      <c r="L24">
        <f t="shared" si="2"/>
        <v>0</v>
      </c>
      <c r="M24">
        <f t="shared" si="3"/>
        <v>1</v>
      </c>
      <c r="O24">
        <f t="shared" si="4"/>
        <v>0</v>
      </c>
      <c r="P24">
        <f t="shared" si="5"/>
        <v>0.25</v>
      </c>
      <c r="R24">
        <f t="shared" si="6"/>
        <v>0.90249999999999986</v>
      </c>
      <c r="S24">
        <f t="shared" si="7"/>
        <v>1.0383333333333329</v>
      </c>
      <c r="AH24">
        <f t="shared" si="11"/>
        <v>9.8091536123752974</v>
      </c>
      <c r="AI24">
        <f t="shared" si="12"/>
        <v>39.431284821183127</v>
      </c>
      <c r="AJ24">
        <f t="shared" si="13"/>
        <v>62.344504652501101</v>
      </c>
      <c r="AL24">
        <f t="shared" si="14"/>
        <v>70.506201961592708</v>
      </c>
      <c r="AM24">
        <f t="shared" si="15"/>
        <v>31.269587512091519</v>
      </c>
    </row>
    <row r="25" spans="1:39" ht="16.5" x14ac:dyDescent="0.25">
      <c r="A25" s="1">
        <v>45667</v>
      </c>
      <c r="B25" s="5">
        <v>49.5</v>
      </c>
      <c r="C25" s="4">
        <v>52.16</v>
      </c>
      <c r="D25" s="4">
        <v>52.58</v>
      </c>
      <c r="E25" s="4">
        <v>48.48</v>
      </c>
      <c r="F25" s="4" t="s">
        <v>1656</v>
      </c>
      <c r="G25" s="2" t="s">
        <v>1787</v>
      </c>
      <c r="I25">
        <f t="shared" si="0"/>
        <v>50.89631578947369</v>
      </c>
      <c r="J25">
        <f t="shared" si="1"/>
        <v>49.426749999999991</v>
      </c>
      <c r="L25">
        <f t="shared" si="2"/>
        <v>0</v>
      </c>
      <c r="M25">
        <f t="shared" si="3"/>
        <v>1</v>
      </c>
      <c r="O25">
        <f t="shared" si="4"/>
        <v>0</v>
      </c>
      <c r="P25">
        <f t="shared" si="5"/>
        <v>2.6599999999999966</v>
      </c>
      <c r="R25">
        <f t="shared" si="6"/>
        <v>0.81111111111111078</v>
      </c>
      <c r="S25">
        <f t="shared" si="7"/>
        <v>1.1959999999999993</v>
      </c>
      <c r="AH25">
        <f t="shared" si="11"/>
        <v>9.7302996710911192</v>
      </c>
      <c r="AI25">
        <f t="shared" si="12"/>
        <v>39.439705873814702</v>
      </c>
      <c r="AJ25">
        <f t="shared" si="13"/>
        <v>62.352925705132677</v>
      </c>
      <c r="AL25">
        <f t="shared" si="14"/>
        <v>70.356915131655924</v>
      </c>
      <c r="AM25">
        <f t="shared" si="15"/>
        <v>31.435716447291451</v>
      </c>
    </row>
    <row r="26" spans="1:39" ht="16.5" x14ac:dyDescent="0.25">
      <c r="A26" s="1">
        <v>45666</v>
      </c>
      <c r="B26" s="5">
        <v>51.9</v>
      </c>
      <c r="C26" s="4">
        <v>50.6</v>
      </c>
      <c r="D26" s="4">
        <v>52.68</v>
      </c>
      <c r="E26" s="4">
        <v>50.4</v>
      </c>
      <c r="F26" s="4" t="s">
        <v>1550</v>
      </c>
      <c r="G26" s="2" t="s">
        <v>1557</v>
      </c>
      <c r="I26">
        <f t="shared" si="0"/>
        <v>51.008947368421055</v>
      </c>
      <c r="J26">
        <f t="shared" si="1"/>
        <v>49.177250000000001</v>
      </c>
      <c r="L26">
        <f t="shared" si="2"/>
        <v>1</v>
      </c>
      <c r="M26">
        <f t="shared" si="3"/>
        <v>0</v>
      </c>
      <c r="O26">
        <f t="shared" si="4"/>
        <v>1.2999999999999972</v>
      </c>
      <c r="P26">
        <f t="shared" si="5"/>
        <v>0</v>
      </c>
      <c r="R26">
        <f t="shared" si="6"/>
        <v>0.97699999999999965</v>
      </c>
      <c r="S26">
        <f t="shared" si="7"/>
        <v>0.83000000000000007</v>
      </c>
      <c r="AH26">
        <f t="shared" si="11"/>
        <v>9.6500788368541368</v>
      </c>
      <c r="AI26">
        <f t="shared" si="12"/>
        <v>39.55233745276206</v>
      </c>
      <c r="AJ26">
        <f t="shared" si="13"/>
        <v>62.465557284080049</v>
      </c>
      <c r="AL26">
        <f t="shared" si="14"/>
        <v>70.309105042129332</v>
      </c>
      <c r="AM26">
        <f t="shared" si="15"/>
        <v>31.708789694712781</v>
      </c>
    </row>
    <row r="27" spans="1:39" ht="16.5" x14ac:dyDescent="0.25">
      <c r="A27" s="1">
        <v>45665</v>
      </c>
      <c r="B27" s="5">
        <v>50.5</v>
      </c>
      <c r="C27" s="4">
        <v>51.8</v>
      </c>
      <c r="D27" s="4">
        <v>53</v>
      </c>
      <c r="E27" s="4">
        <v>49.36</v>
      </c>
      <c r="F27" s="4" t="s">
        <v>1630</v>
      </c>
      <c r="G27" s="2" t="s">
        <v>1788</v>
      </c>
      <c r="I27">
        <f t="shared" si="0"/>
        <v>51.006842105263161</v>
      </c>
      <c r="J27">
        <f t="shared" si="1"/>
        <v>48.842499999999994</v>
      </c>
      <c r="L27">
        <f t="shared" si="2"/>
        <v>0</v>
      </c>
      <c r="M27">
        <f t="shared" si="3"/>
        <v>1</v>
      </c>
      <c r="O27">
        <f t="shared" si="4"/>
        <v>0</v>
      </c>
      <c r="P27">
        <f t="shared" si="5"/>
        <v>1.2999999999999972</v>
      </c>
      <c r="R27">
        <f t="shared" si="6"/>
        <v>0.94111111111111101</v>
      </c>
      <c r="S27">
        <f t="shared" si="7"/>
        <v>0.75600000000000023</v>
      </c>
      <c r="AH27">
        <f t="shared" si="11"/>
        <v>9.5678057378222885</v>
      </c>
      <c r="AI27">
        <f t="shared" si="12"/>
        <v>39.550232189604174</v>
      </c>
      <c r="AJ27">
        <f t="shared" si="13"/>
        <v>62.463452020922148</v>
      </c>
      <c r="AL27">
        <f t="shared" si="14"/>
        <v>70.142453580907741</v>
      </c>
      <c r="AM27">
        <f t="shared" si="15"/>
        <v>31.871230629618584</v>
      </c>
    </row>
    <row r="28" spans="1:39" ht="16.5" x14ac:dyDescent="0.25">
      <c r="A28" s="1">
        <v>45664</v>
      </c>
      <c r="B28" s="5">
        <v>53.7</v>
      </c>
      <c r="C28" s="4">
        <v>54.74</v>
      </c>
      <c r="D28" s="4">
        <v>55.26</v>
      </c>
      <c r="E28" s="4">
        <v>52.38</v>
      </c>
      <c r="F28" s="4" t="s">
        <v>1789</v>
      </c>
      <c r="G28" s="2" t="s">
        <v>1666</v>
      </c>
      <c r="I28">
        <f t="shared" si="0"/>
        <v>51.139473684210522</v>
      </c>
      <c r="J28">
        <f t="shared" si="1"/>
        <v>48.53649999999999</v>
      </c>
      <c r="L28">
        <f t="shared" si="2"/>
        <v>0</v>
      </c>
      <c r="M28">
        <f t="shared" si="3"/>
        <v>1</v>
      </c>
      <c r="O28">
        <f t="shared" si="4"/>
        <v>0</v>
      </c>
      <c r="P28">
        <f t="shared" si="5"/>
        <v>1.0399999999999991</v>
      </c>
      <c r="R28">
        <f t="shared" si="6"/>
        <v>0.94111111111111101</v>
      </c>
      <c r="S28">
        <f t="shared" si="7"/>
        <v>0.81599999999999961</v>
      </c>
      <c r="AH28">
        <f t="shared" si="11"/>
        <v>9.4841306415938185</v>
      </c>
      <c r="AI28">
        <f t="shared" si="12"/>
        <v>39.682863768551528</v>
      </c>
      <c r="AJ28">
        <f t="shared" si="13"/>
        <v>62.596083599869516</v>
      </c>
      <c r="AL28">
        <f t="shared" si="14"/>
        <v>70.107734967398159</v>
      </c>
      <c r="AM28">
        <f t="shared" si="15"/>
        <v>32.171212401022885</v>
      </c>
    </row>
    <row r="29" spans="1:39" ht="16.5" x14ac:dyDescent="0.25">
      <c r="A29" s="1">
        <v>45663</v>
      </c>
      <c r="B29" s="5">
        <v>54.52</v>
      </c>
      <c r="C29" s="4">
        <v>52.5</v>
      </c>
      <c r="D29" s="4">
        <v>54.8</v>
      </c>
      <c r="E29" s="4">
        <v>52.24</v>
      </c>
      <c r="F29" s="4" t="s">
        <v>1480</v>
      </c>
      <c r="G29" s="2" t="s">
        <v>1790</v>
      </c>
      <c r="I29">
        <f t="shared" si="0"/>
        <v>51.023684210526312</v>
      </c>
      <c r="J29">
        <f t="shared" si="1"/>
        <v>48.167749999999998</v>
      </c>
      <c r="L29">
        <f t="shared" si="2"/>
        <v>1</v>
      </c>
      <c r="M29">
        <f t="shared" si="3"/>
        <v>0</v>
      </c>
      <c r="O29">
        <f t="shared" si="4"/>
        <v>2.0200000000000031</v>
      </c>
      <c r="P29">
        <f t="shared" si="5"/>
        <v>0</v>
      </c>
      <c r="R29">
        <f t="shared" si="6"/>
        <v>1.3630000000000002</v>
      </c>
      <c r="S29">
        <f t="shared" si="7"/>
        <v>0.75999999999999979</v>
      </c>
      <c r="AH29">
        <f t="shared" si="11"/>
        <v>9.3981518031902542</v>
      </c>
      <c r="AI29">
        <f t="shared" si="12"/>
        <v>39.567074294867325</v>
      </c>
      <c r="AJ29">
        <f t="shared" si="13"/>
        <v>62.480294126185299</v>
      </c>
      <c r="AL29">
        <f t="shared" si="14"/>
        <v>69.819987816906817</v>
      </c>
      <c r="AM29">
        <f t="shared" si="15"/>
        <v>32.227380604145807</v>
      </c>
    </row>
    <row r="30" spans="1:39" ht="16.5" x14ac:dyDescent="0.25">
      <c r="A30" s="1">
        <v>45660</v>
      </c>
      <c r="B30" s="5">
        <v>51.98</v>
      </c>
      <c r="C30" s="4">
        <v>51.1</v>
      </c>
      <c r="D30" s="4">
        <v>51.98</v>
      </c>
      <c r="E30" s="4">
        <v>50.2</v>
      </c>
      <c r="F30" s="4" t="s">
        <v>1510</v>
      </c>
      <c r="G30" s="2" t="s">
        <v>1791</v>
      </c>
      <c r="I30">
        <f t="shared" si="0"/>
        <v>50.851052631578945</v>
      </c>
      <c r="J30">
        <f t="shared" si="1"/>
        <v>47.771000000000001</v>
      </c>
      <c r="L30">
        <f t="shared" si="2"/>
        <v>1</v>
      </c>
      <c r="M30">
        <f t="shared" si="3"/>
        <v>0</v>
      </c>
      <c r="O30">
        <f t="shared" si="4"/>
        <v>0.87999999999999545</v>
      </c>
      <c r="P30">
        <f t="shared" si="5"/>
        <v>0</v>
      </c>
      <c r="R30">
        <f t="shared" si="6"/>
        <v>1.29</v>
      </c>
      <c r="S30">
        <f t="shared" si="7"/>
        <v>0.96199999999999908</v>
      </c>
      <c r="AH30">
        <f t="shared" si="11"/>
        <v>9.311392114626365</v>
      </c>
      <c r="AI30">
        <f t="shared" si="12"/>
        <v>39.394442715919951</v>
      </c>
      <c r="AJ30">
        <f t="shared" si="13"/>
        <v>62.307662547237939</v>
      </c>
      <c r="AL30">
        <f t="shared" si="14"/>
        <v>69.473836860831682</v>
      </c>
      <c r="AM30">
        <f t="shared" si="15"/>
        <v>32.228268402326215</v>
      </c>
    </row>
    <row r="31" spans="1:39" ht="16.5" x14ac:dyDescent="0.25">
      <c r="A31" s="1">
        <v>45659</v>
      </c>
      <c r="B31" s="5">
        <v>50.84</v>
      </c>
      <c r="C31" s="4">
        <v>50.32</v>
      </c>
      <c r="D31" s="4">
        <v>51.22</v>
      </c>
      <c r="E31" s="4">
        <v>49.24</v>
      </c>
      <c r="F31" s="4" t="s">
        <v>738</v>
      </c>
      <c r="G31" s="2" t="s">
        <v>249</v>
      </c>
      <c r="I31">
        <f t="shared" si="0"/>
        <v>50.82578947368421</v>
      </c>
      <c r="J31">
        <f t="shared" si="1"/>
        <v>47.429249999999996</v>
      </c>
      <c r="L31">
        <f t="shared" si="2"/>
        <v>1</v>
      </c>
      <c r="M31">
        <f t="shared" si="3"/>
        <v>0</v>
      </c>
      <c r="O31">
        <f t="shared" si="4"/>
        <v>0.52000000000000313</v>
      </c>
      <c r="P31">
        <f t="shared" si="5"/>
        <v>0</v>
      </c>
      <c r="R31">
        <f t="shared" si="6"/>
        <v>1.3412500000000005</v>
      </c>
      <c r="S31">
        <f t="shared" si="7"/>
        <v>0.84166666666666623</v>
      </c>
      <c r="AH31">
        <f t="shared" si="11"/>
        <v>9.2241982842899848</v>
      </c>
      <c r="AI31">
        <f t="shared" si="12"/>
        <v>39.369179558025223</v>
      </c>
      <c r="AJ31">
        <f t="shared" si="13"/>
        <v>62.282399389343198</v>
      </c>
      <c r="AL31">
        <f t="shared" si="14"/>
        <v>69.274186042264176</v>
      </c>
      <c r="AM31">
        <f t="shared" si="15"/>
        <v>32.377392905104244</v>
      </c>
    </row>
    <row r="32" spans="1:39" ht="16.5" x14ac:dyDescent="0.25">
      <c r="A32" s="1">
        <v>45656</v>
      </c>
      <c r="B32" s="5">
        <v>50.38</v>
      </c>
      <c r="C32" s="4">
        <v>49.75</v>
      </c>
      <c r="D32" s="4">
        <v>50.38</v>
      </c>
      <c r="E32" s="4">
        <v>49.36</v>
      </c>
      <c r="F32" s="4" t="s">
        <v>457</v>
      </c>
      <c r="G32" s="2" t="s">
        <v>706</v>
      </c>
      <c r="I32">
        <f t="shared" si="0"/>
        <v>50.835263157894737</v>
      </c>
      <c r="J32">
        <f t="shared" si="1"/>
        <v>47.096499999999999</v>
      </c>
      <c r="L32">
        <f t="shared" si="2"/>
        <v>1</v>
      </c>
      <c r="M32">
        <f t="shared" si="3"/>
        <v>0</v>
      </c>
      <c r="O32">
        <f t="shared" si="4"/>
        <v>0.63000000000000256</v>
      </c>
      <c r="P32">
        <f t="shared" si="5"/>
        <v>0</v>
      </c>
      <c r="R32">
        <f t="shared" si="6"/>
        <v>1.4585714285714286</v>
      </c>
      <c r="S32">
        <f t="shared" si="7"/>
        <v>0.88428571428571401</v>
      </c>
      <c r="AH32">
        <f t="shared" si="11"/>
        <v>9.1355914475883484</v>
      </c>
      <c r="AI32">
        <f t="shared" si="12"/>
        <v>39.378653242235742</v>
      </c>
      <c r="AJ32">
        <f t="shared" si="13"/>
        <v>62.291873073553731</v>
      </c>
      <c r="AL32">
        <f t="shared" si="14"/>
        <v>69.106446053071437</v>
      </c>
      <c r="AM32">
        <f t="shared" si="15"/>
        <v>32.564080262718036</v>
      </c>
    </row>
    <row r="33" spans="1:39" ht="16.5" x14ac:dyDescent="0.25">
      <c r="A33" s="1">
        <v>45653</v>
      </c>
      <c r="B33" s="5">
        <v>50.08</v>
      </c>
      <c r="C33" s="4">
        <v>51</v>
      </c>
      <c r="D33" s="4">
        <v>51.52</v>
      </c>
      <c r="E33" s="4">
        <v>50.02</v>
      </c>
      <c r="F33" s="4" t="s">
        <v>1564</v>
      </c>
      <c r="G33" s="2" t="s">
        <v>178</v>
      </c>
      <c r="I33">
        <f t="shared" si="0"/>
        <v>50.833157894736843</v>
      </c>
      <c r="J33">
        <f t="shared" si="1"/>
        <v>46.783749999999998</v>
      </c>
      <c r="L33">
        <f t="shared" si="2"/>
        <v>0</v>
      </c>
      <c r="M33">
        <f t="shared" si="3"/>
        <v>1</v>
      </c>
      <c r="O33">
        <f t="shared" si="4"/>
        <v>0</v>
      </c>
      <c r="P33">
        <f t="shared" si="5"/>
        <v>0.92000000000000171</v>
      </c>
      <c r="R33">
        <f t="shared" si="6"/>
        <v>1.5285714285714289</v>
      </c>
      <c r="S33">
        <f t="shared" si="7"/>
        <v>0.88428571428571401</v>
      </c>
      <c r="AH33">
        <f t="shared" si="11"/>
        <v>9.0452934560741056</v>
      </c>
      <c r="AI33">
        <f t="shared" si="12"/>
        <v>39.376547979077856</v>
      </c>
      <c r="AJ33">
        <f t="shared" si="13"/>
        <v>62.28976781039583</v>
      </c>
      <c r="AL33">
        <f t="shared" si="14"/>
        <v>68.923744806885054</v>
      </c>
      <c r="AM33">
        <f t="shared" si="15"/>
        <v>32.742570982588632</v>
      </c>
    </row>
    <row r="34" spans="1:39" ht="16.5" x14ac:dyDescent="0.25">
      <c r="A34" s="1">
        <v>45649</v>
      </c>
      <c r="B34" s="5">
        <v>51.12</v>
      </c>
      <c r="C34" s="4">
        <v>50.74</v>
      </c>
      <c r="D34" s="4">
        <v>51.74</v>
      </c>
      <c r="E34" s="4">
        <v>50.52</v>
      </c>
      <c r="F34" s="4" t="s">
        <v>33</v>
      </c>
      <c r="G34" s="2" t="s">
        <v>568</v>
      </c>
      <c r="I34">
        <f t="shared" si="0"/>
        <v>50.753684210526316</v>
      </c>
      <c r="J34">
        <f t="shared" si="1"/>
        <v>46.483750000000001</v>
      </c>
      <c r="L34">
        <f t="shared" si="2"/>
        <v>1</v>
      </c>
      <c r="M34">
        <f t="shared" si="3"/>
        <v>0</v>
      </c>
      <c r="O34">
        <f t="shared" si="4"/>
        <v>0.37999999999999545</v>
      </c>
      <c r="P34">
        <f t="shared" si="5"/>
        <v>0</v>
      </c>
      <c r="R34">
        <f t="shared" si="6"/>
        <v>1.3650000000000002</v>
      </c>
      <c r="S34">
        <f t="shared" si="7"/>
        <v>0.87833333333333263</v>
      </c>
      <c r="AH34">
        <f t="shared" si="11"/>
        <v>8.9533236352447201</v>
      </c>
      <c r="AI34">
        <f t="shared" si="12"/>
        <v>39.297074294867329</v>
      </c>
      <c r="AJ34">
        <f t="shared" si="13"/>
        <v>62.210294126185303</v>
      </c>
      <c r="AL34">
        <f t="shared" si="14"/>
        <v>68.66033148101576</v>
      </c>
      <c r="AM34">
        <f t="shared" si="15"/>
        <v>32.847036940036872</v>
      </c>
    </row>
    <row r="35" spans="1:39" ht="16.5" x14ac:dyDescent="0.25">
      <c r="A35" s="1">
        <v>45646</v>
      </c>
      <c r="B35" s="5">
        <v>50.7</v>
      </c>
      <c r="C35" s="4">
        <v>49.35</v>
      </c>
      <c r="D35" s="4">
        <v>51.18</v>
      </c>
      <c r="E35" s="4">
        <v>49.22</v>
      </c>
      <c r="F35" s="4" t="s">
        <v>1595</v>
      </c>
      <c r="G35" s="2" t="s">
        <v>65</v>
      </c>
      <c r="I35">
        <f t="shared" si="0"/>
        <v>50.608421052631584</v>
      </c>
      <c r="J35">
        <f t="shared" si="1"/>
        <v>46.154499999999999</v>
      </c>
      <c r="L35">
        <f t="shared" si="2"/>
        <v>1</v>
      </c>
      <c r="M35">
        <f t="shared" si="3"/>
        <v>0</v>
      </c>
      <c r="O35">
        <f t="shared" si="4"/>
        <v>1.3500000000000014</v>
      </c>
      <c r="P35">
        <f t="shared" si="5"/>
        <v>0</v>
      </c>
      <c r="R35">
        <f t="shared" si="6"/>
        <v>1.3500000000000014</v>
      </c>
      <c r="S35">
        <f t="shared" si="7"/>
        <v>0.87833333333333263</v>
      </c>
      <c r="AH35">
        <f t="shared" si="11"/>
        <v>8.8601532414668593</v>
      </c>
      <c r="AI35">
        <f t="shared" si="12"/>
        <v>39.151811136972597</v>
      </c>
      <c r="AJ35">
        <f t="shared" si="13"/>
        <v>62.065030968290571</v>
      </c>
      <c r="AL35">
        <f t="shared" si="14"/>
        <v>68.328727535565307</v>
      </c>
      <c r="AM35">
        <f t="shared" si="15"/>
        <v>32.888114569697862</v>
      </c>
    </row>
    <row r="36" spans="1:39" ht="16.5" x14ac:dyDescent="0.25">
      <c r="A36" s="1">
        <v>45645</v>
      </c>
      <c r="B36" s="5">
        <v>50</v>
      </c>
      <c r="C36" s="4">
        <v>49.86</v>
      </c>
      <c r="D36" s="4">
        <v>51.2</v>
      </c>
      <c r="E36" s="4">
        <v>49.3</v>
      </c>
      <c r="F36" s="4" t="s">
        <v>1674</v>
      </c>
      <c r="G36" s="2" t="s">
        <v>1792</v>
      </c>
      <c r="I36">
        <f t="shared" si="0"/>
        <v>50.532105263157902</v>
      </c>
      <c r="J36">
        <f t="shared" si="1"/>
        <v>45.845750000000002</v>
      </c>
      <c r="L36">
        <f t="shared" si="2"/>
        <v>1</v>
      </c>
      <c r="M36">
        <f t="shared" si="3"/>
        <v>0</v>
      </c>
      <c r="O36">
        <f t="shared" si="4"/>
        <v>0.14000000000000057</v>
      </c>
      <c r="P36">
        <f t="shared" si="5"/>
        <v>0</v>
      </c>
      <c r="R36">
        <f t="shared" si="6"/>
        <v>1.2387500000000014</v>
      </c>
      <c r="S36">
        <f t="shared" si="7"/>
        <v>0.87833333333333263</v>
      </c>
      <c r="AH36">
        <f t="shared" si="11"/>
        <v>8.7661972014610239</v>
      </c>
      <c r="AI36">
        <f t="shared" si="12"/>
        <v>39.075495347498915</v>
      </c>
      <c r="AJ36">
        <f t="shared" si="13"/>
        <v>61.988715178816889</v>
      </c>
      <c r="AL36">
        <f t="shared" si="14"/>
        <v>68.064499666079953</v>
      </c>
      <c r="AM36">
        <f t="shared" si="15"/>
        <v>32.999710860235851</v>
      </c>
    </row>
    <row r="37" spans="1:39" ht="16.5" x14ac:dyDescent="0.25">
      <c r="A37" s="1">
        <v>45644</v>
      </c>
      <c r="B37" s="5">
        <v>51.22</v>
      </c>
      <c r="C37" s="4">
        <v>51.28</v>
      </c>
      <c r="D37" s="4">
        <v>52.68</v>
      </c>
      <c r="E37" s="4">
        <v>50.4</v>
      </c>
      <c r="F37" s="4" t="s">
        <v>1570</v>
      </c>
      <c r="G37" s="2" t="s">
        <v>98</v>
      </c>
      <c r="I37">
        <f t="shared" si="0"/>
        <v>50.445263157894736</v>
      </c>
      <c r="J37">
        <f t="shared" si="1"/>
        <v>45.52075</v>
      </c>
      <c r="L37">
        <f t="shared" si="2"/>
        <v>0</v>
      </c>
      <c r="M37">
        <f t="shared" si="3"/>
        <v>1</v>
      </c>
      <c r="O37">
        <f t="shared" si="4"/>
        <v>0</v>
      </c>
      <c r="P37">
        <f t="shared" si="5"/>
        <v>6.0000000000002274E-2</v>
      </c>
      <c r="R37">
        <f t="shared" si="6"/>
        <v>1.2887500000000021</v>
      </c>
      <c r="S37">
        <f t="shared" si="7"/>
        <v>0.87833333333333263</v>
      </c>
      <c r="AH37">
        <f t="shared" si="11"/>
        <v>8.6709478118678955</v>
      </c>
      <c r="AI37">
        <f t="shared" si="12"/>
        <v>38.988653242235742</v>
      </c>
      <c r="AJ37">
        <f t="shared" si="13"/>
        <v>61.90187307355373</v>
      </c>
      <c r="AL37">
        <f t="shared" si="14"/>
        <v>67.787158781630524</v>
      </c>
      <c r="AM37">
        <f t="shared" si="15"/>
        <v>33.103367534158949</v>
      </c>
    </row>
    <row r="38" spans="1:39" ht="16.5" x14ac:dyDescent="0.25">
      <c r="A38" s="1">
        <v>45643</v>
      </c>
      <c r="B38" s="5">
        <v>51.1</v>
      </c>
      <c r="C38" s="4">
        <v>51.02</v>
      </c>
      <c r="D38" s="4">
        <v>51.58</v>
      </c>
      <c r="E38" s="4">
        <v>50.3</v>
      </c>
      <c r="F38" s="4" t="s">
        <v>1590</v>
      </c>
      <c r="G38" s="2" t="s">
        <v>365</v>
      </c>
      <c r="I38">
        <f t="shared" si="0"/>
        <v>50.237368421052636</v>
      </c>
      <c r="J38">
        <f t="shared" si="1"/>
        <v>45.146250000000002</v>
      </c>
      <c r="L38">
        <f t="shared" si="2"/>
        <v>1</v>
      </c>
      <c r="M38">
        <f t="shared" si="3"/>
        <v>0</v>
      </c>
      <c r="O38">
        <f t="shared" si="4"/>
        <v>7.9999999999998295E-2</v>
      </c>
      <c r="P38">
        <f t="shared" si="5"/>
        <v>0</v>
      </c>
      <c r="R38">
        <f t="shared" si="6"/>
        <v>1.3066666666666689</v>
      </c>
      <c r="S38">
        <f t="shared" si="7"/>
        <v>1.0419999999999987</v>
      </c>
      <c r="AH38">
        <f t="shared" si="11"/>
        <v>8.5744341951377745</v>
      </c>
      <c r="AI38">
        <f t="shared" si="12"/>
        <v>38.780758505393649</v>
      </c>
      <c r="AJ38">
        <f t="shared" si="13"/>
        <v>61.693978336711623</v>
      </c>
      <c r="AL38">
        <f t="shared" si="14"/>
        <v>67.386236811328189</v>
      </c>
      <c r="AM38">
        <f t="shared" si="15"/>
        <v>33.088500030777084</v>
      </c>
    </row>
    <row r="39" spans="1:39" ht="16.5" x14ac:dyDescent="0.25">
      <c r="A39" s="1">
        <v>45642</v>
      </c>
      <c r="B39" s="5">
        <v>51.1</v>
      </c>
      <c r="C39" s="4">
        <v>48.63</v>
      </c>
      <c r="D39" s="4">
        <v>51.36</v>
      </c>
      <c r="E39" s="4">
        <v>48.61</v>
      </c>
      <c r="F39" s="4" t="s">
        <v>1439</v>
      </c>
      <c r="G39" s="2" t="s">
        <v>1793</v>
      </c>
      <c r="I39">
        <f t="shared" si="0"/>
        <v>49.948947368421059</v>
      </c>
      <c r="J39">
        <f t="shared" si="1"/>
        <v>44.780749999999998</v>
      </c>
      <c r="L39">
        <f t="shared" si="2"/>
        <v>1</v>
      </c>
      <c r="M39">
        <f t="shared" si="3"/>
        <v>0</v>
      </c>
      <c r="O39">
        <f t="shared" si="4"/>
        <v>2.4699999999999989</v>
      </c>
      <c r="P39">
        <f t="shared" si="5"/>
        <v>0</v>
      </c>
      <c r="R39">
        <f t="shared" si="6"/>
        <v>1.318888888888891</v>
      </c>
      <c r="S39">
        <f t="shared" si="7"/>
        <v>1.0419999999999987</v>
      </c>
      <c r="AH39">
        <f t="shared" si="11"/>
        <v>8.4774782628293828</v>
      </c>
      <c r="AI39">
        <f t="shared" si="12"/>
        <v>38.492337452762072</v>
      </c>
      <c r="AJ39">
        <f t="shared" si="13"/>
        <v>61.405557284080047</v>
      </c>
      <c r="AL39">
        <f t="shared" si="14"/>
        <v>66.903903894079832</v>
      </c>
      <c r="AM39">
        <f t="shared" si="15"/>
        <v>32.993990842762294</v>
      </c>
    </row>
    <row r="40" spans="1:39" ht="16.5" x14ac:dyDescent="0.25">
      <c r="A40" s="1">
        <v>45639</v>
      </c>
      <c r="B40" s="5">
        <v>48.88</v>
      </c>
      <c r="C40" s="4">
        <v>49.34</v>
      </c>
      <c r="D40" s="4">
        <v>50.14</v>
      </c>
      <c r="E40" s="4">
        <v>48.88</v>
      </c>
      <c r="F40" s="4" t="s">
        <v>1550</v>
      </c>
      <c r="G40" s="2" t="s">
        <v>632</v>
      </c>
      <c r="I40">
        <f t="shared" si="0"/>
        <v>49.66473684210527</v>
      </c>
      <c r="J40">
        <f t="shared" si="1"/>
        <v>44.418749999999996</v>
      </c>
      <c r="L40">
        <f t="shared" si="2"/>
        <v>0</v>
      </c>
      <c r="M40">
        <f t="shared" si="3"/>
        <v>1</v>
      </c>
      <c r="O40">
        <f t="shared" si="4"/>
        <v>0</v>
      </c>
      <c r="P40">
        <f t="shared" si="5"/>
        <v>0.46000000000000085</v>
      </c>
      <c r="R40">
        <f t="shared" si="6"/>
        <v>1.1750000000000025</v>
      </c>
      <c r="S40">
        <f t="shared" si="7"/>
        <v>0.98499999999999943</v>
      </c>
      <c r="AH40">
        <f t="shared" si="11"/>
        <v>8.3806444459617602</v>
      </c>
      <c r="AI40">
        <f t="shared" si="12"/>
        <v>38.208126926446283</v>
      </c>
      <c r="AJ40">
        <f t="shared" si="13"/>
        <v>61.121346757764258</v>
      </c>
      <c r="AL40">
        <f t="shared" si="14"/>
        <v>66.426025734028798</v>
      </c>
      <c r="AM40">
        <f t="shared" si="15"/>
        <v>32.90344795018175</v>
      </c>
    </row>
    <row r="41" spans="1:39" ht="16.5" x14ac:dyDescent="0.25">
      <c r="A41" s="1">
        <v>45638</v>
      </c>
      <c r="B41" s="5">
        <v>49.06</v>
      </c>
      <c r="C41" s="4">
        <v>50.66</v>
      </c>
      <c r="D41" s="4">
        <v>51.44</v>
      </c>
      <c r="E41" s="4">
        <v>48.51</v>
      </c>
      <c r="F41" s="4" t="s">
        <v>904</v>
      </c>
      <c r="G41" s="2" t="s">
        <v>1709</v>
      </c>
      <c r="I41">
        <f t="shared" si="0"/>
        <v>49.494210526315797</v>
      </c>
      <c r="J41">
        <f t="shared" si="1"/>
        <v>44.109749999999998</v>
      </c>
      <c r="L41">
        <f t="shared" si="2"/>
        <v>0</v>
      </c>
      <c r="M41">
        <f t="shared" si="3"/>
        <v>1</v>
      </c>
      <c r="O41">
        <f t="shared" si="4"/>
        <v>0</v>
      </c>
      <c r="P41">
        <f t="shared" si="5"/>
        <v>1.5999999999999943</v>
      </c>
      <c r="R41">
        <f t="shared" si="6"/>
        <v>1.1750000000000025</v>
      </c>
      <c r="S41">
        <f t="shared" si="7"/>
        <v>0.94166666666666643</v>
      </c>
      <c r="AH41">
        <f t="shared" si="11"/>
        <v>8.2839039155366638</v>
      </c>
      <c r="AI41">
        <f t="shared" si="12"/>
        <v>38.03760061065681</v>
      </c>
      <c r="AJ41">
        <f t="shared" si="13"/>
        <v>60.950820441974784</v>
      </c>
      <c r="AL41">
        <f t="shared" si="14"/>
        <v>66.062018357389121</v>
      </c>
      <c r="AM41">
        <f t="shared" si="15"/>
        <v>32.926402695242473</v>
      </c>
    </row>
    <row r="42" spans="1:39" ht="16.5" x14ac:dyDescent="0.25">
      <c r="A42" s="1">
        <v>45637</v>
      </c>
      <c r="B42" s="5">
        <v>51.06</v>
      </c>
      <c r="C42" s="4">
        <v>45.9</v>
      </c>
      <c r="D42" s="4">
        <v>51.3</v>
      </c>
      <c r="E42" s="4">
        <v>45.12</v>
      </c>
      <c r="F42" s="4" t="s">
        <v>1093</v>
      </c>
      <c r="G42" s="2" t="s">
        <v>1794</v>
      </c>
      <c r="I42">
        <f t="shared" si="0"/>
        <v>49.385263157894741</v>
      </c>
      <c r="J42">
        <f t="shared" si="1"/>
        <v>43.795249999999996</v>
      </c>
      <c r="L42">
        <f t="shared" si="2"/>
        <v>1</v>
      </c>
      <c r="M42">
        <f t="shared" si="3"/>
        <v>0</v>
      </c>
      <c r="O42">
        <f t="shared" si="4"/>
        <v>5.1600000000000037</v>
      </c>
      <c r="P42">
        <f t="shared" si="5"/>
        <v>0</v>
      </c>
      <c r="R42">
        <f t="shared" si="6"/>
        <v>1.16777777777778</v>
      </c>
      <c r="S42">
        <f t="shared" si="7"/>
        <v>0.81000000000000083</v>
      </c>
      <c r="AH42">
        <f t="shared" si="11"/>
        <v>8.1864285121486748</v>
      </c>
      <c r="AI42">
        <f t="shared" si="12"/>
        <v>37.928653242235754</v>
      </c>
      <c r="AJ42">
        <f t="shared" si="13"/>
        <v>60.841873073553728</v>
      </c>
      <c r="AL42">
        <f t="shared" si="14"/>
        <v>65.758120182192087</v>
      </c>
      <c r="AM42">
        <f t="shared" si="15"/>
        <v>33.012406133597395</v>
      </c>
    </row>
    <row r="43" spans="1:39" ht="16.5" x14ac:dyDescent="0.25">
      <c r="A43" s="1">
        <v>45636</v>
      </c>
      <c r="B43" s="5">
        <v>49.39</v>
      </c>
      <c r="C43" s="4">
        <v>51.16</v>
      </c>
      <c r="D43" s="4">
        <v>51.52</v>
      </c>
      <c r="E43" s="4">
        <v>48.51</v>
      </c>
      <c r="F43" s="4" t="s">
        <v>1333</v>
      </c>
      <c r="G43" s="2" t="s">
        <v>1795</v>
      </c>
      <c r="I43">
        <f t="shared" si="0"/>
        <v>49.13</v>
      </c>
      <c r="J43">
        <f t="shared" si="1"/>
        <v>43.393999999999991</v>
      </c>
      <c r="L43">
        <f t="shared" si="2"/>
        <v>0</v>
      </c>
      <c r="M43">
        <f t="shared" si="3"/>
        <v>1</v>
      </c>
      <c r="O43">
        <f t="shared" si="4"/>
        <v>0</v>
      </c>
      <c r="P43">
        <f t="shared" si="5"/>
        <v>1.769999999999996</v>
      </c>
      <c r="R43">
        <f t="shared" si="6"/>
        <v>0.79333333333333578</v>
      </c>
      <c r="S43">
        <f t="shared" si="7"/>
        <v>0.81000000000000083</v>
      </c>
      <c r="AH43">
        <f t="shared" si="11"/>
        <v>8.0877367988449045</v>
      </c>
      <c r="AI43">
        <f t="shared" si="12"/>
        <v>37.673390084341008</v>
      </c>
      <c r="AJ43">
        <f t="shared" si="13"/>
        <v>60.586609915658997</v>
      </c>
      <c r="AL43">
        <f t="shared" si="14"/>
        <v>65.305473597689812</v>
      </c>
      <c r="AM43">
        <f t="shared" si="15"/>
        <v>32.954526402310194</v>
      </c>
    </row>
    <row r="44" spans="1:39" ht="16.5" x14ac:dyDescent="0.25">
      <c r="A44" s="1">
        <v>45635</v>
      </c>
      <c r="B44" s="5">
        <v>51.64</v>
      </c>
      <c r="C44" s="4">
        <v>51.88</v>
      </c>
      <c r="D44" s="4">
        <v>52.82</v>
      </c>
      <c r="E44" s="4">
        <v>51.3</v>
      </c>
      <c r="F44" s="4" t="s">
        <v>400</v>
      </c>
      <c r="G44" s="2" t="s">
        <v>736</v>
      </c>
      <c r="I44">
        <f t="shared" si="0"/>
        <v>48.968947368421055</v>
      </c>
      <c r="J44">
        <f t="shared" si="1"/>
        <v>43.025999999999996</v>
      </c>
      <c r="L44">
        <f t="shared" si="2"/>
        <v>0</v>
      </c>
      <c r="M44">
        <f t="shared" si="3"/>
        <v>1</v>
      </c>
      <c r="O44">
        <f t="shared" si="4"/>
        <v>0</v>
      </c>
      <c r="P44">
        <f t="shared" si="5"/>
        <v>0.24000000000000199</v>
      </c>
      <c r="R44">
        <f t="shared" si="6"/>
        <v>0.79333333333333578</v>
      </c>
      <c r="S44">
        <f t="shared" si="7"/>
        <v>0.5120000000000019</v>
      </c>
      <c r="AH44">
        <f t="shared" si="11"/>
        <v>7.9888761960869381</v>
      </c>
      <c r="AI44">
        <f t="shared" si="12"/>
        <v>37.512337452762068</v>
      </c>
      <c r="AJ44">
        <f t="shared" si="13"/>
        <v>60.425557284080043</v>
      </c>
      <c r="AL44">
        <f t="shared" si="14"/>
        <v>64.946699760594925</v>
      </c>
      <c r="AM44">
        <f t="shared" si="15"/>
        <v>32.991194976247179</v>
      </c>
    </row>
    <row r="45" spans="1:39" ht="16.5" x14ac:dyDescent="0.25">
      <c r="A45" s="1">
        <v>45632</v>
      </c>
      <c r="B45" s="5">
        <v>51.86</v>
      </c>
      <c r="C45" s="4">
        <v>53</v>
      </c>
      <c r="D45" s="4">
        <v>53.04</v>
      </c>
      <c r="E45" s="4">
        <v>51.14</v>
      </c>
      <c r="F45" s="4" t="s">
        <v>1501</v>
      </c>
      <c r="G45" s="2" t="s">
        <v>1002</v>
      </c>
      <c r="I45">
        <f t="shared" si="0"/>
        <v>48.301052631578955</v>
      </c>
      <c r="J45">
        <f t="shared" si="1"/>
        <v>42.637999999999991</v>
      </c>
      <c r="L45">
        <f t="shared" si="2"/>
        <v>0</v>
      </c>
      <c r="M45">
        <f t="shared" si="3"/>
        <v>1</v>
      </c>
      <c r="O45">
        <f t="shared" si="4"/>
        <v>0</v>
      </c>
      <c r="P45">
        <f t="shared" si="5"/>
        <v>1.1400000000000006</v>
      </c>
      <c r="R45">
        <f t="shared" si="6"/>
        <v>0.79333333333333578</v>
      </c>
      <c r="S45">
        <f t="shared" si="7"/>
        <v>0.50400000000000067</v>
      </c>
      <c r="AH45">
        <f t="shared" si="11"/>
        <v>7.8891300759779872</v>
      </c>
      <c r="AI45">
        <f t="shared" si="12"/>
        <v>36.844442715919968</v>
      </c>
      <c r="AJ45">
        <f t="shared" si="13"/>
        <v>59.757662547237942</v>
      </c>
      <c r="AL45">
        <f t="shared" si="14"/>
        <v>64.079312783534931</v>
      </c>
      <c r="AM45">
        <f t="shared" si="15"/>
        <v>32.522792479622979</v>
      </c>
    </row>
    <row r="46" spans="1:39" ht="16.5" x14ac:dyDescent="0.25">
      <c r="A46" s="1">
        <v>45631</v>
      </c>
      <c r="B46" s="5">
        <v>53.02</v>
      </c>
      <c r="C46" s="4">
        <v>51.9</v>
      </c>
      <c r="D46" s="4">
        <v>53.3</v>
      </c>
      <c r="E46" s="4">
        <v>51.88</v>
      </c>
      <c r="F46" s="4" t="s">
        <v>1379</v>
      </c>
      <c r="G46" s="2" t="s">
        <v>1796</v>
      </c>
      <c r="I46">
        <f t="shared" si="0"/>
        <v>47.712631578947381</v>
      </c>
      <c r="J46">
        <f t="shared" si="1"/>
        <v>42.237249999999996</v>
      </c>
      <c r="L46">
        <f t="shared" si="2"/>
        <v>1</v>
      </c>
      <c r="M46">
        <f t="shared" si="3"/>
        <v>0</v>
      </c>
      <c r="O46">
        <f t="shared" si="4"/>
        <v>1.1200000000000045</v>
      </c>
      <c r="P46">
        <f t="shared" si="5"/>
        <v>0</v>
      </c>
      <c r="R46">
        <f t="shared" si="6"/>
        <v>0.79333333333333578</v>
      </c>
      <c r="S46">
        <f t="shared" si="7"/>
        <v>0.64200000000000013</v>
      </c>
      <c r="AH46">
        <f t="shared" si="11"/>
        <v>7.7922936704183972</v>
      </c>
      <c r="AI46">
        <f t="shared" si="12"/>
        <v>36.256021663288394</v>
      </c>
      <c r="AJ46">
        <f t="shared" si="13"/>
        <v>59.169241494606368</v>
      </c>
      <c r="AL46">
        <f t="shared" si="14"/>
        <v>63.297218919784171</v>
      </c>
      <c r="AM46">
        <f t="shared" si="15"/>
        <v>32.12804423811059</v>
      </c>
    </row>
    <row r="47" spans="1:39" ht="16.5" x14ac:dyDescent="0.25">
      <c r="A47" s="1">
        <v>45630</v>
      </c>
      <c r="B47" s="5">
        <v>51.5</v>
      </c>
      <c r="C47" s="4">
        <v>51.28</v>
      </c>
      <c r="D47" s="4">
        <v>52.72</v>
      </c>
      <c r="E47" s="4">
        <v>51.28</v>
      </c>
      <c r="F47" s="4" t="s">
        <v>1393</v>
      </c>
      <c r="G47" s="2" t="s">
        <v>491</v>
      </c>
      <c r="I47">
        <f t="shared" si="0"/>
        <v>47.002105263157901</v>
      </c>
      <c r="J47">
        <f t="shared" si="1"/>
        <v>41.778999999999989</v>
      </c>
      <c r="L47">
        <f t="shared" si="2"/>
        <v>1</v>
      </c>
      <c r="M47">
        <f t="shared" si="3"/>
        <v>0</v>
      </c>
      <c r="O47">
        <f t="shared" si="4"/>
        <v>0.21999999999999886</v>
      </c>
      <c r="P47">
        <f t="shared" si="5"/>
        <v>0</v>
      </c>
      <c r="R47">
        <f t="shared" si="6"/>
        <v>0.75666666666666849</v>
      </c>
      <c r="S47">
        <f t="shared" si="7"/>
        <v>0.64200000000000013</v>
      </c>
      <c r="AH47">
        <f t="shared" si="11"/>
        <v>7.6978205799008999</v>
      </c>
      <c r="AI47">
        <f t="shared" si="12"/>
        <v>35.545495347498914</v>
      </c>
      <c r="AJ47">
        <f t="shared" si="13"/>
        <v>58.458715178816888</v>
      </c>
      <c r="AL47">
        <f t="shared" si="14"/>
        <v>62.397746422959699</v>
      </c>
      <c r="AM47">
        <f t="shared" si="15"/>
        <v>31.606464103356103</v>
      </c>
    </row>
    <row r="48" spans="1:39" ht="16.5" x14ac:dyDescent="0.25">
      <c r="A48" s="1">
        <v>45629</v>
      </c>
      <c r="B48" s="5">
        <v>51.24</v>
      </c>
      <c r="C48" s="4">
        <v>50.98</v>
      </c>
      <c r="D48" s="4">
        <v>51.58</v>
      </c>
      <c r="E48" s="4">
        <v>50.42</v>
      </c>
      <c r="F48" s="4" t="s">
        <v>935</v>
      </c>
      <c r="G48" s="2" t="s">
        <v>508</v>
      </c>
      <c r="I48">
        <f t="shared" si="0"/>
        <v>46.318421052631585</v>
      </c>
      <c r="J48">
        <f t="shared" si="1"/>
        <v>41.381999999999991</v>
      </c>
      <c r="L48">
        <f t="shared" si="2"/>
        <v>1</v>
      </c>
      <c r="M48">
        <f t="shared" si="3"/>
        <v>0</v>
      </c>
      <c r="O48">
        <f t="shared" si="4"/>
        <v>0.26000000000000512</v>
      </c>
      <c r="P48">
        <f t="shared" si="5"/>
        <v>0</v>
      </c>
      <c r="R48">
        <f t="shared" si="6"/>
        <v>0.8237500000000022</v>
      </c>
      <c r="S48">
        <f t="shared" si="7"/>
        <v>0.60333333333333294</v>
      </c>
      <c r="AH48">
        <f t="shared" si="11"/>
        <v>7.6066548268905221</v>
      </c>
      <c r="AI48">
        <f t="shared" si="12"/>
        <v>34.861811136972591</v>
      </c>
      <c r="AJ48">
        <f t="shared" si="13"/>
        <v>57.775030968290579</v>
      </c>
      <c r="AL48">
        <f t="shared" si="14"/>
        <v>61.531730706412631</v>
      </c>
      <c r="AM48">
        <f t="shared" si="15"/>
        <v>31.105111398850539</v>
      </c>
    </row>
    <row r="49" spans="1:39" ht="16.5" x14ac:dyDescent="0.25">
      <c r="A49" s="1">
        <v>45628</v>
      </c>
      <c r="B49" s="5">
        <v>51.5</v>
      </c>
      <c r="C49" s="4">
        <v>51.04</v>
      </c>
      <c r="D49" s="4">
        <v>51.56</v>
      </c>
      <c r="E49" s="4">
        <v>50.12</v>
      </c>
      <c r="F49" s="4" t="s">
        <v>1504</v>
      </c>
      <c r="G49" s="2" t="s">
        <v>368</v>
      </c>
      <c r="I49">
        <f t="shared" si="0"/>
        <v>45.635263157894741</v>
      </c>
      <c r="J49">
        <f t="shared" si="1"/>
        <v>40.98749999999999</v>
      </c>
      <c r="L49">
        <f t="shared" si="2"/>
        <v>1</v>
      </c>
      <c r="M49">
        <f t="shared" si="3"/>
        <v>0</v>
      </c>
      <c r="O49">
        <f t="shared" si="4"/>
        <v>0.46000000000000085</v>
      </c>
      <c r="P49">
        <f t="shared" si="5"/>
        <v>0</v>
      </c>
      <c r="R49">
        <f t="shared" si="6"/>
        <v>1.1450000000000014</v>
      </c>
      <c r="S49">
        <f t="shared" si="7"/>
        <v>0.60333333333333294</v>
      </c>
      <c r="AH49">
        <f t="shared" si="11"/>
        <v>7.5186399065866851</v>
      </c>
      <c r="AI49">
        <f t="shared" si="12"/>
        <v>34.178653242235754</v>
      </c>
      <c r="AJ49">
        <f t="shared" si="13"/>
        <v>57.091873073553728</v>
      </c>
      <c r="AL49">
        <f t="shared" si="14"/>
        <v>60.672542971068111</v>
      </c>
      <c r="AM49">
        <f t="shared" si="15"/>
        <v>30.597983344721371</v>
      </c>
    </row>
    <row r="50" spans="1:39" ht="16.5" x14ac:dyDescent="0.25">
      <c r="A50" s="1">
        <v>45625</v>
      </c>
      <c r="B50" s="5">
        <v>51.02</v>
      </c>
      <c r="C50" s="4">
        <v>50.48</v>
      </c>
      <c r="D50" s="4">
        <v>51.02</v>
      </c>
      <c r="E50" s="4">
        <v>49.92</v>
      </c>
      <c r="F50" s="4" t="s">
        <v>1384</v>
      </c>
      <c r="G50" s="2" t="s">
        <v>1394</v>
      </c>
      <c r="I50">
        <f t="shared" si="0"/>
        <v>44.974736842105266</v>
      </c>
      <c r="J50">
        <f t="shared" si="1"/>
        <v>40.581249999999997</v>
      </c>
      <c r="L50">
        <f t="shared" si="2"/>
        <v>1</v>
      </c>
      <c r="M50">
        <f t="shared" si="3"/>
        <v>0</v>
      </c>
      <c r="O50">
        <f t="shared" si="4"/>
        <v>0.54000000000000625</v>
      </c>
      <c r="P50">
        <f t="shared" si="5"/>
        <v>0</v>
      </c>
      <c r="R50">
        <f t="shared" si="6"/>
        <v>1.2428571428571442</v>
      </c>
      <c r="S50">
        <f t="shared" si="7"/>
        <v>0.80999999999999928</v>
      </c>
      <c r="AH50">
        <f t="shared" si="11"/>
        <v>7.4338089185626233</v>
      </c>
      <c r="AI50">
        <f t="shared" si="12"/>
        <v>33.518126926446271</v>
      </c>
      <c r="AJ50">
        <f t="shared" si="13"/>
        <v>56.43134675776426</v>
      </c>
      <c r="AL50">
        <f t="shared" si="14"/>
        <v>59.84235467923051</v>
      </c>
      <c r="AM50">
        <f t="shared" si="15"/>
        <v>30.107119004980021</v>
      </c>
    </row>
    <row r="51" spans="1:39" ht="16.5" x14ac:dyDescent="0.25">
      <c r="A51" s="1">
        <v>45624</v>
      </c>
      <c r="B51" s="5">
        <v>50.34</v>
      </c>
      <c r="C51" s="4">
        <v>48.89</v>
      </c>
      <c r="D51" s="4">
        <v>50.5</v>
      </c>
      <c r="E51" s="4">
        <v>48.66</v>
      </c>
      <c r="F51" s="4" t="s">
        <v>1468</v>
      </c>
      <c r="G51" s="2" t="s">
        <v>1797</v>
      </c>
      <c r="I51">
        <f t="shared" si="0"/>
        <v>44.323684210526316</v>
      </c>
      <c r="J51">
        <f t="shared" si="1"/>
        <v>40.189499999999995</v>
      </c>
      <c r="L51">
        <f t="shared" si="2"/>
        <v>1</v>
      </c>
      <c r="M51">
        <f t="shared" si="3"/>
        <v>0</v>
      </c>
      <c r="O51">
        <f t="shared" si="4"/>
        <v>1.4500000000000028</v>
      </c>
      <c r="P51">
        <f t="shared" si="5"/>
        <v>0</v>
      </c>
      <c r="R51">
        <f t="shared" si="6"/>
        <v>1.2628571428571433</v>
      </c>
      <c r="S51">
        <f t="shared" si="7"/>
        <v>0.80999999999999928</v>
      </c>
      <c r="AH51">
        <f t="shared" si="11"/>
        <v>7.3520333910269402</v>
      </c>
      <c r="AI51">
        <f t="shared" si="12"/>
        <v>32.867074294867322</v>
      </c>
      <c r="AJ51">
        <f t="shared" si="13"/>
        <v>55.780294126185311</v>
      </c>
      <c r="AL51">
        <f t="shared" si="14"/>
        <v>59.027750992580195</v>
      </c>
      <c r="AM51">
        <f t="shared" si="15"/>
        <v>29.619617428472438</v>
      </c>
    </row>
    <row r="52" spans="1:39" ht="16.5" x14ac:dyDescent="0.25">
      <c r="A52" s="1">
        <v>45623</v>
      </c>
      <c r="B52" s="5">
        <v>48.57</v>
      </c>
      <c r="C52" s="4">
        <v>48.38</v>
      </c>
      <c r="D52" s="4">
        <v>49.13</v>
      </c>
      <c r="E52" s="4">
        <v>47.98</v>
      </c>
      <c r="F52" s="4" t="s">
        <v>58</v>
      </c>
      <c r="G52" s="2" t="s">
        <v>251</v>
      </c>
      <c r="I52">
        <f t="shared" si="0"/>
        <v>43.690526315789469</v>
      </c>
      <c r="J52">
        <f t="shared" si="1"/>
        <v>39.785749999999993</v>
      </c>
      <c r="L52">
        <f t="shared" si="2"/>
        <v>1</v>
      </c>
      <c r="M52">
        <f t="shared" si="3"/>
        <v>0</v>
      </c>
      <c r="O52">
        <f t="shared" si="4"/>
        <v>0.18999999999999773</v>
      </c>
      <c r="P52">
        <f t="shared" si="5"/>
        <v>0</v>
      </c>
      <c r="R52">
        <f t="shared" si="6"/>
        <v>1.1471428571428572</v>
      </c>
      <c r="S52">
        <f t="shared" si="7"/>
        <v>0.80999999999999928</v>
      </c>
      <c r="AH52">
        <f t="shared" si="11"/>
        <v>7.2732771242994572</v>
      </c>
      <c r="AI52">
        <f t="shared" si="12"/>
        <v>32.233916400130482</v>
      </c>
      <c r="AJ52">
        <f t="shared" si="13"/>
        <v>55.147136231448457</v>
      </c>
      <c r="AL52">
        <f t="shared" si="14"/>
        <v>58.237080564388386</v>
      </c>
      <c r="AM52">
        <f t="shared" si="15"/>
        <v>29.143972067190553</v>
      </c>
    </row>
    <row r="53" spans="1:39" ht="16.5" x14ac:dyDescent="0.25">
      <c r="A53" s="1">
        <v>45622</v>
      </c>
      <c r="B53" s="5">
        <v>48.36</v>
      </c>
      <c r="C53" s="4">
        <v>49.06</v>
      </c>
      <c r="D53" s="4">
        <v>49.31</v>
      </c>
      <c r="E53" s="4">
        <v>47.86</v>
      </c>
      <c r="F53" s="4" t="s">
        <v>1393</v>
      </c>
      <c r="G53" s="2" t="s">
        <v>611</v>
      </c>
      <c r="I53">
        <f t="shared" si="0"/>
        <v>43.109473684210521</v>
      </c>
      <c r="J53">
        <f t="shared" si="1"/>
        <v>39.421249999999993</v>
      </c>
      <c r="L53">
        <f t="shared" si="2"/>
        <v>0</v>
      </c>
      <c r="M53">
        <f t="shared" si="3"/>
        <v>1</v>
      </c>
      <c r="O53">
        <f t="shared" si="4"/>
        <v>0</v>
      </c>
      <c r="P53">
        <f t="shared" si="5"/>
        <v>0.70000000000000284</v>
      </c>
      <c r="R53">
        <f t="shared" si="6"/>
        <v>1.2957142857142858</v>
      </c>
      <c r="S53">
        <f t="shared" si="7"/>
        <v>0.80999999999999928</v>
      </c>
      <c r="AH53">
        <f t="shared" si="11"/>
        <v>7.1974427213148333</v>
      </c>
      <c r="AI53">
        <f t="shared" si="12"/>
        <v>31.65286376855153</v>
      </c>
      <c r="AJ53">
        <f t="shared" si="13"/>
        <v>54.566083599869515</v>
      </c>
      <c r="AL53">
        <f t="shared" si="14"/>
        <v>57.504359126840185</v>
      </c>
      <c r="AM53">
        <f t="shared" si="15"/>
        <v>28.714588241580856</v>
      </c>
    </row>
    <row r="54" spans="1:39" ht="16.5" x14ac:dyDescent="0.25">
      <c r="A54" s="1">
        <v>45621</v>
      </c>
      <c r="B54" s="5">
        <v>49.25</v>
      </c>
      <c r="C54" s="4">
        <v>49.45</v>
      </c>
      <c r="D54" s="4">
        <v>49.94</v>
      </c>
      <c r="E54" s="4">
        <v>48.43</v>
      </c>
      <c r="F54" s="4" t="s">
        <v>1038</v>
      </c>
      <c r="G54" s="2" t="s">
        <v>1288</v>
      </c>
      <c r="I54">
        <f t="shared" si="0"/>
        <v>42.557368421052637</v>
      </c>
      <c r="J54">
        <f t="shared" si="1"/>
        <v>39.060999999999993</v>
      </c>
      <c r="L54">
        <f t="shared" si="2"/>
        <v>0</v>
      </c>
      <c r="M54">
        <f t="shared" si="3"/>
        <v>1</v>
      </c>
      <c r="O54">
        <f t="shared" si="4"/>
        <v>0</v>
      </c>
      <c r="P54">
        <f t="shared" si="5"/>
        <v>0.20000000000000284</v>
      </c>
      <c r="R54">
        <f t="shared" si="6"/>
        <v>1.2957142857142858</v>
      </c>
      <c r="S54">
        <f t="shared" si="7"/>
        <v>0.74428571428571344</v>
      </c>
      <c r="AH54">
        <f t="shared" si="11"/>
        <v>7.1241950765423345</v>
      </c>
      <c r="AI54">
        <f t="shared" si="12"/>
        <v>31.100758505393646</v>
      </c>
      <c r="AJ54">
        <f t="shared" si="13"/>
        <v>54.013978336711631</v>
      </c>
      <c r="AL54">
        <f t="shared" si="14"/>
        <v>56.805758574137307</v>
      </c>
      <c r="AM54">
        <f t="shared" si="15"/>
        <v>28.308978267967966</v>
      </c>
    </row>
    <row r="55" spans="1:39" ht="16.5" x14ac:dyDescent="0.25">
      <c r="A55" s="1">
        <v>45618</v>
      </c>
      <c r="B55" s="5">
        <v>48.35</v>
      </c>
      <c r="C55" s="4">
        <v>47.24</v>
      </c>
      <c r="D55" s="4">
        <v>48.7</v>
      </c>
      <c r="E55" s="4">
        <v>47.13</v>
      </c>
      <c r="F55" s="4" t="s">
        <v>1494</v>
      </c>
      <c r="G55" s="2" t="s">
        <v>112</v>
      </c>
      <c r="I55">
        <f t="shared" si="0"/>
        <v>41.969473684210527</v>
      </c>
      <c r="J55">
        <f t="shared" si="1"/>
        <v>38.656500000000001</v>
      </c>
      <c r="L55">
        <f t="shared" si="2"/>
        <v>1</v>
      </c>
      <c r="M55">
        <f t="shared" si="3"/>
        <v>0</v>
      </c>
      <c r="O55">
        <f t="shared" si="4"/>
        <v>1.1099999999999994</v>
      </c>
      <c r="P55">
        <f t="shared" si="5"/>
        <v>0</v>
      </c>
      <c r="R55">
        <f t="shared" si="6"/>
        <v>1.21</v>
      </c>
      <c r="S55">
        <f t="shared" si="7"/>
        <v>0.83499999999999852</v>
      </c>
      <c r="AH55">
        <f t="shared" si="11"/>
        <v>7.053360818185296</v>
      </c>
      <c r="AI55">
        <f t="shared" si="12"/>
        <v>30.512863768551536</v>
      </c>
      <c r="AJ55">
        <f t="shared" si="13"/>
        <v>53.426083599869514</v>
      </c>
      <c r="AL55">
        <f t="shared" si="14"/>
        <v>56.076195320581121</v>
      </c>
      <c r="AM55">
        <f t="shared" si="15"/>
        <v>27.862752047839933</v>
      </c>
    </row>
    <row r="56" spans="1:39" ht="16.5" x14ac:dyDescent="0.25">
      <c r="A56" s="1">
        <v>45617</v>
      </c>
      <c r="B56" s="5">
        <v>47.27</v>
      </c>
      <c r="C56" s="4">
        <v>45.48</v>
      </c>
      <c r="D56" s="4">
        <v>47.27</v>
      </c>
      <c r="E56" s="4">
        <v>44.94</v>
      </c>
      <c r="F56" s="4" t="s">
        <v>1520</v>
      </c>
      <c r="G56" s="2" t="s">
        <v>1798</v>
      </c>
      <c r="I56">
        <f t="shared" si="0"/>
        <v>41.422105263157896</v>
      </c>
      <c r="J56">
        <f t="shared" si="1"/>
        <v>38.270249999999997</v>
      </c>
      <c r="L56">
        <f t="shared" si="2"/>
        <v>1</v>
      </c>
      <c r="M56">
        <f t="shared" si="3"/>
        <v>0</v>
      </c>
      <c r="O56">
        <f t="shared" si="4"/>
        <v>1.7900000000000063</v>
      </c>
      <c r="P56">
        <f t="shared" si="5"/>
        <v>0</v>
      </c>
      <c r="R56">
        <f t="shared" si="6"/>
        <v>1.1112500000000001</v>
      </c>
      <c r="S56">
        <f t="shared" si="7"/>
        <v>0.83499999999999852</v>
      </c>
      <c r="AH56">
        <f t="shared" si="11"/>
        <v>6.9852063431630729</v>
      </c>
      <c r="AI56">
        <f t="shared" si="12"/>
        <v>29.965495347498905</v>
      </c>
      <c r="AJ56">
        <f t="shared" si="13"/>
        <v>52.87871517881689</v>
      </c>
      <c r="AL56">
        <f t="shared" si="14"/>
        <v>55.392517949484045</v>
      </c>
      <c r="AM56">
        <f t="shared" si="15"/>
        <v>27.45169257683175</v>
      </c>
    </row>
    <row r="57" spans="1:39" ht="16.5" x14ac:dyDescent="0.25">
      <c r="A57" s="1">
        <v>45616</v>
      </c>
      <c r="B57" s="5">
        <v>45.62</v>
      </c>
      <c r="C57" s="4">
        <v>45.9</v>
      </c>
      <c r="D57" s="4">
        <v>46.43</v>
      </c>
      <c r="E57" s="4">
        <v>45.44</v>
      </c>
      <c r="F57" s="4" t="s">
        <v>1732</v>
      </c>
      <c r="G57" s="2" t="s">
        <v>310</v>
      </c>
      <c r="I57">
        <f t="shared" si="0"/>
        <v>40.952631578947368</v>
      </c>
      <c r="J57">
        <f t="shared" si="1"/>
        <v>37.922249999999998</v>
      </c>
      <c r="L57">
        <f t="shared" si="2"/>
        <v>0</v>
      </c>
      <c r="M57">
        <f t="shared" si="3"/>
        <v>1</v>
      </c>
      <c r="O57">
        <f t="shared" si="4"/>
        <v>0</v>
      </c>
      <c r="P57">
        <f t="shared" si="5"/>
        <v>0.28000000000000114</v>
      </c>
      <c r="R57">
        <f t="shared" si="6"/>
        <v>0.95249999999999968</v>
      </c>
      <c r="S57">
        <f t="shared" si="7"/>
        <v>0.83499999999999852</v>
      </c>
      <c r="AH57">
        <f t="shared" si="11"/>
        <v>6.9194791744636879</v>
      </c>
      <c r="AI57">
        <f t="shared" si="12"/>
        <v>29.496021663288378</v>
      </c>
      <c r="AJ57">
        <f t="shared" si="13"/>
        <v>52.409241494606363</v>
      </c>
      <c r="AL57">
        <f t="shared" si="14"/>
        <v>54.791589927874746</v>
      </c>
      <c r="AM57">
        <f t="shared" si="15"/>
        <v>27.113673230019991</v>
      </c>
    </row>
    <row r="58" spans="1:39" ht="16.5" x14ac:dyDescent="0.25">
      <c r="A58" s="1">
        <v>45615</v>
      </c>
      <c r="B58" s="5">
        <v>45.7</v>
      </c>
      <c r="C58" s="4">
        <v>45.9</v>
      </c>
      <c r="D58" s="4">
        <v>46.25</v>
      </c>
      <c r="E58" s="4">
        <v>44.31</v>
      </c>
      <c r="F58" s="4" t="s">
        <v>1440</v>
      </c>
      <c r="G58" s="2" t="s">
        <v>323</v>
      </c>
      <c r="I58">
        <f t="shared" si="0"/>
        <v>40.498947368421057</v>
      </c>
      <c r="J58">
        <f t="shared" si="1"/>
        <v>37.623499999999993</v>
      </c>
      <c r="L58">
        <f t="shared" si="2"/>
        <v>0</v>
      </c>
      <c r="M58">
        <f t="shared" si="3"/>
        <v>1</v>
      </c>
      <c r="O58">
        <f t="shared" si="4"/>
        <v>0</v>
      </c>
      <c r="P58">
        <f t="shared" si="5"/>
        <v>0.19999999999999574</v>
      </c>
      <c r="R58">
        <f t="shared" si="6"/>
        <v>0.88444444444444459</v>
      </c>
      <c r="S58">
        <f t="shared" si="7"/>
        <v>0.94599999999999795</v>
      </c>
      <c r="AH58">
        <f t="shared" si="11"/>
        <v>6.855681190749201</v>
      </c>
      <c r="AI58">
        <f t="shared" si="12"/>
        <v>29.042337452762066</v>
      </c>
      <c r="AJ58">
        <f t="shared" si="13"/>
        <v>51.955557284080044</v>
      </c>
      <c r="AL58">
        <f t="shared" si="14"/>
        <v>54.21030974991946</v>
      </c>
      <c r="AM58">
        <f t="shared" si="15"/>
        <v>26.787584986922653</v>
      </c>
    </row>
    <row r="59" spans="1:39" ht="16.5" x14ac:dyDescent="0.25">
      <c r="A59" s="1">
        <v>45614</v>
      </c>
      <c r="B59" s="5">
        <v>45.64</v>
      </c>
      <c r="C59" s="4">
        <v>47.47</v>
      </c>
      <c r="D59" s="4">
        <v>48.33</v>
      </c>
      <c r="E59" s="4">
        <v>45.45</v>
      </c>
      <c r="F59" s="4" t="s">
        <v>968</v>
      </c>
      <c r="G59" s="2" t="s">
        <v>1799</v>
      </c>
      <c r="I59">
        <f t="shared" si="0"/>
        <v>40.001052631578951</v>
      </c>
      <c r="J59">
        <f t="shared" si="1"/>
        <v>37.308</v>
      </c>
      <c r="L59">
        <f t="shared" si="2"/>
        <v>0</v>
      </c>
      <c r="M59">
        <f t="shared" si="3"/>
        <v>1</v>
      </c>
      <c r="O59">
        <f t="shared" si="4"/>
        <v>0</v>
      </c>
      <c r="P59">
        <f t="shared" si="5"/>
        <v>1.8299999999999983</v>
      </c>
      <c r="R59">
        <f t="shared" si="6"/>
        <v>0.88444444444444459</v>
      </c>
      <c r="S59">
        <f t="shared" si="7"/>
        <v>0.93199999999999927</v>
      </c>
      <c r="AH59">
        <f t="shared" si="11"/>
        <v>6.7937283496176484</v>
      </c>
      <c r="AI59">
        <f t="shared" si="12"/>
        <v>28.54444271591996</v>
      </c>
      <c r="AJ59">
        <f t="shared" si="13"/>
        <v>51.457662547237945</v>
      </c>
      <c r="AL59">
        <f t="shared" si="14"/>
        <v>53.588509330814247</v>
      </c>
      <c r="AM59">
        <f t="shared" si="15"/>
        <v>26.413595932343654</v>
      </c>
    </row>
    <row r="60" spans="1:39" ht="16.5" x14ac:dyDescent="0.25">
      <c r="A60" s="1">
        <v>45611</v>
      </c>
      <c r="B60" s="5">
        <v>46.99</v>
      </c>
      <c r="C60" s="4">
        <v>46.2</v>
      </c>
      <c r="D60" s="4">
        <v>47.35</v>
      </c>
      <c r="E60" s="4">
        <v>45.93</v>
      </c>
      <c r="F60" s="4" t="s">
        <v>122</v>
      </c>
      <c r="G60" s="2" t="s">
        <v>999</v>
      </c>
      <c r="I60">
        <f t="shared" si="0"/>
        <v>39.51894736842106</v>
      </c>
      <c r="J60">
        <f t="shared" si="1"/>
        <v>36.997750000000003</v>
      </c>
      <c r="L60">
        <f t="shared" si="2"/>
        <v>1</v>
      </c>
      <c r="M60">
        <f t="shared" si="3"/>
        <v>0</v>
      </c>
      <c r="O60">
        <f t="shared" si="4"/>
        <v>0.78999999999999915</v>
      </c>
      <c r="P60">
        <f t="shared" si="5"/>
        <v>0</v>
      </c>
      <c r="R60">
        <f t="shared" si="6"/>
        <v>0.88444444444444459</v>
      </c>
      <c r="S60">
        <f t="shared" si="7"/>
        <v>0.6</v>
      </c>
      <c r="AH60">
        <f t="shared" si="11"/>
        <v>6.7339283638390981</v>
      </c>
      <c r="AI60">
        <f t="shared" si="12"/>
        <v>28.062337452762069</v>
      </c>
      <c r="AJ60">
        <f t="shared" si="13"/>
        <v>50.975557284080054</v>
      </c>
      <c r="AL60">
        <f t="shared" si="14"/>
        <v>52.986804096099256</v>
      </c>
      <c r="AM60">
        <f t="shared" si="15"/>
        <v>26.051090640742864</v>
      </c>
    </row>
    <row r="61" spans="1:39" ht="16.5" x14ac:dyDescent="0.25">
      <c r="A61" s="1">
        <v>45610</v>
      </c>
      <c r="B61" s="5">
        <v>46.21</v>
      </c>
      <c r="C61" s="4">
        <v>46.62</v>
      </c>
      <c r="D61" s="4">
        <v>47.31</v>
      </c>
      <c r="E61" s="4">
        <v>45.42</v>
      </c>
      <c r="F61" s="4" t="s">
        <v>1136</v>
      </c>
      <c r="G61" s="2" t="s">
        <v>843</v>
      </c>
      <c r="I61">
        <f t="shared" si="0"/>
        <v>38.97315789473685</v>
      </c>
      <c r="J61">
        <f t="shared" si="1"/>
        <v>36.630499999999998</v>
      </c>
      <c r="L61">
        <f t="shared" si="2"/>
        <v>0</v>
      </c>
      <c r="M61">
        <f t="shared" si="3"/>
        <v>1</v>
      </c>
      <c r="O61">
        <f t="shared" si="4"/>
        <v>0</v>
      </c>
      <c r="P61">
        <f t="shared" si="5"/>
        <v>0.40999999999999659</v>
      </c>
      <c r="R61">
        <f t="shared" si="6"/>
        <v>0.89625000000000021</v>
      </c>
      <c r="S61">
        <f t="shared" si="7"/>
        <v>0.51333333333333309</v>
      </c>
      <c r="AH61">
        <f t="shared" si="11"/>
        <v>6.6761947389988494</v>
      </c>
      <c r="AI61">
        <f t="shared" si="12"/>
        <v>27.51654797907786</v>
      </c>
      <c r="AJ61">
        <f t="shared" si="13"/>
        <v>50.429767810395845</v>
      </c>
      <c r="AL61">
        <f t="shared" si="14"/>
        <v>52.325547372734547</v>
      </c>
      <c r="AM61">
        <f t="shared" si="15"/>
        <v>25.620768416739153</v>
      </c>
    </row>
    <row r="62" spans="1:39" ht="16.5" x14ac:dyDescent="0.25">
      <c r="A62" s="1">
        <v>45609</v>
      </c>
      <c r="B62" s="5">
        <v>46.33</v>
      </c>
      <c r="C62" s="4">
        <v>43.5</v>
      </c>
      <c r="D62" s="4">
        <v>47.13</v>
      </c>
      <c r="E62" s="4">
        <v>43.37</v>
      </c>
      <c r="F62" s="4" t="s">
        <v>1800</v>
      </c>
      <c r="G62" s="2" t="s">
        <v>1801</v>
      </c>
      <c r="I62">
        <f t="shared" si="0"/>
        <v>38.463157894736838</v>
      </c>
      <c r="J62">
        <f t="shared" si="1"/>
        <v>36.276499999999992</v>
      </c>
      <c r="L62">
        <f t="shared" si="2"/>
        <v>1</v>
      </c>
      <c r="M62">
        <f t="shared" si="3"/>
        <v>0</v>
      </c>
      <c r="O62">
        <f t="shared" si="4"/>
        <v>2.8299999999999983</v>
      </c>
      <c r="P62">
        <f t="shared" si="5"/>
        <v>0</v>
      </c>
      <c r="R62">
        <f t="shared" si="6"/>
        <v>0.94666666666666699</v>
      </c>
      <c r="S62">
        <f t="shared" si="7"/>
        <v>0.53400000000000036</v>
      </c>
      <c r="AH62">
        <f t="shared" si="11"/>
        <v>6.6209473185308489</v>
      </c>
      <c r="AI62">
        <f t="shared" si="12"/>
        <v>27.006547979077848</v>
      </c>
      <c r="AJ62">
        <f t="shared" si="13"/>
        <v>49.919767810395825</v>
      </c>
      <c r="AL62">
        <f t="shared" si="14"/>
        <v>51.705052531798536</v>
      </c>
      <c r="AM62">
        <f t="shared" si="15"/>
        <v>25.22126325767514</v>
      </c>
    </row>
    <row r="63" spans="1:39" ht="16.5" x14ac:dyDescent="0.25">
      <c r="A63" s="1">
        <v>45608</v>
      </c>
      <c r="B63" s="5">
        <v>38.950000000000003</v>
      </c>
      <c r="C63" s="4">
        <v>41</v>
      </c>
      <c r="D63" s="4">
        <v>42.02</v>
      </c>
      <c r="E63" s="4">
        <v>38.71</v>
      </c>
      <c r="F63" s="4" t="s">
        <v>1669</v>
      </c>
      <c r="G63" s="2" t="s">
        <v>1802</v>
      </c>
      <c r="I63">
        <f t="shared" si="0"/>
        <v>37.944736842105264</v>
      </c>
      <c r="J63">
        <f t="shared" si="1"/>
        <v>35.898000000000003</v>
      </c>
      <c r="L63">
        <f t="shared" si="2"/>
        <v>0</v>
      </c>
      <c r="M63">
        <f t="shared" si="3"/>
        <v>1</v>
      </c>
      <c r="O63">
        <f t="shared" si="4"/>
        <v>0</v>
      </c>
      <c r="P63">
        <f t="shared" si="5"/>
        <v>2.0499999999999972</v>
      </c>
      <c r="R63">
        <f t="shared" si="6"/>
        <v>0.70777777777777828</v>
      </c>
      <c r="S63">
        <f t="shared" si="7"/>
        <v>0.53400000000000036</v>
      </c>
      <c r="AH63">
        <f t="shared" si="11"/>
        <v>6.5679676155072313</v>
      </c>
      <c r="AI63">
        <f t="shared" si="12"/>
        <v>26.488126926446274</v>
      </c>
      <c r="AJ63">
        <f t="shared" si="13"/>
        <v>49.401346757764259</v>
      </c>
      <c r="AL63">
        <f t="shared" si="14"/>
        <v>51.080672073119729</v>
      </c>
      <c r="AM63">
        <f t="shared" si="15"/>
        <v>24.8088016110908</v>
      </c>
    </row>
    <row r="64" spans="1:39" ht="16.5" x14ac:dyDescent="0.25">
      <c r="A64" s="1">
        <v>45607</v>
      </c>
      <c r="B64" s="5">
        <v>40.68</v>
      </c>
      <c r="C64" s="4">
        <v>40</v>
      </c>
      <c r="D64" s="4">
        <v>40.92</v>
      </c>
      <c r="E64" s="4">
        <v>39.869999999999997</v>
      </c>
      <c r="F64" s="4" t="s">
        <v>1681</v>
      </c>
      <c r="G64" s="2" t="s">
        <v>1803</v>
      </c>
      <c r="I64">
        <f t="shared" si="0"/>
        <v>37.737368421052629</v>
      </c>
      <c r="J64">
        <f t="shared" si="1"/>
        <v>35.683</v>
      </c>
      <c r="L64">
        <f t="shared" si="2"/>
        <v>1</v>
      </c>
      <c r="M64">
        <f t="shared" si="3"/>
        <v>0</v>
      </c>
      <c r="O64">
        <f t="shared" si="4"/>
        <v>0.67999999999999972</v>
      </c>
      <c r="P64">
        <f t="shared" si="5"/>
        <v>0</v>
      </c>
      <c r="R64">
        <f t="shared" si="6"/>
        <v>0.70777777777777828</v>
      </c>
      <c r="S64">
        <f t="shared" si="7"/>
        <v>0.17199999999999988</v>
      </c>
      <c r="AH64">
        <f t="shared" si="11"/>
        <v>6.5173141493685831</v>
      </c>
      <c r="AI64">
        <f t="shared" si="12"/>
        <v>26.280758505393639</v>
      </c>
      <c r="AJ64">
        <f t="shared" si="13"/>
        <v>49.193978336711623</v>
      </c>
      <c r="AL64">
        <f t="shared" si="14"/>
        <v>50.771996719789797</v>
      </c>
      <c r="AM64">
        <f t="shared" si="15"/>
        <v>24.702740122315461</v>
      </c>
    </row>
    <row r="65" spans="1:39" ht="16.5" x14ac:dyDescent="0.25">
      <c r="A65" s="1">
        <v>45604</v>
      </c>
      <c r="B65" s="5">
        <v>39.520000000000003</v>
      </c>
      <c r="C65" s="4">
        <v>38.880000000000003</v>
      </c>
      <c r="D65" s="4">
        <v>39.520000000000003</v>
      </c>
      <c r="E65" s="4">
        <v>38.25</v>
      </c>
      <c r="F65" s="4" t="s">
        <v>1406</v>
      </c>
      <c r="G65" s="2" t="s">
        <v>1804</v>
      </c>
      <c r="I65">
        <f t="shared" si="0"/>
        <v>37.421052631578945</v>
      </c>
      <c r="J65">
        <f t="shared" si="1"/>
        <v>35.393749999999997</v>
      </c>
      <c r="L65">
        <f t="shared" si="2"/>
        <v>1</v>
      </c>
      <c r="M65">
        <f t="shared" si="3"/>
        <v>0</v>
      </c>
      <c r="O65">
        <f t="shared" si="4"/>
        <v>0.64000000000000057</v>
      </c>
      <c r="P65">
        <f t="shared" si="5"/>
        <v>0</v>
      </c>
      <c r="R65">
        <f t="shared" si="6"/>
        <v>0.63333333333333364</v>
      </c>
      <c r="S65">
        <f t="shared" si="7"/>
        <v>0.17199999999999988</v>
      </c>
      <c r="AH65">
        <f t="shared" si="11"/>
        <v>6.4670826418605065</v>
      </c>
      <c r="AI65">
        <f t="shared" si="12"/>
        <v>25.964442715919954</v>
      </c>
      <c r="AJ65">
        <f t="shared" si="13"/>
        <v>48.877662547237932</v>
      </c>
      <c r="AL65">
        <f t="shared" si="14"/>
        <v>50.35521791529996</v>
      </c>
      <c r="AM65">
        <f t="shared" si="15"/>
        <v>24.48688734785793</v>
      </c>
    </row>
    <row r="66" spans="1:39" ht="16.5" x14ac:dyDescent="0.25">
      <c r="A66" s="1">
        <v>45603</v>
      </c>
      <c r="B66" s="5">
        <v>38.51</v>
      </c>
      <c r="C66" s="4">
        <v>37.28</v>
      </c>
      <c r="D66" s="4">
        <v>39.17</v>
      </c>
      <c r="E66" s="4">
        <v>36.92</v>
      </c>
      <c r="F66" s="4" t="s">
        <v>211</v>
      </c>
      <c r="G66" s="2" t="s">
        <v>825</v>
      </c>
      <c r="I66">
        <f t="shared" ref="I66:I129" si="16">AVERAGE(B66:B84)</f>
        <v>37.242105263157889</v>
      </c>
      <c r="J66">
        <f t="shared" ref="J66:J129" si="17">AVERAGE(B66:B105)</f>
        <v>35.135999999999996</v>
      </c>
      <c r="L66">
        <f t="shared" si="2"/>
        <v>1</v>
      </c>
      <c r="M66">
        <f t="shared" si="3"/>
        <v>0</v>
      </c>
      <c r="O66">
        <f t="shared" si="4"/>
        <v>1.2299999999999969</v>
      </c>
      <c r="P66">
        <f t="shared" si="5"/>
        <v>0</v>
      </c>
      <c r="R66">
        <f t="shared" si="6"/>
        <v>0.59333333333333294</v>
      </c>
      <c r="S66">
        <f t="shared" si="7"/>
        <v>0.17199999999999988</v>
      </c>
      <c r="AH66">
        <f t="shared" si="11"/>
        <v>6.4179527232681872</v>
      </c>
      <c r="AI66">
        <f t="shared" si="12"/>
        <v>25.785495347498898</v>
      </c>
      <c r="AJ66">
        <f t="shared" si="13"/>
        <v>48.698715178816883</v>
      </c>
      <c r="AL66">
        <f t="shared" si="14"/>
        <v>50.078010709694261</v>
      </c>
      <c r="AM66">
        <f t="shared" si="15"/>
        <v>24.406199816621516</v>
      </c>
    </row>
    <row r="67" spans="1:39" ht="16.5" x14ac:dyDescent="0.25">
      <c r="A67" s="1">
        <v>45602</v>
      </c>
      <c r="B67" s="5">
        <v>38.26</v>
      </c>
      <c r="C67" s="4">
        <v>38.5</v>
      </c>
      <c r="D67" s="4">
        <v>40.340000000000003</v>
      </c>
      <c r="E67" s="4">
        <v>38.020000000000003</v>
      </c>
      <c r="F67" s="4" t="s">
        <v>1805</v>
      </c>
      <c r="G67" s="2" t="s">
        <v>1573</v>
      </c>
      <c r="I67">
        <f t="shared" si="16"/>
        <v>37.101052631578952</v>
      </c>
      <c r="J67">
        <f t="shared" si="17"/>
        <v>34.840500000000006</v>
      </c>
      <c r="L67">
        <f t="shared" ref="L67:L130" si="18">IF($C67&lt;$B67,1,0)</f>
        <v>0</v>
      </c>
      <c r="M67">
        <f t="shared" ref="M67:M130" si="19">IF($C67&lt;$B67,0,1)</f>
        <v>1</v>
      </c>
      <c r="O67">
        <f t="shared" ref="O67:O130" si="20">IF($C67&lt;$B67,B67-C67,0)</f>
        <v>0</v>
      </c>
      <c r="P67">
        <f t="shared" ref="P67:P130" si="21">IF($B67&lt;$C67,C67-B67,0)</f>
        <v>0.24000000000000199</v>
      </c>
      <c r="R67">
        <f t="shared" ref="R67:R130" si="22">SUM(O67:O80)/SUM(L67:L80)</f>
        <v>0.49444444444444474</v>
      </c>
      <c r="S67">
        <f t="shared" ref="S67:S130" si="23">SUM(P67:P80)/SUM(M67:M80)</f>
        <v>0.17199999999999988</v>
      </c>
      <c r="AH67">
        <f t="shared" ref="AH67:AH130" si="24">_xlfn.STDEV.S(I67:I597)</f>
        <v>6.3690933809435926</v>
      </c>
      <c r="AI67">
        <f t="shared" ref="AI67:AI130" si="25">I67-$AH$2</f>
        <v>25.644442715919961</v>
      </c>
      <c r="AJ67">
        <f t="shared" ref="AJ67:AJ130" si="26">I67+$AH$2</f>
        <v>48.557662547237939</v>
      </c>
      <c r="AL67">
        <f t="shared" ref="AL67:AL130" si="27">I67+(AH67*2)</f>
        <v>49.839239393466137</v>
      </c>
      <c r="AM67">
        <f t="shared" ref="AM67:AM130" si="28">I67-(AH67*2)</f>
        <v>24.362865869691767</v>
      </c>
    </row>
    <row r="68" spans="1:39" ht="16.5" x14ac:dyDescent="0.25">
      <c r="A68" s="1">
        <v>45601</v>
      </c>
      <c r="B68" s="5">
        <v>38.950000000000003</v>
      </c>
      <c r="C68" s="4">
        <v>38.340000000000003</v>
      </c>
      <c r="D68" s="4">
        <v>39</v>
      </c>
      <c r="E68" s="4">
        <v>37.409999999999997</v>
      </c>
      <c r="F68" s="4" t="s">
        <v>1714</v>
      </c>
      <c r="G68" s="2" t="s">
        <v>345</v>
      </c>
      <c r="I68">
        <f t="shared" si="16"/>
        <v>36.913157894736834</v>
      </c>
      <c r="J68">
        <f t="shared" si="17"/>
        <v>34.518749999999997</v>
      </c>
      <c r="L68">
        <f t="shared" si="18"/>
        <v>1</v>
      </c>
      <c r="M68">
        <f t="shared" si="19"/>
        <v>0</v>
      </c>
      <c r="O68">
        <f t="shared" si="20"/>
        <v>0.60999999999999943</v>
      </c>
      <c r="P68">
        <f t="shared" si="21"/>
        <v>0</v>
      </c>
      <c r="R68">
        <f t="shared" si="22"/>
        <v>0.60399999999999987</v>
      </c>
      <c r="S68">
        <f t="shared" si="23"/>
        <v>0.15499999999999936</v>
      </c>
      <c r="AH68">
        <f t="shared" si="24"/>
        <v>6.3202754824121143</v>
      </c>
      <c r="AI68">
        <f t="shared" si="25"/>
        <v>25.456547979077843</v>
      </c>
      <c r="AJ68">
        <f t="shared" si="26"/>
        <v>48.369767810395828</v>
      </c>
      <c r="AL68">
        <f t="shared" si="27"/>
        <v>49.553708859561063</v>
      </c>
      <c r="AM68">
        <f t="shared" si="28"/>
        <v>24.272606929912605</v>
      </c>
    </row>
    <row r="69" spans="1:39" ht="16.5" x14ac:dyDescent="0.25">
      <c r="A69" s="1">
        <v>45600</v>
      </c>
      <c r="B69" s="5">
        <v>38.65</v>
      </c>
      <c r="C69" s="4">
        <v>38.33</v>
      </c>
      <c r="D69" s="4">
        <v>39.47</v>
      </c>
      <c r="E69" s="4">
        <v>38.32</v>
      </c>
      <c r="F69" s="4" t="s">
        <v>262</v>
      </c>
      <c r="G69" s="2" t="s">
        <v>1004</v>
      </c>
      <c r="I69">
        <f t="shared" si="16"/>
        <v>36.737894736842108</v>
      </c>
      <c r="J69">
        <f t="shared" si="17"/>
        <v>34.168000000000006</v>
      </c>
      <c r="L69">
        <f t="shared" si="18"/>
        <v>1</v>
      </c>
      <c r="M69">
        <f t="shared" si="19"/>
        <v>0</v>
      </c>
      <c r="O69">
        <f t="shared" si="20"/>
        <v>0.32000000000000028</v>
      </c>
      <c r="P69">
        <f t="shared" si="21"/>
        <v>0</v>
      </c>
      <c r="R69">
        <f t="shared" si="22"/>
        <v>0.60333333333333328</v>
      </c>
      <c r="S69">
        <f t="shared" si="23"/>
        <v>0.13199999999999931</v>
      </c>
      <c r="AH69">
        <f t="shared" si="24"/>
        <v>6.2717907808508562</v>
      </c>
      <c r="AI69">
        <f t="shared" si="25"/>
        <v>25.281284821183117</v>
      </c>
      <c r="AJ69">
        <f t="shared" si="26"/>
        <v>48.194504652501095</v>
      </c>
      <c r="AL69">
        <f t="shared" si="27"/>
        <v>49.281476298543822</v>
      </c>
      <c r="AM69">
        <f t="shared" si="28"/>
        <v>24.194313175140394</v>
      </c>
    </row>
    <row r="70" spans="1:39" ht="16.5" x14ac:dyDescent="0.25">
      <c r="A70" s="1">
        <v>45597</v>
      </c>
      <c r="B70" s="5">
        <v>38.31</v>
      </c>
      <c r="C70" s="4">
        <v>37.79</v>
      </c>
      <c r="D70" s="4">
        <v>38.61</v>
      </c>
      <c r="E70" s="4">
        <v>37.700000000000003</v>
      </c>
      <c r="F70" s="4" t="s">
        <v>97</v>
      </c>
      <c r="G70" s="2" t="s">
        <v>1626</v>
      </c>
      <c r="I70">
        <f t="shared" si="16"/>
        <v>36.57</v>
      </c>
      <c r="J70">
        <f t="shared" si="17"/>
        <v>33.816749999999999</v>
      </c>
      <c r="L70">
        <f t="shared" si="18"/>
        <v>1</v>
      </c>
      <c r="M70">
        <f t="shared" si="19"/>
        <v>0</v>
      </c>
      <c r="O70">
        <f t="shared" si="20"/>
        <v>0.52000000000000313</v>
      </c>
      <c r="P70">
        <f t="shared" si="21"/>
        <v>0</v>
      </c>
      <c r="R70">
        <f t="shared" si="22"/>
        <v>0.63874999999999993</v>
      </c>
      <c r="S70">
        <f t="shared" si="23"/>
        <v>0.34333333333333255</v>
      </c>
      <c r="AH70">
        <f t="shared" si="24"/>
        <v>6.2235670153680598</v>
      </c>
      <c r="AI70">
        <f t="shared" si="25"/>
        <v>25.11339008434101</v>
      </c>
      <c r="AJ70">
        <f t="shared" si="26"/>
        <v>48.026609915658995</v>
      </c>
      <c r="AL70">
        <f t="shared" si="27"/>
        <v>49.017134030736116</v>
      </c>
      <c r="AM70">
        <f t="shared" si="28"/>
        <v>24.122865969263881</v>
      </c>
    </row>
    <row r="71" spans="1:39" ht="16.5" x14ac:dyDescent="0.25">
      <c r="A71" s="1">
        <v>45596</v>
      </c>
      <c r="B71" s="5">
        <v>37.53</v>
      </c>
      <c r="C71" s="4">
        <v>37.19</v>
      </c>
      <c r="D71" s="4">
        <v>37.950000000000003</v>
      </c>
      <c r="E71" s="4">
        <v>36.86</v>
      </c>
      <c r="F71" s="4" t="s">
        <v>1413</v>
      </c>
      <c r="G71" s="2" t="s">
        <v>253</v>
      </c>
      <c r="I71">
        <f t="shared" si="16"/>
        <v>36.40894736842106</v>
      </c>
      <c r="J71">
        <f t="shared" si="17"/>
        <v>33.454999999999998</v>
      </c>
      <c r="L71">
        <f t="shared" si="18"/>
        <v>1</v>
      </c>
      <c r="M71">
        <f t="shared" si="19"/>
        <v>0</v>
      </c>
      <c r="O71">
        <f t="shared" si="20"/>
        <v>0.34000000000000341</v>
      </c>
      <c r="P71">
        <f t="shared" si="21"/>
        <v>0</v>
      </c>
      <c r="R71">
        <f t="shared" si="22"/>
        <v>0.62124999999999897</v>
      </c>
      <c r="S71">
        <f t="shared" si="23"/>
        <v>0.34333333333333255</v>
      </c>
      <c r="AH71">
        <f t="shared" si="24"/>
        <v>6.1755633494690567</v>
      </c>
      <c r="AI71">
        <f t="shared" si="25"/>
        <v>24.95233745276207</v>
      </c>
      <c r="AJ71">
        <f t="shared" si="26"/>
        <v>47.865557284080055</v>
      </c>
      <c r="AL71">
        <f t="shared" si="27"/>
        <v>48.76007406735917</v>
      </c>
      <c r="AM71">
        <f t="shared" si="28"/>
        <v>24.057820669482947</v>
      </c>
    </row>
    <row r="72" spans="1:39" ht="16.5" x14ac:dyDescent="0.25">
      <c r="A72" s="1">
        <v>45595</v>
      </c>
      <c r="B72" s="5">
        <v>37.869999999999997</v>
      </c>
      <c r="C72" s="4">
        <v>38</v>
      </c>
      <c r="D72" s="4">
        <v>38.61</v>
      </c>
      <c r="E72" s="4">
        <v>37.65</v>
      </c>
      <c r="F72" s="4" t="s">
        <v>58</v>
      </c>
      <c r="G72" s="2" t="s">
        <v>1074</v>
      </c>
      <c r="I72">
        <f t="shared" si="16"/>
        <v>36.294210526315794</v>
      </c>
      <c r="J72">
        <f t="shared" si="17"/>
        <v>33.155500000000004</v>
      </c>
      <c r="L72">
        <f t="shared" si="18"/>
        <v>0</v>
      </c>
      <c r="M72">
        <f t="shared" si="19"/>
        <v>1</v>
      </c>
      <c r="O72">
        <f t="shared" si="20"/>
        <v>0</v>
      </c>
      <c r="P72">
        <f t="shared" si="21"/>
        <v>0.13000000000000256</v>
      </c>
      <c r="R72">
        <f t="shared" si="22"/>
        <v>0.64499999999999869</v>
      </c>
      <c r="S72">
        <f t="shared" si="23"/>
        <v>0.34333333333333255</v>
      </c>
      <c r="AH72">
        <f t="shared" si="24"/>
        <v>6.1277414143860991</v>
      </c>
      <c r="AI72">
        <f t="shared" si="25"/>
        <v>24.837600610656803</v>
      </c>
      <c r="AJ72">
        <f t="shared" si="26"/>
        <v>47.750820441974781</v>
      </c>
      <c r="AL72">
        <f t="shared" si="27"/>
        <v>48.549693355087996</v>
      </c>
      <c r="AM72">
        <f t="shared" si="28"/>
        <v>24.038727697543596</v>
      </c>
    </row>
    <row r="73" spans="1:39" ht="16.5" x14ac:dyDescent="0.25">
      <c r="A73" s="1">
        <v>45594</v>
      </c>
      <c r="B73" s="5">
        <v>38.08</v>
      </c>
      <c r="C73" s="4">
        <v>38.25</v>
      </c>
      <c r="D73" s="4">
        <v>38.6</v>
      </c>
      <c r="E73" s="4">
        <v>37.53</v>
      </c>
      <c r="F73" s="4" t="s">
        <v>1483</v>
      </c>
      <c r="G73" s="2" t="s">
        <v>479</v>
      </c>
      <c r="I73">
        <f t="shared" si="16"/>
        <v>36.10052631578948</v>
      </c>
      <c r="J73">
        <f t="shared" si="17"/>
        <v>32.851749999999996</v>
      </c>
      <c r="L73">
        <f t="shared" si="18"/>
        <v>0</v>
      </c>
      <c r="M73">
        <f t="shared" si="19"/>
        <v>1</v>
      </c>
      <c r="O73">
        <f t="shared" si="20"/>
        <v>0</v>
      </c>
      <c r="P73">
        <f t="shared" si="21"/>
        <v>0.17000000000000171</v>
      </c>
      <c r="R73">
        <f t="shared" si="22"/>
        <v>0.64499999999999869</v>
      </c>
      <c r="S73">
        <f t="shared" si="23"/>
        <v>0.42999999999999972</v>
      </c>
      <c r="AH73">
        <f t="shared" si="24"/>
        <v>6.0798142624079636</v>
      </c>
      <c r="AI73">
        <f t="shared" si="25"/>
        <v>24.64391640013049</v>
      </c>
      <c r="AJ73">
        <f t="shared" si="26"/>
        <v>47.557136231448467</v>
      </c>
      <c r="AL73">
        <f t="shared" si="27"/>
        <v>48.260154840605409</v>
      </c>
      <c r="AM73">
        <f t="shared" si="28"/>
        <v>23.940897790973551</v>
      </c>
    </row>
    <row r="74" spans="1:39" ht="16.5" x14ac:dyDescent="0.25">
      <c r="A74" s="1">
        <v>45593</v>
      </c>
      <c r="B74" s="5">
        <v>37.950000000000003</v>
      </c>
      <c r="C74" s="4">
        <v>38.03</v>
      </c>
      <c r="D74" s="4">
        <v>38.159999999999997</v>
      </c>
      <c r="E74" s="4">
        <v>37.15</v>
      </c>
      <c r="F74" s="4" t="s">
        <v>1591</v>
      </c>
      <c r="G74" s="2" t="s">
        <v>63</v>
      </c>
      <c r="I74">
        <f t="shared" si="16"/>
        <v>35.885263157894748</v>
      </c>
      <c r="J74">
        <f t="shared" si="17"/>
        <v>32.540000000000006</v>
      </c>
      <c r="L74">
        <f t="shared" si="18"/>
        <v>0</v>
      </c>
      <c r="M74">
        <f t="shared" si="19"/>
        <v>1</v>
      </c>
      <c r="O74">
        <f t="shared" si="20"/>
        <v>0</v>
      </c>
      <c r="P74">
        <f t="shared" si="21"/>
        <v>7.9999999999998295E-2</v>
      </c>
      <c r="R74">
        <f t="shared" si="22"/>
        <v>0.59888888888888736</v>
      </c>
      <c r="S74">
        <f t="shared" si="23"/>
        <v>0.48199999999999932</v>
      </c>
      <c r="AH74">
        <f t="shared" si="24"/>
        <v>6.0322773698685861</v>
      </c>
      <c r="AI74">
        <f t="shared" si="25"/>
        <v>24.428653242235757</v>
      </c>
      <c r="AJ74">
        <f t="shared" si="26"/>
        <v>47.341873073553742</v>
      </c>
      <c r="AL74">
        <f t="shared" si="27"/>
        <v>47.949817897631917</v>
      </c>
      <c r="AM74">
        <f t="shared" si="28"/>
        <v>23.820708418157576</v>
      </c>
    </row>
    <row r="75" spans="1:39" ht="16.5" x14ac:dyDescent="0.25">
      <c r="A75" s="1">
        <v>45590</v>
      </c>
      <c r="B75" s="5">
        <v>38.35</v>
      </c>
      <c r="C75" s="4">
        <v>37</v>
      </c>
      <c r="D75" s="4">
        <v>38.56</v>
      </c>
      <c r="E75" s="4">
        <v>36.909999999999997</v>
      </c>
      <c r="F75" s="4" t="s">
        <v>1479</v>
      </c>
      <c r="G75" s="2" t="s">
        <v>1806</v>
      </c>
      <c r="I75">
        <f t="shared" si="16"/>
        <v>35.674736842105261</v>
      </c>
      <c r="J75">
        <f t="shared" si="17"/>
        <v>32.247749999999996</v>
      </c>
      <c r="L75">
        <f t="shared" si="18"/>
        <v>1</v>
      </c>
      <c r="M75">
        <f t="shared" si="19"/>
        <v>0</v>
      </c>
      <c r="O75">
        <f t="shared" si="20"/>
        <v>1.3500000000000014</v>
      </c>
      <c r="P75">
        <f t="shared" si="21"/>
        <v>0</v>
      </c>
      <c r="R75">
        <f t="shared" si="22"/>
        <v>0.57899999999999852</v>
      </c>
      <c r="S75">
        <f t="shared" si="23"/>
        <v>0.58249999999999957</v>
      </c>
      <c r="AH75">
        <f t="shared" si="24"/>
        <v>5.9852736731604645</v>
      </c>
      <c r="AI75">
        <f t="shared" si="25"/>
        <v>24.218126926446271</v>
      </c>
      <c r="AJ75">
        <f t="shared" si="26"/>
        <v>47.131346757764248</v>
      </c>
      <c r="AL75">
        <f t="shared" si="27"/>
        <v>47.645284188426189</v>
      </c>
      <c r="AM75">
        <f t="shared" si="28"/>
        <v>23.704189495784334</v>
      </c>
    </row>
    <row r="76" spans="1:39" ht="16.5" x14ac:dyDescent="0.25">
      <c r="A76" s="1">
        <v>45589</v>
      </c>
      <c r="B76" s="5">
        <v>37</v>
      </c>
      <c r="C76" s="4">
        <v>36.32</v>
      </c>
      <c r="D76" s="4">
        <v>37.25</v>
      </c>
      <c r="E76" s="4">
        <v>35.880000000000003</v>
      </c>
      <c r="F76" s="4" t="s">
        <v>1531</v>
      </c>
      <c r="G76" s="2" t="s">
        <v>1807</v>
      </c>
      <c r="I76">
        <f t="shared" si="16"/>
        <v>35.396842105263161</v>
      </c>
      <c r="J76">
        <f t="shared" si="17"/>
        <v>31.940249999999999</v>
      </c>
      <c r="L76">
        <f t="shared" si="18"/>
        <v>1</v>
      </c>
      <c r="M76">
        <f t="shared" si="19"/>
        <v>0</v>
      </c>
      <c r="O76">
        <f t="shared" si="20"/>
        <v>0.67999999999999972</v>
      </c>
      <c r="P76">
        <f t="shared" si="21"/>
        <v>0</v>
      </c>
      <c r="R76">
        <f t="shared" si="22"/>
        <v>0.49333333333333151</v>
      </c>
      <c r="S76">
        <f t="shared" si="23"/>
        <v>0.47599999999999909</v>
      </c>
      <c r="AH76">
        <f t="shared" si="24"/>
        <v>5.9387823521070446</v>
      </c>
      <c r="AI76">
        <f t="shared" si="25"/>
        <v>23.940232189604171</v>
      </c>
      <c r="AJ76">
        <f t="shared" si="26"/>
        <v>46.853452020922148</v>
      </c>
      <c r="AL76">
        <f t="shared" si="27"/>
        <v>47.274406809477249</v>
      </c>
      <c r="AM76">
        <f t="shared" si="28"/>
        <v>23.519277401049074</v>
      </c>
    </row>
    <row r="77" spans="1:39" ht="16.5" x14ac:dyDescent="0.25">
      <c r="A77" s="1">
        <v>45588</v>
      </c>
      <c r="B77" s="5">
        <v>36.24</v>
      </c>
      <c r="C77" s="4">
        <v>36.479999999999997</v>
      </c>
      <c r="D77" s="4">
        <v>36.799999999999997</v>
      </c>
      <c r="E77" s="4">
        <v>34.700000000000003</v>
      </c>
      <c r="F77" s="4" t="s">
        <v>1681</v>
      </c>
      <c r="G77" s="2" t="s">
        <v>292</v>
      </c>
      <c r="I77">
        <f t="shared" si="16"/>
        <v>35.18105263157895</v>
      </c>
      <c r="J77">
        <f t="shared" si="17"/>
        <v>31.655249999999995</v>
      </c>
      <c r="L77">
        <f t="shared" si="18"/>
        <v>0</v>
      </c>
      <c r="M77">
        <f t="shared" si="19"/>
        <v>1</v>
      </c>
      <c r="O77">
        <f t="shared" si="20"/>
        <v>0</v>
      </c>
      <c r="P77">
        <f t="shared" si="21"/>
        <v>0.23999999999999488</v>
      </c>
      <c r="R77">
        <f t="shared" si="22"/>
        <v>0.5377777777777758</v>
      </c>
      <c r="S77">
        <f t="shared" si="23"/>
        <v>0.47599999999999909</v>
      </c>
      <c r="AH77">
        <f t="shared" si="24"/>
        <v>5.893234699034875</v>
      </c>
      <c r="AI77">
        <f t="shared" si="25"/>
        <v>23.72444271591996</v>
      </c>
      <c r="AJ77">
        <f t="shared" si="26"/>
        <v>46.637662547237937</v>
      </c>
      <c r="AL77">
        <f t="shared" si="27"/>
        <v>46.967522029648698</v>
      </c>
      <c r="AM77">
        <f t="shared" si="28"/>
        <v>23.394583233509202</v>
      </c>
    </row>
    <row r="78" spans="1:39" ht="16.5" x14ac:dyDescent="0.25">
      <c r="A78" s="1">
        <v>45587</v>
      </c>
      <c r="B78" s="5">
        <v>36.479999999999997</v>
      </c>
      <c r="C78" s="4">
        <v>36.47</v>
      </c>
      <c r="D78" s="4">
        <v>36.67</v>
      </c>
      <c r="E78" s="4">
        <v>35.590000000000003</v>
      </c>
      <c r="F78" s="4" t="s">
        <v>1683</v>
      </c>
      <c r="G78" s="2" t="s">
        <v>388</v>
      </c>
      <c r="I78">
        <f t="shared" si="16"/>
        <v>35.028947368421058</v>
      </c>
      <c r="J78">
        <f t="shared" si="17"/>
        <v>31.383999999999997</v>
      </c>
      <c r="L78">
        <f t="shared" si="18"/>
        <v>1</v>
      </c>
      <c r="M78">
        <f t="shared" si="19"/>
        <v>0</v>
      </c>
      <c r="O78">
        <f t="shared" si="20"/>
        <v>9.9999999999980105E-3</v>
      </c>
      <c r="P78">
        <f t="shared" si="21"/>
        <v>0</v>
      </c>
      <c r="R78">
        <f t="shared" si="22"/>
        <v>0.5329999999999977</v>
      </c>
      <c r="S78">
        <f t="shared" si="23"/>
        <v>0.53500000000000014</v>
      </c>
      <c r="AH78">
        <f t="shared" si="24"/>
        <v>5.8482546787000329</v>
      </c>
      <c r="AI78">
        <f t="shared" si="25"/>
        <v>23.572337452762067</v>
      </c>
      <c r="AJ78">
        <f t="shared" si="26"/>
        <v>46.485557284080045</v>
      </c>
      <c r="AL78">
        <f t="shared" si="27"/>
        <v>46.725456725821125</v>
      </c>
      <c r="AM78">
        <f t="shared" si="28"/>
        <v>23.33243801102099</v>
      </c>
    </row>
    <row r="79" spans="1:39" ht="16.5" x14ac:dyDescent="0.25">
      <c r="A79" s="1">
        <v>45586</v>
      </c>
      <c r="B79" s="5">
        <v>36.619999999999997</v>
      </c>
      <c r="C79" s="4">
        <v>36.340000000000003</v>
      </c>
      <c r="D79" s="4">
        <v>36.75</v>
      </c>
      <c r="E79" s="4">
        <v>35.93</v>
      </c>
      <c r="F79" s="4" t="s">
        <v>1399</v>
      </c>
      <c r="G79" s="2" t="s">
        <v>459</v>
      </c>
      <c r="I79">
        <f t="shared" si="16"/>
        <v>34.881052631578946</v>
      </c>
      <c r="J79">
        <f t="shared" si="17"/>
        <v>31.104249999999997</v>
      </c>
      <c r="L79">
        <f t="shared" si="18"/>
        <v>1</v>
      </c>
      <c r="M79">
        <f t="shared" si="19"/>
        <v>0</v>
      </c>
      <c r="O79">
        <f t="shared" si="20"/>
        <v>0.27999999999999403</v>
      </c>
      <c r="P79">
        <f t="shared" si="21"/>
        <v>0</v>
      </c>
      <c r="R79">
        <f t="shared" si="22"/>
        <v>0.59111111111110881</v>
      </c>
      <c r="S79">
        <f t="shared" si="23"/>
        <v>0.43400000000000033</v>
      </c>
      <c r="AH79">
        <f t="shared" si="24"/>
        <v>5.8034526882340218</v>
      </c>
      <c r="AI79">
        <f t="shared" si="25"/>
        <v>23.424442715919955</v>
      </c>
      <c r="AJ79">
        <f t="shared" si="26"/>
        <v>46.33766254723794</v>
      </c>
      <c r="AL79">
        <f t="shared" si="27"/>
        <v>46.487958008046988</v>
      </c>
      <c r="AM79">
        <f t="shared" si="28"/>
        <v>23.274147255110904</v>
      </c>
    </row>
    <row r="80" spans="1:39" ht="16.5" x14ac:dyDescent="0.25">
      <c r="A80" s="1">
        <v>45583</v>
      </c>
      <c r="B80" s="5">
        <v>36.520000000000003</v>
      </c>
      <c r="C80" s="4">
        <v>36.18</v>
      </c>
      <c r="D80" s="4">
        <v>36.520000000000003</v>
      </c>
      <c r="E80" s="4">
        <v>35.72</v>
      </c>
      <c r="F80" s="4" t="s">
        <v>1561</v>
      </c>
      <c r="G80" s="2" t="s">
        <v>336</v>
      </c>
      <c r="I80">
        <f t="shared" si="16"/>
        <v>34.694736842105264</v>
      </c>
      <c r="J80">
        <f t="shared" si="17"/>
        <v>30.827499999999997</v>
      </c>
      <c r="L80">
        <f t="shared" si="18"/>
        <v>1</v>
      </c>
      <c r="M80">
        <f t="shared" si="19"/>
        <v>0</v>
      </c>
      <c r="O80">
        <f t="shared" si="20"/>
        <v>0.34000000000000341</v>
      </c>
      <c r="P80">
        <f t="shared" si="21"/>
        <v>0</v>
      </c>
      <c r="R80">
        <f t="shared" si="22"/>
        <v>0.64333333333333165</v>
      </c>
      <c r="S80">
        <f t="shared" si="23"/>
        <v>0.43400000000000033</v>
      </c>
      <c r="AH80">
        <f t="shared" si="24"/>
        <v>5.758805864751114</v>
      </c>
      <c r="AI80">
        <f t="shared" si="25"/>
        <v>23.238126926446274</v>
      </c>
      <c r="AJ80">
        <f t="shared" si="26"/>
        <v>46.151346757764259</v>
      </c>
      <c r="AL80">
        <f t="shared" si="27"/>
        <v>46.212348571607492</v>
      </c>
      <c r="AM80">
        <f t="shared" si="28"/>
        <v>23.177125112603036</v>
      </c>
    </row>
    <row r="81" spans="1:39" ht="16.5" x14ac:dyDescent="0.25">
      <c r="A81" s="1">
        <v>45582</v>
      </c>
      <c r="B81" s="5">
        <v>36.479999999999997</v>
      </c>
      <c r="C81" s="4">
        <v>34.89</v>
      </c>
      <c r="D81" s="4">
        <v>36.85</v>
      </c>
      <c r="E81" s="4">
        <v>34.69</v>
      </c>
      <c r="F81" s="4" t="s">
        <v>1379</v>
      </c>
      <c r="G81" s="2" t="s">
        <v>1682</v>
      </c>
      <c r="I81">
        <f t="shared" si="16"/>
        <v>34.521578947368425</v>
      </c>
      <c r="J81">
        <f t="shared" si="17"/>
        <v>30.558249999999997</v>
      </c>
      <c r="L81">
        <f t="shared" si="18"/>
        <v>1</v>
      </c>
      <c r="M81">
        <f t="shared" si="19"/>
        <v>0</v>
      </c>
      <c r="O81">
        <f t="shared" si="20"/>
        <v>1.5899999999999963</v>
      </c>
      <c r="P81">
        <f t="shared" si="21"/>
        <v>0</v>
      </c>
      <c r="R81">
        <f t="shared" si="22"/>
        <v>0.69333333333333114</v>
      </c>
      <c r="S81">
        <f t="shared" si="23"/>
        <v>0.43400000000000033</v>
      </c>
      <c r="AH81">
        <f t="shared" si="24"/>
        <v>5.714559647237893</v>
      </c>
      <c r="AI81">
        <f t="shared" si="25"/>
        <v>23.064969031709435</v>
      </c>
      <c r="AJ81">
        <f t="shared" si="26"/>
        <v>45.978188863027412</v>
      </c>
      <c r="AL81">
        <f t="shared" si="27"/>
        <v>45.950698241844208</v>
      </c>
      <c r="AM81">
        <f t="shared" si="28"/>
        <v>23.092459652892639</v>
      </c>
    </row>
    <row r="82" spans="1:39" ht="16.5" x14ac:dyDescent="0.25">
      <c r="A82" s="1">
        <v>45581</v>
      </c>
      <c r="B82" s="5">
        <v>35.01</v>
      </c>
      <c r="C82" s="4">
        <v>35.049999999999997</v>
      </c>
      <c r="D82" s="4">
        <v>35.56</v>
      </c>
      <c r="E82" s="4">
        <v>34.9</v>
      </c>
      <c r="F82" s="4" t="s">
        <v>683</v>
      </c>
      <c r="G82" s="2" t="s">
        <v>448</v>
      </c>
      <c r="I82">
        <f t="shared" si="16"/>
        <v>34.301578947368419</v>
      </c>
      <c r="J82">
        <f t="shared" si="17"/>
        <v>30.272999999999996</v>
      </c>
      <c r="L82">
        <f t="shared" si="18"/>
        <v>0</v>
      </c>
      <c r="M82">
        <f t="shared" si="19"/>
        <v>1</v>
      </c>
      <c r="O82">
        <f t="shared" si="20"/>
        <v>0</v>
      </c>
      <c r="P82">
        <f t="shared" si="21"/>
        <v>3.9999999999999147E-2</v>
      </c>
      <c r="R82">
        <f t="shared" si="22"/>
        <v>0.58124999999999805</v>
      </c>
      <c r="S82">
        <f t="shared" si="23"/>
        <v>0.38166666666666771</v>
      </c>
      <c r="AH82">
        <f t="shared" si="24"/>
        <v>5.6706382442032259</v>
      </c>
      <c r="AI82">
        <f t="shared" si="25"/>
        <v>22.844969031709429</v>
      </c>
      <c r="AJ82">
        <f t="shared" si="26"/>
        <v>45.758188863027414</v>
      </c>
      <c r="AL82">
        <f t="shared" si="27"/>
        <v>45.642855435774869</v>
      </c>
      <c r="AM82">
        <f t="shared" si="28"/>
        <v>22.960302458961969</v>
      </c>
    </row>
    <row r="83" spans="1:39" ht="16.5" x14ac:dyDescent="0.25">
      <c r="A83" s="1">
        <v>45580</v>
      </c>
      <c r="B83" s="5">
        <v>34.67</v>
      </c>
      <c r="C83" s="4">
        <v>36.07</v>
      </c>
      <c r="D83" s="4">
        <v>36.619999999999997</v>
      </c>
      <c r="E83" s="4">
        <v>33.159999999999997</v>
      </c>
      <c r="F83" s="4" t="s">
        <v>1808</v>
      </c>
      <c r="G83" s="2" t="s">
        <v>1809</v>
      </c>
      <c r="I83">
        <f t="shared" si="16"/>
        <v>34.145789473684211</v>
      </c>
      <c r="J83">
        <f t="shared" si="17"/>
        <v>30.014250000000004</v>
      </c>
      <c r="L83">
        <f t="shared" si="18"/>
        <v>0</v>
      </c>
      <c r="M83">
        <f t="shared" si="19"/>
        <v>1</v>
      </c>
      <c r="O83">
        <f t="shared" si="20"/>
        <v>0</v>
      </c>
      <c r="P83">
        <f t="shared" si="21"/>
        <v>1.3999999999999986</v>
      </c>
      <c r="R83">
        <f t="shared" si="22"/>
        <v>0.58124999999999805</v>
      </c>
      <c r="S83">
        <f t="shared" si="23"/>
        <v>0.52666666666666728</v>
      </c>
      <c r="AH83">
        <f t="shared" si="24"/>
        <v>5.6273430300316658</v>
      </c>
      <c r="AI83">
        <f t="shared" si="25"/>
        <v>22.68917955802522</v>
      </c>
      <c r="AJ83">
        <f t="shared" si="26"/>
        <v>45.602399389343205</v>
      </c>
      <c r="AL83">
        <f t="shared" si="27"/>
        <v>45.400475533747539</v>
      </c>
      <c r="AM83">
        <f t="shared" si="28"/>
        <v>22.891103413620879</v>
      </c>
    </row>
    <row r="84" spans="1:39" ht="16.5" x14ac:dyDescent="0.25">
      <c r="A84" s="1">
        <v>45579</v>
      </c>
      <c r="B84" s="5">
        <v>36.119999999999997</v>
      </c>
      <c r="C84" s="4">
        <v>35.74</v>
      </c>
      <c r="D84" s="4">
        <v>36.5</v>
      </c>
      <c r="E84" s="4">
        <v>35.68</v>
      </c>
      <c r="F84" s="4" t="s">
        <v>1385</v>
      </c>
      <c r="G84" s="2" t="s">
        <v>1421</v>
      </c>
      <c r="I84">
        <f t="shared" si="16"/>
        <v>33.962631578947367</v>
      </c>
      <c r="J84">
        <f t="shared" si="17"/>
        <v>29.7605</v>
      </c>
      <c r="L84">
        <f t="shared" si="18"/>
        <v>1</v>
      </c>
      <c r="M84">
        <f t="shared" si="19"/>
        <v>0</v>
      </c>
      <c r="O84">
        <f t="shared" si="20"/>
        <v>0.37999999999999545</v>
      </c>
      <c r="P84">
        <f t="shared" si="21"/>
        <v>0</v>
      </c>
      <c r="R84">
        <f t="shared" si="22"/>
        <v>0.63666666666666472</v>
      </c>
      <c r="S84">
        <f t="shared" si="23"/>
        <v>0.35200000000000103</v>
      </c>
      <c r="AH84">
        <f t="shared" si="24"/>
        <v>5.584279278239987</v>
      </c>
      <c r="AI84">
        <f t="shared" si="25"/>
        <v>22.506021663288376</v>
      </c>
      <c r="AJ84">
        <f t="shared" si="26"/>
        <v>45.419241494606354</v>
      </c>
      <c r="AL84">
        <f t="shared" si="27"/>
        <v>45.131190135427339</v>
      </c>
      <c r="AM84">
        <f t="shared" si="28"/>
        <v>22.794073022467394</v>
      </c>
    </row>
    <row r="85" spans="1:39" ht="16.5" x14ac:dyDescent="0.25">
      <c r="A85" s="1">
        <v>45576</v>
      </c>
      <c r="B85" s="5">
        <v>35.83</v>
      </c>
      <c r="C85" s="4">
        <v>35.299999999999997</v>
      </c>
      <c r="D85" s="4">
        <v>36.1</v>
      </c>
      <c r="E85" s="4">
        <v>34.82</v>
      </c>
      <c r="F85" s="4" t="s">
        <v>1448</v>
      </c>
      <c r="G85" s="2" t="s">
        <v>1810</v>
      </c>
      <c r="I85">
        <f t="shared" si="16"/>
        <v>33.658947368421053</v>
      </c>
      <c r="J85">
        <f t="shared" si="17"/>
        <v>29.492750000000001</v>
      </c>
      <c r="L85">
        <f t="shared" si="18"/>
        <v>1</v>
      </c>
      <c r="M85">
        <f t="shared" si="19"/>
        <v>0</v>
      </c>
      <c r="O85">
        <f t="shared" si="20"/>
        <v>0.53000000000000114</v>
      </c>
      <c r="P85">
        <f t="shared" si="21"/>
        <v>0</v>
      </c>
      <c r="R85">
        <f t="shared" si="22"/>
        <v>0.6687499999999984</v>
      </c>
      <c r="S85">
        <f t="shared" si="23"/>
        <v>0.38000000000000139</v>
      </c>
      <c r="AH85">
        <f t="shared" si="24"/>
        <v>5.5416244567330697</v>
      </c>
      <c r="AI85">
        <f t="shared" si="25"/>
        <v>22.202337452762062</v>
      </c>
      <c r="AJ85">
        <f t="shared" si="26"/>
        <v>45.11555728408004</v>
      </c>
      <c r="AL85">
        <f t="shared" si="27"/>
        <v>44.742196281887189</v>
      </c>
      <c r="AM85">
        <f t="shared" si="28"/>
        <v>22.575698454954914</v>
      </c>
    </row>
    <row r="86" spans="1:39" ht="16.5" x14ac:dyDescent="0.25">
      <c r="A86" s="1">
        <v>45575</v>
      </c>
      <c r="B86" s="5">
        <v>34.69</v>
      </c>
      <c r="C86" s="4">
        <v>35.340000000000003</v>
      </c>
      <c r="D86" s="4">
        <v>35.75</v>
      </c>
      <c r="E86" s="4">
        <v>34.57</v>
      </c>
      <c r="F86" s="4" t="s">
        <v>738</v>
      </c>
      <c r="G86" s="2" t="s">
        <v>1811</v>
      </c>
      <c r="I86">
        <f t="shared" si="16"/>
        <v>33.305263157894743</v>
      </c>
      <c r="J86">
        <f t="shared" si="17"/>
        <v>29.226250000000004</v>
      </c>
      <c r="L86">
        <f t="shared" si="18"/>
        <v>0</v>
      </c>
      <c r="M86">
        <f t="shared" si="19"/>
        <v>1</v>
      </c>
      <c r="O86">
        <f t="shared" si="20"/>
        <v>0</v>
      </c>
      <c r="P86">
        <f t="shared" si="21"/>
        <v>0.65000000000000568</v>
      </c>
      <c r="R86">
        <f t="shared" si="22"/>
        <v>0.72749999999999826</v>
      </c>
      <c r="S86">
        <f t="shared" si="23"/>
        <v>0.38000000000000139</v>
      </c>
      <c r="AH86">
        <f t="shared" si="24"/>
        <v>5.5001437568932525</v>
      </c>
      <c r="AI86">
        <f t="shared" si="25"/>
        <v>21.848653242235752</v>
      </c>
      <c r="AJ86">
        <f t="shared" si="26"/>
        <v>44.76187307355373</v>
      </c>
      <c r="AL86">
        <f t="shared" si="27"/>
        <v>44.305550671681246</v>
      </c>
      <c r="AM86">
        <f t="shared" si="28"/>
        <v>22.304975644108239</v>
      </c>
    </row>
    <row r="87" spans="1:39" ht="16.5" x14ac:dyDescent="0.25">
      <c r="A87" s="1">
        <v>45574</v>
      </c>
      <c r="B87" s="5">
        <v>35.619999999999997</v>
      </c>
      <c r="C87" s="4">
        <v>35.39</v>
      </c>
      <c r="D87" s="4">
        <v>35.79</v>
      </c>
      <c r="E87" s="4">
        <v>35.31</v>
      </c>
      <c r="F87" s="4" t="s">
        <v>698</v>
      </c>
      <c r="G87" s="2" t="s">
        <v>160</v>
      </c>
      <c r="I87">
        <f t="shared" si="16"/>
        <v>33.016842105263166</v>
      </c>
      <c r="J87">
        <f t="shared" si="17"/>
        <v>28.989000000000011</v>
      </c>
      <c r="L87">
        <f t="shared" si="18"/>
        <v>1</v>
      </c>
      <c r="M87">
        <f t="shared" si="19"/>
        <v>0</v>
      </c>
      <c r="O87">
        <f t="shared" si="20"/>
        <v>0.22999999999999687</v>
      </c>
      <c r="P87">
        <f t="shared" si="21"/>
        <v>0</v>
      </c>
      <c r="R87">
        <f t="shared" si="22"/>
        <v>0.69444444444444242</v>
      </c>
      <c r="S87">
        <f t="shared" si="23"/>
        <v>0.32600000000000051</v>
      </c>
      <c r="AH87">
        <f t="shared" si="24"/>
        <v>5.460157701024011</v>
      </c>
      <c r="AI87">
        <f t="shared" si="25"/>
        <v>21.560232189604175</v>
      </c>
      <c r="AJ87">
        <f t="shared" si="26"/>
        <v>44.473452020922153</v>
      </c>
      <c r="AL87">
        <f t="shared" si="27"/>
        <v>43.937157507311184</v>
      </c>
      <c r="AM87">
        <f t="shared" si="28"/>
        <v>22.096526703215144</v>
      </c>
    </row>
    <row r="88" spans="1:39" ht="16.5" x14ac:dyDescent="0.25">
      <c r="A88" s="1">
        <v>45573</v>
      </c>
      <c r="B88" s="5">
        <v>35.46</v>
      </c>
      <c r="C88" s="4">
        <v>35.06</v>
      </c>
      <c r="D88" s="4">
        <v>35.72</v>
      </c>
      <c r="E88" s="4">
        <v>35.01</v>
      </c>
      <c r="F88" s="4" t="s">
        <v>578</v>
      </c>
      <c r="G88" s="2" t="s">
        <v>706</v>
      </c>
      <c r="I88">
        <f t="shared" si="16"/>
        <v>32.54684210526316</v>
      </c>
      <c r="J88">
        <f t="shared" si="17"/>
        <v>28.719750000000005</v>
      </c>
      <c r="L88">
        <f t="shared" si="18"/>
        <v>1</v>
      </c>
      <c r="M88">
        <f t="shared" si="19"/>
        <v>0</v>
      </c>
      <c r="O88">
        <f t="shared" si="20"/>
        <v>0.39999999999999858</v>
      </c>
      <c r="P88">
        <f t="shared" si="21"/>
        <v>0</v>
      </c>
      <c r="R88">
        <f t="shared" si="22"/>
        <v>0.67444444444444251</v>
      </c>
      <c r="S88">
        <f t="shared" si="23"/>
        <v>0.32600000000000051</v>
      </c>
      <c r="AH88">
        <f t="shared" si="24"/>
        <v>5.4212729814480491</v>
      </c>
      <c r="AI88">
        <f t="shared" si="25"/>
        <v>21.090232189604169</v>
      </c>
      <c r="AJ88">
        <f t="shared" si="26"/>
        <v>44.003452020922154</v>
      </c>
      <c r="AL88">
        <f t="shared" si="27"/>
        <v>43.389388068159256</v>
      </c>
      <c r="AM88">
        <f t="shared" si="28"/>
        <v>21.704296142367063</v>
      </c>
    </row>
    <row r="89" spans="1:39" ht="16.5" x14ac:dyDescent="0.25">
      <c r="A89" s="1">
        <v>45572</v>
      </c>
      <c r="B89" s="5">
        <v>35.25</v>
      </c>
      <c r="C89" s="4">
        <v>35.299999999999997</v>
      </c>
      <c r="D89" s="4">
        <v>35.4</v>
      </c>
      <c r="E89" s="4">
        <v>34.67</v>
      </c>
      <c r="F89" s="4" t="s">
        <v>1402</v>
      </c>
      <c r="G89" s="2" t="s">
        <v>596</v>
      </c>
      <c r="I89">
        <f t="shared" si="16"/>
        <v>32.016842105263166</v>
      </c>
      <c r="J89">
        <f t="shared" si="17"/>
        <v>28.451250000000005</v>
      </c>
      <c r="L89">
        <f t="shared" si="18"/>
        <v>0</v>
      </c>
      <c r="M89">
        <f t="shared" si="19"/>
        <v>1</v>
      </c>
      <c r="O89">
        <f t="shared" si="20"/>
        <v>0</v>
      </c>
      <c r="P89">
        <f t="shared" si="21"/>
        <v>4.9999999999997158E-2</v>
      </c>
      <c r="R89">
        <f t="shared" si="22"/>
        <v>0.71777777777777629</v>
      </c>
      <c r="S89">
        <f t="shared" si="23"/>
        <v>0.32600000000000051</v>
      </c>
      <c r="AH89">
        <f t="shared" si="24"/>
        <v>5.3845981824444706</v>
      </c>
      <c r="AI89">
        <f t="shared" si="25"/>
        <v>20.560232189604175</v>
      </c>
      <c r="AJ89">
        <f t="shared" si="26"/>
        <v>43.473452020922153</v>
      </c>
      <c r="AL89">
        <f t="shared" si="27"/>
        <v>42.786038470152107</v>
      </c>
      <c r="AM89">
        <f t="shared" si="28"/>
        <v>21.247645740374224</v>
      </c>
    </row>
    <row r="90" spans="1:39" ht="16.5" x14ac:dyDescent="0.25">
      <c r="A90" s="1">
        <v>45569</v>
      </c>
      <c r="B90" s="5">
        <v>35.35</v>
      </c>
      <c r="C90" s="4">
        <v>34.270000000000003</v>
      </c>
      <c r="D90" s="4">
        <v>35.46</v>
      </c>
      <c r="E90" s="4">
        <v>34.200000000000003</v>
      </c>
      <c r="F90" s="4" t="s">
        <v>590</v>
      </c>
      <c r="G90" s="2" t="s">
        <v>1812</v>
      </c>
      <c r="I90">
        <f t="shared" si="16"/>
        <v>31.473157894736847</v>
      </c>
      <c r="J90">
        <f t="shared" si="17"/>
        <v>28.17625</v>
      </c>
      <c r="L90">
        <f t="shared" si="18"/>
        <v>1</v>
      </c>
      <c r="M90">
        <f t="shared" si="19"/>
        <v>0</v>
      </c>
      <c r="O90">
        <f t="shared" si="20"/>
        <v>1.0799999999999983</v>
      </c>
      <c r="P90">
        <f t="shared" si="21"/>
        <v>0</v>
      </c>
      <c r="R90">
        <f t="shared" si="22"/>
        <v>0.74599999999999866</v>
      </c>
      <c r="S90">
        <f t="shared" si="23"/>
        <v>0.39500000000000135</v>
      </c>
      <c r="AH90">
        <f t="shared" si="24"/>
        <v>5.3504723131951852</v>
      </c>
      <c r="AI90">
        <f t="shared" si="25"/>
        <v>20.016547979077856</v>
      </c>
      <c r="AJ90">
        <f t="shared" si="26"/>
        <v>42.929767810395838</v>
      </c>
      <c r="AL90">
        <f t="shared" si="27"/>
        <v>42.174102521127217</v>
      </c>
      <c r="AM90">
        <f t="shared" si="28"/>
        <v>20.772213268346476</v>
      </c>
    </row>
    <row r="91" spans="1:39" ht="16.5" x14ac:dyDescent="0.25">
      <c r="A91" s="1">
        <v>45568</v>
      </c>
      <c r="B91" s="5">
        <v>34.19</v>
      </c>
      <c r="C91" s="4">
        <v>33.700000000000003</v>
      </c>
      <c r="D91" s="4">
        <v>34.35</v>
      </c>
      <c r="E91" s="4">
        <v>33.64</v>
      </c>
      <c r="F91" s="4" t="s">
        <v>1563</v>
      </c>
      <c r="G91" s="2" t="s">
        <v>1058</v>
      </c>
      <c r="I91">
        <f t="shared" si="16"/>
        <v>30.907368421052631</v>
      </c>
      <c r="J91">
        <f t="shared" si="17"/>
        <v>27.897249999999996</v>
      </c>
      <c r="L91">
        <f t="shared" si="18"/>
        <v>1</v>
      </c>
      <c r="M91">
        <f t="shared" si="19"/>
        <v>0</v>
      </c>
      <c r="O91">
        <f t="shared" si="20"/>
        <v>0.48999999999999488</v>
      </c>
      <c r="P91">
        <f t="shared" si="21"/>
        <v>0</v>
      </c>
      <c r="R91">
        <f t="shared" si="22"/>
        <v>0.71499999999999875</v>
      </c>
      <c r="S91">
        <f t="shared" si="23"/>
        <v>0.39500000000000135</v>
      </c>
      <c r="AH91">
        <f t="shared" si="24"/>
        <v>5.3189413995474659</v>
      </c>
      <c r="AI91">
        <f t="shared" si="25"/>
        <v>19.45075850539364</v>
      </c>
      <c r="AJ91">
        <f t="shared" si="26"/>
        <v>42.363978336711625</v>
      </c>
      <c r="AL91">
        <f t="shared" si="27"/>
        <v>41.545251220147563</v>
      </c>
      <c r="AM91">
        <f t="shared" si="28"/>
        <v>20.269485621957699</v>
      </c>
    </row>
    <row r="92" spans="1:39" ht="16.5" x14ac:dyDescent="0.25">
      <c r="A92" s="1">
        <v>45567</v>
      </c>
      <c r="B92" s="5">
        <v>33.99</v>
      </c>
      <c r="C92" s="4">
        <v>34.020000000000003</v>
      </c>
      <c r="D92" s="4">
        <v>34.270000000000003</v>
      </c>
      <c r="E92" s="4">
        <v>33.26</v>
      </c>
      <c r="F92" s="4" t="s">
        <v>738</v>
      </c>
      <c r="G92" s="2" t="s">
        <v>944</v>
      </c>
      <c r="I92">
        <f t="shared" si="16"/>
        <v>30.362631578947372</v>
      </c>
      <c r="J92">
        <f t="shared" si="17"/>
        <v>27.652250000000002</v>
      </c>
      <c r="L92">
        <f t="shared" si="18"/>
        <v>0</v>
      </c>
      <c r="M92">
        <f t="shared" si="19"/>
        <v>1</v>
      </c>
      <c r="O92">
        <f t="shared" si="20"/>
        <v>0</v>
      </c>
      <c r="P92">
        <f t="shared" si="21"/>
        <v>3.0000000000001137E-2</v>
      </c>
      <c r="R92">
        <f t="shared" si="22"/>
        <v>0.88699999999999934</v>
      </c>
      <c r="S92">
        <f t="shared" si="23"/>
        <v>0.39500000000000135</v>
      </c>
      <c r="AH92">
        <f t="shared" si="24"/>
        <v>5.2900855119699575</v>
      </c>
      <c r="AI92">
        <f t="shared" si="25"/>
        <v>18.906021663288382</v>
      </c>
      <c r="AJ92">
        <f t="shared" si="26"/>
        <v>41.819241494606359</v>
      </c>
      <c r="AL92">
        <f t="shared" si="27"/>
        <v>40.942802602887284</v>
      </c>
      <c r="AM92">
        <f t="shared" si="28"/>
        <v>19.782460555007457</v>
      </c>
    </row>
    <row r="93" spans="1:39" ht="16.5" x14ac:dyDescent="0.25">
      <c r="A93" s="1">
        <v>45566</v>
      </c>
      <c r="B93" s="5">
        <v>33.950000000000003</v>
      </c>
      <c r="C93" s="4">
        <v>33.200000000000003</v>
      </c>
      <c r="D93" s="4">
        <v>34.65</v>
      </c>
      <c r="E93" s="4">
        <v>32.58</v>
      </c>
      <c r="F93" s="4" t="s">
        <v>1775</v>
      </c>
      <c r="G93" s="2" t="s">
        <v>115</v>
      </c>
      <c r="I93">
        <f t="shared" si="16"/>
        <v>29.918421052631576</v>
      </c>
      <c r="J93">
        <f t="shared" si="17"/>
        <v>27.41225</v>
      </c>
      <c r="L93">
        <f t="shared" si="18"/>
        <v>1</v>
      </c>
      <c r="M93">
        <f t="shared" si="19"/>
        <v>0</v>
      </c>
      <c r="O93">
        <f t="shared" si="20"/>
        <v>0.75</v>
      </c>
      <c r="P93">
        <f t="shared" si="21"/>
        <v>0</v>
      </c>
      <c r="R93">
        <f t="shared" si="22"/>
        <v>0.87818181818181784</v>
      </c>
      <c r="S93">
        <f t="shared" si="23"/>
        <v>0.51666666666666805</v>
      </c>
      <c r="AH93">
        <f t="shared" si="24"/>
        <v>5.2637379417069319</v>
      </c>
      <c r="AI93">
        <f t="shared" si="25"/>
        <v>18.461811136972585</v>
      </c>
      <c r="AJ93">
        <f t="shared" si="26"/>
        <v>41.375030968290567</v>
      </c>
      <c r="AL93">
        <f t="shared" si="27"/>
        <v>40.445896936045443</v>
      </c>
      <c r="AM93">
        <f t="shared" si="28"/>
        <v>19.390945169217712</v>
      </c>
    </row>
    <row r="94" spans="1:39" ht="16.5" x14ac:dyDescent="0.25">
      <c r="A94" s="1">
        <v>45565</v>
      </c>
      <c r="B94" s="5">
        <v>33.07</v>
      </c>
      <c r="C94" s="4">
        <v>32.28</v>
      </c>
      <c r="D94" s="4">
        <v>33.32</v>
      </c>
      <c r="E94" s="4">
        <v>32.159999999999997</v>
      </c>
      <c r="F94" s="4" t="s">
        <v>1631</v>
      </c>
      <c r="G94" s="2" t="s">
        <v>638</v>
      </c>
      <c r="I94">
        <f t="shared" si="16"/>
        <v>29.485263157894739</v>
      </c>
      <c r="J94">
        <f t="shared" si="17"/>
        <v>27.175000000000004</v>
      </c>
      <c r="L94">
        <f t="shared" si="18"/>
        <v>1</v>
      </c>
      <c r="M94">
        <f t="shared" si="19"/>
        <v>0</v>
      </c>
      <c r="O94">
        <f t="shared" si="20"/>
        <v>0.78999999999999915</v>
      </c>
      <c r="P94">
        <f t="shared" si="21"/>
        <v>0</v>
      </c>
      <c r="R94">
        <f t="shared" si="22"/>
        <v>0.82454545454545425</v>
      </c>
      <c r="S94">
        <f t="shared" si="23"/>
        <v>0.51666666666666805</v>
      </c>
      <c r="AH94">
        <f t="shared" si="24"/>
        <v>5.2393267851947876</v>
      </c>
      <c r="AI94">
        <f t="shared" si="25"/>
        <v>18.028653242235748</v>
      </c>
      <c r="AJ94">
        <f t="shared" si="26"/>
        <v>40.94187307355373</v>
      </c>
      <c r="AL94">
        <f t="shared" si="27"/>
        <v>39.963916728284318</v>
      </c>
      <c r="AM94">
        <f t="shared" si="28"/>
        <v>19.006609587505164</v>
      </c>
    </row>
    <row r="95" spans="1:39" ht="16.5" x14ac:dyDescent="0.25">
      <c r="A95" s="1">
        <v>45562</v>
      </c>
      <c r="B95" s="5">
        <v>32.9</v>
      </c>
      <c r="C95" s="4">
        <v>33.020000000000003</v>
      </c>
      <c r="D95" s="4">
        <v>33.32</v>
      </c>
      <c r="E95" s="4">
        <v>32.53</v>
      </c>
      <c r="F95" s="4" t="s">
        <v>931</v>
      </c>
      <c r="G95" s="2" t="s">
        <v>1202</v>
      </c>
      <c r="I95">
        <f t="shared" si="16"/>
        <v>29.092631578947369</v>
      </c>
      <c r="J95">
        <f t="shared" si="17"/>
        <v>26.940000000000005</v>
      </c>
      <c r="L95">
        <f t="shared" si="18"/>
        <v>0</v>
      </c>
      <c r="M95">
        <f t="shared" si="19"/>
        <v>1</v>
      </c>
      <c r="O95">
        <f t="shared" si="20"/>
        <v>0</v>
      </c>
      <c r="P95">
        <f t="shared" si="21"/>
        <v>0.12000000000000455</v>
      </c>
      <c r="R95">
        <f t="shared" si="22"/>
        <v>0.77272727272727271</v>
      </c>
      <c r="S95">
        <f t="shared" si="23"/>
        <v>0.51666666666666805</v>
      </c>
      <c r="AH95">
        <f t="shared" si="24"/>
        <v>5.2167660977658734</v>
      </c>
      <c r="AI95">
        <f t="shared" si="25"/>
        <v>17.636021663288378</v>
      </c>
      <c r="AJ95">
        <f t="shared" si="26"/>
        <v>40.549241494606363</v>
      </c>
      <c r="AL95">
        <f t="shared" si="27"/>
        <v>39.526163774479116</v>
      </c>
      <c r="AM95">
        <f t="shared" si="28"/>
        <v>18.659099383415622</v>
      </c>
    </row>
    <row r="96" spans="1:39" ht="16.5" x14ac:dyDescent="0.25">
      <c r="A96" s="1">
        <v>45561</v>
      </c>
      <c r="B96" s="5">
        <v>33.35</v>
      </c>
      <c r="C96" s="4">
        <v>34.26</v>
      </c>
      <c r="D96" s="4">
        <v>34.29</v>
      </c>
      <c r="E96" s="4">
        <v>32.86</v>
      </c>
      <c r="F96" s="4" t="s">
        <v>1813</v>
      </c>
      <c r="G96" s="2" t="s">
        <v>721</v>
      </c>
      <c r="I96">
        <f t="shared" si="16"/>
        <v>28.743157894736843</v>
      </c>
      <c r="J96">
        <f t="shared" si="17"/>
        <v>26.722000000000001</v>
      </c>
      <c r="L96">
        <f t="shared" si="18"/>
        <v>0</v>
      </c>
      <c r="M96">
        <f t="shared" si="19"/>
        <v>1</v>
      </c>
      <c r="O96">
        <f t="shared" si="20"/>
        <v>0</v>
      </c>
      <c r="P96">
        <f t="shared" si="21"/>
        <v>0.90999999999999659</v>
      </c>
      <c r="R96">
        <f t="shared" si="22"/>
        <v>0.74916666666666687</v>
      </c>
      <c r="S96">
        <f t="shared" si="23"/>
        <v>0.71499999999999986</v>
      </c>
      <c r="AH96">
        <f t="shared" si="24"/>
        <v>5.1958267144628847</v>
      </c>
      <c r="AI96">
        <f t="shared" si="25"/>
        <v>17.286547979077852</v>
      </c>
      <c r="AJ96">
        <f t="shared" si="26"/>
        <v>40.199767810395834</v>
      </c>
      <c r="AL96">
        <f t="shared" si="27"/>
        <v>39.134811323662611</v>
      </c>
      <c r="AM96">
        <f t="shared" si="28"/>
        <v>18.351504465811075</v>
      </c>
    </row>
    <row r="97" spans="1:39" ht="16.5" x14ac:dyDescent="0.25">
      <c r="A97" s="1">
        <v>45560</v>
      </c>
      <c r="B97" s="5">
        <v>33.67</v>
      </c>
      <c r="C97" s="4">
        <v>32.590000000000003</v>
      </c>
      <c r="D97" s="4">
        <v>34.130000000000003</v>
      </c>
      <c r="E97" s="4">
        <v>32.51</v>
      </c>
      <c r="F97" s="4" t="s">
        <v>616</v>
      </c>
      <c r="G97" s="2" t="s">
        <v>1814</v>
      </c>
      <c r="I97">
        <f t="shared" si="16"/>
        <v>28.358947368421049</v>
      </c>
      <c r="J97">
        <f t="shared" si="17"/>
        <v>26.541500000000003</v>
      </c>
      <c r="L97">
        <f t="shared" si="18"/>
        <v>1</v>
      </c>
      <c r="M97">
        <f t="shared" si="19"/>
        <v>0</v>
      </c>
      <c r="O97">
        <f t="shared" si="20"/>
        <v>1.0799999999999983</v>
      </c>
      <c r="P97">
        <f t="shared" si="21"/>
        <v>0</v>
      </c>
      <c r="R97">
        <f t="shared" si="22"/>
        <v>0.74916666666666687</v>
      </c>
      <c r="S97">
        <f t="shared" si="23"/>
        <v>1.0800000000000018</v>
      </c>
      <c r="AH97">
        <f t="shared" si="24"/>
        <v>5.1762782043872697</v>
      </c>
      <c r="AI97">
        <f t="shared" si="25"/>
        <v>16.902337452762058</v>
      </c>
      <c r="AJ97">
        <f t="shared" si="26"/>
        <v>39.815557284080043</v>
      </c>
      <c r="AL97">
        <f t="shared" si="27"/>
        <v>38.711503777195588</v>
      </c>
      <c r="AM97">
        <f t="shared" si="28"/>
        <v>18.006390959646509</v>
      </c>
    </row>
    <row r="98" spans="1:39" ht="16.5" x14ac:dyDescent="0.25">
      <c r="A98" s="1">
        <v>45559</v>
      </c>
      <c r="B98" s="5">
        <v>33.08</v>
      </c>
      <c r="C98" s="4">
        <v>33.6</v>
      </c>
      <c r="D98" s="4">
        <v>33.880000000000003</v>
      </c>
      <c r="E98" s="4">
        <v>32.4</v>
      </c>
      <c r="F98" s="4" t="s">
        <v>1668</v>
      </c>
      <c r="G98" s="2" t="s">
        <v>652</v>
      </c>
      <c r="I98">
        <f t="shared" si="16"/>
        <v>27.934210526315791</v>
      </c>
      <c r="J98">
        <f t="shared" si="17"/>
        <v>26.372500000000002</v>
      </c>
      <c r="L98">
        <f t="shared" si="18"/>
        <v>0</v>
      </c>
      <c r="M98">
        <f t="shared" si="19"/>
        <v>1</v>
      </c>
      <c r="O98">
        <f t="shared" si="20"/>
        <v>0</v>
      </c>
      <c r="P98">
        <f t="shared" si="21"/>
        <v>0.52000000000000313</v>
      </c>
      <c r="R98">
        <f t="shared" si="22"/>
        <v>0.71909090909090945</v>
      </c>
      <c r="S98">
        <f t="shared" si="23"/>
        <v>0.73666666666666814</v>
      </c>
      <c r="AH98">
        <f t="shared" si="24"/>
        <v>5.1582643380467292</v>
      </c>
      <c r="AI98">
        <f t="shared" si="25"/>
        <v>16.4776006106568</v>
      </c>
      <c r="AJ98">
        <f t="shared" si="26"/>
        <v>39.390820441974782</v>
      </c>
      <c r="AL98">
        <f t="shared" si="27"/>
        <v>38.25073920240925</v>
      </c>
      <c r="AM98">
        <f t="shared" si="28"/>
        <v>17.617681850222333</v>
      </c>
    </row>
    <row r="99" spans="1:39" ht="16.5" x14ac:dyDescent="0.25">
      <c r="A99" s="1">
        <v>45558</v>
      </c>
      <c r="B99" s="5">
        <v>33.229999999999997</v>
      </c>
      <c r="C99" s="4">
        <v>32.229999999999997</v>
      </c>
      <c r="D99" s="4">
        <v>33.57</v>
      </c>
      <c r="E99" s="4">
        <v>31.93</v>
      </c>
      <c r="F99" s="4" t="s">
        <v>970</v>
      </c>
      <c r="G99" s="2" t="s">
        <v>1815</v>
      </c>
      <c r="I99">
        <f t="shared" si="16"/>
        <v>27.529473684210537</v>
      </c>
      <c r="J99">
        <f t="shared" si="17"/>
        <v>26.18075</v>
      </c>
      <c r="L99">
        <f t="shared" si="18"/>
        <v>1</v>
      </c>
      <c r="M99">
        <f t="shared" si="19"/>
        <v>0</v>
      </c>
      <c r="O99">
        <f t="shared" si="20"/>
        <v>1</v>
      </c>
      <c r="P99">
        <f t="shared" si="21"/>
        <v>0</v>
      </c>
      <c r="R99">
        <f t="shared" si="22"/>
        <v>0.71916666666666684</v>
      </c>
      <c r="S99">
        <f t="shared" si="23"/>
        <v>0.84500000000000064</v>
      </c>
      <c r="AH99">
        <f t="shared" si="24"/>
        <v>5.141939939201051</v>
      </c>
      <c r="AI99">
        <f t="shared" si="25"/>
        <v>16.072863768551546</v>
      </c>
      <c r="AJ99">
        <f t="shared" si="26"/>
        <v>38.986083599869531</v>
      </c>
      <c r="AL99">
        <f t="shared" si="27"/>
        <v>37.81335356261264</v>
      </c>
      <c r="AM99">
        <f t="shared" si="28"/>
        <v>17.245593805808433</v>
      </c>
    </row>
    <row r="100" spans="1:39" ht="16.5" x14ac:dyDescent="0.25">
      <c r="A100" s="1">
        <v>45555</v>
      </c>
      <c r="B100" s="5">
        <v>32.299999999999997</v>
      </c>
      <c r="C100" s="4">
        <v>31.87</v>
      </c>
      <c r="D100" s="4">
        <v>32.65</v>
      </c>
      <c r="E100" s="4">
        <v>31.76</v>
      </c>
      <c r="F100" s="4" t="s">
        <v>1279</v>
      </c>
      <c r="G100" s="2" t="s">
        <v>345</v>
      </c>
      <c r="I100">
        <f t="shared" si="16"/>
        <v>27.111578947368429</v>
      </c>
      <c r="J100">
        <f t="shared" si="17"/>
        <v>25.983249999999998</v>
      </c>
      <c r="L100">
        <f t="shared" si="18"/>
        <v>1</v>
      </c>
      <c r="M100">
        <f t="shared" si="19"/>
        <v>0</v>
      </c>
      <c r="O100">
        <f t="shared" si="20"/>
        <v>0.42999999999999616</v>
      </c>
      <c r="P100">
        <f t="shared" si="21"/>
        <v>0</v>
      </c>
      <c r="R100">
        <f t="shared" si="22"/>
        <v>0.69363636363636383</v>
      </c>
      <c r="S100">
        <f t="shared" si="23"/>
        <v>0.72666666666666779</v>
      </c>
      <c r="AH100">
        <f t="shared" si="24"/>
        <v>5.1271775616465645</v>
      </c>
      <c r="AI100">
        <f t="shared" si="25"/>
        <v>15.654969031709438</v>
      </c>
      <c r="AJ100">
        <f t="shared" si="26"/>
        <v>38.568188863027416</v>
      </c>
      <c r="AL100">
        <f t="shared" si="27"/>
        <v>37.365934070661559</v>
      </c>
      <c r="AM100">
        <f t="shared" si="28"/>
        <v>16.857223824075298</v>
      </c>
    </row>
    <row r="101" spans="1:39" ht="16.5" x14ac:dyDescent="0.25">
      <c r="A101" s="1">
        <v>45554</v>
      </c>
      <c r="B101" s="5">
        <v>32.049999999999997</v>
      </c>
      <c r="C101" s="4">
        <v>32</v>
      </c>
      <c r="D101" s="4">
        <v>32.299999999999997</v>
      </c>
      <c r="E101" s="4">
        <v>31.5</v>
      </c>
      <c r="F101" s="4" t="s">
        <v>1085</v>
      </c>
      <c r="G101" s="2" t="s">
        <v>1816</v>
      </c>
      <c r="I101">
        <f t="shared" si="16"/>
        <v>26.756315789473689</v>
      </c>
      <c r="J101">
        <f t="shared" si="17"/>
        <v>25.810750000000002</v>
      </c>
      <c r="L101">
        <f t="shared" si="18"/>
        <v>1</v>
      </c>
      <c r="M101">
        <f t="shared" si="19"/>
        <v>0</v>
      </c>
      <c r="O101">
        <f t="shared" si="20"/>
        <v>4.9999999999997158E-2</v>
      </c>
      <c r="P101">
        <f t="shared" si="21"/>
        <v>0</v>
      </c>
      <c r="R101">
        <f t="shared" si="22"/>
        <v>0.71000000000000085</v>
      </c>
      <c r="S101">
        <f t="shared" si="23"/>
        <v>0.72666666666666779</v>
      </c>
      <c r="AH101">
        <f t="shared" si="24"/>
        <v>5.113994143128596</v>
      </c>
      <c r="AI101">
        <f t="shared" si="25"/>
        <v>15.299705873814698</v>
      </c>
      <c r="AJ101">
        <f t="shared" si="26"/>
        <v>38.212925705132676</v>
      </c>
      <c r="AL101">
        <f t="shared" si="27"/>
        <v>36.984304075730883</v>
      </c>
      <c r="AM101">
        <f t="shared" si="28"/>
        <v>16.528327503216495</v>
      </c>
    </row>
    <row r="102" spans="1:39" ht="16.5" x14ac:dyDescent="0.25">
      <c r="A102" s="1">
        <v>45553</v>
      </c>
      <c r="B102" s="5">
        <v>31.19</v>
      </c>
      <c r="C102" s="4">
        <v>30.4</v>
      </c>
      <c r="D102" s="4">
        <v>31.67</v>
      </c>
      <c r="E102" s="4">
        <v>30.32</v>
      </c>
      <c r="F102" s="4" t="s">
        <v>1817</v>
      </c>
      <c r="G102" s="2" t="s">
        <v>1557</v>
      </c>
      <c r="I102">
        <f t="shared" si="16"/>
        <v>26.424736842105268</v>
      </c>
      <c r="J102">
        <f t="shared" si="17"/>
        <v>25.631250000000001</v>
      </c>
      <c r="L102">
        <f t="shared" si="18"/>
        <v>1</v>
      </c>
      <c r="M102">
        <f t="shared" si="19"/>
        <v>0</v>
      </c>
      <c r="O102">
        <f t="shared" si="20"/>
        <v>0.7900000000000027</v>
      </c>
      <c r="P102">
        <f t="shared" si="21"/>
        <v>0</v>
      </c>
      <c r="R102">
        <f t="shared" si="22"/>
        <v>0.7481818181818195</v>
      </c>
      <c r="S102">
        <f t="shared" si="23"/>
        <v>0.72666666666666779</v>
      </c>
      <c r="AH102">
        <f t="shared" si="24"/>
        <v>5.1020924571076671</v>
      </c>
      <c r="AI102">
        <f t="shared" si="25"/>
        <v>14.968126926446278</v>
      </c>
      <c r="AJ102">
        <f t="shared" si="26"/>
        <v>37.881346757764263</v>
      </c>
      <c r="AL102">
        <f t="shared" si="27"/>
        <v>36.628921756320601</v>
      </c>
      <c r="AM102">
        <f t="shared" si="28"/>
        <v>16.220551927889936</v>
      </c>
    </row>
    <row r="103" spans="1:39" ht="16.5" x14ac:dyDescent="0.25">
      <c r="A103" s="1">
        <v>45552</v>
      </c>
      <c r="B103" s="5">
        <v>30.35</v>
      </c>
      <c r="C103" s="4">
        <v>29.35</v>
      </c>
      <c r="D103" s="4">
        <v>30.41</v>
      </c>
      <c r="E103" s="4">
        <v>28.72</v>
      </c>
      <c r="F103" s="4" t="s">
        <v>1638</v>
      </c>
      <c r="G103" s="2" t="s">
        <v>1818</v>
      </c>
      <c r="I103">
        <f t="shared" si="16"/>
        <v>26.102631578947371</v>
      </c>
      <c r="J103">
        <f t="shared" si="17"/>
        <v>25.494499999999999</v>
      </c>
      <c r="L103">
        <f t="shared" si="18"/>
        <v>1</v>
      </c>
      <c r="M103">
        <f t="shared" si="19"/>
        <v>0</v>
      </c>
      <c r="O103">
        <f t="shared" si="20"/>
        <v>1</v>
      </c>
      <c r="P103">
        <f t="shared" si="21"/>
        <v>0</v>
      </c>
      <c r="R103">
        <f t="shared" si="22"/>
        <v>0.69090909090909203</v>
      </c>
      <c r="S103">
        <f t="shared" si="23"/>
        <v>0.72666666666666779</v>
      </c>
      <c r="AH103">
        <f t="shared" si="24"/>
        <v>5.091349508494603</v>
      </c>
      <c r="AI103">
        <f t="shared" si="25"/>
        <v>14.64602166328838</v>
      </c>
      <c r="AJ103">
        <f t="shared" si="26"/>
        <v>37.559241494606361</v>
      </c>
      <c r="AL103">
        <f t="shared" si="27"/>
        <v>36.285330595936578</v>
      </c>
      <c r="AM103">
        <f t="shared" si="28"/>
        <v>15.919932561958165</v>
      </c>
    </row>
    <row r="104" spans="1:39" ht="16.5" x14ac:dyDescent="0.25">
      <c r="A104" s="1">
        <v>45551</v>
      </c>
      <c r="B104" s="5">
        <v>29.11</v>
      </c>
      <c r="C104" s="4">
        <v>28.34</v>
      </c>
      <c r="D104" s="4">
        <v>29.28</v>
      </c>
      <c r="E104" s="4">
        <v>28.14</v>
      </c>
      <c r="F104" s="4" t="s">
        <v>907</v>
      </c>
      <c r="G104" s="2" t="s">
        <v>471</v>
      </c>
      <c r="I104">
        <f t="shared" si="16"/>
        <v>25.803157894736845</v>
      </c>
      <c r="J104">
        <f t="shared" si="17"/>
        <v>25.392749999999999</v>
      </c>
      <c r="L104">
        <f t="shared" si="18"/>
        <v>1</v>
      </c>
      <c r="M104">
        <f t="shared" si="19"/>
        <v>0</v>
      </c>
      <c r="O104">
        <f t="shared" si="20"/>
        <v>0.76999999999999957</v>
      </c>
      <c r="P104">
        <f t="shared" si="21"/>
        <v>0</v>
      </c>
      <c r="R104">
        <f t="shared" si="22"/>
        <v>0.66000000000000125</v>
      </c>
      <c r="S104">
        <f t="shared" si="23"/>
        <v>0.5525000000000011</v>
      </c>
      <c r="AH104">
        <f t="shared" si="24"/>
        <v>5.0817029182901665</v>
      </c>
      <c r="AI104">
        <f t="shared" si="25"/>
        <v>14.346547979077855</v>
      </c>
      <c r="AJ104">
        <f t="shared" si="26"/>
        <v>37.259767810395836</v>
      </c>
      <c r="AL104">
        <f t="shared" si="27"/>
        <v>35.96656373131718</v>
      </c>
      <c r="AM104">
        <f t="shared" si="28"/>
        <v>15.639752058156512</v>
      </c>
    </row>
    <row r="105" spans="1:39" ht="16.5" x14ac:dyDescent="0.25">
      <c r="A105" s="1">
        <v>45548</v>
      </c>
      <c r="B105" s="5">
        <v>29.21</v>
      </c>
      <c r="C105" s="4">
        <v>27</v>
      </c>
      <c r="D105" s="4">
        <v>29.24</v>
      </c>
      <c r="E105" s="4">
        <v>26.86</v>
      </c>
      <c r="F105" s="4" t="s">
        <v>1819</v>
      </c>
      <c r="G105" s="2" t="s">
        <v>1820</v>
      </c>
      <c r="I105">
        <f t="shared" si="16"/>
        <v>25.561578947368425</v>
      </c>
      <c r="J105">
        <f t="shared" si="17"/>
        <v>25.311000000000003</v>
      </c>
      <c r="L105">
        <f t="shared" si="18"/>
        <v>1</v>
      </c>
      <c r="M105">
        <f t="shared" si="19"/>
        <v>0</v>
      </c>
      <c r="O105">
        <f t="shared" si="20"/>
        <v>2.2100000000000009</v>
      </c>
      <c r="P105">
        <f t="shared" si="21"/>
        <v>0</v>
      </c>
      <c r="R105">
        <f t="shared" si="22"/>
        <v>0.64777777777777912</v>
      </c>
      <c r="S105">
        <f t="shared" si="23"/>
        <v>0.48400000000000104</v>
      </c>
      <c r="AH105">
        <f t="shared" si="24"/>
        <v>5.0730436221269741</v>
      </c>
      <c r="AI105">
        <f t="shared" si="25"/>
        <v>14.104969031709434</v>
      </c>
      <c r="AJ105">
        <f t="shared" si="26"/>
        <v>37.018188863027419</v>
      </c>
      <c r="AL105">
        <f t="shared" si="27"/>
        <v>35.707666191622373</v>
      </c>
      <c r="AM105">
        <f t="shared" si="28"/>
        <v>15.415491703114476</v>
      </c>
    </row>
    <row r="106" spans="1:39" ht="16.5" x14ac:dyDescent="0.25">
      <c r="A106" s="1">
        <v>45547</v>
      </c>
      <c r="B106" s="5">
        <v>26.69</v>
      </c>
      <c r="C106" s="4">
        <v>25.9</v>
      </c>
      <c r="D106" s="4">
        <v>26.76</v>
      </c>
      <c r="E106" s="4">
        <v>25.8</v>
      </c>
      <c r="F106" s="4" t="s">
        <v>1628</v>
      </c>
      <c r="G106" s="2" t="s">
        <v>1821</v>
      </c>
      <c r="I106">
        <f t="shared" si="16"/>
        <v>25.361578947368425</v>
      </c>
      <c r="J106">
        <f t="shared" si="17"/>
        <v>25.216500000000003</v>
      </c>
      <c r="L106">
        <f t="shared" si="18"/>
        <v>1</v>
      </c>
      <c r="M106">
        <f t="shared" si="19"/>
        <v>0</v>
      </c>
      <c r="O106">
        <f t="shared" si="20"/>
        <v>0.7900000000000027</v>
      </c>
      <c r="P106">
        <f t="shared" si="21"/>
        <v>0</v>
      </c>
      <c r="R106">
        <f t="shared" si="22"/>
        <v>0.45250000000000146</v>
      </c>
      <c r="S106">
        <f t="shared" si="23"/>
        <v>0.42333333333333439</v>
      </c>
      <c r="AH106">
        <f t="shared" si="24"/>
        <v>5.065142013768515</v>
      </c>
      <c r="AI106">
        <f t="shared" si="25"/>
        <v>13.904969031709435</v>
      </c>
      <c r="AJ106">
        <f t="shared" si="26"/>
        <v>36.818188863027416</v>
      </c>
      <c r="AL106">
        <f t="shared" si="27"/>
        <v>35.491862974905459</v>
      </c>
      <c r="AM106">
        <f t="shared" si="28"/>
        <v>15.231294919831395</v>
      </c>
    </row>
    <row r="107" spans="1:39" ht="16.5" x14ac:dyDescent="0.25">
      <c r="A107" s="1">
        <v>45546</v>
      </c>
      <c r="B107" s="5">
        <v>25.39</v>
      </c>
      <c r="C107" s="4">
        <v>25.23</v>
      </c>
      <c r="D107" s="4">
        <v>25.85</v>
      </c>
      <c r="E107" s="4">
        <v>25.07</v>
      </c>
      <c r="F107" s="4" t="s">
        <v>1505</v>
      </c>
      <c r="G107" s="2" t="s">
        <v>51</v>
      </c>
      <c r="I107">
        <f t="shared" si="16"/>
        <v>25.281578947368427</v>
      </c>
      <c r="J107">
        <f t="shared" si="17"/>
        <v>25.170500000000001</v>
      </c>
      <c r="L107">
        <f t="shared" si="18"/>
        <v>1</v>
      </c>
      <c r="M107">
        <f t="shared" si="19"/>
        <v>0</v>
      </c>
      <c r="O107">
        <f t="shared" si="20"/>
        <v>0.16000000000000014</v>
      </c>
      <c r="P107">
        <f t="shared" si="21"/>
        <v>0</v>
      </c>
      <c r="R107">
        <f t="shared" si="22"/>
        <v>0.46250000000000124</v>
      </c>
      <c r="S107">
        <f t="shared" si="23"/>
        <v>0.42333333333333439</v>
      </c>
      <c r="AH107">
        <f t="shared" si="24"/>
        <v>5.0578394262054927</v>
      </c>
      <c r="AI107">
        <f t="shared" si="25"/>
        <v>13.824969031709436</v>
      </c>
      <c r="AJ107">
        <f t="shared" si="26"/>
        <v>36.738188863027418</v>
      </c>
      <c r="AL107">
        <f t="shared" si="27"/>
        <v>35.39725779977941</v>
      </c>
      <c r="AM107">
        <f t="shared" si="28"/>
        <v>15.165900094957442</v>
      </c>
    </row>
    <row r="108" spans="1:39" ht="16.5" x14ac:dyDescent="0.25">
      <c r="A108" s="1">
        <v>45545</v>
      </c>
      <c r="B108" s="5">
        <v>24.92</v>
      </c>
      <c r="C108" s="4">
        <v>24.7</v>
      </c>
      <c r="D108" s="4">
        <v>24.92</v>
      </c>
      <c r="E108" s="4">
        <v>24.44</v>
      </c>
      <c r="F108" s="4" t="s">
        <v>1484</v>
      </c>
      <c r="G108" s="2" t="s">
        <v>285</v>
      </c>
      <c r="I108">
        <f t="shared" si="16"/>
        <v>25.271578947368425</v>
      </c>
      <c r="J108">
        <f t="shared" si="17"/>
        <v>25.171750000000003</v>
      </c>
      <c r="L108">
        <f t="shared" si="18"/>
        <v>1</v>
      </c>
      <c r="M108">
        <f t="shared" si="19"/>
        <v>0</v>
      </c>
      <c r="O108">
        <f t="shared" si="20"/>
        <v>0.22000000000000242</v>
      </c>
      <c r="P108">
        <f t="shared" si="21"/>
        <v>0</v>
      </c>
      <c r="R108">
        <f t="shared" si="22"/>
        <v>0.47500000000000142</v>
      </c>
      <c r="S108">
        <f t="shared" si="23"/>
        <v>0.42333333333333439</v>
      </c>
      <c r="AH108">
        <f t="shared" si="24"/>
        <v>5.0507109613858514</v>
      </c>
      <c r="AI108">
        <f t="shared" si="25"/>
        <v>13.814969031709435</v>
      </c>
      <c r="AJ108">
        <f t="shared" si="26"/>
        <v>36.728188863027412</v>
      </c>
      <c r="AL108">
        <f t="shared" si="27"/>
        <v>35.373000870140132</v>
      </c>
      <c r="AM108">
        <f t="shared" si="28"/>
        <v>15.170157024596723</v>
      </c>
    </row>
    <row r="109" spans="1:39" ht="16.5" x14ac:dyDescent="0.25">
      <c r="A109" s="1">
        <v>45544</v>
      </c>
      <c r="B109" s="5">
        <v>24.6</v>
      </c>
      <c r="C109" s="4">
        <v>24.11</v>
      </c>
      <c r="D109" s="4">
        <v>24.76</v>
      </c>
      <c r="E109" s="4">
        <v>24.08</v>
      </c>
      <c r="F109" s="4" t="s">
        <v>1460</v>
      </c>
      <c r="G109" s="2" t="s">
        <v>1822</v>
      </c>
      <c r="I109">
        <f t="shared" si="16"/>
        <v>25.267894736842106</v>
      </c>
      <c r="J109">
        <f t="shared" si="17"/>
        <v>25.213750000000001</v>
      </c>
      <c r="L109">
        <f t="shared" si="18"/>
        <v>1</v>
      </c>
      <c r="M109">
        <f t="shared" si="19"/>
        <v>0</v>
      </c>
      <c r="O109">
        <f t="shared" si="20"/>
        <v>0.49000000000000199</v>
      </c>
      <c r="P109">
        <f t="shared" si="21"/>
        <v>0</v>
      </c>
      <c r="R109">
        <f t="shared" si="22"/>
        <v>0.44875000000000131</v>
      </c>
      <c r="S109">
        <f t="shared" si="23"/>
        <v>0.42333333333333439</v>
      </c>
      <c r="AH109">
        <f t="shared" si="24"/>
        <v>5.0435115751322268</v>
      </c>
      <c r="AI109">
        <f t="shared" si="25"/>
        <v>13.811284821183115</v>
      </c>
      <c r="AJ109">
        <f t="shared" si="26"/>
        <v>36.724504652501096</v>
      </c>
      <c r="AL109">
        <f t="shared" si="27"/>
        <v>35.354917887106559</v>
      </c>
      <c r="AM109">
        <f t="shared" si="28"/>
        <v>15.180871586577652</v>
      </c>
    </row>
    <row r="110" spans="1:39" ht="16.5" x14ac:dyDescent="0.25">
      <c r="A110" s="1">
        <v>45541</v>
      </c>
      <c r="B110" s="5">
        <v>23.84</v>
      </c>
      <c r="C110" s="4">
        <v>25.48</v>
      </c>
      <c r="D110" s="4">
        <v>25.58</v>
      </c>
      <c r="E110" s="4">
        <v>23.7</v>
      </c>
      <c r="F110" s="4" t="s">
        <v>1707</v>
      </c>
      <c r="G110" s="2" t="s">
        <v>1823</v>
      </c>
      <c r="I110">
        <f t="shared" si="16"/>
        <v>25.274210526315791</v>
      </c>
      <c r="J110">
        <f t="shared" si="17"/>
        <v>25.25825</v>
      </c>
      <c r="L110">
        <f t="shared" si="18"/>
        <v>0</v>
      </c>
      <c r="M110">
        <f t="shared" si="19"/>
        <v>1</v>
      </c>
      <c r="O110">
        <f t="shared" si="20"/>
        <v>0</v>
      </c>
      <c r="P110">
        <f t="shared" si="21"/>
        <v>1.6400000000000006</v>
      </c>
      <c r="R110">
        <f t="shared" si="22"/>
        <v>0.44285714285714406</v>
      </c>
      <c r="S110">
        <f t="shared" si="23"/>
        <v>0.50142857142857211</v>
      </c>
      <c r="AH110">
        <f t="shared" si="24"/>
        <v>5.0362179037254373</v>
      </c>
      <c r="AI110">
        <f t="shared" si="25"/>
        <v>13.8176006106568</v>
      </c>
      <c r="AJ110">
        <f t="shared" si="26"/>
        <v>36.730820441974785</v>
      </c>
      <c r="AL110">
        <f t="shared" si="27"/>
        <v>35.346646333766664</v>
      </c>
      <c r="AM110">
        <f t="shared" si="28"/>
        <v>15.201774718864916</v>
      </c>
    </row>
    <row r="111" spans="1:39" ht="16.5" x14ac:dyDescent="0.25">
      <c r="A111" s="1">
        <v>45540</v>
      </c>
      <c r="B111" s="5">
        <v>25.55</v>
      </c>
      <c r="C111" s="4">
        <v>25.6</v>
      </c>
      <c r="D111" s="4">
        <v>26.19</v>
      </c>
      <c r="E111" s="4">
        <v>25.49</v>
      </c>
      <c r="F111" s="4" t="s">
        <v>1395</v>
      </c>
      <c r="G111" s="2" t="s">
        <v>292</v>
      </c>
      <c r="I111">
        <f t="shared" si="16"/>
        <v>25.295789473684209</v>
      </c>
      <c r="J111">
        <f t="shared" si="17"/>
        <v>25.356000000000002</v>
      </c>
      <c r="L111">
        <f t="shared" si="18"/>
        <v>0</v>
      </c>
      <c r="M111">
        <f t="shared" si="19"/>
        <v>1</v>
      </c>
      <c r="O111">
        <f t="shared" si="20"/>
        <v>0</v>
      </c>
      <c r="P111">
        <f t="shared" si="21"/>
        <v>5.0000000000000711E-2</v>
      </c>
      <c r="R111">
        <f t="shared" si="22"/>
        <v>0.41750000000000087</v>
      </c>
      <c r="S111">
        <f t="shared" si="23"/>
        <v>0.31166666666666742</v>
      </c>
      <c r="AH111">
        <f t="shared" si="24"/>
        <v>5.0287928878136894</v>
      </c>
      <c r="AI111">
        <f t="shared" si="25"/>
        <v>13.839179558025219</v>
      </c>
      <c r="AJ111">
        <f t="shared" si="26"/>
        <v>36.752399389343196</v>
      </c>
      <c r="AL111">
        <f t="shared" si="27"/>
        <v>35.35337524931159</v>
      </c>
      <c r="AM111">
        <f t="shared" si="28"/>
        <v>15.238203698056831</v>
      </c>
    </row>
    <row r="112" spans="1:39" ht="16.5" x14ac:dyDescent="0.25">
      <c r="A112" s="1">
        <v>45539</v>
      </c>
      <c r="B112" s="5">
        <v>25.72</v>
      </c>
      <c r="C112" s="4">
        <v>25</v>
      </c>
      <c r="D112" s="4">
        <v>26.07</v>
      </c>
      <c r="E112" s="4">
        <v>24.88</v>
      </c>
      <c r="F112" s="4" t="s">
        <v>1379</v>
      </c>
      <c r="G112" s="2" t="s">
        <v>251</v>
      </c>
      <c r="I112">
        <f t="shared" si="16"/>
        <v>25.22421052631579</v>
      </c>
      <c r="J112">
        <f t="shared" si="17"/>
        <v>25.41225</v>
      </c>
      <c r="L112">
        <f t="shared" si="18"/>
        <v>1</v>
      </c>
      <c r="M112">
        <f t="shared" si="19"/>
        <v>0</v>
      </c>
      <c r="O112">
        <f t="shared" si="20"/>
        <v>0.71999999999999886</v>
      </c>
      <c r="P112">
        <f t="shared" si="21"/>
        <v>0</v>
      </c>
      <c r="R112">
        <f t="shared" si="22"/>
        <v>0.41750000000000087</v>
      </c>
      <c r="S112">
        <f t="shared" si="23"/>
        <v>0.32666666666666683</v>
      </c>
      <c r="AH112">
        <f t="shared" si="24"/>
        <v>5.0211794942425474</v>
      </c>
      <c r="AI112">
        <f t="shared" si="25"/>
        <v>13.7676006106568</v>
      </c>
      <c r="AJ112">
        <f t="shared" si="26"/>
        <v>36.680820441974781</v>
      </c>
      <c r="AL112">
        <f t="shared" si="27"/>
        <v>35.266569514800885</v>
      </c>
      <c r="AM112">
        <f t="shared" si="28"/>
        <v>15.181851537830696</v>
      </c>
    </row>
    <row r="113" spans="1:39" ht="16.5" x14ac:dyDescent="0.25">
      <c r="A113" s="1">
        <v>45538</v>
      </c>
      <c r="B113" s="5">
        <v>25.61</v>
      </c>
      <c r="C113" s="4">
        <v>26.1</v>
      </c>
      <c r="D113" s="4">
        <v>26.42</v>
      </c>
      <c r="E113" s="4">
        <v>25.48</v>
      </c>
      <c r="F113" s="4" t="s">
        <v>1464</v>
      </c>
      <c r="G113" s="2" t="s">
        <v>1824</v>
      </c>
      <c r="I113">
        <f t="shared" si="16"/>
        <v>25.15421052631579</v>
      </c>
      <c r="J113">
        <f t="shared" si="17"/>
        <v>25.449249999999999</v>
      </c>
      <c r="L113">
        <f t="shared" si="18"/>
        <v>0</v>
      </c>
      <c r="M113">
        <f t="shared" si="19"/>
        <v>1</v>
      </c>
      <c r="O113">
        <f t="shared" si="20"/>
        <v>0</v>
      </c>
      <c r="P113">
        <f t="shared" si="21"/>
        <v>0.49000000000000199</v>
      </c>
      <c r="R113">
        <f t="shared" si="22"/>
        <v>0.35250000000000092</v>
      </c>
      <c r="S113">
        <f t="shared" si="23"/>
        <v>0.32666666666666683</v>
      </c>
      <c r="AH113">
        <f t="shared" si="24"/>
        <v>5.0137110723710165</v>
      </c>
      <c r="AI113">
        <f t="shared" si="25"/>
        <v>13.697600610656799</v>
      </c>
      <c r="AJ113">
        <f t="shared" si="26"/>
        <v>36.610820441974781</v>
      </c>
      <c r="AL113">
        <f t="shared" si="27"/>
        <v>35.181632671057827</v>
      </c>
      <c r="AM113">
        <f t="shared" si="28"/>
        <v>15.126788381573757</v>
      </c>
    </row>
    <row r="114" spans="1:39" ht="16.5" x14ac:dyDescent="0.25">
      <c r="A114" s="1">
        <v>45537</v>
      </c>
      <c r="B114" s="5">
        <v>26.26</v>
      </c>
      <c r="C114" s="4">
        <v>25.65</v>
      </c>
      <c r="D114" s="4">
        <v>26.34</v>
      </c>
      <c r="E114" s="4">
        <v>25.52</v>
      </c>
      <c r="F114" s="4" t="s">
        <v>262</v>
      </c>
      <c r="G114" s="2" t="s">
        <v>1421</v>
      </c>
      <c r="I114">
        <f t="shared" si="16"/>
        <v>25.09</v>
      </c>
      <c r="J114">
        <f t="shared" si="17"/>
        <v>25.474499999999999</v>
      </c>
      <c r="L114">
        <f t="shared" si="18"/>
        <v>1</v>
      </c>
      <c r="M114">
        <f t="shared" si="19"/>
        <v>0</v>
      </c>
      <c r="O114">
        <f t="shared" si="20"/>
        <v>0.61000000000000298</v>
      </c>
      <c r="P114">
        <f t="shared" si="21"/>
        <v>0</v>
      </c>
      <c r="R114">
        <f t="shared" si="22"/>
        <v>0.35250000000000092</v>
      </c>
      <c r="S114">
        <f t="shared" si="23"/>
        <v>0.25999999999999979</v>
      </c>
      <c r="AH114">
        <f t="shared" si="24"/>
        <v>5.0063826728459517</v>
      </c>
      <c r="AI114">
        <f t="shared" si="25"/>
        <v>13.633390084341009</v>
      </c>
      <c r="AJ114">
        <f t="shared" si="26"/>
        <v>36.546609915658991</v>
      </c>
      <c r="AL114">
        <f t="shared" si="27"/>
        <v>35.102765345691907</v>
      </c>
      <c r="AM114">
        <f t="shared" si="28"/>
        <v>15.077234654308096</v>
      </c>
    </row>
    <row r="115" spans="1:39" ht="16.5" x14ac:dyDescent="0.25">
      <c r="A115" s="1">
        <v>45534</v>
      </c>
      <c r="B115" s="5">
        <v>26.05</v>
      </c>
      <c r="C115" s="4">
        <v>25.58</v>
      </c>
      <c r="D115" s="4">
        <v>26.39</v>
      </c>
      <c r="E115" s="4">
        <v>25.58</v>
      </c>
      <c r="F115" s="4" t="s">
        <v>891</v>
      </c>
      <c r="G115" s="2" t="s">
        <v>1640</v>
      </c>
      <c r="I115">
        <f t="shared" si="16"/>
        <v>24.995263157894737</v>
      </c>
      <c r="J115">
        <f t="shared" si="17"/>
        <v>25.489750000000001</v>
      </c>
      <c r="L115">
        <f t="shared" si="18"/>
        <v>1</v>
      </c>
      <c r="M115">
        <f t="shared" si="19"/>
        <v>0</v>
      </c>
      <c r="O115">
        <f t="shared" si="20"/>
        <v>0.47000000000000242</v>
      </c>
      <c r="P115">
        <f t="shared" si="21"/>
        <v>0</v>
      </c>
      <c r="R115">
        <f t="shared" si="22"/>
        <v>0.30375000000000041</v>
      </c>
      <c r="S115">
        <f t="shared" si="23"/>
        <v>0.25999999999999979</v>
      </c>
      <c r="AH115">
        <f t="shared" si="24"/>
        <v>4.9991743145107934</v>
      </c>
      <c r="AI115">
        <f t="shared" si="25"/>
        <v>13.538653242235746</v>
      </c>
      <c r="AJ115">
        <f t="shared" si="26"/>
        <v>36.451873073553728</v>
      </c>
      <c r="AL115">
        <f t="shared" si="27"/>
        <v>34.993611786916325</v>
      </c>
      <c r="AM115">
        <f t="shared" si="28"/>
        <v>14.99691452887315</v>
      </c>
    </row>
    <row r="116" spans="1:39" ht="16.5" x14ac:dyDescent="0.25">
      <c r="A116" s="1">
        <v>45533</v>
      </c>
      <c r="B116" s="5">
        <v>25.6</v>
      </c>
      <c r="C116" s="4">
        <v>25.44</v>
      </c>
      <c r="D116" s="4">
        <v>25.66</v>
      </c>
      <c r="E116" s="4">
        <v>24.92</v>
      </c>
      <c r="F116" s="4" t="s">
        <v>1543</v>
      </c>
      <c r="G116" s="2" t="s">
        <v>568</v>
      </c>
      <c r="I116">
        <f t="shared" si="16"/>
        <v>24.87</v>
      </c>
      <c r="J116">
        <f t="shared" si="17"/>
        <v>25.497750000000003</v>
      </c>
      <c r="L116">
        <f t="shared" si="18"/>
        <v>1</v>
      </c>
      <c r="M116">
        <f t="shared" si="19"/>
        <v>0</v>
      </c>
      <c r="O116">
        <f t="shared" si="20"/>
        <v>0.16000000000000014</v>
      </c>
      <c r="P116">
        <f t="shared" si="21"/>
        <v>0</v>
      </c>
      <c r="R116">
        <f t="shared" si="22"/>
        <v>0.28000000000000014</v>
      </c>
      <c r="S116">
        <f t="shared" si="23"/>
        <v>0.23714285714285716</v>
      </c>
      <c r="AH116">
        <f t="shared" si="24"/>
        <v>4.9921952313730849</v>
      </c>
      <c r="AI116">
        <f t="shared" si="25"/>
        <v>13.41339008434101</v>
      </c>
      <c r="AJ116">
        <f t="shared" si="26"/>
        <v>36.326609915658992</v>
      </c>
      <c r="AL116">
        <f t="shared" si="27"/>
        <v>34.854390462746167</v>
      </c>
      <c r="AM116">
        <f t="shared" si="28"/>
        <v>14.885609537253831</v>
      </c>
    </row>
    <row r="117" spans="1:39" ht="16.5" x14ac:dyDescent="0.25">
      <c r="A117" s="1">
        <v>45532</v>
      </c>
      <c r="B117" s="5">
        <v>25.39</v>
      </c>
      <c r="C117" s="4">
        <v>25.42</v>
      </c>
      <c r="D117" s="4">
        <v>25.68</v>
      </c>
      <c r="E117" s="4">
        <v>25.21</v>
      </c>
      <c r="F117" s="4" t="s">
        <v>134</v>
      </c>
      <c r="G117" s="2" t="s">
        <v>233</v>
      </c>
      <c r="I117">
        <f t="shared" si="16"/>
        <v>24.795263157894738</v>
      </c>
      <c r="J117">
        <f t="shared" si="17"/>
        <v>25.513750000000002</v>
      </c>
      <c r="L117">
        <f t="shared" si="18"/>
        <v>0</v>
      </c>
      <c r="M117">
        <f t="shared" si="19"/>
        <v>1</v>
      </c>
      <c r="O117">
        <f t="shared" si="20"/>
        <v>0</v>
      </c>
      <c r="P117">
        <f t="shared" si="21"/>
        <v>3.0000000000001137E-2</v>
      </c>
      <c r="R117">
        <f t="shared" si="22"/>
        <v>0.3000000000000001</v>
      </c>
      <c r="S117">
        <f t="shared" si="23"/>
        <v>0.25124999999999975</v>
      </c>
      <c r="AH117">
        <f t="shared" si="24"/>
        <v>4.9855531273895837</v>
      </c>
      <c r="AI117">
        <f t="shared" si="25"/>
        <v>13.338653242235747</v>
      </c>
      <c r="AJ117">
        <f t="shared" si="26"/>
        <v>36.251873073553725</v>
      </c>
      <c r="AL117">
        <f t="shared" si="27"/>
        <v>34.766369412673903</v>
      </c>
      <c r="AM117">
        <f t="shared" si="28"/>
        <v>14.82415690311557</v>
      </c>
    </row>
    <row r="118" spans="1:39" ht="16.5" x14ac:dyDescent="0.25">
      <c r="A118" s="1">
        <v>45531</v>
      </c>
      <c r="B118" s="5">
        <v>25.29</v>
      </c>
      <c r="C118" s="4">
        <v>25.5</v>
      </c>
      <c r="D118" s="4">
        <v>25.54</v>
      </c>
      <c r="E118" s="4">
        <v>25.09</v>
      </c>
      <c r="F118" s="4" t="s">
        <v>189</v>
      </c>
      <c r="G118" s="2" t="s">
        <v>272</v>
      </c>
      <c r="I118">
        <f t="shared" si="16"/>
        <v>24.834210526315786</v>
      </c>
      <c r="J118">
        <f t="shared" si="17"/>
        <v>25.527750000000005</v>
      </c>
      <c r="L118">
        <f t="shared" si="18"/>
        <v>0</v>
      </c>
      <c r="M118">
        <f t="shared" si="19"/>
        <v>1</v>
      </c>
      <c r="O118">
        <f t="shared" si="20"/>
        <v>0</v>
      </c>
      <c r="P118">
        <f t="shared" si="21"/>
        <v>0.21000000000000085</v>
      </c>
      <c r="R118">
        <f t="shared" si="22"/>
        <v>0.3614285714285716</v>
      </c>
      <c r="S118">
        <f t="shared" si="23"/>
        <v>0.28285714285714242</v>
      </c>
      <c r="AH118">
        <f t="shared" si="24"/>
        <v>4.9790710114897303</v>
      </c>
      <c r="AI118">
        <f t="shared" si="25"/>
        <v>13.377600610656796</v>
      </c>
      <c r="AJ118">
        <f t="shared" si="26"/>
        <v>36.290820441974773</v>
      </c>
      <c r="AL118">
        <f t="shared" si="27"/>
        <v>34.792352549295245</v>
      </c>
      <c r="AM118">
        <f t="shared" si="28"/>
        <v>14.876068503336326</v>
      </c>
    </row>
    <row r="119" spans="1:39" ht="16.5" x14ac:dyDescent="0.25">
      <c r="A119" s="1">
        <v>45530</v>
      </c>
      <c r="B119" s="5">
        <v>25.55</v>
      </c>
      <c r="C119" s="4">
        <v>25.67</v>
      </c>
      <c r="D119" s="4">
        <v>25.75</v>
      </c>
      <c r="E119" s="4">
        <v>24.95</v>
      </c>
      <c r="F119" s="4" t="s">
        <v>417</v>
      </c>
      <c r="G119" s="2" t="s">
        <v>379</v>
      </c>
      <c r="I119">
        <f t="shared" si="16"/>
        <v>24.919473684210526</v>
      </c>
      <c r="J119">
        <f t="shared" si="17"/>
        <v>25.522250000000007</v>
      </c>
      <c r="L119">
        <f t="shared" si="18"/>
        <v>0</v>
      </c>
      <c r="M119">
        <f t="shared" si="19"/>
        <v>1</v>
      </c>
      <c r="O119">
        <f t="shared" si="20"/>
        <v>0</v>
      </c>
      <c r="P119">
        <f t="shared" si="21"/>
        <v>0.12000000000000099</v>
      </c>
      <c r="R119">
        <f t="shared" si="22"/>
        <v>0.3614285714285716</v>
      </c>
      <c r="S119">
        <f t="shared" si="23"/>
        <v>0.33999999999999936</v>
      </c>
      <c r="AH119">
        <f t="shared" si="24"/>
        <v>4.9723506707076748</v>
      </c>
      <c r="AI119">
        <f t="shared" si="25"/>
        <v>13.462863768551536</v>
      </c>
      <c r="AJ119">
        <f t="shared" si="26"/>
        <v>36.376083599869517</v>
      </c>
      <c r="AL119">
        <f t="shared" si="27"/>
        <v>34.864175025625876</v>
      </c>
      <c r="AM119">
        <f t="shared" si="28"/>
        <v>14.974772342795177</v>
      </c>
    </row>
    <row r="120" spans="1:39" ht="16.5" x14ac:dyDescent="0.25">
      <c r="A120" s="1">
        <v>45527</v>
      </c>
      <c r="B120" s="5">
        <v>25.75</v>
      </c>
      <c r="C120" s="4">
        <v>24.88</v>
      </c>
      <c r="D120" s="4">
        <v>25.83</v>
      </c>
      <c r="E120" s="4">
        <v>24.88</v>
      </c>
      <c r="F120" s="4" t="s">
        <v>1468</v>
      </c>
      <c r="G120" s="2" t="s">
        <v>108</v>
      </c>
      <c r="I120">
        <f t="shared" si="16"/>
        <v>24.912105263157894</v>
      </c>
      <c r="J120">
        <f t="shared" si="17"/>
        <v>25.487500000000004</v>
      </c>
      <c r="L120">
        <f t="shared" si="18"/>
        <v>1</v>
      </c>
      <c r="M120">
        <f t="shared" si="19"/>
        <v>0</v>
      </c>
      <c r="O120">
        <f t="shared" si="20"/>
        <v>0.87000000000000099</v>
      </c>
      <c r="P120">
        <f t="shared" si="21"/>
        <v>0</v>
      </c>
      <c r="R120">
        <f t="shared" si="22"/>
        <v>0.34875000000000034</v>
      </c>
      <c r="S120">
        <f t="shared" si="23"/>
        <v>0.37666666666666576</v>
      </c>
      <c r="AH120">
        <f t="shared" si="24"/>
        <v>4.9652210511003707</v>
      </c>
      <c r="AI120">
        <f t="shared" si="25"/>
        <v>13.455495347498903</v>
      </c>
      <c r="AJ120">
        <f t="shared" si="26"/>
        <v>36.368715178816885</v>
      </c>
      <c r="AL120">
        <f t="shared" si="27"/>
        <v>34.842547365358634</v>
      </c>
      <c r="AM120">
        <f t="shared" si="28"/>
        <v>14.981663160957153</v>
      </c>
    </row>
    <row r="121" spans="1:39" ht="16.5" x14ac:dyDescent="0.25">
      <c r="A121" s="1">
        <v>45526</v>
      </c>
      <c r="B121" s="5">
        <v>25.07</v>
      </c>
      <c r="C121" s="4">
        <v>24.81</v>
      </c>
      <c r="D121" s="4">
        <v>25.25</v>
      </c>
      <c r="E121" s="4">
        <v>24.7</v>
      </c>
      <c r="F121" s="4" t="s">
        <v>111</v>
      </c>
      <c r="G121" s="2" t="s">
        <v>579</v>
      </c>
      <c r="I121">
        <f t="shared" si="16"/>
        <v>24.89</v>
      </c>
      <c r="J121">
        <f t="shared" si="17"/>
        <v>25.451500000000003</v>
      </c>
      <c r="L121">
        <f t="shared" si="18"/>
        <v>1</v>
      </c>
      <c r="M121">
        <f t="shared" si="19"/>
        <v>0</v>
      </c>
      <c r="O121">
        <f t="shared" si="20"/>
        <v>0.26000000000000156</v>
      </c>
      <c r="P121">
        <f t="shared" si="21"/>
        <v>0</v>
      </c>
      <c r="R121">
        <f t="shared" si="22"/>
        <v>0.35625000000000062</v>
      </c>
      <c r="S121">
        <f t="shared" si="23"/>
        <v>0.37666666666666576</v>
      </c>
      <c r="AH121">
        <f t="shared" si="24"/>
        <v>4.958008560088345</v>
      </c>
      <c r="AI121">
        <f t="shared" si="25"/>
        <v>13.43339008434101</v>
      </c>
      <c r="AJ121">
        <f t="shared" si="26"/>
        <v>36.346609915658988</v>
      </c>
      <c r="AL121">
        <f t="shared" si="27"/>
        <v>34.806017120176691</v>
      </c>
      <c r="AM121">
        <f t="shared" si="28"/>
        <v>14.973982879823311</v>
      </c>
    </row>
    <row r="122" spans="1:39" ht="16.5" x14ac:dyDescent="0.25">
      <c r="A122" s="1">
        <v>45525</v>
      </c>
      <c r="B122" s="5">
        <v>24.66</v>
      </c>
      <c r="C122" s="4">
        <v>24.65</v>
      </c>
      <c r="D122" s="4">
        <v>24.87</v>
      </c>
      <c r="E122" s="4">
        <v>24.52</v>
      </c>
      <c r="F122" s="4" t="s">
        <v>1825</v>
      </c>
      <c r="G122" s="2" t="s">
        <v>38</v>
      </c>
      <c r="I122">
        <f t="shared" si="16"/>
        <v>24.907368421052631</v>
      </c>
      <c r="J122">
        <f t="shared" si="17"/>
        <v>25.440750000000001</v>
      </c>
      <c r="L122">
        <f t="shared" si="18"/>
        <v>1</v>
      </c>
      <c r="M122">
        <f t="shared" si="19"/>
        <v>0</v>
      </c>
      <c r="O122">
        <f t="shared" si="20"/>
        <v>1.0000000000001563E-2</v>
      </c>
      <c r="P122">
        <f t="shared" si="21"/>
        <v>0</v>
      </c>
      <c r="R122">
        <f t="shared" si="22"/>
        <v>0.3700000000000005</v>
      </c>
      <c r="S122">
        <f t="shared" si="23"/>
        <v>0.50999999999999901</v>
      </c>
      <c r="AH122">
        <f t="shared" si="24"/>
        <v>4.9507655666669503</v>
      </c>
      <c r="AI122">
        <f t="shared" si="25"/>
        <v>13.45075850539364</v>
      </c>
      <c r="AJ122">
        <f t="shared" si="26"/>
        <v>36.363978336711625</v>
      </c>
      <c r="AL122">
        <f t="shared" si="27"/>
        <v>34.808899554386528</v>
      </c>
      <c r="AM122">
        <f t="shared" si="28"/>
        <v>15.00583728771873</v>
      </c>
    </row>
    <row r="123" spans="1:39" ht="16.5" x14ac:dyDescent="0.25">
      <c r="A123" s="1">
        <v>45524</v>
      </c>
      <c r="B123" s="5">
        <v>24.52</v>
      </c>
      <c r="C123" s="4">
        <v>25.49</v>
      </c>
      <c r="D123" s="4">
        <v>25.65</v>
      </c>
      <c r="E123" s="4">
        <v>24.52</v>
      </c>
      <c r="F123" s="4" t="s">
        <v>588</v>
      </c>
      <c r="G123" s="2" t="s">
        <v>1826</v>
      </c>
      <c r="I123">
        <f t="shared" si="16"/>
        <v>24.918421052631579</v>
      </c>
      <c r="J123">
        <f t="shared" si="17"/>
        <v>25.436250000000001</v>
      </c>
      <c r="L123">
        <f t="shared" si="18"/>
        <v>0</v>
      </c>
      <c r="M123">
        <f t="shared" si="19"/>
        <v>1</v>
      </c>
      <c r="O123">
        <f t="shared" si="20"/>
        <v>0</v>
      </c>
      <c r="P123">
        <f t="shared" si="21"/>
        <v>0.96999999999999886</v>
      </c>
      <c r="R123">
        <f t="shared" si="22"/>
        <v>0.43000000000000033</v>
      </c>
      <c r="S123">
        <f t="shared" si="23"/>
        <v>0.52124999999999932</v>
      </c>
      <c r="AH123">
        <f t="shared" si="24"/>
        <v>4.9433474456212627</v>
      </c>
      <c r="AI123">
        <f t="shared" si="25"/>
        <v>13.461811136972589</v>
      </c>
      <c r="AJ123">
        <f t="shared" si="26"/>
        <v>36.375030968290574</v>
      </c>
      <c r="AL123">
        <f t="shared" si="27"/>
        <v>34.805115943874107</v>
      </c>
      <c r="AM123">
        <f t="shared" si="28"/>
        <v>15.031726161389054</v>
      </c>
    </row>
    <row r="124" spans="1:39" ht="16.5" x14ac:dyDescent="0.25">
      <c r="A124" s="1">
        <v>45523</v>
      </c>
      <c r="B124" s="5">
        <v>25.41</v>
      </c>
      <c r="C124" s="4">
        <v>25.17</v>
      </c>
      <c r="D124" s="4">
        <v>25.59</v>
      </c>
      <c r="E124" s="4">
        <v>25.08</v>
      </c>
      <c r="F124" s="4" t="s">
        <v>1568</v>
      </c>
      <c r="G124" s="2" t="s">
        <v>94</v>
      </c>
      <c r="I124">
        <f t="shared" si="16"/>
        <v>24.981578947368419</v>
      </c>
      <c r="J124">
        <f t="shared" si="17"/>
        <v>25.434000000000001</v>
      </c>
      <c r="L124">
        <f t="shared" si="18"/>
        <v>1</v>
      </c>
      <c r="M124">
        <f t="shared" si="19"/>
        <v>0</v>
      </c>
      <c r="O124">
        <f t="shared" si="20"/>
        <v>0.23999999999999844</v>
      </c>
      <c r="P124">
        <f t="shared" si="21"/>
        <v>0</v>
      </c>
      <c r="R124">
        <f t="shared" si="22"/>
        <v>0.48428571428571437</v>
      </c>
      <c r="S124">
        <f t="shared" si="23"/>
        <v>0.45714285714285652</v>
      </c>
      <c r="AH124">
        <f t="shared" si="24"/>
        <v>4.9357744209545551</v>
      </c>
      <c r="AI124">
        <f t="shared" si="25"/>
        <v>13.524969031709428</v>
      </c>
      <c r="AJ124">
        <f t="shared" si="26"/>
        <v>36.438188863027406</v>
      </c>
      <c r="AL124">
        <f t="shared" si="27"/>
        <v>34.853127789277529</v>
      </c>
      <c r="AM124">
        <f t="shared" si="28"/>
        <v>15.110030105459309</v>
      </c>
    </row>
    <row r="125" spans="1:39" ht="16.5" x14ac:dyDescent="0.25">
      <c r="A125" s="1">
        <v>45520</v>
      </c>
      <c r="B125" s="5">
        <v>25.17</v>
      </c>
      <c r="C125" s="4">
        <v>25.31</v>
      </c>
      <c r="D125" s="4">
        <v>25.33</v>
      </c>
      <c r="E125" s="4">
        <v>25.04</v>
      </c>
      <c r="F125" s="4" t="s">
        <v>1398</v>
      </c>
      <c r="G125" s="2" t="s">
        <v>121</v>
      </c>
      <c r="I125">
        <f t="shared" si="16"/>
        <v>25.027368421052632</v>
      </c>
      <c r="J125">
        <f t="shared" si="17"/>
        <v>25.413250000000001</v>
      </c>
      <c r="L125">
        <f t="shared" si="18"/>
        <v>0</v>
      </c>
      <c r="M125">
        <f t="shared" si="19"/>
        <v>1</v>
      </c>
      <c r="O125">
        <f t="shared" si="20"/>
        <v>0</v>
      </c>
      <c r="P125">
        <f t="shared" si="21"/>
        <v>0.13999999999999702</v>
      </c>
      <c r="R125">
        <f t="shared" si="22"/>
        <v>0.52500000000000036</v>
      </c>
      <c r="S125">
        <f t="shared" si="23"/>
        <v>0.42874999999999952</v>
      </c>
      <c r="AH125">
        <f t="shared" si="24"/>
        <v>4.9278492404736367</v>
      </c>
      <c r="AI125">
        <f t="shared" si="25"/>
        <v>13.570758505393641</v>
      </c>
      <c r="AJ125">
        <f t="shared" si="26"/>
        <v>36.483978336711623</v>
      </c>
      <c r="AL125">
        <f t="shared" si="27"/>
        <v>34.883066901999904</v>
      </c>
      <c r="AM125">
        <f t="shared" si="28"/>
        <v>15.171669940105359</v>
      </c>
    </row>
    <row r="126" spans="1:39" ht="16.5" x14ac:dyDescent="0.25">
      <c r="A126" s="1">
        <v>45519</v>
      </c>
      <c r="B126" s="5">
        <v>25.2</v>
      </c>
      <c r="C126" s="4">
        <v>25</v>
      </c>
      <c r="D126" s="4">
        <v>25.2</v>
      </c>
      <c r="E126" s="4">
        <v>24.43</v>
      </c>
      <c r="F126" s="4" t="s">
        <v>1393</v>
      </c>
      <c r="G126" s="2" t="s">
        <v>1644</v>
      </c>
      <c r="I126">
        <f t="shared" si="16"/>
        <v>25.062631578947368</v>
      </c>
      <c r="J126">
        <f t="shared" si="17"/>
        <v>25.374750000000002</v>
      </c>
      <c r="L126">
        <f t="shared" si="18"/>
        <v>1</v>
      </c>
      <c r="M126">
        <f t="shared" si="19"/>
        <v>0</v>
      </c>
      <c r="O126">
        <f t="shared" si="20"/>
        <v>0.19999999999999929</v>
      </c>
      <c r="P126">
        <f t="shared" si="21"/>
        <v>0</v>
      </c>
      <c r="R126">
        <f t="shared" si="22"/>
        <v>0.52500000000000036</v>
      </c>
      <c r="S126">
        <f t="shared" si="23"/>
        <v>0.42625000000000002</v>
      </c>
      <c r="AH126">
        <f t="shared" si="24"/>
        <v>4.919629425280033</v>
      </c>
      <c r="AI126">
        <f t="shared" si="25"/>
        <v>13.606021663288377</v>
      </c>
      <c r="AJ126">
        <f t="shared" si="26"/>
        <v>36.519241494606362</v>
      </c>
      <c r="AL126">
        <f t="shared" si="27"/>
        <v>34.901890429507432</v>
      </c>
      <c r="AM126">
        <f t="shared" si="28"/>
        <v>15.223372728387302</v>
      </c>
    </row>
    <row r="127" spans="1:39" ht="16.5" x14ac:dyDescent="0.25">
      <c r="A127" s="1">
        <v>45518</v>
      </c>
      <c r="B127" s="5">
        <v>24.85</v>
      </c>
      <c r="C127" s="4">
        <v>24.94</v>
      </c>
      <c r="D127" s="4">
        <v>25.15</v>
      </c>
      <c r="E127" s="4">
        <v>24.33</v>
      </c>
      <c r="F127" s="4" t="s">
        <v>1513</v>
      </c>
      <c r="G127" s="2" t="s">
        <v>416</v>
      </c>
      <c r="I127">
        <f t="shared" si="16"/>
        <v>25.07473684210526</v>
      </c>
      <c r="J127">
        <f t="shared" si="17"/>
        <v>25.367750000000001</v>
      </c>
      <c r="L127">
        <f t="shared" si="18"/>
        <v>0</v>
      </c>
      <c r="M127">
        <f t="shared" si="19"/>
        <v>1</v>
      </c>
      <c r="O127">
        <f t="shared" si="20"/>
        <v>0</v>
      </c>
      <c r="P127">
        <f t="shared" si="21"/>
        <v>8.9999999999999858E-2</v>
      </c>
      <c r="R127">
        <f t="shared" si="22"/>
        <v>0.56166666666666687</v>
      </c>
      <c r="S127">
        <f t="shared" si="23"/>
        <v>0.42625000000000002</v>
      </c>
      <c r="AH127">
        <f t="shared" si="24"/>
        <v>4.9111489752859905</v>
      </c>
      <c r="AI127">
        <f t="shared" si="25"/>
        <v>13.618126926446269</v>
      </c>
      <c r="AJ127">
        <f t="shared" si="26"/>
        <v>36.531346757764254</v>
      </c>
      <c r="AL127">
        <f t="shared" si="27"/>
        <v>34.897034792677239</v>
      </c>
      <c r="AM127">
        <f t="shared" si="28"/>
        <v>15.252438891533279</v>
      </c>
    </row>
    <row r="128" spans="1:39" ht="16.5" x14ac:dyDescent="0.25">
      <c r="A128" s="1">
        <v>45517</v>
      </c>
      <c r="B128" s="5">
        <v>24.72</v>
      </c>
      <c r="C128" s="4">
        <v>24.5</v>
      </c>
      <c r="D128" s="4">
        <v>25</v>
      </c>
      <c r="E128" s="4">
        <v>24.44</v>
      </c>
      <c r="F128" s="4" t="s">
        <v>1434</v>
      </c>
      <c r="G128" s="2" t="s">
        <v>752</v>
      </c>
      <c r="I128">
        <f t="shared" si="16"/>
        <v>25.07473684210526</v>
      </c>
      <c r="J128">
        <f t="shared" si="17"/>
        <v>25.348749999999999</v>
      </c>
      <c r="L128">
        <f t="shared" si="18"/>
        <v>1</v>
      </c>
      <c r="M128">
        <f t="shared" si="19"/>
        <v>0</v>
      </c>
      <c r="O128">
        <f t="shared" si="20"/>
        <v>0.21999999999999886</v>
      </c>
      <c r="P128">
        <f t="shared" si="21"/>
        <v>0</v>
      </c>
      <c r="R128">
        <f t="shared" si="22"/>
        <v>0.56166666666666687</v>
      </c>
      <c r="S128">
        <f t="shared" si="23"/>
        <v>0.47124999999999995</v>
      </c>
      <c r="AH128">
        <f t="shared" si="24"/>
        <v>4.90249231603861</v>
      </c>
      <c r="AI128">
        <f t="shared" si="25"/>
        <v>13.618126926446269</v>
      </c>
      <c r="AJ128">
        <f t="shared" si="26"/>
        <v>36.531346757764254</v>
      </c>
      <c r="AL128">
        <f t="shared" si="27"/>
        <v>34.879721474182482</v>
      </c>
      <c r="AM128">
        <f t="shared" si="28"/>
        <v>15.26975221002804</v>
      </c>
    </row>
    <row r="129" spans="1:39" ht="16.5" x14ac:dyDescent="0.25">
      <c r="A129" s="1">
        <v>45516</v>
      </c>
      <c r="B129" s="5">
        <v>24.25</v>
      </c>
      <c r="C129" s="4">
        <v>24.35</v>
      </c>
      <c r="D129" s="4">
        <v>24.57</v>
      </c>
      <c r="E129" s="4">
        <v>24.02</v>
      </c>
      <c r="F129" s="4" t="s">
        <v>1599</v>
      </c>
      <c r="G129" s="2" t="s">
        <v>463</v>
      </c>
      <c r="I129">
        <f t="shared" si="16"/>
        <v>25.112631578947365</v>
      </c>
      <c r="J129">
        <f t="shared" si="17"/>
        <v>25.322749999999999</v>
      </c>
      <c r="L129">
        <f t="shared" si="18"/>
        <v>0</v>
      </c>
      <c r="M129">
        <f t="shared" si="19"/>
        <v>1</v>
      </c>
      <c r="O129">
        <f t="shared" si="20"/>
        <v>0</v>
      </c>
      <c r="P129">
        <f t="shared" si="21"/>
        <v>0.10000000000000142</v>
      </c>
      <c r="R129">
        <f t="shared" si="22"/>
        <v>0.63000000000000045</v>
      </c>
      <c r="S129">
        <f t="shared" si="23"/>
        <v>0.45000000000000007</v>
      </c>
      <c r="AH129">
        <f t="shared" si="24"/>
        <v>4.8937035560077664</v>
      </c>
      <c r="AI129">
        <f t="shared" si="25"/>
        <v>13.656021663288374</v>
      </c>
      <c r="AJ129">
        <f t="shared" si="26"/>
        <v>36.569241494606359</v>
      </c>
      <c r="AL129">
        <f t="shared" si="27"/>
        <v>34.900038690962901</v>
      </c>
      <c r="AM129">
        <f t="shared" si="28"/>
        <v>15.325224466931832</v>
      </c>
    </row>
    <row r="130" spans="1:39" ht="16.5" x14ac:dyDescent="0.25">
      <c r="A130" s="1">
        <v>45513</v>
      </c>
      <c r="B130" s="5">
        <v>24.19</v>
      </c>
      <c r="C130" s="4">
        <v>24.54</v>
      </c>
      <c r="D130" s="4">
        <v>25.3</v>
      </c>
      <c r="E130" s="4">
        <v>24.13</v>
      </c>
      <c r="F130" s="4" t="s">
        <v>1714</v>
      </c>
      <c r="G130" s="2" t="s">
        <v>88</v>
      </c>
      <c r="I130">
        <f t="shared" ref="I130:I193" si="29">AVERAGE(B130:B148)</f>
        <v>25.236315789473682</v>
      </c>
      <c r="J130">
        <f t="shared" ref="J130:J193" si="30">AVERAGE(B130:B169)</f>
        <v>25.298499999999997</v>
      </c>
      <c r="L130">
        <f t="shared" si="18"/>
        <v>0</v>
      </c>
      <c r="M130">
        <f t="shared" si="19"/>
        <v>1</v>
      </c>
      <c r="O130">
        <f t="shared" si="20"/>
        <v>0</v>
      </c>
      <c r="P130">
        <f t="shared" si="21"/>
        <v>0.34999999999999787</v>
      </c>
      <c r="R130">
        <f t="shared" si="22"/>
        <v>0.59000000000000041</v>
      </c>
      <c r="S130">
        <f t="shared" si="23"/>
        <v>0.49374999999999991</v>
      </c>
      <c r="AH130">
        <f t="shared" si="24"/>
        <v>4.8846314813571006</v>
      </c>
      <c r="AI130">
        <f t="shared" si="25"/>
        <v>13.779705873814692</v>
      </c>
      <c r="AJ130">
        <f t="shared" si="26"/>
        <v>36.692925705132673</v>
      </c>
      <c r="AL130">
        <f t="shared" si="27"/>
        <v>35.005578752187887</v>
      </c>
      <c r="AM130">
        <f t="shared" si="28"/>
        <v>15.467052826759481</v>
      </c>
    </row>
    <row r="131" spans="1:39" ht="16.5" x14ac:dyDescent="0.25">
      <c r="A131" s="1">
        <v>45512</v>
      </c>
      <c r="B131" s="5">
        <v>24.39</v>
      </c>
      <c r="C131" s="4">
        <v>23.66</v>
      </c>
      <c r="D131" s="4">
        <v>24.39</v>
      </c>
      <c r="E131" s="4">
        <v>22.94</v>
      </c>
      <c r="F131" s="4" t="s">
        <v>1625</v>
      </c>
      <c r="G131" s="2" t="s">
        <v>365</v>
      </c>
      <c r="I131">
        <f t="shared" si="29"/>
        <v>25.35157894736842</v>
      </c>
      <c r="J131">
        <f t="shared" si="30"/>
        <v>25.274750000000001</v>
      </c>
      <c r="L131">
        <f t="shared" ref="L131:L194" si="31">IF($C131&lt;$B131,1,0)</f>
        <v>1</v>
      </c>
      <c r="M131">
        <f t="shared" ref="M131:M194" si="32">IF($C131&lt;$B131,0,1)</f>
        <v>0</v>
      </c>
      <c r="O131">
        <f t="shared" ref="O131:O194" si="33">IF($C131&lt;$B131,B131-C131,0)</f>
        <v>0.73000000000000043</v>
      </c>
      <c r="P131">
        <f t="shared" ref="P131:P194" si="34">IF($B131&lt;$C131,C131-B131,0)</f>
        <v>0</v>
      </c>
      <c r="R131">
        <f t="shared" ref="R131:R194" si="35">SUM(O131:O144)/SUM(L131:L144)</f>
        <v>0.54000000000000015</v>
      </c>
      <c r="S131">
        <f t="shared" ref="S131:S194" si="36">SUM(P131:P144)/SUM(M131:M144)</f>
        <v>0.51428571428571446</v>
      </c>
      <c r="AH131">
        <f t="shared" ref="AH131:AH194" si="37">_xlfn.STDEV.S(I131:I661)</f>
        <v>4.8749258380839713</v>
      </c>
      <c r="AI131">
        <f t="shared" ref="AI131:AI194" si="38">I131-$AH$2</f>
        <v>13.894969031709429</v>
      </c>
      <c r="AJ131">
        <f t="shared" ref="AJ131:AJ194" si="39">I131+$AH$2</f>
        <v>36.808188863027411</v>
      </c>
      <c r="AL131">
        <f t="shared" ref="AL131:AL194" si="40">I131+(AH131*2)</f>
        <v>35.101430623536359</v>
      </c>
      <c r="AM131">
        <f t="shared" ref="AM131:AM194" si="41">I131-(AH131*2)</f>
        <v>15.601727271200478</v>
      </c>
    </row>
    <row r="132" spans="1:39" ht="16.5" x14ac:dyDescent="0.25">
      <c r="A132" s="1">
        <v>45511</v>
      </c>
      <c r="B132" s="5">
        <v>24.39</v>
      </c>
      <c r="C132" s="4">
        <v>25</v>
      </c>
      <c r="D132" s="4">
        <v>25.2</v>
      </c>
      <c r="E132" s="4">
        <v>23.92</v>
      </c>
      <c r="F132" s="4" t="s">
        <v>1080</v>
      </c>
      <c r="G132" s="2" t="s">
        <v>163</v>
      </c>
      <c r="I132">
        <f t="shared" si="29"/>
        <v>25.528421052631579</v>
      </c>
      <c r="J132">
        <f t="shared" si="30"/>
        <v>25.249749999999999</v>
      </c>
      <c r="L132">
        <f t="shared" si="31"/>
        <v>0</v>
      </c>
      <c r="M132">
        <f t="shared" si="32"/>
        <v>1</v>
      </c>
      <c r="O132">
        <f t="shared" si="33"/>
        <v>0</v>
      </c>
      <c r="P132">
        <f t="shared" si="34"/>
        <v>0.60999999999999943</v>
      </c>
      <c r="R132">
        <f t="shared" si="35"/>
        <v>0.55285714285714305</v>
      </c>
      <c r="S132">
        <f t="shared" si="36"/>
        <v>0.51428571428571446</v>
      </c>
      <c r="AH132">
        <f t="shared" si="37"/>
        <v>4.8646007120354486</v>
      </c>
      <c r="AI132">
        <f t="shared" si="38"/>
        <v>14.071811136972588</v>
      </c>
      <c r="AJ132">
        <f t="shared" si="39"/>
        <v>36.985030968290573</v>
      </c>
      <c r="AL132">
        <f t="shared" si="40"/>
        <v>35.25762247670248</v>
      </c>
      <c r="AM132">
        <f t="shared" si="41"/>
        <v>15.799219628560682</v>
      </c>
    </row>
    <row r="133" spans="1:39" ht="16.5" x14ac:dyDescent="0.25">
      <c r="A133" s="1">
        <v>45510</v>
      </c>
      <c r="B133" s="5">
        <v>24.46</v>
      </c>
      <c r="C133" s="4">
        <v>24.2</v>
      </c>
      <c r="D133" s="4">
        <v>24.86</v>
      </c>
      <c r="E133" s="4">
        <v>23.76</v>
      </c>
      <c r="F133" s="4" t="s">
        <v>1491</v>
      </c>
      <c r="G133" s="2" t="s">
        <v>978</v>
      </c>
      <c r="I133">
        <f t="shared" si="29"/>
        <v>25.707894736842107</v>
      </c>
      <c r="J133">
        <f t="shared" si="30"/>
        <v>25.240500000000001</v>
      </c>
      <c r="L133">
        <f t="shared" si="31"/>
        <v>1</v>
      </c>
      <c r="M133">
        <f t="shared" si="32"/>
        <v>0</v>
      </c>
      <c r="O133">
        <f t="shared" si="33"/>
        <v>0.26000000000000156</v>
      </c>
      <c r="P133">
        <f t="shared" si="34"/>
        <v>0</v>
      </c>
      <c r="R133">
        <f t="shared" si="35"/>
        <v>0.55285714285714305</v>
      </c>
      <c r="S133">
        <f t="shared" si="36"/>
        <v>0.47857142857142876</v>
      </c>
      <c r="AH133">
        <f t="shared" si="37"/>
        <v>4.8533761174051184</v>
      </c>
      <c r="AI133">
        <f t="shared" si="38"/>
        <v>14.251284821183116</v>
      </c>
      <c r="AJ133">
        <f t="shared" si="39"/>
        <v>37.164504652501094</v>
      </c>
      <c r="AL133">
        <f t="shared" si="40"/>
        <v>35.414646971652346</v>
      </c>
      <c r="AM133">
        <f t="shared" si="41"/>
        <v>16.001142502031868</v>
      </c>
    </row>
    <row r="134" spans="1:39" ht="16.5" x14ac:dyDescent="0.25">
      <c r="A134" s="1">
        <v>45509</v>
      </c>
      <c r="B134" s="5">
        <v>23.67</v>
      </c>
      <c r="C134" s="4">
        <v>22.74</v>
      </c>
      <c r="D134" s="4">
        <v>23.83</v>
      </c>
      <c r="E134" s="4">
        <v>22.06</v>
      </c>
      <c r="F134" s="4" t="s">
        <v>1827</v>
      </c>
      <c r="G134" s="2" t="s">
        <v>334</v>
      </c>
      <c r="I134">
        <f t="shared" si="29"/>
        <v>25.852105263157899</v>
      </c>
      <c r="J134">
        <f t="shared" si="30"/>
        <v>25.211749999999999</v>
      </c>
      <c r="L134">
        <f t="shared" si="31"/>
        <v>1</v>
      </c>
      <c r="M134">
        <f t="shared" si="32"/>
        <v>0</v>
      </c>
      <c r="O134">
        <f t="shared" si="33"/>
        <v>0.93000000000000327</v>
      </c>
      <c r="P134">
        <f t="shared" si="34"/>
        <v>0</v>
      </c>
      <c r="R134">
        <f t="shared" si="35"/>
        <v>0.60166666666666657</v>
      </c>
      <c r="S134">
        <f t="shared" si="36"/>
        <v>0.54</v>
      </c>
      <c r="AH134">
        <f t="shared" si="37"/>
        <v>4.8412050621044154</v>
      </c>
      <c r="AI134">
        <f t="shared" si="38"/>
        <v>14.395495347498908</v>
      </c>
      <c r="AJ134">
        <f t="shared" si="39"/>
        <v>37.30871517881689</v>
      </c>
      <c r="AL134">
        <f t="shared" si="40"/>
        <v>35.534515387366731</v>
      </c>
      <c r="AM134">
        <f t="shared" si="41"/>
        <v>16.169695138949066</v>
      </c>
    </row>
    <row r="135" spans="1:39" ht="16.5" x14ac:dyDescent="0.25">
      <c r="A135" s="1">
        <v>45506</v>
      </c>
      <c r="B135" s="5">
        <v>24.18</v>
      </c>
      <c r="C135" s="4">
        <v>25.49</v>
      </c>
      <c r="D135" s="4">
        <v>25.49</v>
      </c>
      <c r="E135" s="4">
        <v>23.57</v>
      </c>
      <c r="F135" s="4" t="s">
        <v>971</v>
      </c>
      <c r="G135" s="2" t="s">
        <v>1749</v>
      </c>
      <c r="I135">
        <f t="shared" si="29"/>
        <v>26.007368421052632</v>
      </c>
      <c r="J135">
        <f t="shared" si="30"/>
        <v>25.207499999999996</v>
      </c>
      <c r="L135">
        <f t="shared" si="31"/>
        <v>0</v>
      </c>
      <c r="M135">
        <f t="shared" si="32"/>
        <v>1</v>
      </c>
      <c r="O135">
        <f t="shared" si="33"/>
        <v>0</v>
      </c>
      <c r="P135">
        <f t="shared" si="34"/>
        <v>1.3099999999999987</v>
      </c>
      <c r="R135">
        <f t="shared" si="35"/>
        <v>0.52999999999999936</v>
      </c>
      <c r="S135">
        <f t="shared" si="36"/>
        <v>0.54</v>
      </c>
      <c r="AH135">
        <f t="shared" si="37"/>
        <v>4.8282082495849004</v>
      </c>
      <c r="AI135">
        <f t="shared" si="38"/>
        <v>14.550758505393642</v>
      </c>
      <c r="AJ135">
        <f t="shared" si="39"/>
        <v>37.463978336711619</v>
      </c>
      <c r="AL135">
        <f t="shared" si="40"/>
        <v>35.663784920222433</v>
      </c>
      <c r="AM135">
        <f t="shared" si="41"/>
        <v>16.350951921882832</v>
      </c>
    </row>
    <row r="136" spans="1:39" ht="16.5" x14ac:dyDescent="0.25">
      <c r="A136" s="1">
        <v>45505</v>
      </c>
      <c r="B136" s="5">
        <v>26.13</v>
      </c>
      <c r="C136" s="4">
        <v>26.73</v>
      </c>
      <c r="D136" s="4">
        <v>27.07</v>
      </c>
      <c r="E136" s="4">
        <v>26.01</v>
      </c>
      <c r="F136" s="4" t="s">
        <v>1523</v>
      </c>
      <c r="G136" s="2" t="s">
        <v>871</v>
      </c>
      <c r="I136">
        <f t="shared" si="29"/>
        <v>26.148947368421055</v>
      </c>
      <c r="J136">
        <f t="shared" si="30"/>
        <v>25.178499999999996</v>
      </c>
      <c r="L136">
        <f t="shared" si="31"/>
        <v>0</v>
      </c>
      <c r="M136">
        <f t="shared" si="32"/>
        <v>1</v>
      </c>
      <c r="O136">
        <f t="shared" si="33"/>
        <v>0</v>
      </c>
      <c r="P136">
        <f t="shared" si="34"/>
        <v>0.60000000000000142</v>
      </c>
      <c r="R136">
        <f t="shared" si="35"/>
        <v>0.52999999999999936</v>
      </c>
      <c r="S136">
        <f t="shared" si="36"/>
        <v>0.49250000000000016</v>
      </c>
      <c r="AH136">
        <f t="shared" si="37"/>
        <v>4.8143055835763056</v>
      </c>
      <c r="AI136">
        <f t="shared" si="38"/>
        <v>14.692337452762064</v>
      </c>
      <c r="AJ136">
        <f t="shared" si="39"/>
        <v>37.605557284080049</v>
      </c>
      <c r="AL136">
        <f t="shared" si="40"/>
        <v>35.777558535573668</v>
      </c>
      <c r="AM136">
        <f t="shared" si="41"/>
        <v>16.520336201268442</v>
      </c>
    </row>
    <row r="137" spans="1:39" ht="16.5" x14ac:dyDescent="0.25">
      <c r="A137" s="1">
        <v>45504</v>
      </c>
      <c r="B137" s="5">
        <v>26.91</v>
      </c>
      <c r="C137" s="4">
        <v>26.1</v>
      </c>
      <c r="D137" s="4">
        <v>26.91</v>
      </c>
      <c r="E137" s="4">
        <v>25.84</v>
      </c>
      <c r="F137" s="4" t="s">
        <v>1481</v>
      </c>
      <c r="G137" s="2" t="s">
        <v>1828</v>
      </c>
      <c r="I137">
        <f t="shared" si="29"/>
        <v>26.161578947368422</v>
      </c>
      <c r="J137">
        <f t="shared" si="30"/>
        <v>25.105749999999997</v>
      </c>
      <c r="L137">
        <f t="shared" si="31"/>
        <v>1</v>
      </c>
      <c r="M137">
        <f t="shared" si="32"/>
        <v>0</v>
      </c>
      <c r="O137">
        <f t="shared" si="33"/>
        <v>0.80999999999999872</v>
      </c>
      <c r="P137">
        <f t="shared" si="34"/>
        <v>0</v>
      </c>
      <c r="R137">
        <f t="shared" si="35"/>
        <v>0.47571428571428498</v>
      </c>
      <c r="S137">
        <f t="shared" si="36"/>
        <v>0.47714285714285715</v>
      </c>
      <c r="AH137">
        <f t="shared" si="37"/>
        <v>4.7995281100589988</v>
      </c>
      <c r="AI137">
        <f t="shared" si="38"/>
        <v>14.704969031709432</v>
      </c>
      <c r="AJ137">
        <f t="shared" si="39"/>
        <v>37.618188863027413</v>
      </c>
      <c r="AL137">
        <f t="shared" si="40"/>
        <v>35.76063516748642</v>
      </c>
      <c r="AM137">
        <f t="shared" si="41"/>
        <v>16.562522727250425</v>
      </c>
    </row>
    <row r="138" spans="1:39" ht="16.5" x14ac:dyDescent="0.25">
      <c r="A138" s="1">
        <v>45503</v>
      </c>
      <c r="B138" s="5">
        <v>25.41</v>
      </c>
      <c r="C138" s="4">
        <v>25.64</v>
      </c>
      <c r="D138" s="4">
        <v>25.99</v>
      </c>
      <c r="E138" s="4">
        <v>25.25</v>
      </c>
      <c r="F138" s="4" t="s">
        <v>111</v>
      </c>
      <c r="G138" s="2" t="s">
        <v>245</v>
      </c>
      <c r="I138">
        <f t="shared" si="29"/>
        <v>26.126315789473686</v>
      </c>
      <c r="J138">
        <f t="shared" si="30"/>
        <v>25.031999999999996</v>
      </c>
      <c r="L138">
        <f t="shared" si="31"/>
        <v>0</v>
      </c>
      <c r="M138">
        <f t="shared" si="32"/>
        <v>1</v>
      </c>
      <c r="O138">
        <f t="shared" si="33"/>
        <v>0</v>
      </c>
      <c r="P138">
        <f t="shared" si="34"/>
        <v>0.23000000000000043</v>
      </c>
      <c r="R138">
        <f t="shared" si="35"/>
        <v>0.41857142857142804</v>
      </c>
      <c r="S138">
        <f t="shared" si="36"/>
        <v>0.47714285714285715</v>
      </c>
      <c r="AH138">
        <f t="shared" si="37"/>
        <v>4.7844625671677266</v>
      </c>
      <c r="AI138">
        <f t="shared" si="38"/>
        <v>14.669705873814696</v>
      </c>
      <c r="AJ138">
        <f t="shared" si="39"/>
        <v>37.582925705132681</v>
      </c>
      <c r="AL138">
        <f t="shared" si="40"/>
        <v>35.695240923809138</v>
      </c>
      <c r="AM138">
        <f t="shared" si="41"/>
        <v>16.557390655138235</v>
      </c>
    </row>
    <row r="139" spans="1:39" ht="16.5" x14ac:dyDescent="0.25">
      <c r="A139" s="1">
        <v>45502</v>
      </c>
      <c r="B139" s="5">
        <v>25.33</v>
      </c>
      <c r="C139" s="4">
        <v>25.45</v>
      </c>
      <c r="D139" s="4">
        <v>25.71</v>
      </c>
      <c r="E139" s="4">
        <v>25.09</v>
      </c>
      <c r="F139" s="4" t="s">
        <v>216</v>
      </c>
      <c r="G139" s="2" t="s">
        <v>596</v>
      </c>
      <c r="I139">
        <f t="shared" si="29"/>
        <v>26.154736842105262</v>
      </c>
      <c r="J139">
        <f t="shared" si="30"/>
        <v>24.994499999999995</v>
      </c>
      <c r="L139">
        <f t="shared" si="31"/>
        <v>0</v>
      </c>
      <c r="M139">
        <f t="shared" si="32"/>
        <v>1</v>
      </c>
      <c r="O139">
        <f t="shared" si="33"/>
        <v>0</v>
      </c>
      <c r="P139">
        <f t="shared" si="34"/>
        <v>0.12000000000000099</v>
      </c>
      <c r="R139">
        <f t="shared" si="35"/>
        <v>0.42624999999999957</v>
      </c>
      <c r="S139">
        <f t="shared" si="36"/>
        <v>0.5183333333333332</v>
      </c>
      <c r="AH139">
        <f t="shared" si="37"/>
        <v>4.7693324031210853</v>
      </c>
      <c r="AI139">
        <f t="shared" si="38"/>
        <v>14.698126926446271</v>
      </c>
      <c r="AJ139">
        <f t="shared" si="39"/>
        <v>37.611346757764252</v>
      </c>
      <c r="AL139">
        <f t="shared" si="40"/>
        <v>35.693401648347432</v>
      </c>
      <c r="AM139">
        <f t="shared" si="41"/>
        <v>16.616072035863091</v>
      </c>
    </row>
    <row r="140" spans="1:39" ht="16.5" x14ac:dyDescent="0.25">
      <c r="A140" s="1">
        <v>45499</v>
      </c>
      <c r="B140" s="5">
        <v>25.4</v>
      </c>
      <c r="C140" s="4">
        <v>24.98</v>
      </c>
      <c r="D140" s="4">
        <v>25.4</v>
      </c>
      <c r="E140" s="4">
        <v>24.67</v>
      </c>
      <c r="F140" s="4" t="s">
        <v>58</v>
      </c>
      <c r="G140" s="2" t="s">
        <v>1603</v>
      </c>
      <c r="I140">
        <f t="shared" si="29"/>
        <v>26.141052631578948</v>
      </c>
      <c r="J140">
        <f t="shared" si="30"/>
        <v>24.995249999999995</v>
      </c>
      <c r="L140">
        <f t="shared" si="31"/>
        <v>1</v>
      </c>
      <c r="M140">
        <f t="shared" si="32"/>
        <v>0</v>
      </c>
      <c r="O140">
        <f t="shared" si="33"/>
        <v>0.41999999999999815</v>
      </c>
      <c r="P140">
        <f t="shared" si="34"/>
        <v>0</v>
      </c>
      <c r="R140">
        <f t="shared" si="35"/>
        <v>0.42624999999999957</v>
      </c>
      <c r="S140">
        <f t="shared" si="36"/>
        <v>0.58833333333333293</v>
      </c>
      <c r="AH140">
        <f t="shared" si="37"/>
        <v>4.7538300260228352</v>
      </c>
      <c r="AI140">
        <f t="shared" si="38"/>
        <v>14.684442715919957</v>
      </c>
      <c r="AJ140">
        <f t="shared" si="39"/>
        <v>37.597662547237938</v>
      </c>
      <c r="AL140">
        <f t="shared" si="40"/>
        <v>35.648712683624616</v>
      </c>
      <c r="AM140">
        <f t="shared" si="41"/>
        <v>16.633392579533279</v>
      </c>
    </row>
    <row r="141" spans="1:39" ht="16.5" x14ac:dyDescent="0.25">
      <c r="A141" s="1">
        <v>45498</v>
      </c>
      <c r="B141" s="5">
        <v>24.87</v>
      </c>
      <c r="C141" s="4">
        <v>25.32</v>
      </c>
      <c r="D141" s="4">
        <v>25.32</v>
      </c>
      <c r="E141" s="4">
        <v>23.84</v>
      </c>
      <c r="F141" s="4" t="s">
        <v>1491</v>
      </c>
      <c r="G141" s="2" t="s">
        <v>1756</v>
      </c>
      <c r="I141">
        <f t="shared" si="29"/>
        <v>26.07578947368421</v>
      </c>
      <c r="J141">
        <f t="shared" si="30"/>
        <v>24.980749999999997</v>
      </c>
      <c r="L141">
        <f t="shared" si="31"/>
        <v>0</v>
      </c>
      <c r="M141">
        <f t="shared" si="32"/>
        <v>1</v>
      </c>
      <c r="O141">
        <f t="shared" si="33"/>
        <v>0</v>
      </c>
      <c r="P141">
        <f t="shared" si="34"/>
        <v>0.44999999999999929</v>
      </c>
      <c r="R141">
        <f t="shared" si="35"/>
        <v>0.42499999999999982</v>
      </c>
      <c r="S141">
        <f t="shared" si="36"/>
        <v>0.58833333333333293</v>
      </c>
      <c r="AH141">
        <f t="shared" si="37"/>
        <v>4.7381522981014914</v>
      </c>
      <c r="AI141">
        <f t="shared" si="38"/>
        <v>14.61917955802522</v>
      </c>
      <c r="AJ141">
        <f t="shared" si="39"/>
        <v>37.532399389343198</v>
      </c>
      <c r="AL141">
        <f t="shared" si="40"/>
        <v>35.55209406988719</v>
      </c>
      <c r="AM141">
        <f t="shared" si="41"/>
        <v>16.599484877481228</v>
      </c>
    </row>
    <row r="142" spans="1:39" ht="16.5" x14ac:dyDescent="0.25">
      <c r="A142" s="1">
        <v>45497</v>
      </c>
      <c r="B142" s="5">
        <v>25.72</v>
      </c>
      <c r="C142" s="4">
        <v>26</v>
      </c>
      <c r="D142" s="4">
        <v>27.32</v>
      </c>
      <c r="E142" s="4">
        <v>25.59</v>
      </c>
      <c r="F142" s="4" t="s">
        <v>1629</v>
      </c>
      <c r="G142" s="2" t="s">
        <v>1441</v>
      </c>
      <c r="I142">
        <f t="shared" si="29"/>
        <v>26.046315789473685</v>
      </c>
      <c r="J142">
        <f t="shared" si="30"/>
        <v>25.009749999999997</v>
      </c>
      <c r="L142">
        <f t="shared" si="31"/>
        <v>0</v>
      </c>
      <c r="M142">
        <f t="shared" si="32"/>
        <v>1</v>
      </c>
      <c r="O142">
        <f t="shared" si="33"/>
        <v>0</v>
      </c>
      <c r="P142">
        <f t="shared" si="34"/>
        <v>0.28000000000000114</v>
      </c>
      <c r="R142">
        <f t="shared" si="35"/>
        <v>0.39222222222222236</v>
      </c>
      <c r="S142">
        <f t="shared" si="36"/>
        <v>0.61599999999999966</v>
      </c>
      <c r="AH142">
        <f t="shared" si="37"/>
        <v>4.7225480469541479</v>
      </c>
      <c r="AI142">
        <f t="shared" si="38"/>
        <v>14.589705873814694</v>
      </c>
      <c r="AJ142">
        <f t="shared" si="39"/>
        <v>37.502925705132675</v>
      </c>
      <c r="AL142">
        <f t="shared" si="40"/>
        <v>35.491411883381978</v>
      </c>
      <c r="AM142">
        <f t="shared" si="41"/>
        <v>16.601219695565391</v>
      </c>
    </row>
    <row r="143" spans="1:39" ht="16.5" x14ac:dyDescent="0.25">
      <c r="A143" s="1">
        <v>45496</v>
      </c>
      <c r="B143" s="5">
        <v>26.28</v>
      </c>
      <c r="C143" s="4">
        <v>25.89</v>
      </c>
      <c r="D143" s="4">
        <v>26.39</v>
      </c>
      <c r="E143" s="4">
        <v>25.71</v>
      </c>
      <c r="F143" s="4" t="s">
        <v>189</v>
      </c>
      <c r="G143" s="2" t="s">
        <v>34</v>
      </c>
      <c r="I143">
        <f t="shared" si="29"/>
        <v>25.989473684210527</v>
      </c>
      <c r="J143">
        <f t="shared" si="30"/>
        <v>25.011749999999996</v>
      </c>
      <c r="L143">
        <f t="shared" si="31"/>
        <v>1</v>
      </c>
      <c r="M143">
        <f t="shared" si="32"/>
        <v>0</v>
      </c>
      <c r="O143">
        <f t="shared" si="33"/>
        <v>0.39000000000000057</v>
      </c>
      <c r="P143">
        <f t="shared" si="34"/>
        <v>0</v>
      </c>
      <c r="R143">
        <f t="shared" si="35"/>
        <v>0.38499999999999979</v>
      </c>
      <c r="S143">
        <f t="shared" si="36"/>
        <v>0.69999999999999929</v>
      </c>
      <c r="AH143">
        <f t="shared" si="37"/>
        <v>4.7068433488751689</v>
      </c>
      <c r="AI143">
        <f t="shared" si="38"/>
        <v>14.532863768551536</v>
      </c>
      <c r="AJ143">
        <f t="shared" si="39"/>
        <v>37.446083599869517</v>
      </c>
      <c r="AL143">
        <f t="shared" si="40"/>
        <v>35.403160381960866</v>
      </c>
      <c r="AM143">
        <f t="shared" si="41"/>
        <v>16.575786986460187</v>
      </c>
    </row>
    <row r="144" spans="1:39" ht="16.5" x14ac:dyDescent="0.25">
      <c r="A144" s="1">
        <v>45495</v>
      </c>
      <c r="B144" s="5">
        <v>25.84</v>
      </c>
      <c r="C144" s="4">
        <v>25.6</v>
      </c>
      <c r="D144" s="4">
        <v>26.3</v>
      </c>
      <c r="E144" s="4">
        <v>25.54</v>
      </c>
      <c r="F144" s="4" t="s">
        <v>1393</v>
      </c>
      <c r="G144" s="2" t="s">
        <v>276</v>
      </c>
      <c r="I144">
        <f t="shared" si="29"/>
        <v>25.894736842105264</v>
      </c>
      <c r="J144">
        <f t="shared" si="30"/>
        <v>25.025499999999997</v>
      </c>
      <c r="L144">
        <f t="shared" si="31"/>
        <v>1</v>
      </c>
      <c r="M144">
        <f t="shared" si="32"/>
        <v>0</v>
      </c>
      <c r="O144">
        <f t="shared" si="33"/>
        <v>0.23999999999999844</v>
      </c>
      <c r="P144">
        <f t="shared" si="34"/>
        <v>0</v>
      </c>
      <c r="R144">
        <f t="shared" si="35"/>
        <v>0.44599999999999973</v>
      </c>
      <c r="S144">
        <f t="shared" si="36"/>
        <v>0.69999999999999929</v>
      </c>
      <c r="AH144">
        <f t="shared" si="37"/>
        <v>4.6911710879284474</v>
      </c>
      <c r="AI144">
        <f t="shared" si="38"/>
        <v>14.438126926446273</v>
      </c>
      <c r="AJ144">
        <f t="shared" si="39"/>
        <v>37.351346757764254</v>
      </c>
      <c r="AL144">
        <f t="shared" si="40"/>
        <v>35.277079017962159</v>
      </c>
      <c r="AM144">
        <f t="shared" si="41"/>
        <v>16.512394666248369</v>
      </c>
    </row>
    <row r="145" spans="1:39" ht="16.5" x14ac:dyDescent="0.25">
      <c r="A145" s="1">
        <v>45492</v>
      </c>
      <c r="B145" s="5">
        <v>25.43</v>
      </c>
      <c r="C145" s="4">
        <v>24.61</v>
      </c>
      <c r="D145" s="4">
        <v>25.52</v>
      </c>
      <c r="E145" s="4">
        <v>24.42</v>
      </c>
      <c r="F145" s="4" t="s">
        <v>1789</v>
      </c>
      <c r="G145" s="2" t="s">
        <v>705</v>
      </c>
      <c r="I145">
        <f t="shared" si="29"/>
        <v>25.820526315789476</v>
      </c>
      <c r="J145">
        <f t="shared" si="30"/>
        <v>25.024999999999999</v>
      </c>
      <c r="L145">
        <f t="shared" si="31"/>
        <v>1</v>
      </c>
      <c r="M145">
        <f t="shared" si="32"/>
        <v>0</v>
      </c>
      <c r="O145">
        <f t="shared" si="33"/>
        <v>0.82000000000000028</v>
      </c>
      <c r="P145">
        <f t="shared" si="34"/>
        <v>0</v>
      </c>
      <c r="R145">
        <f t="shared" si="35"/>
        <v>0.46799999999999997</v>
      </c>
      <c r="S145">
        <f t="shared" si="36"/>
        <v>0.69999999999999929</v>
      </c>
      <c r="AH145">
        <f t="shared" si="37"/>
        <v>4.6757176894393515</v>
      </c>
      <c r="AI145">
        <f t="shared" si="38"/>
        <v>14.363916400130485</v>
      </c>
      <c r="AJ145">
        <f t="shared" si="39"/>
        <v>37.277136231448466</v>
      </c>
      <c r="AL145">
        <f t="shared" si="40"/>
        <v>35.171961694668177</v>
      </c>
      <c r="AM145">
        <f t="shared" si="41"/>
        <v>16.469090936910774</v>
      </c>
    </row>
    <row r="146" spans="1:39" ht="16.5" x14ac:dyDescent="0.25">
      <c r="A146" s="1">
        <v>45491</v>
      </c>
      <c r="B146" s="5">
        <v>24.85</v>
      </c>
      <c r="C146" s="4">
        <v>25.21</v>
      </c>
      <c r="D146" s="4">
        <v>25.46</v>
      </c>
      <c r="E146" s="4">
        <v>24.75</v>
      </c>
      <c r="F146" s="4" t="s">
        <v>1692</v>
      </c>
      <c r="G146" s="2" t="s">
        <v>1829</v>
      </c>
      <c r="I146">
        <f t="shared" si="29"/>
        <v>25.77578947368421</v>
      </c>
      <c r="J146">
        <f t="shared" si="30"/>
        <v>25.029</v>
      </c>
      <c r="L146">
        <f t="shared" si="31"/>
        <v>0</v>
      </c>
      <c r="M146">
        <f t="shared" si="32"/>
        <v>1</v>
      </c>
      <c r="O146">
        <f t="shared" si="33"/>
        <v>0</v>
      </c>
      <c r="P146">
        <f t="shared" si="34"/>
        <v>0.35999999999999943</v>
      </c>
      <c r="R146">
        <f t="shared" si="35"/>
        <v>0.42888888888888882</v>
      </c>
      <c r="S146">
        <f t="shared" si="36"/>
        <v>0.62399999999999944</v>
      </c>
      <c r="AH146">
        <f t="shared" si="37"/>
        <v>4.6603848094256577</v>
      </c>
      <c r="AI146">
        <f t="shared" si="38"/>
        <v>14.319179558025219</v>
      </c>
      <c r="AJ146">
        <f t="shared" si="39"/>
        <v>37.2323993893432</v>
      </c>
      <c r="AL146">
        <f t="shared" si="40"/>
        <v>35.096559092535529</v>
      </c>
      <c r="AM146">
        <f t="shared" si="41"/>
        <v>16.455019854832894</v>
      </c>
    </row>
    <row r="147" spans="1:39" ht="16.5" x14ac:dyDescent="0.25">
      <c r="A147" s="1">
        <v>45490</v>
      </c>
      <c r="B147" s="5">
        <v>25.44</v>
      </c>
      <c r="C147" s="4">
        <v>26.41</v>
      </c>
      <c r="D147" s="4">
        <v>26.45</v>
      </c>
      <c r="E147" s="4">
        <v>25.29</v>
      </c>
      <c r="F147" s="4" t="s">
        <v>966</v>
      </c>
      <c r="G147" s="2" t="s">
        <v>1795</v>
      </c>
      <c r="I147">
        <f t="shared" si="29"/>
        <v>25.71157894736842</v>
      </c>
      <c r="J147">
        <f t="shared" si="30"/>
        <v>25.021999999999998</v>
      </c>
      <c r="L147">
        <f t="shared" si="31"/>
        <v>0</v>
      </c>
      <c r="M147">
        <f t="shared" si="32"/>
        <v>1</v>
      </c>
      <c r="O147">
        <f t="shared" si="33"/>
        <v>0</v>
      </c>
      <c r="P147">
        <f t="shared" si="34"/>
        <v>0.96999999999999886</v>
      </c>
      <c r="R147">
        <f t="shared" si="35"/>
        <v>0.42888888888888882</v>
      </c>
      <c r="S147">
        <f t="shared" si="36"/>
        <v>0.6140000000000001</v>
      </c>
      <c r="AH147">
        <f t="shared" si="37"/>
        <v>4.6450293158774016</v>
      </c>
      <c r="AI147">
        <f t="shared" si="38"/>
        <v>14.254969031709429</v>
      </c>
      <c r="AJ147">
        <f t="shared" si="39"/>
        <v>37.16818886302741</v>
      </c>
      <c r="AL147">
        <f t="shared" si="40"/>
        <v>35.001637579123226</v>
      </c>
      <c r="AM147">
        <f t="shared" si="41"/>
        <v>16.421520315613616</v>
      </c>
    </row>
    <row r="148" spans="1:39" ht="16.5" x14ac:dyDescent="0.25">
      <c r="A148" s="1">
        <v>45489</v>
      </c>
      <c r="B148" s="5">
        <v>26.6</v>
      </c>
      <c r="C148" s="4">
        <v>26.1</v>
      </c>
      <c r="D148" s="4">
        <v>26.69</v>
      </c>
      <c r="E148" s="4">
        <v>25.98</v>
      </c>
      <c r="F148" s="4" t="s">
        <v>720</v>
      </c>
      <c r="G148" s="2" t="s">
        <v>568</v>
      </c>
      <c r="I148">
        <f t="shared" si="29"/>
        <v>25.684210526315791</v>
      </c>
      <c r="J148">
        <f t="shared" si="30"/>
        <v>24.984500000000004</v>
      </c>
      <c r="L148">
        <f t="shared" si="31"/>
        <v>1</v>
      </c>
      <c r="M148">
        <f t="shared" si="32"/>
        <v>0</v>
      </c>
      <c r="O148">
        <f t="shared" si="33"/>
        <v>0.5</v>
      </c>
      <c r="P148">
        <f t="shared" si="34"/>
        <v>0</v>
      </c>
      <c r="R148">
        <f t="shared" si="35"/>
        <v>0.42888888888888882</v>
      </c>
      <c r="S148">
        <f t="shared" si="36"/>
        <v>0.42400000000000021</v>
      </c>
      <c r="AH148">
        <f t="shared" si="37"/>
        <v>4.6297468092722127</v>
      </c>
      <c r="AI148">
        <f t="shared" si="38"/>
        <v>14.2276006106568</v>
      </c>
      <c r="AJ148">
        <f t="shared" si="39"/>
        <v>37.140820441974782</v>
      </c>
      <c r="AL148">
        <f t="shared" si="40"/>
        <v>34.94370414486022</v>
      </c>
      <c r="AM148">
        <f t="shared" si="41"/>
        <v>16.424716907771366</v>
      </c>
    </row>
    <row r="149" spans="1:39" ht="16.5" x14ac:dyDescent="0.25">
      <c r="A149" s="1">
        <v>45488</v>
      </c>
      <c r="B149" s="5">
        <v>26.38</v>
      </c>
      <c r="C149" s="4">
        <v>27.31</v>
      </c>
      <c r="D149" s="4">
        <v>27.59</v>
      </c>
      <c r="E149" s="4">
        <v>26.24</v>
      </c>
      <c r="F149" s="4" t="s">
        <v>1518</v>
      </c>
      <c r="G149" s="2" t="s">
        <v>1830</v>
      </c>
      <c r="I149">
        <f t="shared" si="29"/>
        <v>25.552105263157895</v>
      </c>
      <c r="J149">
        <f t="shared" si="30"/>
        <v>24.919500000000006</v>
      </c>
      <c r="L149">
        <f t="shared" si="31"/>
        <v>0</v>
      </c>
      <c r="M149">
        <f t="shared" si="32"/>
        <v>1</v>
      </c>
      <c r="O149">
        <f t="shared" si="33"/>
        <v>0</v>
      </c>
      <c r="P149">
        <f t="shared" si="34"/>
        <v>0.92999999999999972</v>
      </c>
      <c r="R149">
        <f t="shared" si="35"/>
        <v>0.41999999999999993</v>
      </c>
      <c r="S149">
        <f t="shared" si="36"/>
        <v>0.37333333333333368</v>
      </c>
      <c r="AH149">
        <f t="shared" si="37"/>
        <v>4.6143564565446287</v>
      </c>
      <c r="AI149">
        <f t="shared" si="38"/>
        <v>14.095495347498904</v>
      </c>
      <c r="AJ149">
        <f t="shared" si="39"/>
        <v>37.008715178816885</v>
      </c>
      <c r="AL149">
        <f t="shared" si="40"/>
        <v>34.780818176247152</v>
      </c>
      <c r="AM149">
        <f t="shared" si="41"/>
        <v>16.323392350068637</v>
      </c>
    </row>
    <row r="150" spans="1:39" ht="16.5" x14ac:dyDescent="0.25">
      <c r="A150" s="1">
        <v>45485</v>
      </c>
      <c r="B150" s="5">
        <v>27.75</v>
      </c>
      <c r="C150" s="4">
        <v>27.6</v>
      </c>
      <c r="D150" s="4">
        <v>27.83</v>
      </c>
      <c r="E150" s="4">
        <v>27.17</v>
      </c>
      <c r="F150" s="4" t="s">
        <v>1440</v>
      </c>
      <c r="G150" s="2" t="s">
        <v>310</v>
      </c>
      <c r="I150">
        <f t="shared" si="29"/>
        <v>25.41</v>
      </c>
      <c r="J150">
        <f t="shared" si="30"/>
        <v>24.868750000000006</v>
      </c>
      <c r="L150">
        <f t="shared" si="31"/>
        <v>1</v>
      </c>
      <c r="M150">
        <f t="shared" si="32"/>
        <v>0</v>
      </c>
      <c r="O150">
        <f t="shared" si="33"/>
        <v>0.14999999999999858</v>
      </c>
      <c r="P150">
        <f t="shared" si="34"/>
        <v>0</v>
      </c>
      <c r="R150">
        <f t="shared" si="35"/>
        <v>0.41999999999999993</v>
      </c>
      <c r="S150">
        <f t="shared" si="36"/>
        <v>0.22166666666666698</v>
      </c>
      <c r="AH150">
        <f t="shared" si="37"/>
        <v>4.5993740751754508</v>
      </c>
      <c r="AI150">
        <f t="shared" si="38"/>
        <v>13.953390084341009</v>
      </c>
      <c r="AJ150">
        <f t="shared" si="39"/>
        <v>36.866609915658991</v>
      </c>
      <c r="AL150">
        <f t="shared" si="40"/>
        <v>34.608748150350905</v>
      </c>
      <c r="AM150">
        <f t="shared" si="41"/>
        <v>16.211251849649098</v>
      </c>
    </row>
    <row r="151" spans="1:39" ht="16.5" x14ac:dyDescent="0.25">
      <c r="A151" s="1">
        <v>45484</v>
      </c>
      <c r="B151" s="5">
        <v>27.8</v>
      </c>
      <c r="C151" s="4">
        <v>27.39</v>
      </c>
      <c r="D151" s="4">
        <v>27.91</v>
      </c>
      <c r="E151" s="4">
        <v>26.9</v>
      </c>
      <c r="F151" s="4" t="s">
        <v>931</v>
      </c>
      <c r="G151" s="2" t="s">
        <v>123</v>
      </c>
      <c r="I151">
        <f t="shared" si="29"/>
        <v>25.174736842105261</v>
      </c>
      <c r="J151">
        <f t="shared" si="30"/>
        <v>24.800000000000004</v>
      </c>
      <c r="L151">
        <f t="shared" si="31"/>
        <v>1</v>
      </c>
      <c r="M151">
        <f t="shared" si="32"/>
        <v>0</v>
      </c>
      <c r="O151">
        <f t="shared" si="33"/>
        <v>0.41000000000000014</v>
      </c>
      <c r="P151">
        <f t="shared" si="34"/>
        <v>0</v>
      </c>
      <c r="R151">
        <f t="shared" si="35"/>
        <v>0.4987499999999998</v>
      </c>
      <c r="S151">
        <f t="shared" si="36"/>
        <v>0.22166666666666698</v>
      </c>
      <c r="AH151">
        <f t="shared" si="37"/>
        <v>4.584850271575351</v>
      </c>
      <c r="AI151">
        <f t="shared" si="38"/>
        <v>13.718126926446271</v>
      </c>
      <c r="AJ151">
        <f t="shared" si="39"/>
        <v>36.631346757764248</v>
      </c>
      <c r="AL151">
        <f t="shared" si="40"/>
        <v>34.344437385255965</v>
      </c>
      <c r="AM151">
        <f t="shared" si="41"/>
        <v>16.005036298954558</v>
      </c>
    </row>
    <row r="152" spans="1:39" ht="16.5" x14ac:dyDescent="0.25">
      <c r="A152" s="1">
        <v>45483</v>
      </c>
      <c r="B152" s="5">
        <v>27.2</v>
      </c>
      <c r="C152" s="4">
        <v>26.72</v>
      </c>
      <c r="D152" s="4">
        <v>27.2</v>
      </c>
      <c r="E152" s="4">
        <v>26.66</v>
      </c>
      <c r="F152" s="4" t="s">
        <v>1789</v>
      </c>
      <c r="G152" s="2" t="s">
        <v>1831</v>
      </c>
      <c r="I152">
        <f t="shared" si="29"/>
        <v>24.934736842105263</v>
      </c>
      <c r="J152">
        <f t="shared" si="30"/>
        <v>24.740500000000004</v>
      </c>
      <c r="L152">
        <f t="shared" si="31"/>
        <v>1</v>
      </c>
      <c r="M152">
        <f t="shared" si="32"/>
        <v>0</v>
      </c>
      <c r="O152">
        <f t="shared" si="33"/>
        <v>0.48000000000000043</v>
      </c>
      <c r="P152">
        <f t="shared" si="34"/>
        <v>0</v>
      </c>
      <c r="R152">
        <f t="shared" si="35"/>
        <v>0.51142857142857123</v>
      </c>
      <c r="S152">
        <f t="shared" si="36"/>
        <v>0.32714285714285751</v>
      </c>
      <c r="AH152">
        <f t="shared" si="37"/>
        <v>4.5712338118395088</v>
      </c>
      <c r="AI152">
        <f t="shared" si="38"/>
        <v>13.478126926446272</v>
      </c>
      <c r="AJ152">
        <f t="shared" si="39"/>
        <v>36.391346757764254</v>
      </c>
      <c r="AL152">
        <f t="shared" si="40"/>
        <v>34.077204465784277</v>
      </c>
      <c r="AM152">
        <f t="shared" si="41"/>
        <v>15.792269218426245</v>
      </c>
    </row>
    <row r="153" spans="1:39" ht="16.5" x14ac:dyDescent="0.25">
      <c r="A153" s="1">
        <v>45482</v>
      </c>
      <c r="B153" s="5">
        <v>26.62</v>
      </c>
      <c r="C153" s="4">
        <v>27.16</v>
      </c>
      <c r="D153" s="4">
        <v>27.43</v>
      </c>
      <c r="E153" s="4">
        <v>26.54</v>
      </c>
      <c r="F153" s="4" t="s">
        <v>1739</v>
      </c>
      <c r="G153" s="2" t="s">
        <v>634</v>
      </c>
      <c r="I153">
        <f t="shared" si="29"/>
        <v>24.734210526315785</v>
      </c>
      <c r="J153">
        <f t="shared" si="30"/>
        <v>24.703250000000004</v>
      </c>
      <c r="L153">
        <f t="shared" si="31"/>
        <v>0</v>
      </c>
      <c r="M153">
        <f t="shared" si="32"/>
        <v>1</v>
      </c>
      <c r="O153">
        <f t="shared" si="33"/>
        <v>0</v>
      </c>
      <c r="P153">
        <f t="shared" si="34"/>
        <v>0.53999999999999915</v>
      </c>
      <c r="R153">
        <f t="shared" si="35"/>
        <v>0.54285714285714293</v>
      </c>
      <c r="S153">
        <f t="shared" si="36"/>
        <v>0.32714285714285751</v>
      </c>
      <c r="AH153">
        <f t="shared" si="37"/>
        <v>4.5585385156324989</v>
      </c>
      <c r="AI153">
        <f t="shared" si="38"/>
        <v>13.277600610656794</v>
      </c>
      <c r="AJ153">
        <f t="shared" si="39"/>
        <v>36.190820441974779</v>
      </c>
      <c r="AL153">
        <f t="shared" si="40"/>
        <v>33.851287557580783</v>
      </c>
      <c r="AM153">
        <f t="shared" si="41"/>
        <v>15.617133495050787</v>
      </c>
    </row>
    <row r="154" spans="1:39" ht="16.5" x14ac:dyDescent="0.25">
      <c r="A154" s="1">
        <v>45481</v>
      </c>
      <c r="B154" s="5">
        <v>26.87</v>
      </c>
      <c r="C154" s="4">
        <v>26.46</v>
      </c>
      <c r="D154" s="4">
        <v>26.87</v>
      </c>
      <c r="E154" s="4">
        <v>26.23</v>
      </c>
      <c r="F154" s="4" t="s">
        <v>1437</v>
      </c>
      <c r="G154" s="2" t="s">
        <v>911</v>
      </c>
      <c r="I154">
        <f t="shared" si="29"/>
        <v>24.597368421052632</v>
      </c>
      <c r="J154">
        <f t="shared" si="30"/>
        <v>24.641250000000007</v>
      </c>
      <c r="L154">
        <f t="shared" si="31"/>
        <v>1</v>
      </c>
      <c r="M154">
        <f t="shared" si="32"/>
        <v>0</v>
      </c>
      <c r="O154">
        <f t="shared" si="33"/>
        <v>0.41000000000000014</v>
      </c>
      <c r="P154">
        <f t="shared" si="34"/>
        <v>0</v>
      </c>
      <c r="R154">
        <f t="shared" si="35"/>
        <v>0.51124999999999998</v>
      </c>
      <c r="S154">
        <f t="shared" si="36"/>
        <v>0.29166666666666724</v>
      </c>
      <c r="AH154">
        <f t="shared" si="37"/>
        <v>4.5465733886709714</v>
      </c>
      <c r="AI154">
        <f t="shared" si="38"/>
        <v>13.140758505393642</v>
      </c>
      <c r="AJ154">
        <f t="shared" si="39"/>
        <v>36.053978336711623</v>
      </c>
      <c r="AL154">
        <f t="shared" si="40"/>
        <v>33.690515198394579</v>
      </c>
      <c r="AM154">
        <f t="shared" si="41"/>
        <v>15.504221643710689</v>
      </c>
    </row>
    <row r="155" spans="1:39" ht="16.5" x14ac:dyDescent="0.25">
      <c r="A155" s="1">
        <v>45478</v>
      </c>
      <c r="B155" s="5">
        <v>26.37</v>
      </c>
      <c r="C155" s="4">
        <v>26.24</v>
      </c>
      <c r="D155" s="4">
        <v>26.59</v>
      </c>
      <c r="E155" s="4">
        <v>26.2</v>
      </c>
      <c r="F155" s="4" t="s">
        <v>1590</v>
      </c>
      <c r="G155" s="2" t="s">
        <v>1356</v>
      </c>
      <c r="I155">
        <f t="shared" si="29"/>
        <v>24.41</v>
      </c>
      <c r="J155">
        <f t="shared" si="30"/>
        <v>24.574250000000006</v>
      </c>
      <c r="L155">
        <f t="shared" si="31"/>
        <v>1</v>
      </c>
      <c r="M155">
        <f t="shared" si="32"/>
        <v>0</v>
      </c>
      <c r="O155">
        <f t="shared" si="33"/>
        <v>0.13000000000000256</v>
      </c>
      <c r="P155">
        <f t="shared" si="34"/>
        <v>0</v>
      </c>
      <c r="R155">
        <f t="shared" si="35"/>
        <v>0.47374999999999989</v>
      </c>
      <c r="S155">
        <f t="shared" si="36"/>
        <v>0.29166666666666724</v>
      </c>
      <c r="AH155">
        <f t="shared" si="37"/>
        <v>4.535044756901339</v>
      </c>
      <c r="AI155">
        <f t="shared" si="38"/>
        <v>12.953390084341009</v>
      </c>
      <c r="AJ155">
        <f t="shared" si="39"/>
        <v>35.866609915658991</v>
      </c>
      <c r="AL155">
        <f t="shared" si="40"/>
        <v>33.480089513802682</v>
      </c>
      <c r="AM155">
        <f t="shared" si="41"/>
        <v>15.339910486197322</v>
      </c>
    </row>
    <row r="156" spans="1:39" ht="16.5" x14ac:dyDescent="0.25">
      <c r="A156" s="1">
        <v>45477</v>
      </c>
      <c r="B156" s="5">
        <v>26.24</v>
      </c>
      <c r="C156" s="4">
        <v>25.92</v>
      </c>
      <c r="D156" s="4">
        <v>26.29</v>
      </c>
      <c r="E156" s="4">
        <v>25.61</v>
      </c>
      <c r="F156" s="4" t="s">
        <v>349</v>
      </c>
      <c r="G156" s="2" t="s">
        <v>351</v>
      </c>
      <c r="I156">
        <f t="shared" si="29"/>
        <v>24.258947368421055</v>
      </c>
      <c r="J156">
        <f t="shared" si="30"/>
        <v>24.522000000000006</v>
      </c>
      <c r="L156">
        <f t="shared" si="31"/>
        <v>1</v>
      </c>
      <c r="M156">
        <f t="shared" si="32"/>
        <v>0</v>
      </c>
      <c r="O156">
        <f t="shared" si="33"/>
        <v>0.31999999999999673</v>
      </c>
      <c r="P156">
        <f t="shared" si="34"/>
        <v>0</v>
      </c>
      <c r="R156">
        <f t="shared" si="35"/>
        <v>0.52285714285714235</v>
      </c>
      <c r="S156">
        <f t="shared" si="36"/>
        <v>0.25428571428571445</v>
      </c>
      <c r="AH156">
        <f t="shared" si="37"/>
        <v>4.5241797397800489</v>
      </c>
      <c r="AI156">
        <f t="shared" si="38"/>
        <v>12.802337452762064</v>
      </c>
      <c r="AJ156">
        <f t="shared" si="39"/>
        <v>35.715557284080049</v>
      </c>
      <c r="AL156">
        <f t="shared" si="40"/>
        <v>33.307306847981152</v>
      </c>
      <c r="AM156">
        <f t="shared" si="41"/>
        <v>15.210587888860957</v>
      </c>
    </row>
    <row r="157" spans="1:39" ht="16.5" x14ac:dyDescent="0.25">
      <c r="A157" s="1">
        <v>45476</v>
      </c>
      <c r="B157" s="5">
        <v>25.95</v>
      </c>
      <c r="C157" s="4">
        <v>24.95</v>
      </c>
      <c r="D157" s="4">
        <v>26.03</v>
      </c>
      <c r="E157" s="4">
        <v>24.54</v>
      </c>
      <c r="F157" s="4" t="s">
        <v>1521</v>
      </c>
      <c r="G157" s="2" t="s">
        <v>1832</v>
      </c>
      <c r="I157">
        <f t="shared" si="29"/>
        <v>24.089473684210525</v>
      </c>
      <c r="J157">
        <f t="shared" si="30"/>
        <v>24.448500000000003</v>
      </c>
      <c r="L157">
        <f t="shared" si="31"/>
        <v>1</v>
      </c>
      <c r="M157">
        <f t="shared" si="32"/>
        <v>0</v>
      </c>
      <c r="O157">
        <f t="shared" si="33"/>
        <v>1</v>
      </c>
      <c r="P157">
        <f t="shared" si="34"/>
        <v>0</v>
      </c>
      <c r="R157">
        <f t="shared" si="35"/>
        <v>0.55666666666666664</v>
      </c>
      <c r="S157">
        <f t="shared" si="36"/>
        <v>0.26625000000000032</v>
      </c>
      <c r="AH157">
        <f t="shared" si="37"/>
        <v>4.5138137987691787</v>
      </c>
      <c r="AI157">
        <f t="shared" si="38"/>
        <v>12.632863768551534</v>
      </c>
      <c r="AJ157">
        <f t="shared" si="39"/>
        <v>35.546083599869519</v>
      </c>
      <c r="AL157">
        <f t="shared" si="40"/>
        <v>33.11710128174888</v>
      </c>
      <c r="AM157">
        <f t="shared" si="41"/>
        <v>15.061846086672167</v>
      </c>
    </row>
    <row r="158" spans="1:39" ht="16.5" x14ac:dyDescent="0.25">
      <c r="A158" s="1">
        <v>45475</v>
      </c>
      <c r="B158" s="5">
        <v>25.07</v>
      </c>
      <c r="C158" s="4">
        <v>24.61</v>
      </c>
      <c r="D158" s="4">
        <v>25.38</v>
      </c>
      <c r="E158" s="4">
        <v>24.58</v>
      </c>
      <c r="F158" s="4" t="s">
        <v>836</v>
      </c>
      <c r="G158" s="2" t="s">
        <v>1833</v>
      </c>
      <c r="I158">
        <f t="shared" si="29"/>
        <v>23.945789473684204</v>
      </c>
      <c r="J158">
        <f t="shared" si="30"/>
        <v>24.363750000000003</v>
      </c>
      <c r="L158">
        <f t="shared" si="31"/>
        <v>1</v>
      </c>
      <c r="M158">
        <f t="shared" si="32"/>
        <v>0</v>
      </c>
      <c r="O158">
        <f t="shared" si="33"/>
        <v>0.46000000000000085</v>
      </c>
      <c r="P158">
        <f t="shared" si="34"/>
        <v>0</v>
      </c>
      <c r="R158">
        <f t="shared" si="35"/>
        <v>0.46799999999999997</v>
      </c>
      <c r="S158">
        <f t="shared" si="36"/>
        <v>0.31555555555555592</v>
      </c>
      <c r="AH158">
        <f t="shared" si="37"/>
        <v>4.5040259386762553</v>
      </c>
      <c r="AI158">
        <f t="shared" si="38"/>
        <v>12.489179558025214</v>
      </c>
      <c r="AJ158">
        <f t="shared" si="39"/>
        <v>35.402399389343195</v>
      </c>
      <c r="AL158">
        <f t="shared" si="40"/>
        <v>32.953841351036715</v>
      </c>
      <c r="AM158">
        <f t="shared" si="41"/>
        <v>14.937737596331694</v>
      </c>
    </row>
    <row r="159" spans="1:39" ht="16.5" x14ac:dyDescent="0.25">
      <c r="A159" s="1">
        <v>45474</v>
      </c>
      <c r="B159" s="5">
        <v>24.16</v>
      </c>
      <c r="C159" s="4">
        <v>24.48</v>
      </c>
      <c r="D159" s="4">
        <v>24.62</v>
      </c>
      <c r="E159" s="4">
        <v>23.87</v>
      </c>
      <c r="F159" s="4" t="s">
        <v>139</v>
      </c>
      <c r="G159" s="2" t="s">
        <v>1026</v>
      </c>
      <c r="I159">
        <f t="shared" si="29"/>
        <v>23.887368421052628</v>
      </c>
      <c r="J159">
        <f t="shared" si="30"/>
        <v>24.237000000000002</v>
      </c>
      <c r="L159">
        <f t="shared" si="31"/>
        <v>0</v>
      </c>
      <c r="M159">
        <f t="shared" si="32"/>
        <v>1</v>
      </c>
      <c r="O159">
        <f t="shared" si="33"/>
        <v>0</v>
      </c>
      <c r="P159">
        <f t="shared" si="34"/>
        <v>0.32000000000000028</v>
      </c>
      <c r="R159">
        <f t="shared" si="35"/>
        <v>0.43799999999999956</v>
      </c>
      <c r="S159">
        <f t="shared" si="36"/>
        <v>0.31555555555555592</v>
      </c>
      <c r="AH159">
        <f t="shared" si="37"/>
        <v>4.4947022350782895</v>
      </c>
      <c r="AI159">
        <f t="shared" si="38"/>
        <v>12.430758505393637</v>
      </c>
      <c r="AJ159">
        <f t="shared" si="39"/>
        <v>35.343978336711615</v>
      </c>
      <c r="AL159">
        <f t="shared" si="40"/>
        <v>32.876772891209207</v>
      </c>
      <c r="AM159">
        <f t="shared" si="41"/>
        <v>14.897963950896049</v>
      </c>
    </row>
    <row r="160" spans="1:39" ht="16.5" x14ac:dyDescent="0.25">
      <c r="A160" s="1">
        <v>45471</v>
      </c>
      <c r="B160" s="5">
        <v>24.31</v>
      </c>
      <c r="C160" s="4">
        <v>24.62</v>
      </c>
      <c r="D160" s="4">
        <v>24.9</v>
      </c>
      <c r="E160" s="4">
        <v>24.1</v>
      </c>
      <c r="F160" s="4" t="s">
        <v>1399</v>
      </c>
      <c r="G160" s="2" t="s">
        <v>1834</v>
      </c>
      <c r="I160">
        <f t="shared" si="29"/>
        <v>23.874210526315789</v>
      </c>
      <c r="J160">
        <f t="shared" si="30"/>
        <v>24.134000000000004</v>
      </c>
      <c r="L160">
        <f t="shared" si="31"/>
        <v>0</v>
      </c>
      <c r="M160">
        <f t="shared" si="32"/>
        <v>1</v>
      </c>
      <c r="O160">
        <f t="shared" si="33"/>
        <v>0</v>
      </c>
      <c r="P160">
        <f t="shared" si="34"/>
        <v>0.31000000000000227</v>
      </c>
      <c r="R160">
        <f t="shared" si="35"/>
        <v>0.43799999999999956</v>
      </c>
      <c r="S160">
        <f t="shared" si="36"/>
        <v>0.32222222222222285</v>
      </c>
      <c r="AH160">
        <f t="shared" si="37"/>
        <v>4.4854774632312067</v>
      </c>
      <c r="AI160">
        <f t="shared" si="38"/>
        <v>12.417600610656798</v>
      </c>
      <c r="AJ160">
        <f t="shared" si="39"/>
        <v>35.33082044197478</v>
      </c>
      <c r="AL160">
        <f t="shared" si="40"/>
        <v>32.845165452778204</v>
      </c>
      <c r="AM160">
        <f t="shared" si="41"/>
        <v>14.903255599853376</v>
      </c>
    </row>
    <row r="161" spans="1:39" ht="16.5" x14ac:dyDescent="0.25">
      <c r="A161" s="1">
        <v>45470</v>
      </c>
      <c r="B161" s="5">
        <v>24.64</v>
      </c>
      <c r="C161" s="4">
        <v>24.66</v>
      </c>
      <c r="D161" s="4">
        <v>24.72</v>
      </c>
      <c r="E161" s="4">
        <v>24.08</v>
      </c>
      <c r="F161" s="4" t="s">
        <v>1789</v>
      </c>
      <c r="G161" s="2" t="s">
        <v>825</v>
      </c>
      <c r="I161">
        <f t="shared" si="29"/>
        <v>23.929473684210524</v>
      </c>
      <c r="J161">
        <f t="shared" si="30"/>
        <v>24.02075</v>
      </c>
      <c r="L161">
        <f t="shared" si="31"/>
        <v>0</v>
      </c>
      <c r="M161">
        <f t="shared" si="32"/>
        <v>1</v>
      </c>
      <c r="O161">
        <f t="shared" si="33"/>
        <v>0</v>
      </c>
      <c r="P161">
        <f t="shared" si="34"/>
        <v>1.9999999999999574E-2</v>
      </c>
      <c r="R161">
        <f t="shared" si="35"/>
        <v>0.48499999999999943</v>
      </c>
      <c r="S161">
        <f t="shared" si="36"/>
        <v>0.32375000000000043</v>
      </c>
      <c r="AH161">
        <f t="shared" si="37"/>
        <v>4.4761576424521019</v>
      </c>
      <c r="AI161">
        <f t="shared" si="38"/>
        <v>12.472863768551534</v>
      </c>
      <c r="AJ161">
        <f t="shared" si="39"/>
        <v>35.386083599869515</v>
      </c>
      <c r="AL161">
        <f t="shared" si="40"/>
        <v>32.88178896911473</v>
      </c>
      <c r="AM161">
        <f t="shared" si="41"/>
        <v>14.977158399306321</v>
      </c>
    </row>
    <row r="162" spans="1:39" ht="16.5" x14ac:dyDescent="0.25">
      <c r="A162" s="1">
        <v>45469</v>
      </c>
      <c r="B162" s="5">
        <v>24.48</v>
      </c>
      <c r="C162" s="4">
        <v>24.6</v>
      </c>
      <c r="D162" s="4">
        <v>24.94</v>
      </c>
      <c r="E162" s="4">
        <v>24.33</v>
      </c>
      <c r="F162" s="4" t="s">
        <v>1496</v>
      </c>
      <c r="G162" s="2" t="s">
        <v>1024</v>
      </c>
      <c r="I162">
        <f t="shared" si="29"/>
        <v>23.938947368421051</v>
      </c>
      <c r="J162">
        <f t="shared" si="30"/>
        <v>23.886000000000003</v>
      </c>
      <c r="L162">
        <f t="shared" si="31"/>
        <v>0</v>
      </c>
      <c r="M162">
        <f t="shared" si="32"/>
        <v>1</v>
      </c>
      <c r="O162">
        <f t="shared" si="33"/>
        <v>0</v>
      </c>
      <c r="P162">
        <f t="shared" si="34"/>
        <v>0.12000000000000099</v>
      </c>
      <c r="R162">
        <f t="shared" si="35"/>
        <v>0.4328571428571425</v>
      </c>
      <c r="S162">
        <f t="shared" si="36"/>
        <v>0.36714285714285771</v>
      </c>
      <c r="AH162">
        <f t="shared" si="37"/>
        <v>4.4664426338989003</v>
      </c>
      <c r="AI162">
        <f t="shared" si="38"/>
        <v>12.48233745276206</v>
      </c>
      <c r="AJ162">
        <f t="shared" si="39"/>
        <v>35.395557284080041</v>
      </c>
      <c r="AL162">
        <f t="shared" si="40"/>
        <v>32.871832636218855</v>
      </c>
      <c r="AM162">
        <f t="shared" si="41"/>
        <v>15.00606210062325</v>
      </c>
    </row>
    <row r="163" spans="1:39" ht="16.5" x14ac:dyDescent="0.25">
      <c r="A163" s="1">
        <v>45468</v>
      </c>
      <c r="B163" s="5">
        <v>24.43</v>
      </c>
      <c r="C163" s="4">
        <v>24.45</v>
      </c>
      <c r="D163" s="4">
        <v>24.75</v>
      </c>
      <c r="E163" s="4">
        <v>24.17</v>
      </c>
      <c r="F163" s="4" t="s">
        <v>935</v>
      </c>
      <c r="G163" s="2" t="s">
        <v>1463</v>
      </c>
      <c r="I163">
        <f t="shared" si="29"/>
        <v>24.020526315789471</v>
      </c>
      <c r="J163">
        <f t="shared" si="30"/>
        <v>23.756499999999999</v>
      </c>
      <c r="L163">
        <f t="shared" si="31"/>
        <v>0</v>
      </c>
      <c r="M163">
        <f t="shared" si="32"/>
        <v>1</v>
      </c>
      <c r="O163">
        <f t="shared" si="33"/>
        <v>0</v>
      </c>
      <c r="P163">
        <f t="shared" si="34"/>
        <v>1.9999999999999574E-2</v>
      </c>
      <c r="R163">
        <f t="shared" si="35"/>
        <v>0.4328571428571425</v>
      </c>
      <c r="S163">
        <f t="shared" si="36"/>
        <v>0.4728571428571432</v>
      </c>
      <c r="AH163">
        <f t="shared" si="37"/>
        <v>4.4565255048202879</v>
      </c>
      <c r="AI163">
        <f t="shared" si="38"/>
        <v>12.563916400130481</v>
      </c>
      <c r="AJ163">
        <f t="shared" si="39"/>
        <v>35.477136231448462</v>
      </c>
      <c r="AL163">
        <f t="shared" si="40"/>
        <v>32.933577325430051</v>
      </c>
      <c r="AM163">
        <f t="shared" si="41"/>
        <v>15.107475306148896</v>
      </c>
    </row>
    <row r="164" spans="1:39" ht="16.5" x14ac:dyDescent="0.25">
      <c r="A164" s="1">
        <v>45467</v>
      </c>
      <c r="B164" s="5">
        <v>24.58</v>
      </c>
      <c r="C164" s="4">
        <v>23.8</v>
      </c>
      <c r="D164" s="4">
        <v>24.73</v>
      </c>
      <c r="E164" s="4">
        <v>23.74</v>
      </c>
      <c r="F164" s="4" t="s">
        <v>1494</v>
      </c>
      <c r="G164" s="2" t="s">
        <v>1835</v>
      </c>
      <c r="I164">
        <f t="shared" si="29"/>
        <v>24.092631578947373</v>
      </c>
      <c r="J164">
        <f t="shared" si="30"/>
        <v>23.623749999999998</v>
      </c>
      <c r="L164">
        <f t="shared" si="31"/>
        <v>1</v>
      </c>
      <c r="M164">
        <f t="shared" si="32"/>
        <v>0</v>
      </c>
      <c r="O164">
        <f t="shared" si="33"/>
        <v>0.77999999999999758</v>
      </c>
      <c r="P164">
        <f t="shared" si="34"/>
        <v>0</v>
      </c>
      <c r="R164">
        <f t="shared" si="35"/>
        <v>0.39124999999999988</v>
      </c>
      <c r="S164">
        <f t="shared" si="36"/>
        <v>0.54833333333333378</v>
      </c>
      <c r="AH164">
        <f t="shared" si="37"/>
        <v>4.4460787781318647</v>
      </c>
      <c r="AI164">
        <f t="shared" si="38"/>
        <v>12.636021663288382</v>
      </c>
      <c r="AJ164">
        <f t="shared" si="39"/>
        <v>35.549241494606363</v>
      </c>
      <c r="AL164">
        <f t="shared" si="40"/>
        <v>32.984789135211102</v>
      </c>
      <c r="AM164">
        <f t="shared" si="41"/>
        <v>15.200474022683643</v>
      </c>
    </row>
    <row r="165" spans="1:39" ht="16.5" x14ac:dyDescent="0.25">
      <c r="A165" s="1">
        <v>45464</v>
      </c>
      <c r="B165" s="5">
        <v>23.63</v>
      </c>
      <c r="C165" s="4">
        <v>24.59</v>
      </c>
      <c r="D165" s="4">
        <v>24.75</v>
      </c>
      <c r="E165" s="4">
        <v>23.39</v>
      </c>
      <c r="F165" s="4" t="s">
        <v>1038</v>
      </c>
      <c r="G165" s="2" t="s">
        <v>1836</v>
      </c>
      <c r="I165">
        <f t="shared" si="29"/>
        <v>24.211052631578951</v>
      </c>
      <c r="J165">
        <f t="shared" si="30"/>
        <v>23.480499999999999</v>
      </c>
      <c r="L165">
        <f t="shared" si="31"/>
        <v>0</v>
      </c>
      <c r="M165">
        <f t="shared" si="32"/>
        <v>1</v>
      </c>
      <c r="O165">
        <f t="shared" si="33"/>
        <v>0</v>
      </c>
      <c r="P165">
        <f t="shared" si="34"/>
        <v>0.96000000000000085</v>
      </c>
      <c r="R165">
        <f t="shared" si="35"/>
        <v>0.33571428571428591</v>
      </c>
      <c r="S165">
        <f t="shared" si="36"/>
        <v>0.64571428571428613</v>
      </c>
      <c r="AH165">
        <f t="shared" si="37"/>
        <v>4.4351302095590626</v>
      </c>
      <c r="AI165">
        <f t="shared" si="38"/>
        <v>12.754442715919961</v>
      </c>
      <c r="AJ165">
        <f t="shared" si="39"/>
        <v>35.667662547237938</v>
      </c>
      <c r="AL165">
        <f t="shared" si="40"/>
        <v>33.081313050697077</v>
      </c>
      <c r="AM165">
        <f t="shared" si="41"/>
        <v>15.340792212460826</v>
      </c>
    </row>
    <row r="166" spans="1:39" ht="16.5" x14ac:dyDescent="0.25">
      <c r="A166" s="1">
        <v>45463</v>
      </c>
      <c r="B166" s="5">
        <v>24.92</v>
      </c>
      <c r="C166" s="4">
        <v>24.22</v>
      </c>
      <c r="D166" s="4">
        <v>25</v>
      </c>
      <c r="E166" s="4">
        <v>23.99</v>
      </c>
      <c r="F166" s="4" t="s">
        <v>1440</v>
      </c>
      <c r="G166" s="2" t="s">
        <v>1837</v>
      </c>
      <c r="I166">
        <f t="shared" si="29"/>
        <v>24.326315789473682</v>
      </c>
      <c r="J166">
        <f t="shared" si="30"/>
        <v>23.334749999999996</v>
      </c>
      <c r="L166">
        <f t="shared" si="31"/>
        <v>1</v>
      </c>
      <c r="M166">
        <f t="shared" si="32"/>
        <v>0</v>
      </c>
      <c r="O166">
        <f t="shared" si="33"/>
        <v>0.70000000000000284</v>
      </c>
      <c r="P166">
        <f t="shared" si="34"/>
        <v>0</v>
      </c>
      <c r="R166">
        <f t="shared" si="35"/>
        <v>0.30374999999999996</v>
      </c>
      <c r="S166">
        <f t="shared" si="36"/>
        <v>0.59333333333333371</v>
      </c>
      <c r="AH166">
        <f t="shared" si="37"/>
        <v>4.4234484052859022</v>
      </c>
      <c r="AI166">
        <f t="shared" si="38"/>
        <v>12.869705873814691</v>
      </c>
      <c r="AJ166">
        <f t="shared" si="39"/>
        <v>35.782925705132669</v>
      </c>
      <c r="AL166">
        <f t="shared" si="40"/>
        <v>33.173212600045488</v>
      </c>
      <c r="AM166">
        <f t="shared" si="41"/>
        <v>15.479418978901878</v>
      </c>
    </row>
    <row r="167" spans="1:39" ht="16.5" x14ac:dyDescent="0.25">
      <c r="A167" s="1">
        <v>45462</v>
      </c>
      <c r="B167" s="5">
        <v>24.09</v>
      </c>
      <c r="C167" s="4">
        <v>23.8</v>
      </c>
      <c r="D167" s="4">
        <v>24.46</v>
      </c>
      <c r="E167" s="4">
        <v>23.63</v>
      </c>
      <c r="F167" s="4" t="s">
        <v>1379</v>
      </c>
      <c r="G167" s="2" t="s">
        <v>502</v>
      </c>
      <c r="I167">
        <f t="shared" si="29"/>
        <v>24.361578947368422</v>
      </c>
      <c r="J167">
        <f t="shared" si="30"/>
        <v>23.156249999999993</v>
      </c>
      <c r="L167">
        <f t="shared" si="31"/>
        <v>1</v>
      </c>
      <c r="M167">
        <f t="shared" si="32"/>
        <v>0</v>
      </c>
      <c r="O167">
        <f t="shared" si="33"/>
        <v>0.28999999999999915</v>
      </c>
      <c r="P167">
        <f t="shared" si="34"/>
        <v>0</v>
      </c>
      <c r="R167">
        <f t="shared" si="35"/>
        <v>0.24714285714285669</v>
      </c>
      <c r="S167">
        <f t="shared" si="36"/>
        <v>0.65571428571428625</v>
      </c>
      <c r="AH167">
        <f t="shared" si="37"/>
        <v>4.4110227922264489</v>
      </c>
      <c r="AI167">
        <f t="shared" si="38"/>
        <v>12.904969031709431</v>
      </c>
      <c r="AJ167">
        <f t="shared" si="39"/>
        <v>35.818188863027416</v>
      </c>
      <c r="AL167">
        <f t="shared" si="40"/>
        <v>33.183624531821323</v>
      </c>
      <c r="AM167">
        <f t="shared" si="41"/>
        <v>15.539533362915524</v>
      </c>
    </row>
    <row r="168" spans="1:39" ht="16.5" x14ac:dyDescent="0.25">
      <c r="A168" s="1">
        <v>45461</v>
      </c>
      <c r="B168" s="5">
        <v>23.68</v>
      </c>
      <c r="C168" s="4">
        <v>23.57</v>
      </c>
      <c r="D168" s="4">
        <v>23.88</v>
      </c>
      <c r="E168" s="4">
        <v>23.24</v>
      </c>
      <c r="F168" s="4" t="s">
        <v>97</v>
      </c>
      <c r="G168" s="2" t="s">
        <v>1522</v>
      </c>
      <c r="I168">
        <f t="shared" si="29"/>
        <v>24.386842105263156</v>
      </c>
      <c r="J168">
        <f t="shared" si="30"/>
        <v>22.997999999999994</v>
      </c>
      <c r="L168">
        <f t="shared" si="31"/>
        <v>1</v>
      </c>
      <c r="M168">
        <f t="shared" si="32"/>
        <v>0</v>
      </c>
      <c r="O168">
        <f t="shared" si="33"/>
        <v>0.10999999999999943</v>
      </c>
      <c r="P168">
        <f t="shared" si="34"/>
        <v>0</v>
      </c>
      <c r="R168">
        <f t="shared" si="35"/>
        <v>0.2771428571428568</v>
      </c>
      <c r="S168">
        <f t="shared" si="36"/>
        <v>0.65571428571428625</v>
      </c>
      <c r="AH168">
        <f t="shared" si="37"/>
        <v>4.3982194094637546</v>
      </c>
      <c r="AI168">
        <f t="shared" si="38"/>
        <v>12.930232189604165</v>
      </c>
      <c r="AJ168">
        <f t="shared" si="39"/>
        <v>35.843452020922143</v>
      </c>
      <c r="AL168">
        <f t="shared" si="40"/>
        <v>33.183280924190669</v>
      </c>
      <c r="AM168">
        <f t="shared" si="41"/>
        <v>15.590403286335647</v>
      </c>
    </row>
    <row r="169" spans="1:39" ht="16.5" x14ac:dyDescent="0.25">
      <c r="A169" s="1">
        <v>45460</v>
      </c>
      <c r="B169" s="5">
        <v>23.28</v>
      </c>
      <c r="C169" s="4">
        <v>23.31</v>
      </c>
      <c r="D169" s="4">
        <v>23.62</v>
      </c>
      <c r="E169" s="4">
        <v>22.99</v>
      </c>
      <c r="F169" s="4" t="s">
        <v>107</v>
      </c>
      <c r="G169" s="2" t="s">
        <v>408</v>
      </c>
      <c r="I169">
        <f t="shared" si="29"/>
        <v>24.400526315789474</v>
      </c>
      <c r="J169">
        <f t="shared" si="30"/>
        <v>22.850249999999996</v>
      </c>
      <c r="L169">
        <f t="shared" si="31"/>
        <v>0</v>
      </c>
      <c r="M169">
        <f t="shared" si="32"/>
        <v>1</v>
      </c>
      <c r="O169">
        <f t="shared" si="33"/>
        <v>0</v>
      </c>
      <c r="P169">
        <f t="shared" si="34"/>
        <v>2.9999999999997584E-2</v>
      </c>
      <c r="R169">
        <f t="shared" si="35"/>
        <v>0.30499999999999972</v>
      </c>
      <c r="S169">
        <f t="shared" si="36"/>
        <v>0.68125000000000036</v>
      </c>
      <c r="AH169">
        <f t="shared" si="37"/>
        <v>4.3850783883966304</v>
      </c>
      <c r="AI169">
        <f t="shared" si="38"/>
        <v>12.943916400130483</v>
      </c>
      <c r="AJ169">
        <f t="shared" si="39"/>
        <v>35.857136231448465</v>
      </c>
      <c r="AL169">
        <f t="shared" si="40"/>
        <v>33.170683092582735</v>
      </c>
      <c r="AM169">
        <f t="shared" si="41"/>
        <v>15.630369538996213</v>
      </c>
    </row>
    <row r="170" spans="1:39" ht="16.5" x14ac:dyDescent="0.25">
      <c r="A170" s="1">
        <v>45457</v>
      </c>
      <c r="B170" s="5">
        <v>23.24</v>
      </c>
      <c r="C170" s="4">
        <v>23.59</v>
      </c>
      <c r="D170" s="4">
        <v>23.92</v>
      </c>
      <c r="E170" s="4">
        <v>22.85</v>
      </c>
      <c r="F170" s="4" t="s">
        <v>1693</v>
      </c>
      <c r="G170" s="2" t="s">
        <v>932</v>
      </c>
      <c r="I170">
        <f t="shared" si="29"/>
        <v>24.438421052631575</v>
      </c>
      <c r="J170">
        <f t="shared" si="30"/>
        <v>22.708749999999991</v>
      </c>
      <c r="L170">
        <f t="shared" si="31"/>
        <v>0</v>
      </c>
      <c r="M170">
        <f t="shared" si="32"/>
        <v>1</v>
      </c>
      <c r="O170">
        <f t="shared" si="33"/>
        <v>0</v>
      </c>
      <c r="P170">
        <f t="shared" si="34"/>
        <v>0.35000000000000142</v>
      </c>
      <c r="R170">
        <f t="shared" si="35"/>
        <v>0.38714285714285673</v>
      </c>
      <c r="S170">
        <f t="shared" si="36"/>
        <v>0.77428571428571502</v>
      </c>
      <c r="AH170">
        <f t="shared" si="37"/>
        <v>4.3716496088030237</v>
      </c>
      <c r="AI170">
        <f t="shared" si="38"/>
        <v>12.981811136972585</v>
      </c>
      <c r="AJ170">
        <f t="shared" si="39"/>
        <v>35.89503096829057</v>
      </c>
      <c r="AL170">
        <f t="shared" si="40"/>
        <v>33.181720270237619</v>
      </c>
      <c r="AM170">
        <f t="shared" si="41"/>
        <v>15.695121835025528</v>
      </c>
    </row>
    <row r="171" spans="1:39" ht="16.5" x14ac:dyDescent="0.25">
      <c r="A171" s="1">
        <v>45456</v>
      </c>
      <c r="B171" s="5">
        <v>23.39</v>
      </c>
      <c r="C171" s="4">
        <v>24.1</v>
      </c>
      <c r="D171" s="4">
        <v>24.15</v>
      </c>
      <c r="E171" s="4">
        <v>23.26</v>
      </c>
      <c r="F171" s="4" t="s">
        <v>122</v>
      </c>
      <c r="G171" s="2" t="s">
        <v>217</v>
      </c>
      <c r="I171">
        <f t="shared" si="29"/>
        <v>24.496842105263156</v>
      </c>
      <c r="J171">
        <f t="shared" si="30"/>
        <v>22.573749999999993</v>
      </c>
      <c r="L171">
        <f t="shared" si="31"/>
        <v>0</v>
      </c>
      <c r="M171">
        <f t="shared" si="32"/>
        <v>1</v>
      </c>
      <c r="O171">
        <f t="shared" si="33"/>
        <v>0</v>
      </c>
      <c r="P171">
        <f t="shared" si="34"/>
        <v>0.71000000000000085</v>
      </c>
      <c r="R171">
        <f t="shared" si="35"/>
        <v>0.35374999999999979</v>
      </c>
      <c r="S171">
        <f t="shared" si="36"/>
        <v>0.84500000000000064</v>
      </c>
      <c r="AH171">
        <f t="shared" si="37"/>
        <v>4.3578046497148595</v>
      </c>
      <c r="AI171">
        <f t="shared" si="38"/>
        <v>13.040232189604165</v>
      </c>
      <c r="AJ171">
        <f t="shared" si="39"/>
        <v>35.953452020922143</v>
      </c>
      <c r="AL171">
        <f t="shared" si="40"/>
        <v>33.212451404692871</v>
      </c>
      <c r="AM171">
        <f t="shared" si="41"/>
        <v>15.781232805833437</v>
      </c>
    </row>
    <row r="172" spans="1:39" ht="16.5" x14ac:dyDescent="0.25">
      <c r="A172" s="1">
        <v>45455</v>
      </c>
      <c r="B172" s="5">
        <v>24.02</v>
      </c>
      <c r="C172" s="4">
        <v>23.71</v>
      </c>
      <c r="D172" s="4">
        <v>24.23</v>
      </c>
      <c r="E172" s="4">
        <v>23.52</v>
      </c>
      <c r="F172" s="4" t="s">
        <v>578</v>
      </c>
      <c r="G172" s="2" t="s">
        <v>1838</v>
      </c>
      <c r="I172">
        <f t="shared" si="29"/>
        <v>24.581578947368417</v>
      </c>
      <c r="J172">
        <f t="shared" si="30"/>
        <v>22.432999999999993</v>
      </c>
      <c r="L172">
        <f t="shared" si="31"/>
        <v>1</v>
      </c>
      <c r="M172">
        <f t="shared" si="32"/>
        <v>0</v>
      </c>
      <c r="O172">
        <f t="shared" si="33"/>
        <v>0.30999999999999872</v>
      </c>
      <c r="P172">
        <f t="shared" si="34"/>
        <v>0</v>
      </c>
      <c r="R172">
        <f t="shared" si="35"/>
        <v>0.46222222222222187</v>
      </c>
      <c r="S172">
        <f t="shared" si="36"/>
        <v>0.87200000000000055</v>
      </c>
      <c r="AH172">
        <f t="shared" si="37"/>
        <v>4.3434277118757665</v>
      </c>
      <c r="AI172">
        <f t="shared" si="38"/>
        <v>13.124969031709426</v>
      </c>
      <c r="AJ172">
        <f t="shared" si="39"/>
        <v>36.038188863027408</v>
      </c>
      <c r="AL172">
        <f t="shared" si="40"/>
        <v>33.268434371119952</v>
      </c>
      <c r="AM172">
        <f t="shared" si="41"/>
        <v>15.894723523616884</v>
      </c>
    </row>
    <row r="173" spans="1:39" ht="16.5" x14ac:dyDescent="0.25">
      <c r="A173" s="1">
        <v>45454</v>
      </c>
      <c r="B173" s="5">
        <v>23.31</v>
      </c>
      <c r="C173" s="4">
        <v>23.69</v>
      </c>
      <c r="D173" s="4">
        <v>23.92</v>
      </c>
      <c r="E173" s="4">
        <v>23.17</v>
      </c>
      <c r="F173" s="4" t="s">
        <v>1424</v>
      </c>
      <c r="G173" s="2" t="s">
        <v>127</v>
      </c>
      <c r="I173">
        <f t="shared" si="29"/>
        <v>24.655263157894737</v>
      </c>
      <c r="J173">
        <f t="shared" si="30"/>
        <v>22.267749999999992</v>
      </c>
      <c r="L173">
        <f t="shared" si="31"/>
        <v>0</v>
      </c>
      <c r="M173">
        <f t="shared" si="32"/>
        <v>1</v>
      </c>
      <c r="O173">
        <f t="shared" si="33"/>
        <v>0</v>
      </c>
      <c r="P173">
        <f t="shared" si="34"/>
        <v>0.38000000000000256</v>
      </c>
      <c r="R173">
        <f t="shared" si="35"/>
        <v>0.50777777777777744</v>
      </c>
      <c r="S173">
        <f t="shared" si="36"/>
        <v>0.87200000000000055</v>
      </c>
      <c r="AH173">
        <f t="shared" si="37"/>
        <v>4.3283661890928249</v>
      </c>
      <c r="AI173">
        <f t="shared" si="38"/>
        <v>13.198653242235746</v>
      </c>
      <c r="AJ173">
        <f t="shared" si="39"/>
        <v>36.111873073553724</v>
      </c>
      <c r="AL173">
        <f t="shared" si="40"/>
        <v>33.311995536080389</v>
      </c>
      <c r="AM173">
        <f t="shared" si="41"/>
        <v>15.998530779709087</v>
      </c>
    </row>
    <row r="174" spans="1:39" ht="16.5" x14ac:dyDescent="0.25">
      <c r="A174" s="1">
        <v>45453</v>
      </c>
      <c r="B174" s="5">
        <v>23.5</v>
      </c>
      <c r="C174" s="4">
        <v>22.78</v>
      </c>
      <c r="D174" s="4">
        <v>23.5</v>
      </c>
      <c r="E174" s="4">
        <v>22.63</v>
      </c>
      <c r="F174" s="4" t="s">
        <v>1616</v>
      </c>
      <c r="G174" s="2" t="s">
        <v>1053</v>
      </c>
      <c r="I174">
        <f t="shared" si="29"/>
        <v>24.78157894736842</v>
      </c>
      <c r="J174">
        <f t="shared" si="30"/>
        <v>22.125999999999991</v>
      </c>
      <c r="L174">
        <f t="shared" si="31"/>
        <v>1</v>
      </c>
      <c r="M174">
        <f t="shared" si="32"/>
        <v>0</v>
      </c>
      <c r="O174">
        <f t="shared" si="33"/>
        <v>0.71999999999999886</v>
      </c>
      <c r="P174">
        <f t="shared" si="34"/>
        <v>0</v>
      </c>
      <c r="R174">
        <f t="shared" si="35"/>
        <v>0.50777777777777744</v>
      </c>
      <c r="S174">
        <f t="shared" si="36"/>
        <v>0.80799999999999983</v>
      </c>
      <c r="AH174">
        <f t="shared" si="37"/>
        <v>4.3126571320465859</v>
      </c>
      <c r="AI174">
        <f t="shared" si="38"/>
        <v>13.324969031709429</v>
      </c>
      <c r="AJ174">
        <f t="shared" si="39"/>
        <v>36.23818886302741</v>
      </c>
      <c r="AL174">
        <f t="shared" si="40"/>
        <v>33.406893211461593</v>
      </c>
      <c r="AM174">
        <f t="shared" si="41"/>
        <v>16.156264683275246</v>
      </c>
    </row>
    <row r="175" spans="1:39" ht="16.5" x14ac:dyDescent="0.25">
      <c r="A175" s="1">
        <v>45450</v>
      </c>
      <c r="B175" s="5">
        <v>23.02</v>
      </c>
      <c r="C175" s="4">
        <v>22.9</v>
      </c>
      <c r="D175" s="4">
        <v>23.21</v>
      </c>
      <c r="E175" s="4">
        <v>22.41</v>
      </c>
      <c r="F175" s="4" t="s">
        <v>1485</v>
      </c>
      <c r="G175" s="2" t="s">
        <v>542</v>
      </c>
      <c r="I175">
        <f t="shared" si="29"/>
        <v>24.815263157894734</v>
      </c>
      <c r="J175">
        <f t="shared" si="30"/>
        <v>21.978999999999992</v>
      </c>
      <c r="L175">
        <f t="shared" si="31"/>
        <v>1</v>
      </c>
      <c r="M175">
        <f t="shared" si="32"/>
        <v>0</v>
      </c>
      <c r="O175">
        <f t="shared" si="33"/>
        <v>0.12000000000000099</v>
      </c>
      <c r="P175">
        <f t="shared" si="34"/>
        <v>0</v>
      </c>
      <c r="R175">
        <f t="shared" si="35"/>
        <v>0.47444444444444439</v>
      </c>
      <c r="S175">
        <f t="shared" si="36"/>
        <v>0.80799999999999983</v>
      </c>
      <c r="AH175">
        <f t="shared" si="37"/>
        <v>4.2959937998853963</v>
      </c>
      <c r="AI175">
        <f t="shared" si="38"/>
        <v>13.358653242235743</v>
      </c>
      <c r="AJ175">
        <f t="shared" si="39"/>
        <v>36.271873073553721</v>
      </c>
      <c r="AL175">
        <f t="shared" si="40"/>
        <v>33.407250757665523</v>
      </c>
      <c r="AM175">
        <f t="shared" si="41"/>
        <v>16.223275558123941</v>
      </c>
    </row>
    <row r="176" spans="1:39" ht="16.5" x14ac:dyDescent="0.25">
      <c r="A176" s="1">
        <v>45449</v>
      </c>
      <c r="B176" s="5">
        <v>23.22</v>
      </c>
      <c r="C176" s="4">
        <v>24.08</v>
      </c>
      <c r="D176" s="4">
        <v>24.26</v>
      </c>
      <c r="E176" s="4">
        <v>22.89</v>
      </c>
      <c r="F176" s="4" t="s">
        <v>1621</v>
      </c>
      <c r="G176" s="2" t="s">
        <v>1343</v>
      </c>
      <c r="I176">
        <f t="shared" si="29"/>
        <v>24.876842105263158</v>
      </c>
      <c r="J176">
        <f t="shared" si="30"/>
        <v>21.838999999999992</v>
      </c>
      <c r="L176">
        <f t="shared" si="31"/>
        <v>0</v>
      </c>
      <c r="M176">
        <f t="shared" si="32"/>
        <v>1</v>
      </c>
      <c r="O176">
        <f t="shared" si="33"/>
        <v>0</v>
      </c>
      <c r="P176">
        <f t="shared" si="34"/>
        <v>0.85999999999999943</v>
      </c>
      <c r="R176">
        <f t="shared" si="35"/>
        <v>0.51874999999999982</v>
      </c>
      <c r="S176">
        <f t="shared" si="36"/>
        <v>0.76166666666666616</v>
      </c>
      <c r="AH176">
        <f t="shared" si="37"/>
        <v>4.2788560894141208</v>
      </c>
      <c r="AI176">
        <f t="shared" si="38"/>
        <v>13.420232189604167</v>
      </c>
      <c r="AJ176">
        <f t="shared" si="39"/>
        <v>36.333452020922152</v>
      </c>
      <c r="AL176">
        <f t="shared" si="40"/>
        <v>33.434554284091398</v>
      </c>
      <c r="AM176">
        <f t="shared" si="41"/>
        <v>16.319129926434918</v>
      </c>
    </row>
    <row r="177" spans="1:39" ht="16.5" x14ac:dyDescent="0.25">
      <c r="A177" s="1">
        <v>45448</v>
      </c>
      <c r="B177" s="5">
        <v>23.96</v>
      </c>
      <c r="C177" s="4">
        <v>23.86</v>
      </c>
      <c r="D177" s="4">
        <v>24.24</v>
      </c>
      <c r="E177" s="4">
        <v>23.66</v>
      </c>
      <c r="F177" s="4" t="s">
        <v>1535</v>
      </c>
      <c r="G177" s="2" t="s">
        <v>266</v>
      </c>
      <c r="I177">
        <f t="shared" si="29"/>
        <v>24.932631578947369</v>
      </c>
      <c r="J177">
        <f t="shared" si="30"/>
        <v>21.703999999999997</v>
      </c>
      <c r="L177">
        <f t="shared" si="31"/>
        <v>1</v>
      </c>
      <c r="M177">
        <f t="shared" si="32"/>
        <v>0</v>
      </c>
      <c r="O177">
        <f t="shared" si="33"/>
        <v>0.10000000000000142</v>
      </c>
      <c r="P177">
        <f t="shared" si="34"/>
        <v>0</v>
      </c>
      <c r="R177">
        <f t="shared" si="35"/>
        <v>0.51874999999999982</v>
      </c>
      <c r="S177">
        <f t="shared" si="36"/>
        <v>0.65499999999999936</v>
      </c>
      <c r="AH177">
        <f t="shared" si="37"/>
        <v>4.2610744099454134</v>
      </c>
      <c r="AI177">
        <f t="shared" si="38"/>
        <v>13.476021663288378</v>
      </c>
      <c r="AJ177">
        <f t="shared" si="39"/>
        <v>36.38924149460636</v>
      </c>
      <c r="AL177">
        <f t="shared" si="40"/>
        <v>33.454780398838196</v>
      </c>
      <c r="AM177">
        <f t="shared" si="41"/>
        <v>16.410482759056542</v>
      </c>
    </row>
    <row r="178" spans="1:39" ht="16.5" x14ac:dyDescent="0.25">
      <c r="A178" s="1">
        <v>45447</v>
      </c>
      <c r="B178" s="5">
        <v>23.91</v>
      </c>
      <c r="C178" s="4">
        <v>25.14</v>
      </c>
      <c r="D178" s="4">
        <v>25.26</v>
      </c>
      <c r="E178" s="4">
        <v>23.22</v>
      </c>
      <c r="F178" s="4" t="s">
        <v>1839</v>
      </c>
      <c r="G178" s="2" t="s">
        <v>1840</v>
      </c>
      <c r="I178">
        <f t="shared" si="29"/>
        <v>24.897894736842105</v>
      </c>
      <c r="J178">
        <f t="shared" si="30"/>
        <v>21.550499999999996</v>
      </c>
      <c r="L178">
        <f t="shared" si="31"/>
        <v>0</v>
      </c>
      <c r="M178">
        <f t="shared" si="32"/>
        <v>1</v>
      </c>
      <c r="O178">
        <f t="shared" si="33"/>
        <v>0</v>
      </c>
      <c r="P178">
        <f t="shared" si="34"/>
        <v>1.2300000000000004</v>
      </c>
      <c r="R178">
        <f t="shared" si="35"/>
        <v>0.52124999999999977</v>
      </c>
      <c r="S178">
        <f t="shared" si="36"/>
        <v>0.65499999999999936</v>
      </c>
      <c r="AH178">
        <f t="shared" si="37"/>
        <v>4.2426623188214601</v>
      </c>
      <c r="AI178">
        <f t="shared" si="38"/>
        <v>13.441284821183114</v>
      </c>
      <c r="AJ178">
        <f t="shared" si="39"/>
        <v>36.354504652501092</v>
      </c>
      <c r="AL178">
        <f t="shared" si="40"/>
        <v>33.383219374485023</v>
      </c>
      <c r="AM178">
        <f t="shared" si="41"/>
        <v>16.412570099199186</v>
      </c>
    </row>
    <row r="179" spans="1:39" ht="16.5" x14ac:dyDescent="0.25">
      <c r="A179" s="1">
        <v>45446</v>
      </c>
      <c r="B179" s="5">
        <v>25.36</v>
      </c>
      <c r="C179" s="4">
        <v>25.28</v>
      </c>
      <c r="D179" s="4">
        <v>25.65</v>
      </c>
      <c r="E179" s="4">
        <v>24.71</v>
      </c>
      <c r="F179" s="4" t="s">
        <v>1706</v>
      </c>
      <c r="G179" s="2" t="s">
        <v>1831</v>
      </c>
      <c r="I179">
        <f t="shared" si="29"/>
        <v>24.826842105263161</v>
      </c>
      <c r="J179">
        <f t="shared" si="30"/>
        <v>21.41075</v>
      </c>
      <c r="L179">
        <f t="shared" si="31"/>
        <v>1</v>
      </c>
      <c r="M179">
        <f t="shared" si="32"/>
        <v>0</v>
      </c>
      <c r="O179">
        <f t="shared" si="33"/>
        <v>7.9999999999998295E-2</v>
      </c>
      <c r="P179">
        <f t="shared" si="34"/>
        <v>0</v>
      </c>
      <c r="R179">
        <f t="shared" si="35"/>
        <v>0.63111111111111107</v>
      </c>
      <c r="S179">
        <f t="shared" si="36"/>
        <v>0.53999999999999915</v>
      </c>
      <c r="AH179">
        <f t="shared" si="37"/>
        <v>4.2241254111251783</v>
      </c>
      <c r="AI179">
        <f t="shared" si="38"/>
        <v>13.37023218960417</v>
      </c>
      <c r="AJ179">
        <f t="shared" si="39"/>
        <v>36.283452020922155</v>
      </c>
      <c r="AL179">
        <f t="shared" si="40"/>
        <v>33.275092927513519</v>
      </c>
      <c r="AM179">
        <f t="shared" si="41"/>
        <v>16.378591283012803</v>
      </c>
    </row>
    <row r="180" spans="1:39" ht="16.5" x14ac:dyDescent="0.25">
      <c r="A180" s="1">
        <v>45443</v>
      </c>
      <c r="B180" s="5">
        <v>24.82</v>
      </c>
      <c r="C180" s="4">
        <v>25.85</v>
      </c>
      <c r="D180" s="4">
        <v>26.39</v>
      </c>
      <c r="E180" s="4">
        <v>24.71</v>
      </c>
      <c r="F180" s="4" t="s">
        <v>1841</v>
      </c>
      <c r="G180" s="2" t="s">
        <v>1842</v>
      </c>
      <c r="I180">
        <f t="shared" si="29"/>
        <v>24.544736842105266</v>
      </c>
      <c r="J180">
        <f t="shared" si="30"/>
        <v>21.220000000000002</v>
      </c>
      <c r="L180">
        <f t="shared" si="31"/>
        <v>0</v>
      </c>
      <c r="M180">
        <f t="shared" si="32"/>
        <v>1</v>
      </c>
      <c r="O180">
        <f t="shared" si="33"/>
        <v>0</v>
      </c>
      <c r="P180">
        <f t="shared" si="34"/>
        <v>1.0300000000000011</v>
      </c>
      <c r="R180">
        <f t="shared" si="35"/>
        <v>0.62666666666666671</v>
      </c>
      <c r="S180">
        <f t="shared" si="36"/>
        <v>0.53999999999999915</v>
      </c>
      <c r="AH180">
        <f t="shared" si="37"/>
        <v>4.205671496436608</v>
      </c>
      <c r="AI180">
        <f t="shared" si="38"/>
        <v>13.088126926446275</v>
      </c>
      <c r="AJ180">
        <f t="shared" si="39"/>
        <v>36.001346757764253</v>
      </c>
      <c r="AL180">
        <f t="shared" si="40"/>
        <v>32.956079834978482</v>
      </c>
      <c r="AM180">
        <f t="shared" si="41"/>
        <v>16.13339384923205</v>
      </c>
    </row>
    <row r="181" spans="1:39" ht="16.5" x14ac:dyDescent="0.25">
      <c r="A181" s="1">
        <v>45442</v>
      </c>
      <c r="B181" s="5">
        <v>26.03</v>
      </c>
      <c r="C181" s="4">
        <v>25.53</v>
      </c>
      <c r="D181" s="4">
        <v>26.29</v>
      </c>
      <c r="E181" s="4">
        <v>25.38</v>
      </c>
      <c r="F181" s="4" t="s">
        <v>355</v>
      </c>
      <c r="G181" s="2" t="s">
        <v>1004</v>
      </c>
      <c r="I181">
        <f t="shared" si="29"/>
        <v>24.29315789473684</v>
      </c>
      <c r="J181">
        <f t="shared" si="30"/>
        <v>21.055250000000001</v>
      </c>
      <c r="L181">
        <f t="shared" si="31"/>
        <v>1</v>
      </c>
      <c r="M181">
        <f t="shared" si="32"/>
        <v>0</v>
      </c>
      <c r="O181">
        <f t="shared" si="33"/>
        <v>0.5</v>
      </c>
      <c r="P181">
        <f t="shared" si="34"/>
        <v>0</v>
      </c>
      <c r="R181">
        <f t="shared" si="35"/>
        <v>0.5880000000000003</v>
      </c>
      <c r="S181">
        <f t="shared" si="36"/>
        <v>0.41749999999999865</v>
      </c>
      <c r="AH181">
        <f t="shared" si="37"/>
        <v>4.1885072560742733</v>
      </c>
      <c r="AI181">
        <f t="shared" si="38"/>
        <v>12.836547979077849</v>
      </c>
      <c r="AJ181">
        <f t="shared" si="39"/>
        <v>35.749767810395831</v>
      </c>
      <c r="AL181">
        <f t="shared" si="40"/>
        <v>32.670172406885385</v>
      </c>
      <c r="AM181">
        <f t="shared" si="41"/>
        <v>15.916143382588293</v>
      </c>
    </row>
    <row r="182" spans="1:39" ht="16.5" x14ac:dyDescent="0.25">
      <c r="A182" s="1">
        <v>45441</v>
      </c>
      <c r="B182" s="5">
        <v>25.8</v>
      </c>
      <c r="C182" s="4">
        <v>26.66</v>
      </c>
      <c r="D182" s="4">
        <v>26.98</v>
      </c>
      <c r="E182" s="4">
        <v>25.56</v>
      </c>
      <c r="F182" s="4" t="s">
        <v>1775</v>
      </c>
      <c r="G182" s="2" t="s">
        <v>1215</v>
      </c>
      <c r="I182">
        <f t="shared" si="29"/>
        <v>23.964210526315792</v>
      </c>
      <c r="J182">
        <f t="shared" si="30"/>
        <v>20.843250000000001</v>
      </c>
      <c r="L182">
        <f t="shared" si="31"/>
        <v>0</v>
      </c>
      <c r="M182">
        <f t="shared" si="32"/>
        <v>1</v>
      </c>
      <c r="O182">
        <f t="shared" si="33"/>
        <v>0</v>
      </c>
      <c r="P182">
        <f t="shared" si="34"/>
        <v>0.85999999999999943</v>
      </c>
      <c r="R182">
        <f t="shared" si="35"/>
        <v>0.60600000000000021</v>
      </c>
      <c r="S182">
        <f t="shared" si="36"/>
        <v>0.41749999999999865</v>
      </c>
      <c r="AH182">
        <f t="shared" si="37"/>
        <v>4.1724501513092704</v>
      </c>
      <c r="AI182">
        <f t="shared" si="38"/>
        <v>12.507600610656802</v>
      </c>
      <c r="AJ182">
        <f t="shared" si="39"/>
        <v>35.420820441974783</v>
      </c>
      <c r="AL182">
        <f t="shared" si="40"/>
        <v>32.309110828934337</v>
      </c>
      <c r="AM182">
        <f t="shared" si="41"/>
        <v>15.619310223697251</v>
      </c>
    </row>
    <row r="183" spans="1:39" ht="16.5" x14ac:dyDescent="0.25">
      <c r="A183" s="1">
        <v>45440</v>
      </c>
      <c r="B183" s="5">
        <v>26.83</v>
      </c>
      <c r="C183" s="4">
        <v>25.95</v>
      </c>
      <c r="D183" s="4">
        <v>27.01</v>
      </c>
      <c r="E183" s="4">
        <v>25.9</v>
      </c>
      <c r="F183" s="4" t="s">
        <v>1843</v>
      </c>
      <c r="G183" s="2" t="s">
        <v>1844</v>
      </c>
      <c r="I183">
        <f t="shared" si="29"/>
        <v>23.619473684210533</v>
      </c>
      <c r="J183">
        <f t="shared" si="30"/>
        <v>20.793500000000002</v>
      </c>
      <c r="L183">
        <f t="shared" si="31"/>
        <v>1</v>
      </c>
      <c r="M183">
        <f t="shared" si="32"/>
        <v>0</v>
      </c>
      <c r="O183">
        <f t="shared" si="33"/>
        <v>0.87999999999999901</v>
      </c>
      <c r="P183">
        <f t="shared" si="34"/>
        <v>0</v>
      </c>
      <c r="R183">
        <f t="shared" si="35"/>
        <v>0.66545454545454585</v>
      </c>
      <c r="S183">
        <f t="shared" si="36"/>
        <v>0.26999999999999841</v>
      </c>
      <c r="AH183">
        <f t="shared" si="37"/>
        <v>4.1579056953596796</v>
      </c>
      <c r="AI183">
        <f t="shared" si="38"/>
        <v>12.162863768551542</v>
      </c>
      <c r="AJ183">
        <f t="shared" si="39"/>
        <v>35.07608359986952</v>
      </c>
      <c r="AL183">
        <f t="shared" si="40"/>
        <v>31.935285074929894</v>
      </c>
      <c r="AM183">
        <f t="shared" si="41"/>
        <v>15.303662293491174</v>
      </c>
    </row>
    <row r="184" spans="1:39" ht="16.5" x14ac:dyDescent="0.25">
      <c r="A184" s="1">
        <v>45439</v>
      </c>
      <c r="B184" s="5">
        <v>25.82</v>
      </c>
      <c r="C184" s="4">
        <v>25.7</v>
      </c>
      <c r="D184" s="4">
        <v>26.38</v>
      </c>
      <c r="E184" s="4">
        <v>25.59</v>
      </c>
      <c r="F184" s="4" t="s">
        <v>912</v>
      </c>
      <c r="G184" s="2" t="s">
        <v>550</v>
      </c>
      <c r="I184">
        <f t="shared" si="29"/>
        <v>23.223157894736847</v>
      </c>
      <c r="J184">
        <f t="shared" si="30"/>
        <v>20.547750000000001</v>
      </c>
      <c r="L184">
        <f t="shared" si="31"/>
        <v>1</v>
      </c>
      <c r="M184">
        <f t="shared" si="32"/>
        <v>0</v>
      </c>
      <c r="O184">
        <f t="shared" si="33"/>
        <v>0.12000000000000099</v>
      </c>
      <c r="P184">
        <f t="shared" si="34"/>
        <v>0</v>
      </c>
      <c r="R184">
        <f t="shared" si="35"/>
        <v>0.67272727272727295</v>
      </c>
      <c r="S184">
        <f t="shared" si="36"/>
        <v>0.26999999999999841</v>
      </c>
      <c r="AH184">
        <f t="shared" si="37"/>
        <v>4.1449237563810239</v>
      </c>
      <c r="AI184">
        <f t="shared" si="38"/>
        <v>11.766547979077856</v>
      </c>
      <c r="AJ184">
        <f t="shared" si="39"/>
        <v>34.679767810395838</v>
      </c>
      <c r="AL184">
        <f t="shared" si="40"/>
        <v>31.513005407498895</v>
      </c>
      <c r="AM184">
        <f t="shared" si="41"/>
        <v>14.933310381974799</v>
      </c>
    </row>
    <row r="185" spans="1:39" ht="16.5" x14ac:dyDescent="0.25">
      <c r="A185" s="1">
        <v>45436</v>
      </c>
      <c r="B185" s="5">
        <v>25.59</v>
      </c>
      <c r="C185" s="4">
        <v>24.26</v>
      </c>
      <c r="D185" s="4">
        <v>25.64</v>
      </c>
      <c r="E185" s="4">
        <v>24.01</v>
      </c>
      <c r="F185" s="4" t="s">
        <v>1808</v>
      </c>
      <c r="G185" s="2" t="s">
        <v>1845</v>
      </c>
      <c r="I185">
        <f t="shared" si="29"/>
        <v>22.87052631578948</v>
      </c>
      <c r="J185">
        <f t="shared" si="30"/>
        <v>20.313750000000006</v>
      </c>
      <c r="L185">
        <f t="shared" si="31"/>
        <v>1</v>
      </c>
      <c r="M185">
        <f t="shared" si="32"/>
        <v>0</v>
      </c>
      <c r="O185">
        <f t="shared" si="33"/>
        <v>1.3299999999999983</v>
      </c>
      <c r="P185">
        <f t="shared" si="34"/>
        <v>0</v>
      </c>
      <c r="R185">
        <f t="shared" si="35"/>
        <v>0.72800000000000009</v>
      </c>
      <c r="S185">
        <f t="shared" si="36"/>
        <v>0.24249999999999883</v>
      </c>
      <c r="AH185">
        <f t="shared" si="37"/>
        <v>4.1337188380757661</v>
      </c>
      <c r="AI185">
        <f t="shared" si="38"/>
        <v>11.413916400130489</v>
      </c>
      <c r="AJ185">
        <f t="shared" si="39"/>
        <v>34.32713623144847</v>
      </c>
      <c r="AL185">
        <f t="shared" si="40"/>
        <v>31.137963991941014</v>
      </c>
      <c r="AM185">
        <f t="shared" si="41"/>
        <v>14.603088639637948</v>
      </c>
    </row>
    <row r="186" spans="1:39" ht="16.5" x14ac:dyDescent="0.25">
      <c r="A186" s="1">
        <v>45435</v>
      </c>
      <c r="B186" s="5">
        <v>24.57</v>
      </c>
      <c r="C186" s="4">
        <v>23.85</v>
      </c>
      <c r="D186" s="4">
        <v>24.68</v>
      </c>
      <c r="E186" s="4">
        <v>23.84</v>
      </c>
      <c r="F186" s="4" t="s">
        <v>1400</v>
      </c>
      <c r="G186" s="2" t="s">
        <v>1142</v>
      </c>
      <c r="I186">
        <f t="shared" si="29"/>
        <v>22.515789473684219</v>
      </c>
      <c r="J186">
        <f t="shared" si="30"/>
        <v>20.083250000000003</v>
      </c>
      <c r="L186">
        <f t="shared" si="31"/>
        <v>1</v>
      </c>
      <c r="M186">
        <f t="shared" si="32"/>
        <v>0</v>
      </c>
      <c r="O186">
        <f t="shared" si="33"/>
        <v>0.71999999999999886</v>
      </c>
      <c r="P186">
        <f t="shared" si="34"/>
        <v>0</v>
      </c>
      <c r="R186">
        <f t="shared" si="35"/>
        <v>0.61700000000000021</v>
      </c>
      <c r="S186">
        <f t="shared" si="36"/>
        <v>0.24249999999999883</v>
      </c>
      <c r="AH186">
        <f t="shared" si="37"/>
        <v>4.124021969738271</v>
      </c>
      <c r="AI186">
        <f t="shared" si="38"/>
        <v>11.059179558025228</v>
      </c>
      <c r="AJ186">
        <f t="shared" si="39"/>
        <v>33.972399389343209</v>
      </c>
      <c r="AL186">
        <f t="shared" si="40"/>
        <v>30.763833413160761</v>
      </c>
      <c r="AM186">
        <f t="shared" si="41"/>
        <v>14.267745534207677</v>
      </c>
    </row>
    <row r="187" spans="1:39" ht="16.5" x14ac:dyDescent="0.25">
      <c r="A187" s="1">
        <v>45434</v>
      </c>
      <c r="B187" s="5">
        <v>23.94</v>
      </c>
      <c r="C187" s="4">
        <v>24</v>
      </c>
      <c r="D187" s="4">
        <v>24.12</v>
      </c>
      <c r="E187" s="4">
        <v>23.83</v>
      </c>
      <c r="F187" s="4" t="s">
        <v>1654</v>
      </c>
      <c r="G187" s="2" t="s">
        <v>924</v>
      </c>
      <c r="I187">
        <f t="shared" si="29"/>
        <v>22.159473684210532</v>
      </c>
      <c r="J187">
        <f t="shared" si="30"/>
        <v>19.883000000000003</v>
      </c>
      <c r="L187">
        <f t="shared" si="31"/>
        <v>0</v>
      </c>
      <c r="M187">
        <f t="shared" si="32"/>
        <v>1</v>
      </c>
      <c r="O187">
        <f t="shared" si="33"/>
        <v>0</v>
      </c>
      <c r="P187">
        <f t="shared" si="34"/>
        <v>5.9999999999998721E-2</v>
      </c>
      <c r="R187">
        <f t="shared" si="35"/>
        <v>0.60555555555555585</v>
      </c>
      <c r="S187">
        <f t="shared" si="36"/>
        <v>0.20999999999999872</v>
      </c>
      <c r="AH187">
        <f t="shared" si="37"/>
        <v>4.1157925125980324</v>
      </c>
      <c r="AI187">
        <f t="shared" si="38"/>
        <v>10.702863768551541</v>
      </c>
      <c r="AJ187">
        <f t="shared" si="39"/>
        <v>33.616083599869526</v>
      </c>
      <c r="AL187">
        <f t="shared" si="40"/>
        <v>30.391058709406597</v>
      </c>
      <c r="AM187">
        <f t="shared" si="41"/>
        <v>13.927888659014467</v>
      </c>
    </row>
    <row r="188" spans="1:39" ht="16.5" x14ac:dyDescent="0.25">
      <c r="A188" s="1">
        <v>45433</v>
      </c>
      <c r="B188" s="5">
        <v>24</v>
      </c>
      <c r="C188" s="4">
        <v>23.58</v>
      </c>
      <c r="D188" s="4">
        <v>24.21</v>
      </c>
      <c r="E188" s="4">
        <v>23.45</v>
      </c>
      <c r="F188" s="4" t="s">
        <v>1846</v>
      </c>
      <c r="G188" s="2" t="s">
        <v>446</v>
      </c>
      <c r="I188">
        <f t="shared" si="29"/>
        <v>21.835263157894744</v>
      </c>
      <c r="J188">
        <f t="shared" si="30"/>
        <v>19.697500000000002</v>
      </c>
      <c r="L188">
        <f t="shared" si="31"/>
        <v>1</v>
      </c>
      <c r="M188">
        <f t="shared" si="32"/>
        <v>0</v>
      </c>
      <c r="O188">
        <f t="shared" si="33"/>
        <v>0.42000000000000171</v>
      </c>
      <c r="P188">
        <f t="shared" si="34"/>
        <v>0</v>
      </c>
      <c r="R188">
        <f t="shared" si="35"/>
        <v>0.55200000000000027</v>
      </c>
      <c r="S188">
        <f t="shared" si="36"/>
        <v>0.24749999999999872</v>
      </c>
      <c r="AH188">
        <f t="shared" si="37"/>
        <v>4.1089829575106966</v>
      </c>
      <c r="AI188">
        <f t="shared" si="38"/>
        <v>10.378653242235753</v>
      </c>
      <c r="AJ188">
        <f t="shared" si="39"/>
        <v>33.291873073553731</v>
      </c>
      <c r="AL188">
        <f t="shared" si="40"/>
        <v>30.053229072916139</v>
      </c>
      <c r="AM188">
        <f t="shared" si="41"/>
        <v>13.617297242873351</v>
      </c>
    </row>
    <row r="189" spans="1:39" ht="16.5" x14ac:dyDescent="0.25">
      <c r="A189" s="1">
        <v>45432</v>
      </c>
      <c r="B189" s="5">
        <v>24.35</v>
      </c>
      <c r="C189" s="4">
        <v>24.88</v>
      </c>
      <c r="D189" s="4">
        <v>25.12</v>
      </c>
      <c r="E189" s="4">
        <v>24.08</v>
      </c>
      <c r="F189" s="4" t="s">
        <v>1471</v>
      </c>
      <c r="G189" s="2" t="s">
        <v>1847</v>
      </c>
      <c r="I189">
        <f t="shared" si="29"/>
        <v>21.506842105263164</v>
      </c>
      <c r="J189">
        <f t="shared" si="30"/>
        <v>19.494000000000003</v>
      </c>
      <c r="L189">
        <f t="shared" si="31"/>
        <v>0</v>
      </c>
      <c r="M189">
        <f t="shared" si="32"/>
        <v>1</v>
      </c>
      <c r="O189">
        <f t="shared" si="33"/>
        <v>0</v>
      </c>
      <c r="P189">
        <f t="shared" si="34"/>
        <v>0.52999999999999758</v>
      </c>
      <c r="R189">
        <f t="shared" si="35"/>
        <v>0.51700000000000013</v>
      </c>
      <c r="S189">
        <f t="shared" si="36"/>
        <v>0.24749999999999872</v>
      </c>
      <c r="AH189">
        <f t="shared" si="37"/>
        <v>4.1034048209315452</v>
      </c>
      <c r="AI189">
        <f t="shared" si="38"/>
        <v>10.050232189604174</v>
      </c>
      <c r="AJ189">
        <f t="shared" si="39"/>
        <v>32.963452020922155</v>
      </c>
      <c r="AL189">
        <f t="shared" si="40"/>
        <v>29.713651747126256</v>
      </c>
      <c r="AM189">
        <f t="shared" si="41"/>
        <v>13.300032463400074</v>
      </c>
    </row>
    <row r="190" spans="1:39" ht="16.5" x14ac:dyDescent="0.25">
      <c r="A190" s="1">
        <v>45429</v>
      </c>
      <c r="B190" s="5">
        <v>25</v>
      </c>
      <c r="C190" s="4">
        <v>25.22</v>
      </c>
      <c r="D190" s="4">
        <v>25.4</v>
      </c>
      <c r="E190" s="4">
        <v>24.9</v>
      </c>
      <c r="F190" s="4" t="s">
        <v>1396</v>
      </c>
      <c r="G190" s="2" t="s">
        <v>1589</v>
      </c>
      <c r="I190">
        <f t="shared" si="29"/>
        <v>21.160526315789479</v>
      </c>
      <c r="J190">
        <f t="shared" si="30"/>
        <v>19.256750000000004</v>
      </c>
      <c r="L190">
        <f t="shared" si="31"/>
        <v>0</v>
      </c>
      <c r="M190">
        <f t="shared" si="32"/>
        <v>1</v>
      </c>
      <c r="O190">
        <f t="shared" si="33"/>
        <v>0</v>
      </c>
      <c r="P190">
        <f t="shared" si="34"/>
        <v>0.21999999999999886</v>
      </c>
      <c r="R190">
        <f t="shared" si="35"/>
        <v>0.49000000000000038</v>
      </c>
      <c r="S190">
        <f t="shared" si="36"/>
        <v>0.15333333333333243</v>
      </c>
      <c r="AH190">
        <f t="shared" si="37"/>
        <v>4.0990261136273176</v>
      </c>
      <c r="AI190">
        <f t="shared" si="38"/>
        <v>9.7039164001304883</v>
      </c>
      <c r="AJ190">
        <f t="shared" si="39"/>
        <v>32.61713623144847</v>
      </c>
      <c r="AL190">
        <f t="shared" si="40"/>
        <v>29.358578543044114</v>
      </c>
      <c r="AM190">
        <f t="shared" si="41"/>
        <v>12.962474088534844</v>
      </c>
    </row>
    <row r="191" spans="1:39" ht="16.5" x14ac:dyDescent="0.25">
      <c r="A191" s="1">
        <v>45428</v>
      </c>
      <c r="B191" s="5">
        <v>25.42</v>
      </c>
      <c r="C191" s="4">
        <v>25.3</v>
      </c>
      <c r="D191" s="4">
        <v>25.84</v>
      </c>
      <c r="E191" s="4">
        <v>25.12</v>
      </c>
      <c r="F191" s="4" t="s">
        <v>1382</v>
      </c>
      <c r="G191" s="2" t="s">
        <v>1517</v>
      </c>
      <c r="I191">
        <f t="shared" si="29"/>
        <v>20.772105263157897</v>
      </c>
      <c r="J191">
        <f t="shared" si="30"/>
        <v>19.003500000000003</v>
      </c>
      <c r="L191">
        <f t="shared" si="31"/>
        <v>1</v>
      </c>
      <c r="M191">
        <f t="shared" si="32"/>
        <v>0</v>
      </c>
      <c r="O191">
        <f t="shared" si="33"/>
        <v>0.12000000000000099</v>
      </c>
      <c r="P191">
        <f t="shared" si="34"/>
        <v>0</v>
      </c>
      <c r="R191">
        <f t="shared" si="35"/>
        <v>0.52833333333333388</v>
      </c>
      <c r="S191">
        <f t="shared" si="36"/>
        <v>0.11999999999999922</v>
      </c>
      <c r="AH191">
        <f t="shared" si="37"/>
        <v>4.0958597495309856</v>
      </c>
      <c r="AI191">
        <f t="shared" si="38"/>
        <v>9.3154953474989064</v>
      </c>
      <c r="AJ191">
        <f t="shared" si="39"/>
        <v>32.228715178816884</v>
      </c>
      <c r="AL191">
        <f t="shared" si="40"/>
        <v>28.963824762219868</v>
      </c>
      <c r="AM191">
        <f t="shared" si="41"/>
        <v>12.580385764095926</v>
      </c>
    </row>
    <row r="192" spans="1:39" ht="16.5" x14ac:dyDescent="0.25">
      <c r="A192" s="1">
        <v>45427</v>
      </c>
      <c r="B192" s="5">
        <v>25.71</v>
      </c>
      <c r="C192" s="4">
        <v>24.2</v>
      </c>
      <c r="D192" s="4">
        <v>25.84</v>
      </c>
      <c r="E192" s="4">
        <v>24.18</v>
      </c>
      <c r="F192" s="4" t="s">
        <v>1120</v>
      </c>
      <c r="G192" s="2" t="s">
        <v>1848</v>
      </c>
      <c r="I192">
        <f t="shared" si="29"/>
        <v>20.373157894736842</v>
      </c>
      <c r="J192">
        <f t="shared" si="30"/>
        <v>18.73875</v>
      </c>
      <c r="L192">
        <f t="shared" si="31"/>
        <v>1</v>
      </c>
      <c r="M192">
        <f t="shared" si="32"/>
        <v>0</v>
      </c>
      <c r="O192">
        <f t="shared" si="33"/>
        <v>1.5100000000000016</v>
      </c>
      <c r="P192">
        <f t="shared" si="34"/>
        <v>0</v>
      </c>
      <c r="R192">
        <f t="shared" si="35"/>
        <v>0.52500000000000069</v>
      </c>
      <c r="S192">
        <f t="shared" si="36"/>
        <v>0.11999999999999922</v>
      </c>
      <c r="AH192">
        <f t="shared" si="37"/>
        <v>4.0939865924225298</v>
      </c>
      <c r="AI192">
        <f t="shared" si="38"/>
        <v>8.9165479790778512</v>
      </c>
      <c r="AJ192">
        <f t="shared" si="39"/>
        <v>31.829767810395833</v>
      </c>
      <c r="AL192">
        <f t="shared" si="40"/>
        <v>28.561131079581902</v>
      </c>
      <c r="AM192">
        <f t="shared" si="41"/>
        <v>12.185184709891782</v>
      </c>
    </row>
    <row r="193" spans="1:39" ht="16.5" x14ac:dyDescent="0.25">
      <c r="A193" s="1">
        <v>45426</v>
      </c>
      <c r="B193" s="5">
        <v>24.14</v>
      </c>
      <c r="C193" s="4">
        <v>24.1</v>
      </c>
      <c r="D193" s="4">
        <v>24.47</v>
      </c>
      <c r="E193" s="4">
        <v>23.77</v>
      </c>
      <c r="F193" s="4" t="s">
        <v>1419</v>
      </c>
      <c r="G193" s="2" t="s">
        <v>69</v>
      </c>
      <c r="I193">
        <f t="shared" si="29"/>
        <v>19.954736842105259</v>
      </c>
      <c r="J193">
        <f t="shared" si="30"/>
        <v>18.456499999999998</v>
      </c>
      <c r="L193">
        <f t="shared" si="31"/>
        <v>1</v>
      </c>
      <c r="M193">
        <f t="shared" si="32"/>
        <v>0</v>
      </c>
      <c r="O193">
        <f t="shared" si="33"/>
        <v>3.9999999999999147E-2</v>
      </c>
      <c r="P193">
        <f t="shared" si="34"/>
        <v>0</v>
      </c>
      <c r="R193">
        <f t="shared" si="35"/>
        <v>0.4225000000000006</v>
      </c>
      <c r="S193">
        <f t="shared" si="36"/>
        <v>0.11999999999999922</v>
      </c>
      <c r="AH193">
        <f t="shared" si="37"/>
        <v>4.0933548755046125</v>
      </c>
      <c r="AI193">
        <f t="shared" si="38"/>
        <v>8.4981269264462682</v>
      </c>
      <c r="AJ193">
        <f t="shared" si="39"/>
        <v>31.41134675776425</v>
      </c>
      <c r="AL193">
        <f t="shared" si="40"/>
        <v>28.141446593114484</v>
      </c>
      <c r="AM193">
        <f t="shared" si="41"/>
        <v>11.768027091096034</v>
      </c>
    </row>
    <row r="194" spans="1:39" ht="16.5" x14ac:dyDescent="0.25">
      <c r="A194" s="1">
        <v>45425</v>
      </c>
      <c r="B194" s="5">
        <v>24.19</v>
      </c>
      <c r="C194" s="4">
        <v>23.95</v>
      </c>
      <c r="D194" s="4">
        <v>24.32</v>
      </c>
      <c r="E194" s="4">
        <v>22.93</v>
      </c>
      <c r="F194" s="4" t="s">
        <v>1849</v>
      </c>
      <c r="G194" s="2" t="s">
        <v>632</v>
      </c>
      <c r="I194">
        <f t="shared" ref="I194:I257" si="42">AVERAGE(B194:B212)</f>
        <v>19.600526315789473</v>
      </c>
      <c r="J194">
        <f t="shared" ref="J194:J257" si="43">AVERAGE(B194:B233)</f>
        <v>18.213249999999995</v>
      </c>
      <c r="L194">
        <f t="shared" si="31"/>
        <v>1</v>
      </c>
      <c r="M194">
        <f t="shared" si="32"/>
        <v>0</v>
      </c>
      <c r="O194">
        <f t="shared" si="33"/>
        <v>0.24000000000000199</v>
      </c>
      <c r="P194">
        <f t="shared" si="34"/>
        <v>0</v>
      </c>
      <c r="R194">
        <f t="shared" si="35"/>
        <v>0.457272727272728</v>
      </c>
      <c r="S194">
        <f t="shared" si="36"/>
        <v>0.10666666666666558</v>
      </c>
      <c r="AH194">
        <f t="shared" si="37"/>
        <v>4.0939267193209652</v>
      </c>
      <c r="AI194">
        <f t="shared" si="38"/>
        <v>8.1439164001304825</v>
      </c>
      <c r="AJ194">
        <f t="shared" si="39"/>
        <v>31.057136231448464</v>
      </c>
      <c r="AL194">
        <f t="shared" si="40"/>
        <v>27.788379754431404</v>
      </c>
      <c r="AM194">
        <f t="shared" si="41"/>
        <v>11.412672877147543</v>
      </c>
    </row>
    <row r="195" spans="1:39" ht="16.5" x14ac:dyDescent="0.25">
      <c r="A195" s="1">
        <v>45422</v>
      </c>
      <c r="B195" s="5">
        <v>24.28</v>
      </c>
      <c r="C195" s="4">
        <v>23.6</v>
      </c>
      <c r="D195" s="4">
        <v>24.54</v>
      </c>
      <c r="E195" s="4">
        <v>23.32</v>
      </c>
      <c r="F195" s="4" t="s">
        <v>1850</v>
      </c>
      <c r="G195" s="2" t="s">
        <v>1851</v>
      </c>
      <c r="I195">
        <f t="shared" si="42"/>
        <v>19.25578947368421</v>
      </c>
      <c r="J195">
        <f t="shared" si="43"/>
        <v>17.95675</v>
      </c>
      <c r="L195">
        <f t="shared" ref="L195:L258" si="44">IF($C195&lt;$B195,1,0)</f>
        <v>1</v>
      </c>
      <c r="M195">
        <f t="shared" ref="M195:M258" si="45">IF($C195&lt;$B195,0,1)</f>
        <v>0</v>
      </c>
      <c r="O195">
        <f t="shared" ref="O195:O258" si="46">IF($C195&lt;$B195,B195-C195,0)</f>
        <v>0.67999999999999972</v>
      </c>
      <c r="P195">
        <f t="shared" ref="P195:P258" si="47">IF($B195&lt;$C195,C195-B195,0)</f>
        <v>0</v>
      </c>
      <c r="R195">
        <f t="shared" ref="R195:R258" si="48">SUM(O195:O208)/SUM(L195:L208)</f>
        <v>0.44727272727272777</v>
      </c>
      <c r="S195">
        <f t="shared" ref="S195:S258" si="49">SUM(P195:P208)/SUM(M195:M208)</f>
        <v>0.10666666666666558</v>
      </c>
      <c r="AH195">
        <f t="shared" ref="AH195:AH258" si="50">_xlfn.STDEV.S(I195:I725)</f>
        <v>4.0954308294826669</v>
      </c>
      <c r="AI195">
        <f t="shared" ref="AI195:AI258" si="51">I195-$AH$2</f>
        <v>7.7991795580252194</v>
      </c>
      <c r="AJ195">
        <f t="shared" ref="AJ195:AJ258" si="52">I195+$AH$2</f>
        <v>30.712399389343201</v>
      </c>
      <c r="AL195">
        <f t="shared" ref="AL195:AL258" si="53">I195+(AH195*2)</f>
        <v>27.446651132649542</v>
      </c>
      <c r="AM195">
        <f t="shared" ref="AM195:AM258" si="54">I195-(AH195*2)</f>
        <v>11.064927814718876</v>
      </c>
    </row>
    <row r="196" spans="1:39" ht="16.5" x14ac:dyDescent="0.25">
      <c r="A196" s="1">
        <v>45421</v>
      </c>
      <c r="B196" s="5">
        <v>23.3</v>
      </c>
      <c r="C196" s="4">
        <v>22.04</v>
      </c>
      <c r="D196" s="4">
        <v>23.71</v>
      </c>
      <c r="E196" s="4">
        <v>22.01</v>
      </c>
      <c r="F196" s="4" t="s">
        <v>1638</v>
      </c>
      <c r="G196" s="2" t="s">
        <v>810</v>
      </c>
      <c r="I196">
        <f t="shared" si="42"/>
        <v>18.905263157894737</v>
      </c>
      <c r="J196">
        <f t="shared" si="43"/>
        <v>17.704500000000003</v>
      </c>
      <c r="L196">
        <f t="shared" si="44"/>
        <v>1</v>
      </c>
      <c r="M196">
        <f t="shared" si="45"/>
        <v>0</v>
      </c>
      <c r="O196">
        <f t="shared" si="46"/>
        <v>1.2600000000000016</v>
      </c>
      <c r="P196">
        <f t="shared" si="47"/>
        <v>0</v>
      </c>
      <c r="R196">
        <f t="shared" si="48"/>
        <v>0.39818181818181875</v>
      </c>
      <c r="S196">
        <f t="shared" si="49"/>
        <v>0.10666666666666558</v>
      </c>
      <c r="AH196">
        <f t="shared" si="50"/>
        <v>4.0977688244193526</v>
      </c>
      <c r="AI196">
        <f t="shared" si="51"/>
        <v>7.4486532422357463</v>
      </c>
      <c r="AJ196">
        <f t="shared" si="52"/>
        <v>30.361873073553728</v>
      </c>
      <c r="AL196">
        <f t="shared" si="53"/>
        <v>27.100800806733442</v>
      </c>
      <c r="AM196">
        <f t="shared" si="54"/>
        <v>10.709725509056032</v>
      </c>
    </row>
    <row r="197" spans="1:39" ht="16.5" x14ac:dyDescent="0.25">
      <c r="A197" s="1">
        <v>45420</v>
      </c>
      <c r="B197" s="5">
        <v>22.56</v>
      </c>
      <c r="C197" s="4">
        <v>21.6</v>
      </c>
      <c r="D197" s="4">
        <v>22.9</v>
      </c>
      <c r="E197" s="4">
        <v>21.55</v>
      </c>
      <c r="F197" s="4" t="s">
        <v>1852</v>
      </c>
      <c r="G197" s="2" t="s">
        <v>1853</v>
      </c>
      <c r="I197">
        <f t="shared" si="42"/>
        <v>18.59578947368421</v>
      </c>
      <c r="J197">
        <f t="shared" si="43"/>
        <v>17.478249999999999</v>
      </c>
      <c r="L197">
        <f t="shared" si="44"/>
        <v>1</v>
      </c>
      <c r="M197">
        <f t="shared" si="45"/>
        <v>0</v>
      </c>
      <c r="O197">
        <f t="shared" si="46"/>
        <v>0.9599999999999973</v>
      </c>
      <c r="P197">
        <f t="shared" si="47"/>
        <v>0</v>
      </c>
      <c r="R197">
        <f t="shared" si="48"/>
        <v>0.31200000000000044</v>
      </c>
      <c r="S197">
        <f t="shared" si="49"/>
        <v>8.2499999999999574E-2</v>
      </c>
      <c r="AH197">
        <f t="shared" si="50"/>
        <v>4.1008792088329402</v>
      </c>
      <c r="AI197">
        <f t="shared" si="51"/>
        <v>7.1391795580252193</v>
      </c>
      <c r="AJ197">
        <f t="shared" si="52"/>
        <v>30.052399389343201</v>
      </c>
      <c r="AL197">
        <f t="shared" si="53"/>
        <v>26.797547891350092</v>
      </c>
      <c r="AM197">
        <f t="shared" si="54"/>
        <v>10.39403105601833</v>
      </c>
    </row>
    <row r="198" spans="1:39" ht="16.5" x14ac:dyDescent="0.25">
      <c r="A198" s="1">
        <v>45419</v>
      </c>
      <c r="B198" s="5">
        <v>20</v>
      </c>
      <c r="C198" s="4">
        <v>20.16</v>
      </c>
      <c r="D198" s="4">
        <v>20.23</v>
      </c>
      <c r="E198" s="4">
        <v>19.78</v>
      </c>
      <c r="F198" s="4" t="s">
        <v>937</v>
      </c>
      <c r="G198" s="2" t="s">
        <v>321</v>
      </c>
      <c r="I198">
        <f t="shared" si="42"/>
        <v>18.346315789473685</v>
      </c>
      <c r="J198">
        <f t="shared" si="43"/>
        <v>17.2685</v>
      </c>
      <c r="L198">
        <f t="shared" si="44"/>
        <v>0</v>
      </c>
      <c r="M198">
        <f t="shared" si="45"/>
        <v>1</v>
      </c>
      <c r="O198">
        <f t="shared" si="46"/>
        <v>0</v>
      </c>
      <c r="P198">
        <f t="shared" si="47"/>
        <v>0.16000000000000014</v>
      </c>
      <c r="R198">
        <f t="shared" si="48"/>
        <v>0.26000000000000084</v>
      </c>
      <c r="S198">
        <f t="shared" si="49"/>
        <v>8.2499999999999574E-2</v>
      </c>
      <c r="AH198">
        <f t="shared" si="50"/>
        <v>4.1046068915559282</v>
      </c>
      <c r="AI198">
        <f t="shared" si="51"/>
        <v>6.8897058738146946</v>
      </c>
      <c r="AJ198">
        <f t="shared" si="52"/>
        <v>29.802925705132676</v>
      </c>
      <c r="AL198">
        <f t="shared" si="53"/>
        <v>26.555529572585542</v>
      </c>
      <c r="AM198">
        <f t="shared" si="54"/>
        <v>10.137102006361829</v>
      </c>
    </row>
    <row r="199" spans="1:39" ht="16.5" x14ac:dyDescent="0.25">
      <c r="A199" s="1">
        <v>45418</v>
      </c>
      <c r="B199" s="5">
        <v>20.04</v>
      </c>
      <c r="C199" s="4">
        <v>19.82</v>
      </c>
      <c r="D199" s="4">
        <v>20.170000000000002</v>
      </c>
      <c r="E199" s="4">
        <v>19.739999999999998</v>
      </c>
      <c r="F199" s="4" t="s">
        <v>1625</v>
      </c>
      <c r="G199" s="2" t="s">
        <v>1758</v>
      </c>
      <c r="I199">
        <f t="shared" si="42"/>
        <v>18.231578947368423</v>
      </c>
      <c r="J199">
        <f t="shared" si="43"/>
        <v>17.125250000000001</v>
      </c>
      <c r="L199">
        <f t="shared" si="44"/>
        <v>1</v>
      </c>
      <c r="M199">
        <f t="shared" si="45"/>
        <v>0</v>
      </c>
      <c r="O199">
        <f t="shared" si="46"/>
        <v>0.21999999999999886</v>
      </c>
      <c r="P199">
        <f t="shared" si="47"/>
        <v>0</v>
      </c>
      <c r="R199">
        <f t="shared" si="48"/>
        <v>0.29090909090909184</v>
      </c>
      <c r="S199">
        <f t="shared" si="49"/>
        <v>5.6666666666666053E-2</v>
      </c>
      <c r="AH199">
        <f t="shared" si="50"/>
        <v>4.1087892390123786</v>
      </c>
      <c r="AI199">
        <f t="shared" si="51"/>
        <v>6.774969031709432</v>
      </c>
      <c r="AJ199">
        <f t="shared" si="52"/>
        <v>29.688188863027413</v>
      </c>
      <c r="AL199">
        <f t="shared" si="53"/>
        <v>26.449157425393182</v>
      </c>
      <c r="AM199">
        <f t="shared" si="54"/>
        <v>10.014000469343666</v>
      </c>
    </row>
    <row r="200" spans="1:39" ht="16.5" x14ac:dyDescent="0.25">
      <c r="A200" s="1">
        <v>45415</v>
      </c>
      <c r="B200" s="5">
        <v>19.78</v>
      </c>
      <c r="C200" s="4">
        <v>19.86</v>
      </c>
      <c r="D200" s="4">
        <v>19.89</v>
      </c>
      <c r="E200" s="4">
        <v>19.190000000000001</v>
      </c>
      <c r="F200" s="4" t="s">
        <v>1595</v>
      </c>
      <c r="G200" s="2" t="s">
        <v>209</v>
      </c>
      <c r="I200">
        <f t="shared" si="42"/>
        <v>18.141052631578948</v>
      </c>
      <c r="J200">
        <f t="shared" si="43"/>
        <v>16.972749999999998</v>
      </c>
      <c r="L200">
        <f t="shared" si="44"/>
        <v>0</v>
      </c>
      <c r="M200">
        <f t="shared" si="45"/>
        <v>1</v>
      </c>
      <c r="O200">
        <f t="shared" si="46"/>
        <v>0</v>
      </c>
      <c r="P200">
        <f t="shared" si="47"/>
        <v>7.9999999999998295E-2</v>
      </c>
      <c r="R200">
        <f t="shared" si="48"/>
        <v>0.28545454545454646</v>
      </c>
      <c r="S200">
        <f t="shared" si="49"/>
        <v>5.6666666666666053E-2</v>
      </c>
      <c r="AH200">
        <f t="shared" si="50"/>
        <v>4.1131731848022195</v>
      </c>
      <c r="AI200">
        <f t="shared" si="51"/>
        <v>6.6844427159199569</v>
      </c>
      <c r="AJ200">
        <f t="shared" si="52"/>
        <v>29.597662547237938</v>
      </c>
      <c r="AL200">
        <f t="shared" si="53"/>
        <v>26.367399001183387</v>
      </c>
      <c r="AM200">
        <f t="shared" si="54"/>
        <v>9.9147062619745085</v>
      </c>
    </row>
    <row r="201" spans="1:39" ht="16.5" x14ac:dyDescent="0.25">
      <c r="A201" s="1">
        <v>45414</v>
      </c>
      <c r="B201" s="5">
        <v>19.25</v>
      </c>
      <c r="C201" s="4">
        <v>19.18</v>
      </c>
      <c r="D201" s="4">
        <v>19.63</v>
      </c>
      <c r="E201" s="4">
        <v>18.88</v>
      </c>
      <c r="F201" s="4" t="s">
        <v>1438</v>
      </c>
      <c r="G201" s="2" t="s">
        <v>843</v>
      </c>
      <c r="I201">
        <f t="shared" si="42"/>
        <v>18.033157894736846</v>
      </c>
      <c r="J201">
        <f t="shared" si="43"/>
        <v>16.822749999999999</v>
      </c>
      <c r="L201">
        <f t="shared" si="44"/>
        <v>1</v>
      </c>
      <c r="M201">
        <f t="shared" si="45"/>
        <v>0</v>
      </c>
      <c r="O201">
        <f t="shared" si="46"/>
        <v>7.0000000000000284E-2</v>
      </c>
      <c r="P201">
        <f t="shared" si="47"/>
        <v>0</v>
      </c>
      <c r="R201">
        <f t="shared" si="48"/>
        <v>0.28545454545454646</v>
      </c>
      <c r="S201">
        <f t="shared" si="49"/>
        <v>4.3333333333333002E-2</v>
      </c>
      <c r="AH201">
        <f t="shared" si="50"/>
        <v>4.1177138714493715</v>
      </c>
      <c r="AI201">
        <f t="shared" si="51"/>
        <v>6.5765479790778549</v>
      </c>
      <c r="AJ201">
        <f t="shared" si="52"/>
        <v>29.489767810395836</v>
      </c>
      <c r="AL201">
        <f t="shared" si="53"/>
        <v>26.268585637635589</v>
      </c>
      <c r="AM201">
        <f t="shared" si="54"/>
        <v>9.7977301518381026</v>
      </c>
    </row>
    <row r="202" spans="1:39" ht="16.5" x14ac:dyDescent="0.25">
      <c r="A202" s="1">
        <v>45412</v>
      </c>
      <c r="B202" s="5">
        <v>19.3</v>
      </c>
      <c r="C202" s="4">
        <v>19.23</v>
      </c>
      <c r="D202" s="4">
        <v>19.47</v>
      </c>
      <c r="E202" s="4">
        <v>19.100000000000001</v>
      </c>
      <c r="F202" s="4" t="s">
        <v>1470</v>
      </c>
      <c r="G202" s="2" t="s">
        <v>368</v>
      </c>
      <c r="I202">
        <f t="shared" si="42"/>
        <v>17.979473684210529</v>
      </c>
      <c r="J202">
        <f t="shared" si="43"/>
        <v>16.692749999999997</v>
      </c>
      <c r="L202">
        <f t="shared" si="44"/>
        <v>1</v>
      </c>
      <c r="M202">
        <f t="shared" si="45"/>
        <v>0</v>
      </c>
      <c r="O202">
        <f t="shared" si="46"/>
        <v>7.0000000000000284E-2</v>
      </c>
      <c r="P202">
        <f t="shared" si="47"/>
        <v>0</v>
      </c>
      <c r="R202">
        <f t="shared" si="48"/>
        <v>0.30700000000000111</v>
      </c>
      <c r="S202">
        <f t="shared" si="49"/>
        <v>0.11499999999999932</v>
      </c>
      <c r="AH202">
        <f t="shared" si="50"/>
        <v>4.1224336804762691</v>
      </c>
      <c r="AI202">
        <f t="shared" si="51"/>
        <v>6.522863768551538</v>
      </c>
      <c r="AJ202">
        <f t="shared" si="52"/>
        <v>29.436083599869519</v>
      </c>
      <c r="AL202">
        <f t="shared" si="53"/>
        <v>26.224341045163065</v>
      </c>
      <c r="AM202">
        <f t="shared" si="54"/>
        <v>9.7346063232579905</v>
      </c>
    </row>
    <row r="203" spans="1:39" ht="16.5" x14ac:dyDescent="0.25">
      <c r="A203" s="1">
        <v>45411</v>
      </c>
      <c r="B203" s="5">
        <v>19.12</v>
      </c>
      <c r="C203" s="4">
        <v>18.899999999999999</v>
      </c>
      <c r="D203" s="4">
        <v>19.29</v>
      </c>
      <c r="E203" s="4">
        <v>18.71</v>
      </c>
      <c r="F203" s="4" t="s">
        <v>1495</v>
      </c>
      <c r="G203" s="2" t="s">
        <v>1154</v>
      </c>
      <c r="I203">
        <f t="shared" si="42"/>
        <v>17.887368421052631</v>
      </c>
      <c r="J203">
        <f t="shared" si="43"/>
        <v>16.568999999999996</v>
      </c>
      <c r="L203">
        <f t="shared" si="44"/>
        <v>1</v>
      </c>
      <c r="M203">
        <f t="shared" si="45"/>
        <v>0</v>
      </c>
      <c r="O203">
        <f t="shared" si="46"/>
        <v>0.22000000000000242</v>
      </c>
      <c r="P203">
        <f t="shared" si="47"/>
        <v>0</v>
      </c>
      <c r="R203">
        <f t="shared" si="48"/>
        <v>0.33333333333333454</v>
      </c>
      <c r="S203">
        <f t="shared" si="49"/>
        <v>0.1759999999999991</v>
      </c>
      <c r="AH203">
        <f t="shared" si="50"/>
        <v>4.1272476673045011</v>
      </c>
      <c r="AI203">
        <f t="shared" si="51"/>
        <v>6.4307585053936407</v>
      </c>
      <c r="AJ203">
        <f t="shared" si="52"/>
        <v>29.343978336711622</v>
      </c>
      <c r="AL203">
        <f t="shared" si="53"/>
        <v>26.141863755661632</v>
      </c>
      <c r="AM203">
        <f t="shared" si="54"/>
        <v>9.6328730864436292</v>
      </c>
    </row>
    <row r="204" spans="1:39" ht="16.5" x14ac:dyDescent="0.25">
      <c r="A204" s="1">
        <v>45408</v>
      </c>
      <c r="B204" s="5">
        <v>18.850000000000001</v>
      </c>
      <c r="C204" s="4">
        <v>17.899999999999999</v>
      </c>
      <c r="D204" s="4">
        <v>19.02</v>
      </c>
      <c r="E204" s="4">
        <v>17.829999999999998</v>
      </c>
      <c r="F204" s="4" t="s">
        <v>1854</v>
      </c>
      <c r="G204" s="2" t="s">
        <v>1828</v>
      </c>
      <c r="I204">
        <f t="shared" si="42"/>
        <v>18.134210526315794</v>
      </c>
      <c r="J204">
        <f t="shared" si="43"/>
        <v>16.446249999999999</v>
      </c>
      <c r="L204">
        <f t="shared" si="44"/>
        <v>1</v>
      </c>
      <c r="M204">
        <f t="shared" si="45"/>
        <v>0</v>
      </c>
      <c r="O204">
        <f t="shared" si="46"/>
        <v>0.95000000000000284</v>
      </c>
      <c r="P204">
        <f t="shared" si="47"/>
        <v>0</v>
      </c>
      <c r="R204">
        <f t="shared" si="48"/>
        <v>0.34750000000000103</v>
      </c>
      <c r="S204">
        <f t="shared" si="49"/>
        <v>0.22666666666666599</v>
      </c>
      <c r="AH204">
        <f t="shared" si="50"/>
        <v>4.1322097445451016</v>
      </c>
      <c r="AI204">
        <f t="shared" si="51"/>
        <v>6.6776006106568033</v>
      </c>
      <c r="AJ204">
        <f t="shared" si="52"/>
        <v>29.590820441974785</v>
      </c>
      <c r="AL204">
        <f t="shared" si="53"/>
        <v>26.398630015405999</v>
      </c>
      <c r="AM204">
        <f t="shared" si="54"/>
        <v>9.8697910372255908</v>
      </c>
    </row>
    <row r="205" spans="1:39" ht="16.5" x14ac:dyDescent="0.25">
      <c r="A205" s="1">
        <v>45407</v>
      </c>
      <c r="B205" s="5">
        <v>17.8</v>
      </c>
      <c r="C205" s="4">
        <v>17.72</v>
      </c>
      <c r="D205" s="4">
        <v>17.89</v>
      </c>
      <c r="E205" s="4">
        <v>17.48</v>
      </c>
      <c r="F205" s="4" t="s">
        <v>1402</v>
      </c>
      <c r="G205" s="2" t="s">
        <v>336</v>
      </c>
      <c r="I205">
        <f t="shared" si="42"/>
        <v>18.036842105263162</v>
      </c>
      <c r="J205">
        <f t="shared" si="43"/>
        <v>16.323250000000002</v>
      </c>
      <c r="L205">
        <f t="shared" si="44"/>
        <v>1</v>
      </c>
      <c r="M205">
        <f t="shared" si="45"/>
        <v>0</v>
      </c>
      <c r="O205">
        <f t="shared" si="46"/>
        <v>8.0000000000001847E-2</v>
      </c>
      <c r="P205">
        <f t="shared" si="47"/>
        <v>0</v>
      </c>
      <c r="R205">
        <f t="shared" si="48"/>
        <v>0.31125000000000069</v>
      </c>
      <c r="S205">
        <f t="shared" si="49"/>
        <v>0.22666666666666599</v>
      </c>
      <c r="AH205">
        <f t="shared" si="50"/>
        <v>4.1368149349653516</v>
      </c>
      <c r="AI205">
        <f t="shared" si="51"/>
        <v>6.5802321896041711</v>
      </c>
      <c r="AJ205">
        <f t="shared" si="52"/>
        <v>29.493452020922152</v>
      </c>
      <c r="AL205">
        <f t="shared" si="53"/>
        <v>26.310471975193863</v>
      </c>
      <c r="AM205">
        <f t="shared" si="54"/>
        <v>9.7632122353324586</v>
      </c>
    </row>
    <row r="206" spans="1:39" ht="16.5" x14ac:dyDescent="0.25">
      <c r="A206" s="1">
        <v>45406</v>
      </c>
      <c r="B206" s="5">
        <v>17.78</v>
      </c>
      <c r="C206" s="4">
        <v>17.5</v>
      </c>
      <c r="D206" s="4">
        <v>17.95</v>
      </c>
      <c r="E206" s="4">
        <v>17.34</v>
      </c>
      <c r="F206" s="4" t="s">
        <v>1477</v>
      </c>
      <c r="G206" s="2" t="s">
        <v>336</v>
      </c>
      <c r="I206">
        <f t="shared" si="42"/>
        <v>17.966315789473683</v>
      </c>
      <c r="J206">
        <f t="shared" si="43"/>
        <v>16.229499999999998</v>
      </c>
      <c r="L206">
        <f t="shared" si="44"/>
        <v>1</v>
      </c>
      <c r="M206">
        <f t="shared" si="45"/>
        <v>0</v>
      </c>
      <c r="O206">
        <f t="shared" si="46"/>
        <v>0.28000000000000114</v>
      </c>
      <c r="P206">
        <f t="shared" si="47"/>
        <v>0</v>
      </c>
      <c r="R206">
        <f t="shared" si="48"/>
        <v>0.34428571428571481</v>
      </c>
      <c r="S206">
        <f t="shared" si="49"/>
        <v>0.19714285714285648</v>
      </c>
      <c r="AH206">
        <f t="shared" si="50"/>
        <v>4.1415860356697634</v>
      </c>
      <c r="AI206">
        <f t="shared" si="51"/>
        <v>6.509705873814692</v>
      </c>
      <c r="AJ206">
        <f t="shared" si="52"/>
        <v>29.422925705132673</v>
      </c>
      <c r="AL206">
        <f t="shared" si="53"/>
        <v>26.249487860813211</v>
      </c>
      <c r="AM206">
        <f t="shared" si="54"/>
        <v>9.683143718134156</v>
      </c>
    </row>
    <row r="207" spans="1:39" ht="16.5" x14ac:dyDescent="0.25">
      <c r="A207" s="1">
        <v>45405</v>
      </c>
      <c r="B207" s="5">
        <v>17.760000000000002</v>
      </c>
      <c r="C207" s="4">
        <v>17.84</v>
      </c>
      <c r="D207" s="4">
        <v>17.88</v>
      </c>
      <c r="E207" s="4">
        <v>17.600000000000001</v>
      </c>
      <c r="F207" s="4" t="s">
        <v>1387</v>
      </c>
      <c r="G207" s="2" t="s">
        <v>553</v>
      </c>
      <c r="I207">
        <f t="shared" si="42"/>
        <v>17.892105263157895</v>
      </c>
      <c r="J207">
        <f t="shared" si="43"/>
        <v>16.132249999999999</v>
      </c>
      <c r="L207">
        <f t="shared" si="44"/>
        <v>0</v>
      </c>
      <c r="M207">
        <f t="shared" si="45"/>
        <v>1</v>
      </c>
      <c r="O207">
        <f t="shared" si="46"/>
        <v>0</v>
      </c>
      <c r="P207">
        <f t="shared" si="47"/>
        <v>7.9999999999998295E-2</v>
      </c>
      <c r="R207">
        <f t="shared" si="48"/>
        <v>0.3700000000000005</v>
      </c>
      <c r="S207">
        <f t="shared" si="49"/>
        <v>0.19714285714285648</v>
      </c>
      <c r="AH207">
        <f t="shared" si="50"/>
        <v>4.1464784596936752</v>
      </c>
      <c r="AI207">
        <f t="shared" si="51"/>
        <v>6.4354953474989038</v>
      </c>
      <c r="AJ207">
        <f t="shared" si="52"/>
        <v>29.348715178816885</v>
      </c>
      <c r="AL207">
        <f t="shared" si="53"/>
        <v>26.185062182545245</v>
      </c>
      <c r="AM207">
        <f t="shared" si="54"/>
        <v>9.599148343770544</v>
      </c>
    </row>
    <row r="208" spans="1:39" ht="16.5" x14ac:dyDescent="0.25">
      <c r="A208" s="1">
        <v>45404</v>
      </c>
      <c r="B208" s="5">
        <v>17.77</v>
      </c>
      <c r="C208" s="4">
        <v>17.64</v>
      </c>
      <c r="D208" s="4">
        <v>17.84</v>
      </c>
      <c r="E208" s="4">
        <v>17.36</v>
      </c>
      <c r="F208" s="4" t="s">
        <v>1531</v>
      </c>
      <c r="G208" s="2" t="s">
        <v>333</v>
      </c>
      <c r="I208">
        <f t="shared" si="42"/>
        <v>17.828947368421051</v>
      </c>
      <c r="J208">
        <f t="shared" si="43"/>
        <v>16.031500000000001</v>
      </c>
      <c r="L208">
        <f t="shared" si="44"/>
        <v>1</v>
      </c>
      <c r="M208">
        <f t="shared" si="45"/>
        <v>0</v>
      </c>
      <c r="O208">
        <f t="shared" si="46"/>
        <v>0.12999999999999901</v>
      </c>
      <c r="P208">
        <f t="shared" si="47"/>
        <v>0</v>
      </c>
      <c r="R208">
        <f t="shared" si="48"/>
        <v>0.36000000000000032</v>
      </c>
      <c r="S208">
        <f t="shared" si="49"/>
        <v>0.2166666666666662</v>
      </c>
      <c r="AH208">
        <f t="shared" si="50"/>
        <v>4.151495462947957</v>
      </c>
      <c r="AI208">
        <f t="shared" si="51"/>
        <v>6.3723374527620607</v>
      </c>
      <c r="AJ208">
        <f t="shared" si="52"/>
        <v>29.285557284080042</v>
      </c>
      <c r="AL208">
        <f t="shared" si="53"/>
        <v>26.131938294316967</v>
      </c>
      <c r="AM208">
        <f t="shared" si="54"/>
        <v>9.5259564425251373</v>
      </c>
    </row>
    <row r="209" spans="1:39" ht="16.5" x14ac:dyDescent="0.25">
      <c r="A209" s="1">
        <v>45401</v>
      </c>
      <c r="B209" s="5">
        <v>17.62</v>
      </c>
      <c r="C209" s="4">
        <v>17.48</v>
      </c>
      <c r="D209" s="4">
        <v>17.739999999999998</v>
      </c>
      <c r="E209" s="4">
        <v>17.23</v>
      </c>
      <c r="F209" s="4" t="s">
        <v>1629</v>
      </c>
      <c r="G209" s="2" t="s">
        <v>431</v>
      </c>
      <c r="I209">
        <f t="shared" si="42"/>
        <v>17.763157894736839</v>
      </c>
      <c r="J209">
        <f t="shared" si="43"/>
        <v>15.934749999999998</v>
      </c>
      <c r="L209">
        <f t="shared" si="44"/>
        <v>1</v>
      </c>
      <c r="M209">
        <f t="shared" si="45"/>
        <v>0</v>
      </c>
      <c r="O209">
        <f t="shared" si="46"/>
        <v>0.14000000000000057</v>
      </c>
      <c r="P209">
        <f t="shared" si="47"/>
        <v>0</v>
      </c>
      <c r="R209">
        <f t="shared" si="48"/>
        <v>0.39285714285714335</v>
      </c>
      <c r="S209">
        <f t="shared" si="49"/>
        <v>0.29999999999999971</v>
      </c>
      <c r="AH209">
        <f t="shared" si="50"/>
        <v>4.1566191158495034</v>
      </c>
      <c r="AI209">
        <f t="shared" si="51"/>
        <v>6.3065479790778483</v>
      </c>
      <c r="AJ209">
        <f t="shared" si="52"/>
        <v>29.21976781039583</v>
      </c>
      <c r="AL209">
        <f t="shared" si="53"/>
        <v>26.076396126435846</v>
      </c>
      <c r="AM209">
        <f t="shared" si="54"/>
        <v>9.4499196630378322</v>
      </c>
    </row>
    <row r="210" spans="1:39" ht="16.5" x14ac:dyDescent="0.25">
      <c r="A210" s="1">
        <v>45400</v>
      </c>
      <c r="B210" s="5">
        <v>17.84</v>
      </c>
      <c r="C210" s="4">
        <v>17.850000000000001</v>
      </c>
      <c r="D210" s="4">
        <v>17.93</v>
      </c>
      <c r="E210" s="4">
        <v>17.57</v>
      </c>
      <c r="F210" s="4" t="s">
        <v>1437</v>
      </c>
      <c r="G210" s="2" t="s">
        <v>160</v>
      </c>
      <c r="I210">
        <f t="shared" si="42"/>
        <v>17.670526315789473</v>
      </c>
      <c r="J210">
        <f t="shared" si="43"/>
        <v>15.841249999999999</v>
      </c>
      <c r="L210">
        <f t="shared" si="44"/>
        <v>0</v>
      </c>
      <c r="M210">
        <f t="shared" si="45"/>
        <v>1</v>
      </c>
      <c r="O210">
        <f t="shared" si="46"/>
        <v>0</v>
      </c>
      <c r="P210">
        <f t="shared" si="47"/>
        <v>1.0000000000001563E-2</v>
      </c>
      <c r="R210">
        <f t="shared" si="48"/>
        <v>0.4285714285714291</v>
      </c>
      <c r="S210">
        <f t="shared" si="49"/>
        <v>0.29999999999999971</v>
      </c>
      <c r="AH210">
        <f t="shared" si="50"/>
        <v>4.1618514281707695</v>
      </c>
      <c r="AI210">
        <f t="shared" si="51"/>
        <v>6.2139164001304827</v>
      </c>
      <c r="AJ210">
        <f t="shared" si="52"/>
        <v>29.127136231448464</v>
      </c>
      <c r="AL210">
        <f t="shared" si="53"/>
        <v>25.994229172131014</v>
      </c>
      <c r="AM210">
        <f t="shared" si="54"/>
        <v>9.3468234594479345</v>
      </c>
    </row>
    <row r="211" spans="1:39" ht="16.5" x14ac:dyDescent="0.25">
      <c r="A211" s="1">
        <v>45399</v>
      </c>
      <c r="B211" s="5">
        <v>17.760000000000002</v>
      </c>
      <c r="C211" s="4">
        <v>17.32</v>
      </c>
      <c r="D211" s="4">
        <v>17.8</v>
      </c>
      <c r="E211" s="4">
        <v>17.27</v>
      </c>
      <c r="F211" s="4" t="s">
        <v>1520</v>
      </c>
      <c r="G211" s="2" t="s">
        <v>1532</v>
      </c>
      <c r="I211">
        <f t="shared" si="42"/>
        <v>17.513684210526314</v>
      </c>
      <c r="J211">
        <f t="shared" si="43"/>
        <v>15.730999999999998</v>
      </c>
      <c r="L211">
        <f t="shared" si="44"/>
        <v>1</v>
      </c>
      <c r="M211">
        <f t="shared" si="45"/>
        <v>0</v>
      </c>
      <c r="O211">
        <f t="shared" si="46"/>
        <v>0.44000000000000128</v>
      </c>
      <c r="P211">
        <f t="shared" si="47"/>
        <v>0</v>
      </c>
      <c r="R211">
        <f t="shared" si="48"/>
        <v>0.38625000000000043</v>
      </c>
      <c r="S211">
        <f t="shared" si="49"/>
        <v>0.34833333333333272</v>
      </c>
      <c r="AH211">
        <f t="shared" si="50"/>
        <v>4.1672257551226561</v>
      </c>
      <c r="AI211">
        <f t="shared" si="51"/>
        <v>6.0570742948673235</v>
      </c>
      <c r="AJ211">
        <f t="shared" si="52"/>
        <v>28.970294126185305</v>
      </c>
      <c r="AL211">
        <f t="shared" si="53"/>
        <v>25.848135720771626</v>
      </c>
      <c r="AM211">
        <f t="shared" si="54"/>
        <v>9.1792327002810019</v>
      </c>
    </row>
    <row r="212" spans="1:39" ht="16.5" x14ac:dyDescent="0.25">
      <c r="A212" s="1">
        <v>45398</v>
      </c>
      <c r="B212" s="5">
        <v>17.41</v>
      </c>
      <c r="C212" s="4">
        <v>16.809999999999999</v>
      </c>
      <c r="D212" s="4">
        <v>17.45</v>
      </c>
      <c r="E212" s="4">
        <v>16.53</v>
      </c>
      <c r="F212" s="4" t="s">
        <v>947</v>
      </c>
      <c r="G212" s="2" t="s">
        <v>972</v>
      </c>
      <c r="I212">
        <f t="shared" si="42"/>
        <v>17.361578947368422</v>
      </c>
      <c r="J212">
        <f t="shared" si="43"/>
        <v>15.636999999999997</v>
      </c>
      <c r="L212">
        <f t="shared" si="44"/>
        <v>1</v>
      </c>
      <c r="M212">
        <f t="shared" si="45"/>
        <v>0</v>
      </c>
      <c r="O212">
        <f t="shared" si="46"/>
        <v>0.60000000000000142</v>
      </c>
      <c r="P212">
        <f t="shared" si="47"/>
        <v>0</v>
      </c>
      <c r="R212">
        <f t="shared" si="48"/>
        <v>0.37857142857142889</v>
      </c>
      <c r="S212">
        <f t="shared" si="49"/>
        <v>0.31857142857142812</v>
      </c>
      <c r="AH212">
        <f t="shared" si="50"/>
        <v>4.172815417538124</v>
      </c>
      <c r="AI212">
        <f t="shared" si="51"/>
        <v>5.904969031709431</v>
      </c>
      <c r="AJ212">
        <f t="shared" si="52"/>
        <v>28.818188863027412</v>
      </c>
      <c r="AL212">
        <f t="shared" si="53"/>
        <v>25.707209782444671</v>
      </c>
      <c r="AM212">
        <f t="shared" si="54"/>
        <v>9.0159481122921736</v>
      </c>
    </row>
    <row r="213" spans="1:39" ht="16.5" x14ac:dyDescent="0.25">
      <c r="A213" s="1">
        <v>45397</v>
      </c>
      <c r="B213" s="5">
        <v>17.64</v>
      </c>
      <c r="C213" s="4">
        <v>17.48</v>
      </c>
      <c r="D213" s="4">
        <v>17.7</v>
      </c>
      <c r="E213" s="4">
        <v>17.309999999999999</v>
      </c>
      <c r="F213" s="4" t="s">
        <v>997</v>
      </c>
      <c r="G213" s="2" t="s">
        <v>336</v>
      </c>
      <c r="I213">
        <f t="shared" si="42"/>
        <v>17.225789473684213</v>
      </c>
      <c r="J213">
        <f t="shared" si="43"/>
        <v>15.548999999999998</v>
      </c>
      <c r="L213">
        <f t="shared" si="44"/>
        <v>1</v>
      </c>
      <c r="M213">
        <f t="shared" si="45"/>
        <v>0</v>
      </c>
      <c r="O213">
        <f t="shared" si="46"/>
        <v>0.16000000000000014</v>
      </c>
      <c r="P213">
        <f t="shared" si="47"/>
        <v>0</v>
      </c>
      <c r="R213">
        <f t="shared" si="48"/>
        <v>0.29857142857142854</v>
      </c>
      <c r="S213">
        <f t="shared" si="49"/>
        <v>0.31857142857142812</v>
      </c>
      <c r="AH213">
        <f t="shared" si="50"/>
        <v>4.1785997180748717</v>
      </c>
      <c r="AI213">
        <f t="shared" si="51"/>
        <v>5.7691795580252219</v>
      </c>
      <c r="AJ213">
        <f t="shared" si="52"/>
        <v>28.682399389343203</v>
      </c>
      <c r="AL213">
        <f t="shared" si="53"/>
        <v>25.582988909833958</v>
      </c>
      <c r="AM213">
        <f t="shared" si="54"/>
        <v>8.8685900375344691</v>
      </c>
    </row>
    <row r="214" spans="1:39" ht="16.5" x14ac:dyDescent="0.25">
      <c r="A214" s="1">
        <v>45394</v>
      </c>
      <c r="B214" s="5">
        <v>17.62</v>
      </c>
      <c r="C214" s="4">
        <v>17.66</v>
      </c>
      <c r="D214" s="4">
        <v>18</v>
      </c>
      <c r="E214" s="4">
        <v>17.46</v>
      </c>
      <c r="F214" s="4" t="s">
        <v>1585</v>
      </c>
      <c r="G214" s="2" t="s">
        <v>455</v>
      </c>
      <c r="I214">
        <f t="shared" si="42"/>
        <v>17.056315789473686</v>
      </c>
      <c r="J214">
        <f t="shared" si="43"/>
        <v>15.454000000000002</v>
      </c>
      <c r="L214">
        <f t="shared" si="44"/>
        <v>0</v>
      </c>
      <c r="M214">
        <f t="shared" si="45"/>
        <v>1</v>
      </c>
      <c r="O214">
        <f t="shared" si="46"/>
        <v>0</v>
      </c>
      <c r="P214">
        <f t="shared" si="47"/>
        <v>3.9999999999999147E-2</v>
      </c>
      <c r="R214">
        <f t="shared" si="48"/>
        <v>0.38</v>
      </c>
      <c r="S214">
        <f t="shared" si="49"/>
        <v>0.31857142857142812</v>
      </c>
      <c r="AH214">
        <f t="shared" si="50"/>
        <v>4.1845478936862062</v>
      </c>
      <c r="AI214">
        <f t="shared" si="51"/>
        <v>5.5997058738146954</v>
      </c>
      <c r="AJ214">
        <f t="shared" si="52"/>
        <v>28.512925705132677</v>
      </c>
      <c r="AL214">
        <f t="shared" si="53"/>
        <v>25.425411576846098</v>
      </c>
      <c r="AM214">
        <f t="shared" si="54"/>
        <v>8.6872200021012738</v>
      </c>
    </row>
    <row r="215" spans="1:39" ht="16.5" x14ac:dyDescent="0.25">
      <c r="A215" s="1">
        <v>45393</v>
      </c>
      <c r="B215" s="5">
        <v>17.420000000000002</v>
      </c>
      <c r="C215" s="4">
        <v>17.75</v>
      </c>
      <c r="D215" s="4">
        <v>17.84</v>
      </c>
      <c r="E215" s="4">
        <v>17.420000000000002</v>
      </c>
      <c r="F215" s="4" t="s">
        <v>1443</v>
      </c>
      <c r="G215" s="2" t="s">
        <v>1855</v>
      </c>
      <c r="I215">
        <f t="shared" si="42"/>
        <v>16.887368421052635</v>
      </c>
      <c r="J215">
        <f t="shared" si="43"/>
        <v>15.365500000000001</v>
      </c>
      <c r="L215">
        <f t="shared" si="44"/>
        <v>0</v>
      </c>
      <c r="M215">
        <f t="shared" si="45"/>
        <v>1</v>
      </c>
      <c r="O215">
        <f t="shared" si="46"/>
        <v>0</v>
      </c>
      <c r="P215">
        <f t="shared" si="47"/>
        <v>0.32999999999999829</v>
      </c>
      <c r="R215">
        <f t="shared" si="48"/>
        <v>0.43500000000000005</v>
      </c>
      <c r="S215">
        <f t="shared" si="49"/>
        <v>0.3649999999999996</v>
      </c>
      <c r="AH215">
        <f t="shared" si="50"/>
        <v>4.1906775127675253</v>
      </c>
      <c r="AI215">
        <f t="shared" si="51"/>
        <v>5.4307585053936442</v>
      </c>
      <c r="AJ215">
        <f t="shared" si="52"/>
        <v>28.343978336711626</v>
      </c>
      <c r="AL215">
        <f t="shared" si="53"/>
        <v>25.268723446587686</v>
      </c>
      <c r="AM215">
        <f t="shared" si="54"/>
        <v>8.5060133955175843</v>
      </c>
    </row>
    <row r="216" spans="1:39" ht="16.5" x14ac:dyDescent="0.25">
      <c r="A216" s="1">
        <v>45392</v>
      </c>
      <c r="B216" s="5">
        <v>17.82</v>
      </c>
      <c r="C216" s="4">
        <v>18.239999999999998</v>
      </c>
      <c r="D216" s="4">
        <v>18.399999999999999</v>
      </c>
      <c r="E216" s="4">
        <v>17.7</v>
      </c>
      <c r="F216" s="4" t="s">
        <v>1717</v>
      </c>
      <c r="G216" s="2" t="s">
        <v>365</v>
      </c>
      <c r="I216">
        <f t="shared" si="42"/>
        <v>16.703684210526319</v>
      </c>
      <c r="J216">
        <f t="shared" si="43"/>
        <v>15.285000000000002</v>
      </c>
      <c r="L216">
        <f t="shared" si="44"/>
        <v>0</v>
      </c>
      <c r="M216">
        <f t="shared" si="45"/>
        <v>1</v>
      </c>
      <c r="O216">
        <f t="shared" si="46"/>
        <v>0</v>
      </c>
      <c r="P216">
        <f t="shared" si="47"/>
        <v>0.41999999999999815</v>
      </c>
      <c r="R216">
        <f t="shared" si="48"/>
        <v>0.39333333333333326</v>
      </c>
      <c r="S216">
        <f t="shared" si="49"/>
        <v>0.37199999999999989</v>
      </c>
      <c r="AH216">
        <f t="shared" si="50"/>
        <v>4.1969688201156634</v>
      </c>
      <c r="AI216">
        <f t="shared" si="51"/>
        <v>5.2470742948673283</v>
      </c>
      <c r="AJ216">
        <f t="shared" si="52"/>
        <v>28.16029412618531</v>
      </c>
      <c r="AL216">
        <f t="shared" si="53"/>
        <v>25.097621850757648</v>
      </c>
      <c r="AM216">
        <f t="shared" si="54"/>
        <v>8.3097465702949922</v>
      </c>
    </row>
    <row r="217" spans="1:39" ht="16.5" x14ac:dyDescent="0.25">
      <c r="A217" s="1">
        <v>45391</v>
      </c>
      <c r="B217" s="5">
        <v>17.82</v>
      </c>
      <c r="C217" s="4">
        <v>18.3</v>
      </c>
      <c r="D217" s="4">
        <v>18.5</v>
      </c>
      <c r="E217" s="4">
        <v>17.82</v>
      </c>
      <c r="F217" s="4" t="s">
        <v>1856</v>
      </c>
      <c r="G217" s="2" t="s">
        <v>260</v>
      </c>
      <c r="I217">
        <f t="shared" si="42"/>
        <v>16.512631578947371</v>
      </c>
      <c r="J217">
        <f t="shared" si="43"/>
        <v>15.202250000000003</v>
      </c>
      <c r="L217">
        <f t="shared" si="44"/>
        <v>0</v>
      </c>
      <c r="M217">
        <f t="shared" si="45"/>
        <v>1</v>
      </c>
      <c r="O217">
        <f t="shared" si="46"/>
        <v>0</v>
      </c>
      <c r="P217">
        <f t="shared" si="47"/>
        <v>0.48000000000000043</v>
      </c>
      <c r="R217">
        <f t="shared" si="48"/>
        <v>0.35899999999999982</v>
      </c>
      <c r="S217">
        <f t="shared" si="49"/>
        <v>0.36000000000000032</v>
      </c>
      <c r="AH217">
        <f t="shared" si="50"/>
        <v>4.2034111449175757</v>
      </c>
      <c r="AI217">
        <f t="shared" si="51"/>
        <v>5.0560216632883801</v>
      </c>
      <c r="AJ217">
        <f t="shared" si="52"/>
        <v>27.969241494606361</v>
      </c>
      <c r="AL217">
        <f t="shared" si="53"/>
        <v>24.919453868782522</v>
      </c>
      <c r="AM217">
        <f t="shared" si="54"/>
        <v>8.1058092891122193</v>
      </c>
    </row>
    <row r="218" spans="1:39" ht="16.5" x14ac:dyDescent="0.25">
      <c r="A218" s="1">
        <v>45390</v>
      </c>
      <c r="B218" s="5">
        <v>18.32</v>
      </c>
      <c r="C218" s="4">
        <v>17.66</v>
      </c>
      <c r="D218" s="4">
        <v>18.32</v>
      </c>
      <c r="E218" s="4">
        <v>17.64</v>
      </c>
      <c r="F218" s="4" t="s">
        <v>1200</v>
      </c>
      <c r="G218" s="2" t="s">
        <v>1857</v>
      </c>
      <c r="I218">
        <f t="shared" si="42"/>
        <v>16.324736842105267</v>
      </c>
      <c r="J218">
        <f t="shared" si="43"/>
        <v>15.099750000000004</v>
      </c>
      <c r="L218">
        <f t="shared" si="44"/>
        <v>1</v>
      </c>
      <c r="M218">
        <f t="shared" si="45"/>
        <v>0</v>
      </c>
      <c r="O218">
        <f t="shared" si="46"/>
        <v>0.66000000000000014</v>
      </c>
      <c r="P218">
        <f t="shared" si="47"/>
        <v>0</v>
      </c>
      <c r="R218">
        <f t="shared" si="48"/>
        <v>0.36545454545454525</v>
      </c>
      <c r="S218">
        <f t="shared" si="49"/>
        <v>0.32000000000000028</v>
      </c>
      <c r="AH218">
        <f t="shared" si="50"/>
        <v>4.2099841332196473</v>
      </c>
      <c r="AI218">
        <f t="shared" si="51"/>
        <v>4.8681269264462763</v>
      </c>
      <c r="AJ218">
        <f t="shared" si="52"/>
        <v>27.781346757764258</v>
      </c>
      <c r="AL218">
        <f t="shared" si="53"/>
        <v>24.744705108544562</v>
      </c>
      <c r="AM218">
        <f t="shared" si="54"/>
        <v>7.9047685756659725</v>
      </c>
    </row>
    <row r="219" spans="1:39" ht="16.5" x14ac:dyDescent="0.25">
      <c r="A219" s="1">
        <v>45387</v>
      </c>
      <c r="B219" s="5">
        <v>17.73</v>
      </c>
      <c r="C219" s="4">
        <v>17.75</v>
      </c>
      <c r="D219" s="4">
        <v>18.010000000000002</v>
      </c>
      <c r="E219" s="4">
        <v>17.55</v>
      </c>
      <c r="F219" s="4" t="s">
        <v>903</v>
      </c>
      <c r="G219" s="2" t="s">
        <v>1098</v>
      </c>
      <c r="I219">
        <f t="shared" si="42"/>
        <v>16.106315789473687</v>
      </c>
      <c r="J219">
        <f t="shared" si="43"/>
        <v>14.989500000000003</v>
      </c>
      <c r="L219">
        <f t="shared" si="44"/>
        <v>0</v>
      </c>
      <c r="M219">
        <f t="shared" si="45"/>
        <v>1</v>
      </c>
      <c r="O219">
        <f t="shared" si="46"/>
        <v>0</v>
      </c>
      <c r="P219">
        <f t="shared" si="47"/>
        <v>1.9999999999999574E-2</v>
      </c>
      <c r="R219">
        <f t="shared" si="48"/>
        <v>0.33599999999999974</v>
      </c>
      <c r="S219">
        <f t="shared" si="49"/>
        <v>0.24500000000000011</v>
      </c>
      <c r="AH219">
        <f t="shared" si="50"/>
        <v>4.2166606103252144</v>
      </c>
      <c r="AI219">
        <f t="shared" si="51"/>
        <v>4.6497058738146961</v>
      </c>
      <c r="AJ219">
        <f t="shared" si="52"/>
        <v>27.562925705132677</v>
      </c>
      <c r="AL219">
        <f t="shared" si="53"/>
        <v>24.539637010124117</v>
      </c>
      <c r="AM219">
        <f t="shared" si="54"/>
        <v>7.6729945688232579</v>
      </c>
    </row>
    <row r="220" spans="1:39" ht="16.5" x14ac:dyDescent="0.25">
      <c r="A220" s="1">
        <v>45386</v>
      </c>
      <c r="B220" s="5">
        <v>18.23</v>
      </c>
      <c r="C220" s="4">
        <v>17.77</v>
      </c>
      <c r="D220" s="4">
        <v>18.25</v>
      </c>
      <c r="E220" s="4">
        <v>17.52</v>
      </c>
      <c r="F220" s="4" t="s">
        <v>1275</v>
      </c>
      <c r="G220" s="2" t="s">
        <v>1858</v>
      </c>
      <c r="I220">
        <f t="shared" si="42"/>
        <v>15.924210526315793</v>
      </c>
      <c r="J220">
        <f t="shared" si="43"/>
        <v>14.9055</v>
      </c>
      <c r="L220">
        <f t="shared" si="44"/>
        <v>1</v>
      </c>
      <c r="M220">
        <f t="shared" si="45"/>
        <v>0</v>
      </c>
      <c r="O220">
        <f t="shared" si="46"/>
        <v>0.46000000000000085</v>
      </c>
      <c r="P220">
        <f t="shared" si="47"/>
        <v>0</v>
      </c>
      <c r="R220">
        <f t="shared" si="48"/>
        <v>0.35090909090909067</v>
      </c>
      <c r="S220">
        <f t="shared" si="49"/>
        <v>0.32000000000000028</v>
      </c>
      <c r="AH220">
        <f t="shared" si="50"/>
        <v>4.2234197767424719</v>
      </c>
      <c r="AI220">
        <f t="shared" si="51"/>
        <v>4.4676006106568025</v>
      </c>
      <c r="AJ220">
        <f t="shared" si="52"/>
        <v>27.380820441974784</v>
      </c>
      <c r="AL220">
        <f t="shared" si="53"/>
        <v>24.371050079800739</v>
      </c>
      <c r="AM220">
        <f t="shared" si="54"/>
        <v>7.4773709728308493</v>
      </c>
    </row>
    <row r="221" spans="1:39" ht="16.5" x14ac:dyDescent="0.25">
      <c r="A221" s="1">
        <v>45385</v>
      </c>
      <c r="B221" s="5">
        <v>17.55</v>
      </c>
      <c r="C221" s="4">
        <v>17.260000000000002</v>
      </c>
      <c r="D221" s="4">
        <v>17.57</v>
      </c>
      <c r="E221" s="4">
        <v>17.09</v>
      </c>
      <c r="F221" s="4" t="s">
        <v>1009</v>
      </c>
      <c r="G221" s="2" t="s">
        <v>1859</v>
      </c>
      <c r="I221">
        <f t="shared" si="42"/>
        <v>15.698421052631579</v>
      </c>
      <c r="J221">
        <f t="shared" si="43"/>
        <v>14.805749999999998</v>
      </c>
      <c r="L221">
        <f t="shared" si="44"/>
        <v>1</v>
      </c>
      <c r="M221">
        <f t="shared" si="45"/>
        <v>0</v>
      </c>
      <c r="O221">
        <f t="shared" si="46"/>
        <v>0.28999999999999915</v>
      </c>
      <c r="P221">
        <f t="shared" si="47"/>
        <v>0</v>
      </c>
      <c r="R221">
        <f t="shared" si="48"/>
        <v>0.33999999999999969</v>
      </c>
      <c r="S221">
        <f t="shared" si="49"/>
        <v>0.30500000000000016</v>
      </c>
      <c r="AH221">
        <f t="shared" si="50"/>
        <v>4.2302261846670648</v>
      </c>
      <c r="AI221">
        <f t="shared" si="51"/>
        <v>4.2418111369725882</v>
      </c>
      <c r="AJ221">
        <f t="shared" si="52"/>
        <v>27.155030968290568</v>
      </c>
      <c r="AL221">
        <f t="shared" si="53"/>
        <v>24.158873421965708</v>
      </c>
      <c r="AM221">
        <f t="shared" si="54"/>
        <v>7.2379686832974492</v>
      </c>
    </row>
    <row r="222" spans="1:39" ht="16.5" x14ac:dyDescent="0.25">
      <c r="A222" s="1">
        <v>45384</v>
      </c>
      <c r="B222" s="5">
        <v>23.81</v>
      </c>
      <c r="C222" s="4">
        <v>24.61</v>
      </c>
      <c r="D222" s="4">
        <v>26.86</v>
      </c>
      <c r="E222" s="4">
        <v>16.920000000000002</v>
      </c>
      <c r="F222" s="4" t="s">
        <v>1038</v>
      </c>
      <c r="G222" s="2" t="s">
        <v>1860</v>
      </c>
      <c r="I222">
        <f t="shared" si="42"/>
        <v>15.499999999999996</v>
      </c>
      <c r="J222">
        <f t="shared" si="43"/>
        <v>14.711749999999999</v>
      </c>
      <c r="L222">
        <f t="shared" si="44"/>
        <v>0</v>
      </c>
      <c r="M222">
        <f t="shared" si="45"/>
        <v>1</v>
      </c>
      <c r="O222">
        <f t="shared" si="46"/>
        <v>0</v>
      </c>
      <c r="P222">
        <f t="shared" si="47"/>
        <v>0.80000000000000071</v>
      </c>
      <c r="R222">
        <f t="shared" si="48"/>
        <v>0.34555555555555528</v>
      </c>
      <c r="S222">
        <f t="shared" si="49"/>
        <v>0.26600000000000035</v>
      </c>
      <c r="AH222">
        <f t="shared" si="50"/>
        <v>4.2370485009125725</v>
      </c>
      <c r="AI222">
        <f t="shared" si="51"/>
        <v>4.0433900843410058</v>
      </c>
      <c r="AJ222">
        <f t="shared" si="52"/>
        <v>26.956609915658987</v>
      </c>
      <c r="AL222">
        <f t="shared" si="53"/>
        <v>23.974097001825143</v>
      </c>
      <c r="AM222">
        <f t="shared" si="54"/>
        <v>7.0259029981748515</v>
      </c>
    </row>
    <row r="223" spans="1:39" ht="16.5" x14ac:dyDescent="0.25">
      <c r="A223" s="1">
        <v>45379</v>
      </c>
      <c r="B223" s="5">
        <v>17</v>
      </c>
      <c r="C223" s="4">
        <v>16.61</v>
      </c>
      <c r="D223" s="4">
        <v>17.02</v>
      </c>
      <c r="E223" s="4">
        <v>16.45</v>
      </c>
      <c r="F223" s="4" t="s">
        <v>1122</v>
      </c>
      <c r="G223" s="2" t="s">
        <v>810</v>
      </c>
      <c r="I223">
        <f t="shared" si="42"/>
        <v>14.986315789473684</v>
      </c>
      <c r="J223">
        <f t="shared" si="43"/>
        <v>14.4635</v>
      </c>
      <c r="L223">
        <f t="shared" si="44"/>
        <v>1</v>
      </c>
      <c r="M223">
        <f t="shared" si="45"/>
        <v>0</v>
      </c>
      <c r="O223">
        <f t="shared" si="46"/>
        <v>0.39000000000000057</v>
      </c>
      <c r="P223">
        <f t="shared" si="47"/>
        <v>0</v>
      </c>
      <c r="R223">
        <f t="shared" si="48"/>
        <v>0.33299999999999985</v>
      </c>
      <c r="S223">
        <f t="shared" si="49"/>
        <v>0.13250000000000028</v>
      </c>
      <c r="AH223">
        <f t="shared" si="50"/>
        <v>4.2438564694748049</v>
      </c>
      <c r="AI223">
        <f t="shared" si="51"/>
        <v>3.5297058738146934</v>
      </c>
      <c r="AJ223">
        <f t="shared" si="52"/>
        <v>26.442925705132673</v>
      </c>
      <c r="AL223">
        <f t="shared" si="53"/>
        <v>23.474028728423292</v>
      </c>
      <c r="AM223">
        <f t="shared" si="54"/>
        <v>6.4986028505240743</v>
      </c>
    </row>
    <row r="224" spans="1:39" ht="16.5" x14ac:dyDescent="0.25">
      <c r="A224" s="1">
        <v>45378</v>
      </c>
      <c r="B224" s="5">
        <v>16.46</v>
      </c>
      <c r="C224" s="4">
        <v>16.37</v>
      </c>
      <c r="D224" s="4">
        <v>16.55</v>
      </c>
      <c r="E224" s="4">
        <v>16.14</v>
      </c>
      <c r="F224" s="4" t="s">
        <v>1477</v>
      </c>
      <c r="G224" s="2" t="s">
        <v>207</v>
      </c>
      <c r="I224">
        <f t="shared" si="42"/>
        <v>14.846842105263159</v>
      </c>
      <c r="J224">
        <f t="shared" si="43"/>
        <v>14.385749999999998</v>
      </c>
      <c r="L224">
        <f t="shared" si="44"/>
        <v>1</v>
      </c>
      <c r="M224">
        <f t="shared" si="45"/>
        <v>0</v>
      </c>
      <c r="O224">
        <f t="shared" si="46"/>
        <v>8.9999999999999858E-2</v>
      </c>
      <c r="P224">
        <f t="shared" si="47"/>
        <v>0</v>
      </c>
      <c r="R224">
        <f t="shared" si="48"/>
        <v>0.32666666666666644</v>
      </c>
      <c r="S224">
        <f t="shared" si="49"/>
        <v>0.1120000000000001</v>
      </c>
      <c r="AH224">
        <f t="shared" si="50"/>
        <v>4.2504331351223605</v>
      </c>
      <c r="AI224">
        <f t="shared" si="51"/>
        <v>3.3902321896041681</v>
      </c>
      <c r="AJ224">
        <f t="shared" si="52"/>
        <v>26.303452020922151</v>
      </c>
      <c r="AL224">
        <f t="shared" si="53"/>
        <v>23.347708375507878</v>
      </c>
      <c r="AM224">
        <f t="shared" si="54"/>
        <v>6.3459758350184376</v>
      </c>
    </row>
    <row r="225" spans="1:39" ht="16.5" x14ac:dyDescent="0.25">
      <c r="A225" s="1">
        <v>45377</v>
      </c>
      <c r="B225" s="5">
        <v>16.37</v>
      </c>
      <c r="C225" s="4">
        <v>16.510000000000002</v>
      </c>
      <c r="D225" s="4">
        <v>16.579999999999998</v>
      </c>
      <c r="E225" s="4">
        <v>16.05</v>
      </c>
      <c r="F225" s="4" t="s">
        <v>1861</v>
      </c>
      <c r="G225" s="2" t="s">
        <v>1556</v>
      </c>
      <c r="I225">
        <f t="shared" si="42"/>
        <v>14.72842105263158</v>
      </c>
      <c r="J225">
        <f t="shared" si="43"/>
        <v>14.323249999999998</v>
      </c>
      <c r="L225">
        <f t="shared" si="44"/>
        <v>0</v>
      </c>
      <c r="M225">
        <f t="shared" si="45"/>
        <v>1</v>
      </c>
      <c r="O225">
        <f t="shared" si="46"/>
        <v>0</v>
      </c>
      <c r="P225">
        <f t="shared" si="47"/>
        <v>0.14000000000000057</v>
      </c>
      <c r="R225">
        <f t="shared" si="48"/>
        <v>0.34111111111111075</v>
      </c>
      <c r="S225">
        <f t="shared" si="49"/>
        <v>0.1120000000000001</v>
      </c>
      <c r="AH225">
        <f t="shared" si="50"/>
        <v>4.2569331038231812</v>
      </c>
      <c r="AI225">
        <f t="shared" si="51"/>
        <v>3.2718111369725893</v>
      </c>
      <c r="AJ225">
        <f t="shared" si="52"/>
        <v>26.185030968290569</v>
      </c>
      <c r="AL225">
        <f t="shared" si="53"/>
        <v>23.242287260277941</v>
      </c>
      <c r="AM225">
        <f t="shared" si="54"/>
        <v>6.2145548449852175</v>
      </c>
    </row>
    <row r="226" spans="1:39" ht="16.5" x14ac:dyDescent="0.25">
      <c r="A226" s="1">
        <v>45376</v>
      </c>
      <c r="B226" s="5">
        <v>16.559999999999999</v>
      </c>
      <c r="C226" s="4">
        <v>16.52</v>
      </c>
      <c r="D226" s="4">
        <v>16.68</v>
      </c>
      <c r="E226" s="4">
        <v>16.36</v>
      </c>
      <c r="F226" s="4" t="s">
        <v>1436</v>
      </c>
      <c r="G226" s="2" t="s">
        <v>662</v>
      </c>
      <c r="I226">
        <f t="shared" si="42"/>
        <v>14.6</v>
      </c>
      <c r="J226">
        <f t="shared" si="43"/>
        <v>14.262249999999998</v>
      </c>
      <c r="L226">
        <f t="shared" si="44"/>
        <v>1</v>
      </c>
      <c r="M226">
        <f t="shared" si="45"/>
        <v>0</v>
      </c>
      <c r="O226">
        <f t="shared" si="46"/>
        <v>3.9999999999999147E-2</v>
      </c>
      <c r="P226">
        <f t="shared" si="47"/>
        <v>0</v>
      </c>
      <c r="R226">
        <f t="shared" si="48"/>
        <v>0.32299999999999968</v>
      </c>
      <c r="S226">
        <f t="shared" si="49"/>
        <v>0.10499999999999998</v>
      </c>
      <c r="AH226">
        <f t="shared" si="50"/>
        <v>4.2633594694910038</v>
      </c>
      <c r="AI226">
        <f t="shared" si="51"/>
        <v>3.143390084341009</v>
      </c>
      <c r="AJ226">
        <f t="shared" si="52"/>
        <v>26.056609915658989</v>
      </c>
      <c r="AL226">
        <f t="shared" si="53"/>
        <v>23.126718938982009</v>
      </c>
      <c r="AM226">
        <f t="shared" si="54"/>
        <v>6.0732810610179921</v>
      </c>
    </row>
    <row r="227" spans="1:39" ht="16.5" x14ac:dyDescent="0.25">
      <c r="A227" s="1">
        <v>45373</v>
      </c>
      <c r="B227" s="5">
        <v>16.52</v>
      </c>
      <c r="C227" s="4">
        <v>15.79</v>
      </c>
      <c r="D227" s="4">
        <v>16.68</v>
      </c>
      <c r="E227" s="4">
        <v>15.74</v>
      </c>
      <c r="F227" s="4" t="s">
        <v>1150</v>
      </c>
      <c r="G227" s="2" t="s">
        <v>1862</v>
      </c>
      <c r="I227">
        <f t="shared" si="42"/>
        <v>14.467894736842105</v>
      </c>
      <c r="J227">
        <f t="shared" si="43"/>
        <v>14.192249999999998</v>
      </c>
      <c r="L227">
        <f t="shared" si="44"/>
        <v>1</v>
      </c>
      <c r="M227">
        <f t="shared" si="45"/>
        <v>0</v>
      </c>
      <c r="O227">
        <f t="shared" si="46"/>
        <v>0.73000000000000043</v>
      </c>
      <c r="P227">
        <f t="shared" si="47"/>
        <v>0</v>
      </c>
      <c r="R227">
        <f t="shared" si="48"/>
        <v>0.35444444444444417</v>
      </c>
      <c r="S227">
        <f t="shared" si="49"/>
        <v>0.1120000000000001</v>
      </c>
      <c r="AH227">
        <f t="shared" si="50"/>
        <v>4.2696898488360997</v>
      </c>
      <c r="AI227">
        <f t="shared" si="51"/>
        <v>3.0112848211831142</v>
      </c>
      <c r="AJ227">
        <f t="shared" si="52"/>
        <v>25.924504652501096</v>
      </c>
      <c r="AL227">
        <f t="shared" si="53"/>
        <v>23.007274434514304</v>
      </c>
      <c r="AM227">
        <f t="shared" si="54"/>
        <v>5.9285150391699055</v>
      </c>
    </row>
    <row r="228" spans="1:39" ht="16.5" x14ac:dyDescent="0.25">
      <c r="A228" s="1">
        <v>45372</v>
      </c>
      <c r="B228" s="5">
        <v>15.86</v>
      </c>
      <c r="C228" s="4">
        <v>15.04</v>
      </c>
      <c r="D228" s="4">
        <v>16.02</v>
      </c>
      <c r="E228" s="4">
        <v>14.97</v>
      </c>
      <c r="F228" s="4" t="s">
        <v>1863</v>
      </c>
      <c r="G228" s="2" t="s">
        <v>1864</v>
      </c>
      <c r="I228">
        <f t="shared" si="42"/>
        <v>14.329473684210527</v>
      </c>
      <c r="J228">
        <f t="shared" si="43"/>
        <v>14.122249999999999</v>
      </c>
      <c r="L228">
        <f t="shared" si="44"/>
        <v>1</v>
      </c>
      <c r="M228">
        <f t="shared" si="45"/>
        <v>0</v>
      </c>
      <c r="O228">
        <f t="shared" si="46"/>
        <v>0.82000000000000028</v>
      </c>
      <c r="P228">
        <f t="shared" si="47"/>
        <v>0</v>
      </c>
      <c r="R228">
        <f t="shared" si="48"/>
        <v>0.30749999999999966</v>
      </c>
      <c r="S228">
        <f t="shared" si="49"/>
        <v>0.14333333333333323</v>
      </c>
      <c r="AH228">
        <f t="shared" si="50"/>
        <v>4.2759055951142173</v>
      </c>
      <c r="AI228">
        <f t="shared" si="51"/>
        <v>2.8728637685515359</v>
      </c>
      <c r="AJ228">
        <f t="shared" si="52"/>
        <v>25.786083599869517</v>
      </c>
      <c r="AL228">
        <f t="shared" si="53"/>
        <v>22.881284874438961</v>
      </c>
      <c r="AM228">
        <f t="shared" si="54"/>
        <v>5.777662493982092</v>
      </c>
    </row>
    <row r="229" spans="1:39" ht="16.5" x14ac:dyDescent="0.25">
      <c r="A229" s="1">
        <v>45371</v>
      </c>
      <c r="B229" s="5">
        <v>14.86</v>
      </c>
      <c r="C229" s="4">
        <v>14.8</v>
      </c>
      <c r="D229" s="4">
        <v>14.89</v>
      </c>
      <c r="E229" s="4">
        <v>14.69</v>
      </c>
      <c r="F229" s="4" t="s">
        <v>928</v>
      </c>
      <c r="G229" s="2" t="s">
        <v>241</v>
      </c>
      <c r="I229">
        <f t="shared" si="42"/>
        <v>14.217368421052635</v>
      </c>
      <c r="J229">
        <f t="shared" si="43"/>
        <v>14.062749999999999</v>
      </c>
      <c r="L229">
        <f t="shared" si="44"/>
        <v>1</v>
      </c>
      <c r="M229">
        <f t="shared" si="45"/>
        <v>0</v>
      </c>
      <c r="O229">
        <f t="shared" si="46"/>
        <v>5.9999999999998721E-2</v>
      </c>
      <c r="P229">
        <f t="shared" si="47"/>
        <v>0</v>
      </c>
      <c r="R229">
        <f t="shared" si="48"/>
        <v>0.21124999999999949</v>
      </c>
      <c r="S229">
        <f t="shared" si="49"/>
        <v>0.14333333333333323</v>
      </c>
      <c r="AH229">
        <f t="shared" si="50"/>
        <v>4.2819833077170895</v>
      </c>
      <c r="AI229">
        <f t="shared" si="51"/>
        <v>2.7607585053936443</v>
      </c>
      <c r="AJ229">
        <f t="shared" si="52"/>
        <v>25.673978336711627</v>
      </c>
      <c r="AL229">
        <f t="shared" si="53"/>
        <v>22.781335036486816</v>
      </c>
      <c r="AM229">
        <f t="shared" si="54"/>
        <v>5.6534018056184561</v>
      </c>
    </row>
    <row r="230" spans="1:39" ht="16.5" x14ac:dyDescent="0.25">
      <c r="A230" s="1">
        <v>45370</v>
      </c>
      <c r="B230" s="5">
        <v>14.87</v>
      </c>
      <c r="C230" s="4">
        <v>14.82</v>
      </c>
      <c r="D230" s="4">
        <v>14.89</v>
      </c>
      <c r="E230" s="4">
        <v>14.62</v>
      </c>
      <c r="F230" s="4" t="s">
        <v>1408</v>
      </c>
      <c r="G230" s="2" t="s">
        <v>459</v>
      </c>
      <c r="I230">
        <f t="shared" si="42"/>
        <v>14.166842105263159</v>
      </c>
      <c r="J230">
        <f t="shared" si="43"/>
        <v>14.030250000000001</v>
      </c>
      <c r="L230">
        <f t="shared" si="44"/>
        <v>1</v>
      </c>
      <c r="M230">
        <f t="shared" si="45"/>
        <v>0</v>
      </c>
      <c r="O230">
        <f t="shared" si="46"/>
        <v>4.9999999999998934E-2</v>
      </c>
      <c r="P230">
        <f t="shared" si="47"/>
        <v>0</v>
      </c>
      <c r="R230">
        <f t="shared" si="48"/>
        <v>0.23624999999999985</v>
      </c>
      <c r="S230">
        <f t="shared" si="49"/>
        <v>0.14333333333333323</v>
      </c>
      <c r="AH230">
        <f t="shared" si="50"/>
        <v>4.2879411248223223</v>
      </c>
      <c r="AI230">
        <f t="shared" si="51"/>
        <v>2.7102321896041683</v>
      </c>
      <c r="AJ230">
        <f t="shared" si="52"/>
        <v>25.623452020922151</v>
      </c>
      <c r="AL230">
        <f t="shared" si="53"/>
        <v>22.742724354907804</v>
      </c>
      <c r="AM230">
        <f t="shared" si="54"/>
        <v>5.5909598556185145</v>
      </c>
    </row>
    <row r="231" spans="1:39" ht="16.5" x14ac:dyDescent="0.25">
      <c r="A231" s="1">
        <v>45369</v>
      </c>
      <c r="B231" s="5">
        <v>14.83</v>
      </c>
      <c r="C231" s="4">
        <v>14.4</v>
      </c>
      <c r="D231" s="4">
        <v>15.02</v>
      </c>
      <c r="E231" s="4">
        <v>14.4</v>
      </c>
      <c r="F231" s="4" t="s">
        <v>1117</v>
      </c>
      <c r="G231" s="2" t="s">
        <v>441</v>
      </c>
      <c r="I231">
        <f t="shared" si="42"/>
        <v>14.114736842105264</v>
      </c>
      <c r="J231">
        <f t="shared" si="43"/>
        <v>13.968749999999996</v>
      </c>
      <c r="L231">
        <f t="shared" si="44"/>
        <v>1</v>
      </c>
      <c r="M231">
        <f t="shared" si="45"/>
        <v>0</v>
      </c>
      <c r="O231">
        <f t="shared" si="46"/>
        <v>0.42999999999999972</v>
      </c>
      <c r="P231">
        <f t="shared" si="47"/>
        <v>0</v>
      </c>
      <c r="R231">
        <f t="shared" si="48"/>
        <v>0.26285714285714284</v>
      </c>
      <c r="S231">
        <f t="shared" si="49"/>
        <v>0.13714285714285701</v>
      </c>
      <c r="AH231">
        <f t="shared" si="50"/>
        <v>4.2938537675712558</v>
      </c>
      <c r="AI231">
        <f t="shared" si="51"/>
        <v>2.6581269264462737</v>
      </c>
      <c r="AJ231">
        <f t="shared" si="52"/>
        <v>25.571346757764253</v>
      </c>
      <c r="AL231">
        <f t="shared" si="53"/>
        <v>22.702444377247776</v>
      </c>
      <c r="AM231">
        <f t="shared" si="54"/>
        <v>5.5270293069627527</v>
      </c>
    </row>
    <row r="232" spans="1:39" ht="16.5" x14ac:dyDescent="0.25">
      <c r="A232" s="1">
        <v>45366</v>
      </c>
      <c r="B232" s="5">
        <v>14.42</v>
      </c>
      <c r="C232" s="4">
        <v>14.44</v>
      </c>
      <c r="D232" s="4">
        <v>14.53</v>
      </c>
      <c r="E232" s="4">
        <v>14.27</v>
      </c>
      <c r="F232" s="4" t="s">
        <v>1865</v>
      </c>
      <c r="G232" s="2" t="s">
        <v>1508</v>
      </c>
      <c r="I232">
        <f t="shared" si="42"/>
        <v>14.04105263157895</v>
      </c>
      <c r="J232">
        <f t="shared" si="43"/>
        <v>13.897</v>
      </c>
      <c r="L232">
        <f t="shared" si="44"/>
        <v>0</v>
      </c>
      <c r="M232">
        <f t="shared" si="45"/>
        <v>1</v>
      </c>
      <c r="O232">
        <f t="shared" si="46"/>
        <v>0</v>
      </c>
      <c r="P232">
        <f t="shared" si="47"/>
        <v>1.9999999999999574E-2</v>
      </c>
      <c r="R232">
        <f t="shared" si="48"/>
        <v>0.22857142857142879</v>
      </c>
      <c r="S232">
        <f t="shared" si="49"/>
        <v>0.13714285714285701</v>
      </c>
      <c r="AH232">
        <f t="shared" si="50"/>
        <v>4.2997160310743467</v>
      </c>
      <c r="AI232">
        <f t="shared" si="51"/>
        <v>2.584442715919959</v>
      </c>
      <c r="AJ232">
        <f t="shared" si="52"/>
        <v>25.49766254723794</v>
      </c>
      <c r="AL232">
        <f t="shared" si="53"/>
        <v>22.640484693727643</v>
      </c>
      <c r="AM232">
        <f t="shared" si="54"/>
        <v>5.4416205694302562</v>
      </c>
    </row>
    <row r="233" spans="1:39" ht="16.5" x14ac:dyDescent="0.25">
      <c r="A233" s="1">
        <v>45365</v>
      </c>
      <c r="B233" s="5">
        <v>14.41</v>
      </c>
      <c r="C233" s="4">
        <v>13.91</v>
      </c>
      <c r="D233" s="4">
        <v>14.52</v>
      </c>
      <c r="E233" s="4">
        <v>13.91</v>
      </c>
      <c r="F233" s="4" t="s">
        <v>852</v>
      </c>
      <c r="G233" s="2" t="s">
        <v>1837</v>
      </c>
      <c r="I233">
        <f t="shared" si="42"/>
        <v>14.018947368421053</v>
      </c>
      <c r="J233">
        <f t="shared" si="43"/>
        <v>13.832250000000002</v>
      </c>
      <c r="L233">
        <f t="shared" si="44"/>
        <v>1</v>
      </c>
      <c r="M233">
        <f t="shared" si="45"/>
        <v>0</v>
      </c>
      <c r="O233">
        <f t="shared" si="46"/>
        <v>0.5</v>
      </c>
      <c r="P233">
        <f t="shared" si="47"/>
        <v>0</v>
      </c>
      <c r="R233">
        <f t="shared" si="48"/>
        <v>0.22750000000000026</v>
      </c>
      <c r="S233">
        <f t="shared" si="49"/>
        <v>0.15666666666666659</v>
      </c>
      <c r="AH233">
        <f t="shared" si="50"/>
        <v>4.3054926377166103</v>
      </c>
      <c r="AI233">
        <f t="shared" si="51"/>
        <v>2.5623374527620619</v>
      </c>
      <c r="AJ233">
        <f t="shared" si="52"/>
        <v>25.475557284080043</v>
      </c>
      <c r="AL233">
        <f t="shared" si="53"/>
        <v>22.629932643854275</v>
      </c>
      <c r="AM233">
        <f t="shared" si="54"/>
        <v>5.407962092987832</v>
      </c>
    </row>
    <row r="234" spans="1:39" ht="16.5" x14ac:dyDescent="0.25">
      <c r="A234" s="1">
        <v>45364</v>
      </c>
      <c r="B234" s="5">
        <v>13.93</v>
      </c>
      <c r="C234" s="4">
        <v>14.19</v>
      </c>
      <c r="D234" s="4">
        <v>14.26</v>
      </c>
      <c r="E234" s="4">
        <v>13.86</v>
      </c>
      <c r="F234" s="4" t="s">
        <v>1515</v>
      </c>
      <c r="G234" s="2" t="s">
        <v>1178</v>
      </c>
      <c r="I234">
        <f t="shared" si="42"/>
        <v>13.991578947368419</v>
      </c>
      <c r="J234">
        <f t="shared" si="43"/>
        <v>13.765000000000004</v>
      </c>
      <c r="L234">
        <f t="shared" si="44"/>
        <v>0</v>
      </c>
      <c r="M234">
        <f t="shared" si="45"/>
        <v>1</v>
      </c>
      <c r="O234">
        <f t="shared" si="46"/>
        <v>0</v>
      </c>
      <c r="P234">
        <f t="shared" si="47"/>
        <v>0.25999999999999979</v>
      </c>
      <c r="R234">
        <f t="shared" si="48"/>
        <v>0.18857142857142886</v>
      </c>
      <c r="S234">
        <f t="shared" si="49"/>
        <v>0.15142857142857125</v>
      </c>
      <c r="AH234">
        <f t="shared" si="50"/>
        <v>4.3112572466531462</v>
      </c>
      <c r="AI234">
        <f t="shared" si="51"/>
        <v>2.5349690317094282</v>
      </c>
      <c r="AJ234">
        <f t="shared" si="52"/>
        <v>25.448188863027411</v>
      </c>
      <c r="AL234">
        <f t="shared" si="53"/>
        <v>22.614093440674711</v>
      </c>
      <c r="AM234">
        <f t="shared" si="54"/>
        <v>5.3690644540621264</v>
      </c>
    </row>
    <row r="235" spans="1:39" ht="16.5" x14ac:dyDescent="0.25">
      <c r="A235" s="1">
        <v>45363</v>
      </c>
      <c r="B235" s="5">
        <v>14.19</v>
      </c>
      <c r="C235" s="4">
        <v>14.3</v>
      </c>
      <c r="D235" s="4">
        <v>14.37</v>
      </c>
      <c r="E235" s="4">
        <v>14.02</v>
      </c>
      <c r="F235" s="4" t="s">
        <v>941</v>
      </c>
      <c r="G235" s="2" t="s">
        <v>736</v>
      </c>
      <c r="I235">
        <f t="shared" si="42"/>
        <v>13.986842105263156</v>
      </c>
      <c r="J235">
        <f t="shared" si="43"/>
        <v>13.700000000000003</v>
      </c>
      <c r="L235">
        <f t="shared" si="44"/>
        <v>0</v>
      </c>
      <c r="M235">
        <f t="shared" si="45"/>
        <v>1</v>
      </c>
      <c r="O235">
        <f t="shared" si="46"/>
        <v>0</v>
      </c>
      <c r="P235">
        <f t="shared" si="47"/>
        <v>0.11000000000000121</v>
      </c>
      <c r="R235">
        <f t="shared" si="48"/>
        <v>0.18857142857142886</v>
      </c>
      <c r="S235">
        <f t="shared" si="49"/>
        <v>0.13714285714285701</v>
      </c>
      <c r="AH235">
        <f t="shared" si="50"/>
        <v>4.3170008870143315</v>
      </c>
      <c r="AI235">
        <f t="shared" si="51"/>
        <v>2.5302321896041651</v>
      </c>
      <c r="AJ235">
        <f t="shared" si="52"/>
        <v>25.443452020922145</v>
      </c>
      <c r="AL235">
        <f t="shared" si="53"/>
        <v>22.620843879291819</v>
      </c>
      <c r="AM235">
        <f t="shared" si="54"/>
        <v>5.3528403312344928</v>
      </c>
    </row>
    <row r="236" spans="1:39" ht="16.5" x14ac:dyDescent="0.25">
      <c r="A236" s="1">
        <v>45362</v>
      </c>
      <c r="B236" s="5">
        <v>14.25</v>
      </c>
      <c r="C236" s="4">
        <v>14.03</v>
      </c>
      <c r="D236" s="4">
        <v>14.26</v>
      </c>
      <c r="E236" s="4">
        <v>13.9</v>
      </c>
      <c r="F236" s="4" t="s">
        <v>683</v>
      </c>
      <c r="G236" s="2" t="s">
        <v>696</v>
      </c>
      <c r="I236">
        <f t="shared" si="42"/>
        <v>13.981052631578947</v>
      </c>
      <c r="J236">
        <f t="shared" si="43"/>
        <v>13.638500000000002</v>
      </c>
      <c r="L236">
        <f t="shared" si="44"/>
        <v>1</v>
      </c>
      <c r="M236">
        <f t="shared" si="45"/>
        <v>0</v>
      </c>
      <c r="O236">
        <f t="shared" si="46"/>
        <v>0.22000000000000064</v>
      </c>
      <c r="P236">
        <f t="shared" si="47"/>
        <v>0</v>
      </c>
      <c r="R236">
        <f t="shared" si="48"/>
        <v>0.23000000000000043</v>
      </c>
      <c r="S236">
        <f t="shared" si="49"/>
        <v>0.1416666666666663</v>
      </c>
      <c r="AH236">
        <f t="shared" si="50"/>
        <v>4.3227579799973235</v>
      </c>
      <c r="AI236">
        <f t="shared" si="51"/>
        <v>2.5244427159199567</v>
      </c>
      <c r="AJ236">
        <f t="shared" si="52"/>
        <v>25.437662547237938</v>
      </c>
      <c r="AL236">
        <f t="shared" si="53"/>
        <v>22.626568591573594</v>
      </c>
      <c r="AM236">
        <f t="shared" si="54"/>
        <v>5.3355366715843004</v>
      </c>
    </row>
    <row r="237" spans="1:39" ht="16.5" x14ac:dyDescent="0.25">
      <c r="A237" s="1">
        <v>45359</v>
      </c>
      <c r="B237" s="5">
        <v>14.17</v>
      </c>
      <c r="C237" s="4">
        <v>14.2</v>
      </c>
      <c r="D237" s="4">
        <v>14.28</v>
      </c>
      <c r="E237" s="4">
        <v>14.04</v>
      </c>
      <c r="F237" s="4" t="s">
        <v>1555</v>
      </c>
      <c r="G237" s="2" t="s">
        <v>1729</v>
      </c>
      <c r="I237">
        <f t="shared" si="42"/>
        <v>13.978421052631578</v>
      </c>
      <c r="J237">
        <f t="shared" si="43"/>
        <v>13.585250000000002</v>
      </c>
      <c r="L237">
        <f t="shared" si="44"/>
        <v>0</v>
      </c>
      <c r="M237">
        <f t="shared" si="45"/>
        <v>1</v>
      </c>
      <c r="O237">
        <f t="shared" si="46"/>
        <v>0</v>
      </c>
      <c r="P237">
        <f t="shared" si="47"/>
        <v>2.9999999999999361E-2</v>
      </c>
      <c r="R237">
        <f t="shared" si="48"/>
        <v>0.23142857142857182</v>
      </c>
      <c r="S237">
        <f t="shared" si="49"/>
        <v>0.18571428571428555</v>
      </c>
      <c r="AH237">
        <f t="shared" si="50"/>
        <v>4.3285268284599043</v>
      </c>
      <c r="AI237">
        <f t="shared" si="51"/>
        <v>2.5218111369725875</v>
      </c>
      <c r="AJ237">
        <f t="shared" si="52"/>
        <v>25.435030968290569</v>
      </c>
      <c r="AL237">
        <f t="shared" si="53"/>
        <v>22.635474709551389</v>
      </c>
      <c r="AM237">
        <f t="shared" si="54"/>
        <v>5.3213673957117695</v>
      </c>
    </row>
    <row r="238" spans="1:39" ht="16.5" x14ac:dyDescent="0.25">
      <c r="A238" s="1">
        <v>45358</v>
      </c>
      <c r="B238" s="5">
        <v>14.27</v>
      </c>
      <c r="C238" s="4">
        <v>14.05</v>
      </c>
      <c r="D238" s="4">
        <v>14.29</v>
      </c>
      <c r="E238" s="4">
        <v>13.83</v>
      </c>
      <c r="F238" s="4" t="s">
        <v>1501</v>
      </c>
      <c r="G238" s="2" t="s">
        <v>1866</v>
      </c>
      <c r="I238">
        <f t="shared" si="42"/>
        <v>13.996315789473684</v>
      </c>
      <c r="J238">
        <f t="shared" si="43"/>
        <v>13.542250000000005</v>
      </c>
      <c r="L238">
        <f t="shared" si="44"/>
        <v>1</v>
      </c>
      <c r="M238">
        <f t="shared" si="45"/>
        <v>0</v>
      </c>
      <c r="O238">
        <f t="shared" si="46"/>
        <v>0.21999999999999886</v>
      </c>
      <c r="P238">
        <f t="shared" si="47"/>
        <v>0</v>
      </c>
      <c r="R238">
        <f t="shared" si="48"/>
        <v>0.22875000000000045</v>
      </c>
      <c r="S238">
        <f t="shared" si="49"/>
        <v>0.21166666666666659</v>
      </c>
      <c r="AH238">
        <f t="shared" si="50"/>
        <v>4.3343123736945319</v>
      </c>
      <c r="AI238">
        <f t="shared" si="51"/>
        <v>2.5397058738146931</v>
      </c>
      <c r="AJ238">
        <f t="shared" si="52"/>
        <v>25.452925705132674</v>
      </c>
      <c r="AL238">
        <f t="shared" si="53"/>
        <v>22.664940536862748</v>
      </c>
      <c r="AM238">
        <f t="shared" si="54"/>
        <v>5.32769104208462</v>
      </c>
    </row>
    <row r="239" spans="1:39" ht="16.5" x14ac:dyDescent="0.25">
      <c r="A239" s="1">
        <v>45357</v>
      </c>
      <c r="B239" s="5">
        <v>13.94</v>
      </c>
      <c r="C239" s="4">
        <v>13.78</v>
      </c>
      <c r="D239" s="4">
        <v>14.21</v>
      </c>
      <c r="E239" s="4">
        <v>13.7</v>
      </c>
      <c r="F239" s="4" t="s">
        <v>1481</v>
      </c>
      <c r="G239" s="2" t="s">
        <v>149</v>
      </c>
      <c r="I239">
        <f t="shared" si="42"/>
        <v>13.967368421052631</v>
      </c>
      <c r="J239">
        <f t="shared" si="43"/>
        <v>13.485750000000001</v>
      </c>
      <c r="L239">
        <f t="shared" si="44"/>
        <v>1</v>
      </c>
      <c r="M239">
        <f t="shared" si="45"/>
        <v>0</v>
      </c>
      <c r="O239">
        <f t="shared" si="46"/>
        <v>0.16000000000000014</v>
      </c>
      <c r="P239">
        <f t="shared" si="47"/>
        <v>0</v>
      </c>
      <c r="R239">
        <f t="shared" si="48"/>
        <v>0.23000000000000068</v>
      </c>
      <c r="S239">
        <f t="shared" si="49"/>
        <v>0.1942857142857142</v>
      </c>
      <c r="AH239">
        <f t="shared" si="50"/>
        <v>4.3401472832093377</v>
      </c>
      <c r="AI239">
        <f t="shared" si="51"/>
        <v>2.5107585053936408</v>
      </c>
      <c r="AJ239">
        <f t="shared" si="52"/>
        <v>25.42397833671162</v>
      </c>
      <c r="AL239">
        <f t="shared" si="53"/>
        <v>22.647662987471307</v>
      </c>
      <c r="AM239">
        <f t="shared" si="54"/>
        <v>5.287073854633956</v>
      </c>
    </row>
    <row r="240" spans="1:39" ht="16.5" x14ac:dyDescent="0.25">
      <c r="A240" s="1">
        <v>45356</v>
      </c>
      <c r="B240" s="5">
        <v>13.78</v>
      </c>
      <c r="C240" s="4">
        <v>13.92</v>
      </c>
      <c r="D240" s="4">
        <v>13.98</v>
      </c>
      <c r="E240" s="4">
        <v>13.72</v>
      </c>
      <c r="F240" s="4" t="s">
        <v>39</v>
      </c>
      <c r="G240" s="2" t="s">
        <v>382</v>
      </c>
      <c r="I240">
        <f t="shared" si="42"/>
        <v>13.965789473684211</v>
      </c>
      <c r="J240">
        <f t="shared" si="43"/>
        <v>13.443750000000003</v>
      </c>
      <c r="L240">
        <f t="shared" si="44"/>
        <v>0</v>
      </c>
      <c r="M240">
        <f t="shared" si="45"/>
        <v>1</v>
      </c>
      <c r="O240">
        <f t="shared" si="46"/>
        <v>0</v>
      </c>
      <c r="P240">
        <f t="shared" si="47"/>
        <v>0.14000000000000057</v>
      </c>
      <c r="R240">
        <f t="shared" si="48"/>
        <v>0.24166666666666745</v>
      </c>
      <c r="S240">
        <f t="shared" si="49"/>
        <v>0.21625000000000005</v>
      </c>
      <c r="AH240">
        <f t="shared" si="50"/>
        <v>4.345957145772088</v>
      </c>
      <c r="AI240">
        <f t="shared" si="51"/>
        <v>2.5091795580252203</v>
      </c>
      <c r="AJ240">
        <f t="shared" si="52"/>
        <v>25.422399389343202</v>
      </c>
      <c r="AL240">
        <f t="shared" si="53"/>
        <v>22.657703765228387</v>
      </c>
      <c r="AM240">
        <f t="shared" si="54"/>
        <v>5.2738751821400349</v>
      </c>
    </row>
    <row r="241" spans="1:39" ht="16.5" x14ac:dyDescent="0.25">
      <c r="A241" s="1">
        <v>45355</v>
      </c>
      <c r="B241" s="5">
        <v>14.05</v>
      </c>
      <c r="C241" s="4">
        <v>14.35</v>
      </c>
      <c r="D241" s="4">
        <v>14.37</v>
      </c>
      <c r="E241" s="4">
        <v>13.84</v>
      </c>
      <c r="F241" s="4" t="s">
        <v>668</v>
      </c>
      <c r="G241" s="2" t="s">
        <v>832</v>
      </c>
      <c r="I241">
        <f t="shared" si="42"/>
        <v>13.996842105263157</v>
      </c>
      <c r="J241">
        <f t="shared" si="43"/>
        <v>13.399750000000001</v>
      </c>
      <c r="L241">
        <f t="shared" si="44"/>
        <v>0</v>
      </c>
      <c r="M241">
        <f t="shared" si="45"/>
        <v>1</v>
      </c>
      <c r="O241">
        <f t="shared" si="46"/>
        <v>0</v>
      </c>
      <c r="P241">
        <f t="shared" si="47"/>
        <v>0.29999999999999893</v>
      </c>
      <c r="R241">
        <f t="shared" si="48"/>
        <v>0.24166666666666745</v>
      </c>
      <c r="S241">
        <f t="shared" si="49"/>
        <v>0.20750000000000002</v>
      </c>
      <c r="AH241">
        <f t="shared" si="50"/>
        <v>4.351785371674354</v>
      </c>
      <c r="AI241">
        <f t="shared" si="51"/>
        <v>2.5402321896041666</v>
      </c>
      <c r="AJ241">
        <f t="shared" si="52"/>
        <v>25.45345202092215</v>
      </c>
      <c r="AL241">
        <f t="shared" si="53"/>
        <v>22.700412848611865</v>
      </c>
      <c r="AM241">
        <f t="shared" si="54"/>
        <v>5.2932713619144494</v>
      </c>
    </row>
    <row r="242" spans="1:39" ht="16.5" x14ac:dyDescent="0.25">
      <c r="A242" s="1">
        <v>45352</v>
      </c>
      <c r="B242" s="5">
        <v>14.35</v>
      </c>
      <c r="C242" s="4">
        <v>14.3</v>
      </c>
      <c r="D242" s="4">
        <v>14.46</v>
      </c>
      <c r="E242" s="4">
        <v>13.93</v>
      </c>
      <c r="F242" s="4" t="s">
        <v>1535</v>
      </c>
      <c r="G242" s="2" t="s">
        <v>477</v>
      </c>
      <c r="I242">
        <f t="shared" si="42"/>
        <v>14.006842105263157</v>
      </c>
      <c r="J242">
        <f t="shared" si="43"/>
        <v>13.351750000000001</v>
      </c>
      <c r="L242">
        <f t="shared" si="44"/>
        <v>1</v>
      </c>
      <c r="M242">
        <f t="shared" si="45"/>
        <v>0</v>
      </c>
      <c r="O242">
        <f t="shared" si="46"/>
        <v>4.9999999999998934E-2</v>
      </c>
      <c r="P242">
        <f t="shared" si="47"/>
        <v>0</v>
      </c>
      <c r="R242">
        <f t="shared" si="48"/>
        <v>0.24166666666666745</v>
      </c>
      <c r="S242">
        <f t="shared" si="49"/>
        <v>0.19500000000000028</v>
      </c>
      <c r="AH242">
        <f t="shared" si="50"/>
        <v>4.3576849202136012</v>
      </c>
      <c r="AI242">
        <f t="shared" si="51"/>
        <v>2.5502321896041664</v>
      </c>
      <c r="AJ242">
        <f t="shared" si="52"/>
        <v>25.463452020922148</v>
      </c>
      <c r="AL242">
        <f t="shared" si="53"/>
        <v>22.722211945690361</v>
      </c>
      <c r="AM242">
        <f t="shared" si="54"/>
        <v>5.2914722648359547</v>
      </c>
    </row>
    <row r="243" spans="1:39" ht="16.5" x14ac:dyDescent="0.25">
      <c r="A243" s="1">
        <v>45351</v>
      </c>
      <c r="B243" s="5">
        <v>14.21</v>
      </c>
      <c r="C243" s="4">
        <v>13.95</v>
      </c>
      <c r="D243" s="4">
        <v>14.43</v>
      </c>
      <c r="E243" s="4">
        <v>13.88</v>
      </c>
      <c r="F243" s="4" t="s">
        <v>938</v>
      </c>
      <c r="G243" s="2" t="s">
        <v>1532</v>
      </c>
      <c r="I243">
        <f t="shared" si="42"/>
        <v>13.977368421052635</v>
      </c>
      <c r="J243">
        <f t="shared" si="43"/>
        <v>13.28125</v>
      </c>
      <c r="L243">
        <f t="shared" si="44"/>
        <v>1</v>
      </c>
      <c r="M243">
        <f t="shared" si="45"/>
        <v>0</v>
      </c>
      <c r="O243">
        <f t="shared" si="46"/>
        <v>0.26000000000000156</v>
      </c>
      <c r="P243">
        <f t="shared" si="47"/>
        <v>0</v>
      </c>
      <c r="R243">
        <f t="shared" si="48"/>
        <v>0.30666666666666753</v>
      </c>
      <c r="S243">
        <f t="shared" si="49"/>
        <v>0.19500000000000028</v>
      </c>
      <c r="AH243">
        <f t="shared" si="50"/>
        <v>4.3636222543030367</v>
      </c>
      <c r="AI243">
        <f t="shared" si="51"/>
        <v>2.5207585053936441</v>
      </c>
      <c r="AJ243">
        <f t="shared" si="52"/>
        <v>25.433978336711625</v>
      </c>
      <c r="AL243">
        <f t="shared" si="53"/>
        <v>22.704612929658708</v>
      </c>
      <c r="AM243">
        <f t="shared" si="54"/>
        <v>5.2501239124465613</v>
      </c>
    </row>
    <row r="244" spans="1:39" ht="16.5" x14ac:dyDescent="0.25">
      <c r="A244" s="1">
        <v>45350</v>
      </c>
      <c r="B244" s="5">
        <v>13.93</v>
      </c>
      <c r="C244" s="4">
        <v>14.03</v>
      </c>
      <c r="D244" s="4">
        <v>14.4</v>
      </c>
      <c r="E244" s="4">
        <v>13.93</v>
      </c>
      <c r="F244" s="4" t="s">
        <v>668</v>
      </c>
      <c r="G244" s="2" t="s">
        <v>689</v>
      </c>
      <c r="I244">
        <f t="shared" si="42"/>
        <v>13.96</v>
      </c>
      <c r="J244">
        <f t="shared" si="43"/>
        <v>13.210999999999999</v>
      </c>
      <c r="L244">
        <f t="shared" si="44"/>
        <v>0</v>
      </c>
      <c r="M244">
        <f t="shared" si="45"/>
        <v>1</v>
      </c>
      <c r="O244">
        <f t="shared" si="46"/>
        <v>0</v>
      </c>
      <c r="P244">
        <f t="shared" si="47"/>
        <v>9.9999999999999645E-2</v>
      </c>
      <c r="R244">
        <f t="shared" si="48"/>
        <v>0.31600000000000072</v>
      </c>
      <c r="S244">
        <f t="shared" si="49"/>
        <v>0.19444444444444464</v>
      </c>
      <c r="AH244">
        <f t="shared" si="50"/>
        <v>4.3695334783888686</v>
      </c>
      <c r="AI244">
        <f t="shared" si="51"/>
        <v>2.5033900843410102</v>
      </c>
      <c r="AJ244">
        <f t="shared" si="52"/>
        <v>25.416609915658992</v>
      </c>
      <c r="AL244">
        <f t="shared" si="53"/>
        <v>22.699066956777738</v>
      </c>
      <c r="AM244">
        <f t="shared" si="54"/>
        <v>5.2209330432222636</v>
      </c>
    </row>
    <row r="245" spans="1:39" ht="16.5" x14ac:dyDescent="0.25">
      <c r="A245" s="1">
        <v>45349</v>
      </c>
      <c r="B245" s="5">
        <v>14.05</v>
      </c>
      <c r="C245" s="4">
        <v>13.86</v>
      </c>
      <c r="D245" s="4">
        <v>14.05</v>
      </c>
      <c r="E245" s="4">
        <v>13.62</v>
      </c>
      <c r="F245" s="4" t="s">
        <v>1740</v>
      </c>
      <c r="G245" s="2" t="s">
        <v>455</v>
      </c>
      <c r="I245">
        <f t="shared" si="42"/>
        <v>13.957894736842105</v>
      </c>
      <c r="J245">
        <f t="shared" si="43"/>
        <v>13.140750000000001</v>
      </c>
      <c r="L245">
        <f t="shared" si="44"/>
        <v>1</v>
      </c>
      <c r="M245">
        <f t="shared" si="45"/>
        <v>0</v>
      </c>
      <c r="O245">
        <f t="shared" si="46"/>
        <v>0.19000000000000128</v>
      </c>
      <c r="P245">
        <f t="shared" si="47"/>
        <v>0</v>
      </c>
      <c r="R245">
        <f t="shared" si="48"/>
        <v>0.31600000000000072</v>
      </c>
      <c r="S245">
        <f t="shared" si="49"/>
        <v>0.2488888888888891</v>
      </c>
      <c r="AH245">
        <f t="shared" si="50"/>
        <v>4.3754374055584355</v>
      </c>
      <c r="AI245">
        <f t="shared" si="51"/>
        <v>2.5012848211831145</v>
      </c>
      <c r="AJ245">
        <f t="shared" si="52"/>
        <v>25.414504652501094</v>
      </c>
      <c r="AL245">
        <f t="shared" si="53"/>
        <v>22.708769547958976</v>
      </c>
      <c r="AM245">
        <f t="shared" si="54"/>
        <v>5.2070199257252341</v>
      </c>
    </row>
    <row r="246" spans="1:39" ht="16.5" x14ac:dyDescent="0.25">
      <c r="A246" s="1">
        <v>45348</v>
      </c>
      <c r="B246" s="5">
        <v>13.89</v>
      </c>
      <c r="C246" s="4">
        <v>13.67</v>
      </c>
      <c r="D246" s="4">
        <v>13.96</v>
      </c>
      <c r="E246" s="4">
        <v>13.66</v>
      </c>
      <c r="F246" s="4" t="s">
        <v>193</v>
      </c>
      <c r="G246" s="2" t="s">
        <v>1296</v>
      </c>
      <c r="I246">
        <f t="shared" si="42"/>
        <v>13.95315789473684</v>
      </c>
      <c r="J246">
        <f t="shared" si="43"/>
        <v>13.086499999999997</v>
      </c>
      <c r="L246">
        <f t="shared" si="44"/>
        <v>1</v>
      </c>
      <c r="M246">
        <f t="shared" si="45"/>
        <v>0</v>
      </c>
      <c r="O246">
        <f t="shared" si="46"/>
        <v>0.22000000000000064</v>
      </c>
      <c r="P246">
        <f t="shared" si="47"/>
        <v>0</v>
      </c>
      <c r="R246">
        <f t="shared" si="48"/>
        <v>0.34750000000000059</v>
      </c>
      <c r="S246">
        <f t="shared" si="49"/>
        <v>0.23200000000000021</v>
      </c>
      <c r="AH246">
        <f t="shared" si="50"/>
        <v>4.3813590816880614</v>
      </c>
      <c r="AI246">
        <f t="shared" si="51"/>
        <v>2.4965479790778495</v>
      </c>
      <c r="AJ246">
        <f t="shared" si="52"/>
        <v>25.409767810395831</v>
      </c>
      <c r="AL246">
        <f t="shared" si="53"/>
        <v>22.715876058112961</v>
      </c>
      <c r="AM246">
        <f t="shared" si="54"/>
        <v>5.1904397313607173</v>
      </c>
    </row>
    <row r="247" spans="1:39" ht="16.5" x14ac:dyDescent="0.25">
      <c r="A247" s="1">
        <v>45345</v>
      </c>
      <c r="B247" s="5">
        <v>13.73</v>
      </c>
      <c r="C247" s="4">
        <v>13.85</v>
      </c>
      <c r="D247" s="4">
        <v>13.96</v>
      </c>
      <c r="E247" s="4">
        <v>13.61</v>
      </c>
      <c r="F247" s="4" t="s">
        <v>139</v>
      </c>
      <c r="G247" s="2" t="s">
        <v>540</v>
      </c>
      <c r="I247">
        <f t="shared" si="42"/>
        <v>13.955263157894736</v>
      </c>
      <c r="J247">
        <f t="shared" si="43"/>
        <v>13.039249999999999</v>
      </c>
      <c r="L247">
        <f t="shared" si="44"/>
        <v>0</v>
      </c>
      <c r="M247">
        <f t="shared" si="45"/>
        <v>1</v>
      </c>
      <c r="O247">
        <f t="shared" si="46"/>
        <v>0</v>
      </c>
      <c r="P247">
        <f t="shared" si="47"/>
        <v>0.11999999999999922</v>
      </c>
      <c r="R247">
        <f t="shared" si="48"/>
        <v>0.36000000000000032</v>
      </c>
      <c r="S247">
        <f t="shared" si="49"/>
        <v>0.23200000000000021</v>
      </c>
      <c r="AH247">
        <f t="shared" si="50"/>
        <v>4.3872940940144938</v>
      </c>
      <c r="AI247">
        <f t="shared" si="51"/>
        <v>2.4986532422357453</v>
      </c>
      <c r="AJ247">
        <f t="shared" si="52"/>
        <v>25.411873073553728</v>
      </c>
      <c r="AL247">
        <f t="shared" si="53"/>
        <v>22.729851345923723</v>
      </c>
      <c r="AM247">
        <f t="shared" si="54"/>
        <v>5.1806749698657484</v>
      </c>
    </row>
    <row r="248" spans="1:39" ht="16.5" x14ac:dyDescent="0.25">
      <c r="A248" s="1">
        <v>45344</v>
      </c>
      <c r="B248" s="5">
        <v>13.9</v>
      </c>
      <c r="C248" s="4">
        <v>14.06</v>
      </c>
      <c r="D248" s="4">
        <v>14.07</v>
      </c>
      <c r="E248" s="4">
        <v>13.71</v>
      </c>
      <c r="F248" s="4" t="s">
        <v>1399</v>
      </c>
      <c r="G248" s="2" t="s">
        <v>438</v>
      </c>
      <c r="I248">
        <f t="shared" si="42"/>
        <v>13.956842105263162</v>
      </c>
      <c r="J248">
        <f t="shared" si="43"/>
        <v>12.991</v>
      </c>
      <c r="L248">
        <f t="shared" si="44"/>
        <v>0</v>
      </c>
      <c r="M248">
        <f t="shared" si="45"/>
        <v>1</v>
      </c>
      <c r="O248">
        <f t="shared" si="46"/>
        <v>0</v>
      </c>
      <c r="P248">
        <f t="shared" si="47"/>
        <v>0.16000000000000014</v>
      </c>
      <c r="R248">
        <f t="shared" si="48"/>
        <v>0.36000000000000032</v>
      </c>
      <c r="S248">
        <f t="shared" si="49"/>
        <v>0.22800000000000029</v>
      </c>
      <c r="AH248">
        <f t="shared" si="50"/>
        <v>4.3932540148039836</v>
      </c>
      <c r="AI248">
        <f t="shared" si="51"/>
        <v>2.500232189604171</v>
      </c>
      <c r="AJ248">
        <f t="shared" si="52"/>
        <v>25.413452020922151</v>
      </c>
      <c r="AL248">
        <f t="shared" si="53"/>
        <v>22.743350134871129</v>
      </c>
      <c r="AM248">
        <f t="shared" si="54"/>
        <v>5.1703340756551945</v>
      </c>
    </row>
    <row r="249" spans="1:39" ht="16.5" x14ac:dyDescent="0.25">
      <c r="A249" s="1">
        <v>45343</v>
      </c>
      <c r="B249" s="5">
        <v>13.88</v>
      </c>
      <c r="C249" s="4">
        <v>13.36</v>
      </c>
      <c r="D249" s="4">
        <v>13.96</v>
      </c>
      <c r="E249" s="4">
        <v>13.36</v>
      </c>
      <c r="F249" s="4" t="s">
        <v>1576</v>
      </c>
      <c r="G249" s="2" t="s">
        <v>812</v>
      </c>
      <c r="I249">
        <f t="shared" si="42"/>
        <v>13.947368421052632</v>
      </c>
      <c r="J249">
        <f t="shared" si="43"/>
        <v>12.94125</v>
      </c>
      <c r="L249">
        <f t="shared" si="44"/>
        <v>1</v>
      </c>
      <c r="M249">
        <f t="shared" si="45"/>
        <v>0</v>
      </c>
      <c r="O249">
        <f t="shared" si="46"/>
        <v>0.52000000000000135</v>
      </c>
      <c r="P249">
        <f t="shared" si="47"/>
        <v>0</v>
      </c>
      <c r="R249">
        <f t="shared" si="48"/>
        <v>0.36000000000000032</v>
      </c>
      <c r="S249">
        <f t="shared" si="49"/>
        <v>0.23900000000000024</v>
      </c>
      <c r="AH249">
        <f t="shared" si="50"/>
        <v>4.3992380963854147</v>
      </c>
      <c r="AI249">
        <f t="shared" si="51"/>
        <v>2.4907585053936412</v>
      </c>
      <c r="AJ249">
        <f t="shared" si="52"/>
        <v>25.403978336711624</v>
      </c>
      <c r="AL249">
        <f t="shared" si="53"/>
        <v>22.745844613823461</v>
      </c>
      <c r="AM249">
        <f t="shared" si="54"/>
        <v>5.1488922282818024</v>
      </c>
    </row>
    <row r="250" spans="1:39" ht="16.5" x14ac:dyDescent="0.25">
      <c r="A250" s="1">
        <v>45342</v>
      </c>
      <c r="B250" s="5">
        <v>13.43</v>
      </c>
      <c r="C250" s="4">
        <v>13.88</v>
      </c>
      <c r="D250" s="4">
        <v>13.96</v>
      </c>
      <c r="E250" s="4">
        <v>13.06</v>
      </c>
      <c r="F250" s="4" t="s">
        <v>1498</v>
      </c>
      <c r="G250" s="2" t="s">
        <v>356</v>
      </c>
      <c r="I250">
        <f t="shared" si="42"/>
        <v>13.926315789473685</v>
      </c>
      <c r="J250">
        <f t="shared" si="43"/>
        <v>12.876749999999998</v>
      </c>
      <c r="L250">
        <f t="shared" si="44"/>
        <v>0</v>
      </c>
      <c r="M250">
        <f t="shared" si="45"/>
        <v>1</v>
      </c>
      <c r="O250">
        <f t="shared" si="46"/>
        <v>0</v>
      </c>
      <c r="P250">
        <f t="shared" si="47"/>
        <v>0.45000000000000107</v>
      </c>
      <c r="R250">
        <f t="shared" si="48"/>
        <v>0.24000000000000021</v>
      </c>
      <c r="S250">
        <f t="shared" si="49"/>
        <v>0.23900000000000024</v>
      </c>
      <c r="AH250">
        <f t="shared" si="50"/>
        <v>4.405227476992021</v>
      </c>
      <c r="AI250">
        <f t="shared" si="51"/>
        <v>2.4697058738146946</v>
      </c>
      <c r="AJ250">
        <f t="shared" si="52"/>
        <v>25.382925705132678</v>
      </c>
      <c r="AL250">
        <f t="shared" si="53"/>
        <v>22.736770743457726</v>
      </c>
      <c r="AM250">
        <f t="shared" si="54"/>
        <v>5.1158608354896433</v>
      </c>
    </row>
    <row r="251" spans="1:39" ht="16.5" x14ac:dyDescent="0.25">
      <c r="A251" s="1">
        <v>45341</v>
      </c>
      <c r="B251" s="5">
        <v>14</v>
      </c>
      <c r="C251" s="4">
        <v>13.79</v>
      </c>
      <c r="D251" s="4">
        <v>14.01</v>
      </c>
      <c r="E251" s="4">
        <v>13.77</v>
      </c>
      <c r="F251" s="4" t="s">
        <v>376</v>
      </c>
      <c r="G251" s="2" t="s">
        <v>690</v>
      </c>
      <c r="I251">
        <f t="shared" si="42"/>
        <v>13.933157894736841</v>
      </c>
      <c r="J251">
        <f t="shared" si="43"/>
        <v>12.826249999999998</v>
      </c>
      <c r="L251">
        <f t="shared" si="44"/>
        <v>1</v>
      </c>
      <c r="M251">
        <f t="shared" si="45"/>
        <v>0</v>
      </c>
      <c r="O251">
        <f t="shared" si="46"/>
        <v>0.21000000000000085</v>
      </c>
      <c r="P251">
        <f t="shared" si="47"/>
        <v>0</v>
      </c>
      <c r="R251">
        <f t="shared" si="48"/>
        <v>0.2240000000000002</v>
      </c>
      <c r="S251">
        <f t="shared" si="49"/>
        <v>0.21555555555555569</v>
      </c>
      <c r="AH251">
        <f t="shared" si="50"/>
        <v>4.4112016801518994</v>
      </c>
      <c r="AI251">
        <f t="shared" si="51"/>
        <v>2.47654797907785</v>
      </c>
      <c r="AJ251">
        <f t="shared" si="52"/>
        <v>25.389767810395831</v>
      </c>
      <c r="AL251">
        <f t="shared" si="53"/>
        <v>22.755561255040639</v>
      </c>
      <c r="AM251">
        <f t="shared" si="54"/>
        <v>5.1107545344330418</v>
      </c>
    </row>
    <row r="252" spans="1:39" ht="16.5" x14ac:dyDescent="0.25">
      <c r="A252" s="1">
        <v>45338</v>
      </c>
      <c r="B252" s="5">
        <v>13.89</v>
      </c>
      <c r="C252" s="4">
        <v>13.98</v>
      </c>
      <c r="D252" s="4">
        <v>14.09</v>
      </c>
      <c r="E252" s="4">
        <v>13.74</v>
      </c>
      <c r="F252" s="4" t="s">
        <v>1654</v>
      </c>
      <c r="G252" s="2" t="s">
        <v>375</v>
      </c>
      <c r="I252">
        <f t="shared" si="42"/>
        <v>13.849473684210526</v>
      </c>
      <c r="J252">
        <f t="shared" si="43"/>
        <v>12.7615</v>
      </c>
      <c r="L252">
        <f t="shared" si="44"/>
        <v>0</v>
      </c>
      <c r="M252">
        <f t="shared" si="45"/>
        <v>1</v>
      </c>
      <c r="O252">
        <f t="shared" si="46"/>
        <v>0</v>
      </c>
      <c r="P252">
        <f t="shared" si="47"/>
        <v>8.9999999999999858E-2</v>
      </c>
      <c r="R252">
        <f t="shared" si="48"/>
        <v>0.19800000000000004</v>
      </c>
      <c r="S252">
        <f t="shared" si="49"/>
        <v>0.21555555555555569</v>
      </c>
      <c r="AH252">
        <f t="shared" si="50"/>
        <v>4.4172090705869422</v>
      </c>
      <c r="AI252">
        <f t="shared" si="51"/>
        <v>2.3928637685515355</v>
      </c>
      <c r="AJ252">
        <f t="shared" si="52"/>
        <v>25.306083599869517</v>
      </c>
      <c r="AL252">
        <f t="shared" si="53"/>
        <v>22.683891825384411</v>
      </c>
      <c r="AM252">
        <f t="shared" si="54"/>
        <v>5.0150555430366417</v>
      </c>
    </row>
    <row r="253" spans="1:39" ht="16.5" x14ac:dyDescent="0.25">
      <c r="A253" s="1">
        <v>45337</v>
      </c>
      <c r="B253" s="5">
        <v>13.84</v>
      </c>
      <c r="C253" s="4">
        <v>14.21</v>
      </c>
      <c r="D253" s="4">
        <v>14.3</v>
      </c>
      <c r="E253" s="4">
        <v>13.71</v>
      </c>
      <c r="F253" s="4" t="s">
        <v>1118</v>
      </c>
      <c r="G253" s="2" t="s">
        <v>751</v>
      </c>
      <c r="I253">
        <f t="shared" si="42"/>
        <v>13.747894736842104</v>
      </c>
      <c r="J253">
        <f t="shared" si="43"/>
        <v>12.6915</v>
      </c>
      <c r="L253">
        <f t="shared" si="44"/>
        <v>0</v>
      </c>
      <c r="M253">
        <f t="shared" si="45"/>
        <v>1</v>
      </c>
      <c r="O253">
        <f t="shared" si="46"/>
        <v>0</v>
      </c>
      <c r="P253">
        <f t="shared" si="47"/>
        <v>0.37000000000000099</v>
      </c>
      <c r="R253">
        <f t="shared" si="48"/>
        <v>0.17500000000000013</v>
      </c>
      <c r="S253">
        <f t="shared" si="49"/>
        <v>0.23125000000000018</v>
      </c>
      <c r="AH253">
        <f t="shared" si="50"/>
        <v>4.4230872570011384</v>
      </c>
      <c r="AI253">
        <f t="shared" si="51"/>
        <v>2.2912848211831136</v>
      </c>
      <c r="AJ253">
        <f t="shared" si="52"/>
        <v>25.204504652501093</v>
      </c>
      <c r="AL253">
        <f t="shared" si="53"/>
        <v>22.594069250844381</v>
      </c>
      <c r="AM253">
        <f t="shared" si="54"/>
        <v>4.9017202228398276</v>
      </c>
    </row>
    <row r="254" spans="1:39" ht="16.5" x14ac:dyDescent="0.25">
      <c r="A254" s="1">
        <v>45336</v>
      </c>
      <c r="B254" s="5">
        <v>14.08</v>
      </c>
      <c r="C254" s="4">
        <v>14.15</v>
      </c>
      <c r="D254" s="4">
        <v>14.28</v>
      </c>
      <c r="E254" s="4">
        <v>14.01</v>
      </c>
      <c r="F254" s="4" t="s">
        <v>107</v>
      </c>
      <c r="G254" s="2" t="s">
        <v>689</v>
      </c>
      <c r="I254">
        <f t="shared" si="42"/>
        <v>13.642105263157895</v>
      </c>
      <c r="J254">
        <f t="shared" si="43"/>
        <v>12.620749999999999</v>
      </c>
      <c r="L254">
        <f t="shared" si="44"/>
        <v>0</v>
      </c>
      <c r="M254">
        <f t="shared" si="45"/>
        <v>1</v>
      </c>
      <c r="O254">
        <f t="shared" si="46"/>
        <v>0</v>
      </c>
      <c r="P254">
        <f t="shared" si="47"/>
        <v>7.0000000000000284E-2</v>
      </c>
      <c r="R254">
        <f t="shared" si="48"/>
        <v>0.19142857142857167</v>
      </c>
      <c r="S254">
        <f t="shared" si="49"/>
        <v>0.21142857142857149</v>
      </c>
      <c r="AH254">
        <f t="shared" si="50"/>
        <v>4.4287935665158304</v>
      </c>
      <c r="AI254">
        <f t="shared" si="51"/>
        <v>2.1854953474989038</v>
      </c>
      <c r="AJ254">
        <f t="shared" si="52"/>
        <v>25.098715178816885</v>
      </c>
      <c r="AL254">
        <f t="shared" si="53"/>
        <v>22.499692396189555</v>
      </c>
      <c r="AM254">
        <f t="shared" si="54"/>
        <v>4.7845181301262336</v>
      </c>
    </row>
    <row r="255" spans="1:39" ht="16.5" x14ac:dyDescent="0.25">
      <c r="A255" s="1">
        <v>45335</v>
      </c>
      <c r="B255" s="5">
        <v>14.2</v>
      </c>
      <c r="C255" s="4">
        <v>14.4</v>
      </c>
      <c r="D255" s="4">
        <v>14.47</v>
      </c>
      <c r="E255" s="4">
        <v>13.97</v>
      </c>
      <c r="F255" s="4" t="s">
        <v>1515</v>
      </c>
      <c r="G255" s="2" t="s">
        <v>374</v>
      </c>
      <c r="I255">
        <f t="shared" si="42"/>
        <v>13.517894736842107</v>
      </c>
      <c r="J255">
        <f t="shared" si="43"/>
        <v>12.55325</v>
      </c>
      <c r="L255">
        <f t="shared" si="44"/>
        <v>0</v>
      </c>
      <c r="M255">
        <f t="shared" si="45"/>
        <v>1</v>
      </c>
      <c r="O255">
        <f t="shared" si="46"/>
        <v>0</v>
      </c>
      <c r="P255">
        <f t="shared" si="47"/>
        <v>0.20000000000000107</v>
      </c>
      <c r="R255">
        <f t="shared" si="48"/>
        <v>0.16875000000000018</v>
      </c>
      <c r="S255">
        <f t="shared" si="49"/>
        <v>0.23500000000000001</v>
      </c>
      <c r="AH255">
        <f t="shared" si="50"/>
        <v>4.4343076409471589</v>
      </c>
      <c r="AI255">
        <f t="shared" si="51"/>
        <v>2.0612848211831167</v>
      </c>
      <c r="AJ255">
        <f t="shared" si="52"/>
        <v>24.974504652501096</v>
      </c>
      <c r="AL255">
        <f t="shared" si="53"/>
        <v>22.386510018736423</v>
      </c>
      <c r="AM255">
        <f t="shared" si="54"/>
        <v>4.6492794549477896</v>
      </c>
    </row>
    <row r="256" spans="1:39" ht="16.5" x14ac:dyDescent="0.25">
      <c r="A256" s="1">
        <v>45334</v>
      </c>
      <c r="B256" s="5">
        <v>14.51</v>
      </c>
      <c r="C256" s="4">
        <v>14.07</v>
      </c>
      <c r="D256" s="4">
        <v>14.56</v>
      </c>
      <c r="E256" s="4">
        <v>14.05</v>
      </c>
      <c r="F256" s="4" t="s">
        <v>1594</v>
      </c>
      <c r="G256" s="2" t="s">
        <v>1867</v>
      </c>
      <c r="I256">
        <f t="shared" si="42"/>
        <v>13.366842105263158</v>
      </c>
      <c r="J256">
        <f t="shared" si="43"/>
        <v>12.479249999999999</v>
      </c>
      <c r="L256">
        <f t="shared" si="44"/>
        <v>1</v>
      </c>
      <c r="M256">
        <f t="shared" si="45"/>
        <v>0</v>
      </c>
      <c r="O256">
        <f t="shared" si="46"/>
        <v>0.4399999999999995</v>
      </c>
      <c r="P256">
        <f t="shared" si="47"/>
        <v>0</v>
      </c>
      <c r="R256">
        <f t="shared" si="48"/>
        <v>0.16888888888888903</v>
      </c>
      <c r="S256">
        <f t="shared" si="49"/>
        <v>0.24199999999999983</v>
      </c>
      <c r="AH256">
        <f t="shared" si="50"/>
        <v>4.4395772136334291</v>
      </c>
      <c r="AI256">
        <f t="shared" si="51"/>
        <v>1.9102321896041676</v>
      </c>
      <c r="AJ256">
        <f t="shared" si="52"/>
        <v>24.823452020922147</v>
      </c>
      <c r="AL256">
        <f t="shared" si="53"/>
        <v>22.245996532530015</v>
      </c>
      <c r="AM256">
        <f t="shared" si="54"/>
        <v>4.4876876779963002</v>
      </c>
    </row>
    <row r="257" spans="1:39" ht="16.5" x14ac:dyDescent="0.25">
      <c r="A257" s="1">
        <v>45331</v>
      </c>
      <c r="B257" s="5">
        <v>13.72</v>
      </c>
      <c r="C257" s="4">
        <v>13.91</v>
      </c>
      <c r="D257" s="4">
        <v>13.94</v>
      </c>
      <c r="E257" s="4">
        <v>13.71</v>
      </c>
      <c r="F257" s="4" t="s">
        <v>331</v>
      </c>
      <c r="G257" s="2" t="s">
        <v>261</v>
      </c>
      <c r="I257">
        <f t="shared" si="42"/>
        <v>13.220526315789474</v>
      </c>
      <c r="J257">
        <f t="shared" si="43"/>
        <v>12.373499999999998</v>
      </c>
      <c r="L257">
        <f t="shared" si="44"/>
        <v>0</v>
      </c>
      <c r="M257">
        <f t="shared" si="45"/>
        <v>1</v>
      </c>
      <c r="O257">
        <f t="shared" si="46"/>
        <v>0</v>
      </c>
      <c r="P257">
        <f t="shared" si="47"/>
        <v>0.1899999999999995</v>
      </c>
      <c r="R257">
        <f t="shared" si="48"/>
        <v>0.15444444444444472</v>
      </c>
      <c r="S257">
        <f t="shared" si="49"/>
        <v>0.24199999999999983</v>
      </c>
      <c r="AH257">
        <f t="shared" si="50"/>
        <v>4.4445239299286392</v>
      </c>
      <c r="AI257">
        <f t="shared" si="51"/>
        <v>1.7639164001304835</v>
      </c>
      <c r="AJ257">
        <f t="shared" si="52"/>
        <v>24.677136231448465</v>
      </c>
      <c r="AL257">
        <f t="shared" si="53"/>
        <v>22.109574175646753</v>
      </c>
      <c r="AM257">
        <f t="shared" si="54"/>
        <v>4.3314784559321957</v>
      </c>
    </row>
    <row r="258" spans="1:39" ht="16.5" x14ac:dyDescent="0.25">
      <c r="A258" s="1">
        <v>45330</v>
      </c>
      <c r="B258" s="5">
        <v>13.91</v>
      </c>
      <c r="C258" s="4">
        <v>14.5</v>
      </c>
      <c r="D258" s="4">
        <v>14.62</v>
      </c>
      <c r="E258" s="4">
        <v>13.63</v>
      </c>
      <c r="F258" s="4" t="s">
        <v>718</v>
      </c>
      <c r="G258" s="2" t="s">
        <v>1180</v>
      </c>
      <c r="I258">
        <f t="shared" ref="I258:I321" si="55">AVERAGE(B258:B276)</f>
        <v>13.136315789473686</v>
      </c>
      <c r="J258">
        <f t="shared" ref="J258:J321" si="56">AVERAGE(B258:B297)</f>
        <v>12.295999999999999</v>
      </c>
      <c r="L258">
        <f t="shared" si="44"/>
        <v>0</v>
      </c>
      <c r="M258">
        <f t="shared" si="45"/>
        <v>1</v>
      </c>
      <c r="O258">
        <f t="shared" si="46"/>
        <v>0</v>
      </c>
      <c r="P258">
        <f t="shared" si="47"/>
        <v>0.58999999999999986</v>
      </c>
      <c r="R258">
        <f t="shared" si="48"/>
        <v>0.15444444444444472</v>
      </c>
      <c r="S258">
        <f t="shared" si="49"/>
        <v>0.20599999999999988</v>
      </c>
      <c r="AH258">
        <f t="shared" si="50"/>
        <v>4.4491340461007542</v>
      </c>
      <c r="AI258">
        <f t="shared" si="51"/>
        <v>1.6797058738146955</v>
      </c>
      <c r="AJ258">
        <f t="shared" si="52"/>
        <v>24.592925705132679</v>
      </c>
      <c r="AL258">
        <f t="shared" si="53"/>
        <v>22.034583881675196</v>
      </c>
      <c r="AM258">
        <f t="shared" si="54"/>
        <v>4.2380476972721777</v>
      </c>
    </row>
    <row r="259" spans="1:39" ht="16.5" x14ac:dyDescent="0.25">
      <c r="A259" s="1">
        <v>45329</v>
      </c>
      <c r="B259" s="5">
        <v>14.37</v>
      </c>
      <c r="C259" s="4">
        <v>14.45</v>
      </c>
      <c r="D259" s="4">
        <v>14.63</v>
      </c>
      <c r="E259" s="4">
        <v>14.21</v>
      </c>
      <c r="F259" s="4" t="s">
        <v>1630</v>
      </c>
      <c r="G259" s="2" t="s">
        <v>249</v>
      </c>
      <c r="I259">
        <f t="shared" si="55"/>
        <v>13.059473684210527</v>
      </c>
      <c r="J259">
        <f t="shared" si="56"/>
        <v>12.2255</v>
      </c>
      <c r="L259">
        <f t="shared" ref="L259:L322" si="57">IF($C259&lt;$B259,1,0)</f>
        <v>0</v>
      </c>
      <c r="M259">
        <f t="shared" ref="M259:M322" si="58">IF($C259&lt;$B259,0,1)</f>
        <v>1</v>
      </c>
      <c r="O259">
        <f t="shared" ref="O259:O322" si="59">IF($C259&lt;$B259,B259-C259,0)</f>
        <v>0</v>
      </c>
      <c r="P259">
        <f t="shared" ref="P259:P322" si="60">IF($B259&lt;$C259,C259-B259,0)</f>
        <v>8.0000000000000071E-2</v>
      </c>
      <c r="R259">
        <f t="shared" ref="R259:R322" si="61">SUM(O259:O272)/SUM(L259:L272)</f>
        <v>0.15444444444444472</v>
      </c>
      <c r="S259">
        <f t="shared" ref="S259:S322" si="62">SUM(P259:P272)/SUM(M259:M272)</f>
        <v>9.1999999999999818E-2</v>
      </c>
      <c r="AH259">
        <f t="shared" ref="AH259:AH322" si="63">_xlfn.STDEV.S(I259:I789)</f>
        <v>4.4535399039775063</v>
      </c>
      <c r="AI259">
        <f t="shared" ref="AI259:AI322" si="64">I259-$AH$2</f>
        <v>1.6028637685515363</v>
      </c>
      <c r="AJ259">
        <f t="shared" ref="AJ259:AJ322" si="65">I259+$AH$2</f>
        <v>24.516083599869518</v>
      </c>
      <c r="AL259">
        <f t="shared" ref="AL259:AL322" si="66">I259+(AH259*2)</f>
        <v>21.966553492165538</v>
      </c>
      <c r="AM259">
        <f t="shared" ref="AM259:AM322" si="67">I259-(AH259*2)</f>
        <v>4.1523938762555144</v>
      </c>
    </row>
    <row r="260" spans="1:39" ht="16.5" x14ac:dyDescent="0.25">
      <c r="A260" s="1">
        <v>45328</v>
      </c>
      <c r="B260" s="5">
        <v>14.24</v>
      </c>
      <c r="C260" s="4">
        <v>13.97</v>
      </c>
      <c r="D260" s="4">
        <v>14.28</v>
      </c>
      <c r="E260" s="4">
        <v>13.88</v>
      </c>
      <c r="F260" s="4" t="s">
        <v>1868</v>
      </c>
      <c r="G260" s="2" t="s">
        <v>1869</v>
      </c>
      <c r="I260">
        <f t="shared" si="55"/>
        <v>12.935263157894738</v>
      </c>
      <c r="J260">
        <f t="shared" si="56"/>
        <v>12.150499999999999</v>
      </c>
      <c r="L260">
        <f t="shared" si="57"/>
        <v>1</v>
      </c>
      <c r="M260">
        <f t="shared" si="58"/>
        <v>0</v>
      </c>
      <c r="O260">
        <f t="shared" si="59"/>
        <v>0.26999999999999957</v>
      </c>
      <c r="P260">
        <f t="shared" si="60"/>
        <v>0</v>
      </c>
      <c r="R260">
        <f t="shared" si="61"/>
        <v>0.16100000000000031</v>
      </c>
      <c r="S260">
        <f t="shared" si="62"/>
        <v>9.4999999999999751E-2</v>
      </c>
      <c r="AH260">
        <f t="shared" si="63"/>
        <v>4.4577504401537356</v>
      </c>
      <c r="AI260">
        <f t="shared" si="64"/>
        <v>1.4786532422357475</v>
      </c>
      <c r="AJ260">
        <f t="shared" si="65"/>
        <v>24.391873073553729</v>
      </c>
      <c r="AL260">
        <f t="shared" si="66"/>
        <v>21.850764038202207</v>
      </c>
      <c r="AM260">
        <f t="shared" si="67"/>
        <v>4.019762277587267</v>
      </c>
    </row>
    <row r="261" spans="1:39" ht="16.5" x14ac:dyDescent="0.25">
      <c r="A261" s="1">
        <v>45327</v>
      </c>
      <c r="B261" s="5">
        <v>13.79</v>
      </c>
      <c r="C261" s="4">
        <v>13.87</v>
      </c>
      <c r="D261" s="4">
        <v>14.02</v>
      </c>
      <c r="E261" s="4">
        <v>13.73</v>
      </c>
      <c r="F261" s="4" t="s">
        <v>1481</v>
      </c>
      <c r="G261" s="2" t="s">
        <v>392</v>
      </c>
      <c r="I261">
        <f t="shared" si="55"/>
        <v>12.831052631578949</v>
      </c>
      <c r="J261">
        <f t="shared" si="56"/>
        <v>12.085000000000001</v>
      </c>
      <c r="L261">
        <f t="shared" si="57"/>
        <v>0</v>
      </c>
      <c r="M261">
        <f t="shared" si="58"/>
        <v>1</v>
      </c>
      <c r="O261">
        <f t="shared" si="59"/>
        <v>0</v>
      </c>
      <c r="P261">
        <f t="shared" si="60"/>
        <v>8.0000000000000071E-2</v>
      </c>
      <c r="R261">
        <f t="shared" si="61"/>
        <v>0.14888888888888926</v>
      </c>
      <c r="S261">
        <f t="shared" si="62"/>
        <v>9.9999999999999645E-2</v>
      </c>
      <c r="AH261">
        <f t="shared" si="63"/>
        <v>4.4616297863473102</v>
      </c>
      <c r="AI261">
        <f t="shared" si="64"/>
        <v>1.3744427159199581</v>
      </c>
      <c r="AJ261">
        <f t="shared" si="65"/>
        <v>24.287662547237939</v>
      </c>
      <c r="AL261">
        <f t="shared" si="66"/>
        <v>21.754312204273567</v>
      </c>
      <c r="AM261">
        <f t="shared" si="67"/>
        <v>3.9077930588843284</v>
      </c>
    </row>
    <row r="262" spans="1:39" ht="16.5" x14ac:dyDescent="0.25">
      <c r="A262" s="1">
        <v>45324</v>
      </c>
      <c r="B262" s="5">
        <v>13.88</v>
      </c>
      <c r="C262" s="4">
        <v>14.15</v>
      </c>
      <c r="D262" s="4">
        <v>14.4</v>
      </c>
      <c r="E262" s="4">
        <v>13.87</v>
      </c>
      <c r="F262" s="4" t="s">
        <v>1717</v>
      </c>
      <c r="G262" s="2" t="s">
        <v>241</v>
      </c>
      <c r="I262">
        <f t="shared" si="55"/>
        <v>12.737894736842106</v>
      </c>
      <c r="J262">
        <f t="shared" si="56"/>
        <v>12.0365</v>
      </c>
      <c r="L262">
        <f t="shared" si="57"/>
        <v>0</v>
      </c>
      <c r="M262">
        <f t="shared" si="58"/>
        <v>1</v>
      </c>
      <c r="O262">
        <f t="shared" si="59"/>
        <v>0</v>
      </c>
      <c r="P262">
        <f t="shared" si="60"/>
        <v>0.26999999999999957</v>
      </c>
      <c r="R262">
        <f t="shared" si="61"/>
        <v>0.14888888888888926</v>
      </c>
      <c r="S262">
        <f t="shared" si="62"/>
        <v>0.13399999999999962</v>
      </c>
      <c r="AH262">
        <f t="shared" si="63"/>
        <v>4.4652144884002984</v>
      </c>
      <c r="AI262">
        <f t="shared" si="64"/>
        <v>1.2812848211831156</v>
      </c>
      <c r="AJ262">
        <f t="shared" si="65"/>
        <v>24.194504652501095</v>
      </c>
      <c r="AL262">
        <f t="shared" si="66"/>
        <v>21.668323713642703</v>
      </c>
      <c r="AM262">
        <f t="shared" si="67"/>
        <v>3.8074657600415094</v>
      </c>
    </row>
    <row r="263" spans="1:39" ht="16.5" x14ac:dyDescent="0.25">
      <c r="A263" s="1">
        <v>45323</v>
      </c>
      <c r="B263" s="5">
        <v>13.89</v>
      </c>
      <c r="C263" s="4">
        <v>13.85</v>
      </c>
      <c r="D263" s="4">
        <v>14.15</v>
      </c>
      <c r="E263" s="4">
        <v>13.75</v>
      </c>
      <c r="F263" s="4" t="s">
        <v>578</v>
      </c>
      <c r="G263" s="2" t="s">
        <v>508</v>
      </c>
      <c r="I263">
        <f t="shared" si="55"/>
        <v>12.645789473684211</v>
      </c>
      <c r="J263">
        <f t="shared" si="56"/>
        <v>11.980250000000002</v>
      </c>
      <c r="L263">
        <f t="shared" si="57"/>
        <v>1</v>
      </c>
      <c r="M263">
        <f t="shared" si="58"/>
        <v>0</v>
      </c>
      <c r="O263">
        <f t="shared" si="59"/>
        <v>4.0000000000000924E-2</v>
      </c>
      <c r="P263">
        <f t="shared" si="60"/>
        <v>0</v>
      </c>
      <c r="R263">
        <f t="shared" si="61"/>
        <v>0.14888888888888926</v>
      </c>
      <c r="S263">
        <f t="shared" si="62"/>
        <v>0.15</v>
      </c>
      <c r="AH263">
        <f t="shared" si="63"/>
        <v>4.4685214070575654</v>
      </c>
      <c r="AI263">
        <f t="shared" si="64"/>
        <v>1.18917955802522</v>
      </c>
      <c r="AJ263">
        <f t="shared" si="65"/>
        <v>24.102399389343201</v>
      </c>
      <c r="AL263">
        <f t="shared" si="66"/>
        <v>21.582832287799341</v>
      </c>
      <c r="AM263">
        <f t="shared" si="67"/>
        <v>3.7087466595690799</v>
      </c>
    </row>
    <row r="264" spans="1:39" ht="16.5" x14ac:dyDescent="0.25">
      <c r="A264" s="1">
        <v>45322</v>
      </c>
      <c r="B264" s="5">
        <v>13.96</v>
      </c>
      <c r="C264" s="4">
        <v>13.8</v>
      </c>
      <c r="D264" s="4">
        <v>14.16</v>
      </c>
      <c r="E264" s="4">
        <v>13.73</v>
      </c>
      <c r="F264" s="4" t="s">
        <v>1136</v>
      </c>
      <c r="G264" s="2" t="s">
        <v>988</v>
      </c>
      <c r="I264">
        <f t="shared" si="55"/>
        <v>12.52157894736842</v>
      </c>
      <c r="J264">
        <f t="shared" si="56"/>
        <v>11.915500000000002</v>
      </c>
      <c r="L264">
        <f t="shared" si="57"/>
        <v>1</v>
      </c>
      <c r="M264">
        <f t="shared" si="58"/>
        <v>0</v>
      </c>
      <c r="O264">
        <f t="shared" si="59"/>
        <v>0.16000000000000014</v>
      </c>
      <c r="P264">
        <f t="shared" si="60"/>
        <v>0</v>
      </c>
      <c r="R264">
        <f t="shared" si="61"/>
        <v>0.17777777777777792</v>
      </c>
      <c r="S264">
        <f t="shared" si="62"/>
        <v>0.15</v>
      </c>
      <c r="AH264">
        <f t="shared" si="63"/>
        <v>4.4715405311595111</v>
      </c>
      <c r="AI264">
        <f t="shared" si="64"/>
        <v>1.0649690317094294</v>
      </c>
      <c r="AJ264">
        <f t="shared" si="65"/>
        <v>23.978188863027412</v>
      </c>
      <c r="AL264">
        <f t="shared" si="66"/>
        <v>21.464660009687442</v>
      </c>
      <c r="AM264">
        <f t="shared" si="67"/>
        <v>3.5784978850493978</v>
      </c>
    </row>
    <row r="265" spans="1:39" ht="16.5" x14ac:dyDescent="0.25">
      <c r="A265" s="1">
        <v>45321</v>
      </c>
      <c r="B265" s="5">
        <v>13.93</v>
      </c>
      <c r="C265" s="4">
        <v>13.85</v>
      </c>
      <c r="D265" s="4">
        <v>13.98</v>
      </c>
      <c r="E265" s="4">
        <v>13.54</v>
      </c>
      <c r="F265" s="4" t="s">
        <v>1479</v>
      </c>
      <c r="G265" s="2" t="s">
        <v>741</v>
      </c>
      <c r="I265">
        <f t="shared" si="55"/>
        <v>12.386842105263156</v>
      </c>
      <c r="J265">
        <f t="shared" si="56"/>
        <v>11.85</v>
      </c>
      <c r="L265">
        <f t="shared" si="57"/>
        <v>1</v>
      </c>
      <c r="M265">
        <f t="shared" si="58"/>
        <v>0</v>
      </c>
      <c r="O265">
        <f t="shared" si="59"/>
        <v>8.0000000000000071E-2</v>
      </c>
      <c r="P265">
        <f t="shared" si="60"/>
        <v>0</v>
      </c>
      <c r="R265">
        <f t="shared" si="61"/>
        <v>0.18000000000000016</v>
      </c>
      <c r="S265">
        <f t="shared" si="62"/>
        <v>0.18166666666666664</v>
      </c>
      <c r="AH265">
        <f t="shared" si="63"/>
        <v>4.4741587283563256</v>
      </c>
      <c r="AI265">
        <f t="shared" si="64"/>
        <v>0.93023218960416543</v>
      </c>
      <c r="AJ265">
        <f t="shared" si="65"/>
        <v>23.843452020922147</v>
      </c>
      <c r="AL265">
        <f t="shared" si="66"/>
        <v>21.335159561975807</v>
      </c>
      <c r="AM265">
        <f t="shared" si="67"/>
        <v>3.438524648550505</v>
      </c>
    </row>
    <row r="266" spans="1:39" ht="16.5" x14ac:dyDescent="0.25">
      <c r="A266" s="1">
        <v>45320</v>
      </c>
      <c r="B266" s="5">
        <v>13.76</v>
      </c>
      <c r="C266" s="4">
        <v>13.7</v>
      </c>
      <c r="D266" s="4">
        <v>13.81</v>
      </c>
      <c r="E266" s="4">
        <v>13.48</v>
      </c>
      <c r="F266" s="4" t="s">
        <v>1389</v>
      </c>
      <c r="G266" s="2" t="s">
        <v>1076</v>
      </c>
      <c r="I266">
        <f t="shared" si="55"/>
        <v>12.238947368421051</v>
      </c>
      <c r="J266">
        <f t="shared" si="56"/>
        <v>11.77375</v>
      </c>
      <c r="L266">
        <f t="shared" si="57"/>
        <v>1</v>
      </c>
      <c r="M266">
        <f t="shared" si="58"/>
        <v>0</v>
      </c>
      <c r="O266">
        <f t="shared" si="59"/>
        <v>6.0000000000000497E-2</v>
      </c>
      <c r="P266">
        <f t="shared" si="60"/>
        <v>0</v>
      </c>
      <c r="R266">
        <f t="shared" si="61"/>
        <v>0.20750000000000002</v>
      </c>
      <c r="S266">
        <f t="shared" si="62"/>
        <v>0.18166666666666664</v>
      </c>
      <c r="AH266">
        <f t="shared" si="63"/>
        <v>4.4763200777205689</v>
      </c>
      <c r="AI266">
        <f t="shared" si="64"/>
        <v>0.78233745276206079</v>
      </c>
      <c r="AJ266">
        <f t="shared" si="65"/>
        <v>23.695557284080042</v>
      </c>
      <c r="AL266">
        <f t="shared" si="66"/>
        <v>21.191587523862189</v>
      </c>
      <c r="AM266">
        <f t="shared" si="67"/>
        <v>3.2863072129799136</v>
      </c>
    </row>
    <row r="267" spans="1:39" ht="16.5" x14ac:dyDescent="0.25">
      <c r="A267" s="1">
        <v>45317</v>
      </c>
      <c r="B267" s="5">
        <v>13.72</v>
      </c>
      <c r="C267" s="4">
        <v>13.43</v>
      </c>
      <c r="D267" s="4">
        <v>13.77</v>
      </c>
      <c r="E267" s="4">
        <v>13.21</v>
      </c>
      <c r="F267" s="4" t="s">
        <v>834</v>
      </c>
      <c r="G267" s="2" t="s">
        <v>1814</v>
      </c>
      <c r="I267">
        <f t="shared" si="55"/>
        <v>12.14</v>
      </c>
      <c r="J267">
        <f t="shared" si="56"/>
        <v>11.699</v>
      </c>
      <c r="L267">
        <f t="shared" si="57"/>
        <v>1</v>
      </c>
      <c r="M267">
        <f t="shared" si="58"/>
        <v>0</v>
      </c>
      <c r="O267">
        <f t="shared" si="59"/>
        <v>0.29000000000000092</v>
      </c>
      <c r="P267">
        <f t="shared" si="60"/>
        <v>0</v>
      </c>
      <c r="R267">
        <f t="shared" si="61"/>
        <v>0.22857142857142851</v>
      </c>
      <c r="S267">
        <f t="shared" si="62"/>
        <v>0.17428571428571438</v>
      </c>
      <c r="AH267">
        <f t="shared" si="63"/>
        <v>4.4779544559258317</v>
      </c>
      <c r="AI267">
        <f t="shared" si="64"/>
        <v>0.6833900843410099</v>
      </c>
      <c r="AJ267">
        <f t="shared" si="65"/>
        <v>23.596609915658991</v>
      </c>
      <c r="AL267">
        <f t="shared" si="66"/>
        <v>21.095908911851666</v>
      </c>
      <c r="AM267">
        <f t="shared" si="67"/>
        <v>3.1840910881483371</v>
      </c>
    </row>
    <row r="268" spans="1:39" ht="16.5" x14ac:dyDescent="0.25">
      <c r="A268" s="1">
        <v>45316</v>
      </c>
      <c r="B268" s="5">
        <v>13.48</v>
      </c>
      <c r="C268" s="4">
        <v>13.47</v>
      </c>
      <c r="D268" s="4">
        <v>13.56</v>
      </c>
      <c r="E268" s="4">
        <v>13.2</v>
      </c>
      <c r="F268" s="4" t="s">
        <v>1646</v>
      </c>
      <c r="G268" s="2" t="s">
        <v>1167</v>
      </c>
      <c r="I268">
        <f t="shared" si="55"/>
        <v>12.049473684210527</v>
      </c>
      <c r="J268">
        <f t="shared" si="56"/>
        <v>11.619249999999999</v>
      </c>
      <c r="L268">
        <f t="shared" si="57"/>
        <v>1</v>
      </c>
      <c r="M268">
        <f t="shared" si="58"/>
        <v>0</v>
      </c>
      <c r="O268">
        <f t="shared" si="59"/>
        <v>9.9999999999997868E-3</v>
      </c>
      <c r="P268">
        <f t="shared" si="60"/>
        <v>0</v>
      </c>
      <c r="R268">
        <f t="shared" si="61"/>
        <v>0.28285714285714264</v>
      </c>
      <c r="S268">
        <f t="shared" si="62"/>
        <v>0.17428571428571438</v>
      </c>
      <c r="AH268">
        <f t="shared" si="63"/>
        <v>4.4792047850362797</v>
      </c>
      <c r="AI268">
        <f t="shared" si="64"/>
        <v>0.59286376855153655</v>
      </c>
      <c r="AJ268">
        <f t="shared" si="65"/>
        <v>23.50608359986952</v>
      </c>
      <c r="AL268">
        <f t="shared" si="66"/>
        <v>21.007883254283087</v>
      </c>
      <c r="AM268">
        <f t="shared" si="67"/>
        <v>3.0910641141379678</v>
      </c>
    </row>
    <row r="269" spans="1:39" ht="16.5" x14ac:dyDescent="0.25">
      <c r="A269" s="1">
        <v>45315</v>
      </c>
      <c r="B269" s="5">
        <v>13.56</v>
      </c>
      <c r="C269" s="4">
        <v>13.39</v>
      </c>
      <c r="D269" s="4">
        <v>14.02</v>
      </c>
      <c r="E269" s="4">
        <v>13.18</v>
      </c>
      <c r="F269" s="4" t="s">
        <v>1870</v>
      </c>
      <c r="G269" s="2" t="s">
        <v>1871</v>
      </c>
      <c r="I269">
        <f t="shared" si="55"/>
        <v>11.96105263157895</v>
      </c>
      <c r="J269">
        <f t="shared" si="56"/>
        <v>11.552249999999999</v>
      </c>
      <c r="L269">
        <f t="shared" si="57"/>
        <v>1</v>
      </c>
      <c r="M269">
        <f t="shared" si="58"/>
        <v>0</v>
      </c>
      <c r="O269">
        <f t="shared" si="59"/>
        <v>0.16999999999999993</v>
      </c>
      <c r="P269">
        <f t="shared" si="60"/>
        <v>0</v>
      </c>
      <c r="R269">
        <f t="shared" si="61"/>
        <v>0.31571428571428556</v>
      </c>
      <c r="S269">
        <f t="shared" si="62"/>
        <v>0.17428571428571438</v>
      </c>
      <c r="AH269">
        <f t="shared" si="63"/>
        <v>4.4800846001780386</v>
      </c>
      <c r="AI269">
        <f t="shared" si="64"/>
        <v>0.50444271591995893</v>
      </c>
      <c r="AJ269">
        <f t="shared" si="65"/>
        <v>23.417662547237938</v>
      </c>
      <c r="AL269">
        <f t="shared" si="66"/>
        <v>20.921221831935028</v>
      </c>
      <c r="AM269">
        <f t="shared" si="67"/>
        <v>3.0008834312228725</v>
      </c>
    </row>
    <row r="270" spans="1:39" ht="16.5" x14ac:dyDescent="0.25">
      <c r="A270" s="1">
        <v>45314</v>
      </c>
      <c r="B270" s="5">
        <v>12.41</v>
      </c>
      <c r="C270" s="4">
        <v>12.1</v>
      </c>
      <c r="D270" s="4">
        <v>12.73</v>
      </c>
      <c r="E270" s="4">
        <v>12.09</v>
      </c>
      <c r="F270" s="4" t="s">
        <v>1872</v>
      </c>
      <c r="G270" s="2" t="s">
        <v>1686</v>
      </c>
      <c r="I270">
        <f t="shared" si="55"/>
        <v>11.874210526315792</v>
      </c>
      <c r="J270">
        <f t="shared" si="56"/>
        <v>11.484249999999999</v>
      </c>
      <c r="L270">
        <f t="shared" si="57"/>
        <v>1</v>
      </c>
      <c r="M270">
        <f t="shared" si="58"/>
        <v>0</v>
      </c>
      <c r="O270">
        <f t="shared" si="59"/>
        <v>0.3100000000000005</v>
      </c>
      <c r="P270">
        <f t="shared" si="60"/>
        <v>0</v>
      </c>
      <c r="R270">
        <f t="shared" si="61"/>
        <v>0.32714285714285701</v>
      </c>
      <c r="S270">
        <f t="shared" si="62"/>
        <v>0.17428571428571438</v>
      </c>
      <c r="AH270">
        <f t="shared" si="63"/>
        <v>4.4805862959931524</v>
      </c>
      <c r="AI270">
        <f t="shared" si="64"/>
        <v>0.41760061065680176</v>
      </c>
      <c r="AJ270">
        <f t="shared" si="65"/>
        <v>23.330820441974783</v>
      </c>
      <c r="AL270">
        <f t="shared" si="66"/>
        <v>20.835383118302097</v>
      </c>
      <c r="AM270">
        <f t="shared" si="67"/>
        <v>2.9130379343294877</v>
      </c>
    </row>
    <row r="271" spans="1:39" ht="16.5" x14ac:dyDescent="0.25">
      <c r="A271" s="1">
        <v>45313</v>
      </c>
      <c r="B271" s="5">
        <v>11.96</v>
      </c>
      <c r="C271" s="4">
        <v>11.97</v>
      </c>
      <c r="D271" s="4">
        <v>12.06</v>
      </c>
      <c r="E271" s="4">
        <v>11.63</v>
      </c>
      <c r="F271" s="4" t="s">
        <v>1531</v>
      </c>
      <c r="G271" s="2" t="s">
        <v>311</v>
      </c>
      <c r="I271">
        <f t="shared" si="55"/>
        <v>11.815789473684212</v>
      </c>
      <c r="J271">
        <f t="shared" si="56"/>
        <v>11.444999999999997</v>
      </c>
      <c r="L271">
        <f t="shared" si="57"/>
        <v>0</v>
      </c>
      <c r="M271">
        <f t="shared" si="58"/>
        <v>1</v>
      </c>
      <c r="O271">
        <f t="shared" si="59"/>
        <v>0</v>
      </c>
      <c r="P271">
        <f t="shared" si="60"/>
        <v>9.9999999999997868E-3</v>
      </c>
      <c r="R271">
        <f t="shared" si="61"/>
        <v>0.32999999999999979</v>
      </c>
      <c r="S271">
        <f t="shared" si="62"/>
        <v>0.22250000000000014</v>
      </c>
      <c r="AH271">
        <f t="shared" si="63"/>
        <v>4.4807004950584943</v>
      </c>
      <c r="AI271">
        <f t="shared" si="64"/>
        <v>0.35917955802522172</v>
      </c>
      <c r="AJ271">
        <f t="shared" si="65"/>
        <v>23.272399389343203</v>
      </c>
      <c r="AL271">
        <f t="shared" si="66"/>
        <v>20.777190463801201</v>
      </c>
      <c r="AM271">
        <f t="shared" si="67"/>
        <v>2.8543884835672237</v>
      </c>
    </row>
    <row r="272" spans="1:39" ht="16.5" x14ac:dyDescent="0.25">
      <c r="A272" s="1">
        <v>45310</v>
      </c>
      <c r="B272" s="5">
        <v>11.83</v>
      </c>
      <c r="C272" s="4">
        <v>11.85</v>
      </c>
      <c r="D272" s="4">
        <v>11.99</v>
      </c>
      <c r="E272" s="4">
        <v>11.67</v>
      </c>
      <c r="F272" s="4" t="s">
        <v>1704</v>
      </c>
      <c r="G272" s="2" t="s">
        <v>368</v>
      </c>
      <c r="I272">
        <f t="shared" si="55"/>
        <v>11.786842105263158</v>
      </c>
      <c r="J272">
        <f t="shared" si="56"/>
        <v>11.417999999999997</v>
      </c>
      <c r="L272">
        <f t="shared" si="57"/>
        <v>0</v>
      </c>
      <c r="M272">
        <f t="shared" si="58"/>
        <v>1</v>
      </c>
      <c r="O272">
        <f t="shared" si="59"/>
        <v>0</v>
      </c>
      <c r="P272">
        <f t="shared" si="60"/>
        <v>1.9999999999999574E-2</v>
      </c>
      <c r="R272">
        <f t="shared" si="61"/>
        <v>0.32999999999999979</v>
      </c>
      <c r="S272">
        <f t="shared" si="62"/>
        <v>0.24</v>
      </c>
      <c r="AH272">
        <f t="shared" si="63"/>
        <v>4.4805230909300775</v>
      </c>
      <c r="AI272">
        <f t="shared" si="64"/>
        <v>0.33023218960416756</v>
      </c>
      <c r="AJ272">
        <f t="shared" si="65"/>
        <v>23.243452020922149</v>
      </c>
      <c r="AL272">
        <f t="shared" si="66"/>
        <v>20.747888287123313</v>
      </c>
      <c r="AM272">
        <f t="shared" si="67"/>
        <v>2.8257959234030032</v>
      </c>
    </row>
    <row r="273" spans="1:39" ht="16.5" x14ac:dyDescent="0.25">
      <c r="A273" s="1">
        <v>45309</v>
      </c>
      <c r="B273" s="5">
        <v>11.72</v>
      </c>
      <c r="C273" s="4">
        <v>11.5</v>
      </c>
      <c r="D273" s="4">
        <v>11.89</v>
      </c>
      <c r="E273" s="4">
        <v>11.43</v>
      </c>
      <c r="F273" s="4" t="s">
        <v>965</v>
      </c>
      <c r="G273" s="2" t="s">
        <v>975</v>
      </c>
      <c r="I273">
        <f t="shared" si="55"/>
        <v>11.764736842105263</v>
      </c>
      <c r="J273">
        <f t="shared" si="56"/>
        <v>11.396499999999998</v>
      </c>
      <c r="L273">
        <f t="shared" si="57"/>
        <v>1</v>
      </c>
      <c r="M273">
        <f t="shared" si="58"/>
        <v>0</v>
      </c>
      <c r="O273">
        <f t="shared" si="59"/>
        <v>0.22000000000000064</v>
      </c>
      <c r="P273">
        <f t="shared" si="60"/>
        <v>0</v>
      </c>
      <c r="R273">
        <f t="shared" si="61"/>
        <v>0.31999999999999978</v>
      </c>
      <c r="S273">
        <f t="shared" si="62"/>
        <v>0.27142857142857146</v>
      </c>
      <c r="AH273">
        <f t="shared" si="63"/>
        <v>4.4801614928945721</v>
      </c>
      <c r="AI273">
        <f t="shared" si="64"/>
        <v>0.30812692644627226</v>
      </c>
      <c r="AJ273">
        <f t="shared" si="65"/>
        <v>23.221346757764252</v>
      </c>
      <c r="AL273">
        <f t="shared" si="66"/>
        <v>20.725059827894405</v>
      </c>
      <c r="AM273">
        <f t="shared" si="67"/>
        <v>2.8044138563161187</v>
      </c>
    </row>
    <row r="274" spans="1:39" ht="16.5" x14ac:dyDescent="0.25">
      <c r="A274" s="1">
        <v>45308</v>
      </c>
      <c r="B274" s="5">
        <v>11.33</v>
      </c>
      <c r="C274" s="4">
        <v>11.45</v>
      </c>
      <c r="D274" s="4">
        <v>11.56</v>
      </c>
      <c r="E274" s="4">
        <v>11.26</v>
      </c>
      <c r="F274" s="4" t="s">
        <v>1813</v>
      </c>
      <c r="G274" s="2" t="s">
        <v>1873</v>
      </c>
      <c r="I274">
        <f t="shared" si="55"/>
        <v>11.731578947368421</v>
      </c>
      <c r="J274">
        <f t="shared" si="56"/>
        <v>11.401499999999997</v>
      </c>
      <c r="L274">
        <f t="shared" si="57"/>
        <v>0</v>
      </c>
      <c r="M274">
        <f t="shared" si="58"/>
        <v>1</v>
      </c>
      <c r="O274">
        <f t="shared" si="59"/>
        <v>0</v>
      </c>
      <c r="P274">
        <f t="shared" si="60"/>
        <v>0.11999999999999922</v>
      </c>
      <c r="R274">
        <f t="shared" si="61"/>
        <v>0.33666666666666628</v>
      </c>
      <c r="S274">
        <f t="shared" si="62"/>
        <v>0.25124999999999997</v>
      </c>
      <c r="AH274">
        <f t="shared" si="63"/>
        <v>4.4796381269596228</v>
      </c>
      <c r="AI274">
        <f t="shared" si="64"/>
        <v>0.27496903170943021</v>
      </c>
      <c r="AJ274">
        <f t="shared" si="65"/>
        <v>23.188188863027413</v>
      </c>
      <c r="AL274">
        <f t="shared" si="66"/>
        <v>20.690855201287668</v>
      </c>
      <c r="AM274">
        <f t="shared" si="67"/>
        <v>2.7723026934491752</v>
      </c>
    </row>
    <row r="275" spans="1:39" ht="16.5" x14ac:dyDescent="0.25">
      <c r="A275" s="1">
        <v>45307</v>
      </c>
      <c r="B275" s="5">
        <v>11.73</v>
      </c>
      <c r="C275" s="4">
        <v>11.98</v>
      </c>
      <c r="D275" s="4">
        <v>12.09</v>
      </c>
      <c r="E275" s="4">
        <v>11.61</v>
      </c>
      <c r="F275" s="4" t="s">
        <v>1541</v>
      </c>
      <c r="G275" s="2" t="s">
        <v>798</v>
      </c>
      <c r="I275">
        <f t="shared" si="55"/>
        <v>11.714736842105264</v>
      </c>
      <c r="J275">
        <f t="shared" si="56"/>
        <v>11.41025</v>
      </c>
      <c r="L275">
        <f t="shared" si="57"/>
        <v>0</v>
      </c>
      <c r="M275">
        <f t="shared" si="58"/>
        <v>1</v>
      </c>
      <c r="O275">
        <f t="shared" si="59"/>
        <v>0</v>
      </c>
      <c r="P275">
        <f t="shared" si="60"/>
        <v>0.25</v>
      </c>
      <c r="R275">
        <f t="shared" si="61"/>
        <v>0.35285714285714243</v>
      </c>
      <c r="S275">
        <f t="shared" si="62"/>
        <v>0.27000000000000007</v>
      </c>
      <c r="AH275">
        <f t="shared" si="63"/>
        <v>4.4789037587016836</v>
      </c>
      <c r="AI275">
        <f t="shared" si="64"/>
        <v>0.25812692644627333</v>
      </c>
      <c r="AJ275">
        <f t="shared" si="65"/>
        <v>23.171346757764255</v>
      </c>
      <c r="AL275">
        <f t="shared" si="66"/>
        <v>20.672544359508631</v>
      </c>
      <c r="AM275">
        <f t="shared" si="67"/>
        <v>2.7569293247018969</v>
      </c>
    </row>
    <row r="276" spans="1:39" ht="16.5" x14ac:dyDescent="0.25">
      <c r="A276" s="1">
        <v>45306</v>
      </c>
      <c r="B276" s="5">
        <v>12.12</v>
      </c>
      <c r="C276" s="4">
        <v>12.47</v>
      </c>
      <c r="D276" s="4">
        <v>12.49</v>
      </c>
      <c r="E276" s="4">
        <v>11.93</v>
      </c>
      <c r="F276" s="4" t="s">
        <v>943</v>
      </c>
      <c r="G276" s="2" t="s">
        <v>1459</v>
      </c>
      <c r="I276">
        <f t="shared" si="55"/>
        <v>11.696315789473685</v>
      </c>
      <c r="J276">
        <f t="shared" si="56"/>
        <v>11.388500000000001</v>
      </c>
      <c r="L276">
        <f t="shared" si="57"/>
        <v>0</v>
      </c>
      <c r="M276">
        <f t="shared" si="58"/>
        <v>1</v>
      </c>
      <c r="O276">
        <f t="shared" si="59"/>
        <v>0</v>
      </c>
      <c r="P276">
        <f t="shared" si="60"/>
        <v>0.35000000000000142</v>
      </c>
      <c r="R276">
        <f t="shared" si="61"/>
        <v>0.35285714285714243</v>
      </c>
      <c r="S276">
        <f t="shared" si="62"/>
        <v>0.23857142857142857</v>
      </c>
      <c r="AH276">
        <f t="shared" si="63"/>
        <v>4.47801978737421</v>
      </c>
      <c r="AI276">
        <f t="shared" si="64"/>
        <v>0.23970587381469421</v>
      </c>
      <c r="AJ276">
        <f t="shared" si="65"/>
        <v>23.152925705132674</v>
      </c>
      <c r="AL276">
        <f t="shared" si="66"/>
        <v>20.652355364222103</v>
      </c>
      <c r="AM276">
        <f t="shared" si="67"/>
        <v>2.7402762147252648</v>
      </c>
    </row>
    <row r="277" spans="1:39" ht="16.5" x14ac:dyDescent="0.25">
      <c r="A277" s="1">
        <v>45303</v>
      </c>
      <c r="B277" s="5">
        <v>12.45</v>
      </c>
      <c r="C277" s="4">
        <v>12.15</v>
      </c>
      <c r="D277" s="4">
        <v>12.63</v>
      </c>
      <c r="E277" s="4">
        <v>12.15</v>
      </c>
      <c r="F277" s="4" t="s">
        <v>1443</v>
      </c>
      <c r="G277" s="2" t="s">
        <v>1874</v>
      </c>
      <c r="I277">
        <f t="shared" si="55"/>
        <v>11.65</v>
      </c>
      <c r="J277">
        <f t="shared" si="56"/>
        <v>11.364249999999998</v>
      </c>
      <c r="L277">
        <f t="shared" si="57"/>
        <v>1</v>
      </c>
      <c r="M277">
        <f t="shared" si="58"/>
        <v>0</v>
      </c>
      <c r="O277">
        <f t="shared" si="59"/>
        <v>0.29999999999999893</v>
      </c>
      <c r="P277">
        <f t="shared" si="60"/>
        <v>0</v>
      </c>
      <c r="R277">
        <f t="shared" si="61"/>
        <v>0.34124999999999961</v>
      </c>
      <c r="S277">
        <f t="shared" si="62"/>
        <v>0.21999999999999975</v>
      </c>
      <c r="AH277">
        <f t="shared" si="63"/>
        <v>4.4769758221505729</v>
      </c>
      <c r="AI277">
        <f t="shared" si="64"/>
        <v>0.19339008434100968</v>
      </c>
      <c r="AJ277">
        <f t="shared" si="65"/>
        <v>23.106609915658993</v>
      </c>
      <c r="AL277">
        <f t="shared" si="66"/>
        <v>20.603951644301148</v>
      </c>
      <c r="AM277">
        <f t="shared" si="67"/>
        <v>2.6960483556988546</v>
      </c>
    </row>
    <row r="278" spans="1:39" ht="16.5" x14ac:dyDescent="0.25">
      <c r="A278" s="1">
        <v>45302</v>
      </c>
      <c r="B278" s="5">
        <v>12.01</v>
      </c>
      <c r="C278" s="4">
        <v>12.35</v>
      </c>
      <c r="D278" s="4">
        <v>12.56</v>
      </c>
      <c r="E278" s="4">
        <v>12.01</v>
      </c>
      <c r="F278" s="4" t="s">
        <v>1471</v>
      </c>
      <c r="G278" s="2" t="s">
        <v>829</v>
      </c>
      <c r="I278">
        <f t="shared" si="55"/>
        <v>11.535789473684211</v>
      </c>
      <c r="J278">
        <f t="shared" si="56"/>
        <v>11.309249999999999</v>
      </c>
      <c r="L278">
        <f t="shared" si="57"/>
        <v>0</v>
      </c>
      <c r="M278">
        <f t="shared" si="58"/>
        <v>1</v>
      </c>
      <c r="O278">
        <f t="shared" si="59"/>
        <v>0</v>
      </c>
      <c r="P278">
        <f t="shared" si="60"/>
        <v>0.33999999999999986</v>
      </c>
      <c r="R278">
        <f t="shared" si="61"/>
        <v>0.3474999999999997</v>
      </c>
      <c r="S278">
        <f t="shared" si="62"/>
        <v>0.21999999999999975</v>
      </c>
      <c r="AH278">
        <f t="shared" si="63"/>
        <v>4.4756495901578814</v>
      </c>
      <c r="AI278">
        <f t="shared" si="64"/>
        <v>7.9179558025220587E-2</v>
      </c>
      <c r="AJ278">
        <f t="shared" si="65"/>
        <v>22.992399389343202</v>
      </c>
      <c r="AL278">
        <f t="shared" si="66"/>
        <v>20.487088653999976</v>
      </c>
      <c r="AM278">
        <f t="shared" si="67"/>
        <v>2.5844902933684484</v>
      </c>
    </row>
    <row r="279" spans="1:39" ht="16.5" x14ac:dyDescent="0.25">
      <c r="A279" s="1">
        <v>45301</v>
      </c>
      <c r="B279" s="5">
        <v>12.26</v>
      </c>
      <c r="C279" s="4">
        <v>11.96</v>
      </c>
      <c r="D279" s="4">
        <v>12.36</v>
      </c>
      <c r="E279" s="4">
        <v>11.78</v>
      </c>
      <c r="F279" s="4" t="s">
        <v>1875</v>
      </c>
      <c r="G279" s="2" t="s">
        <v>381</v>
      </c>
      <c r="I279">
        <f t="shared" si="55"/>
        <v>11.462631578947368</v>
      </c>
      <c r="J279">
        <f t="shared" si="56"/>
        <v>11.257999999999999</v>
      </c>
      <c r="L279">
        <f t="shared" si="57"/>
        <v>1</v>
      </c>
      <c r="M279">
        <f t="shared" si="58"/>
        <v>0</v>
      </c>
      <c r="O279">
        <f t="shared" si="59"/>
        <v>0.29999999999999893</v>
      </c>
      <c r="P279">
        <f t="shared" si="60"/>
        <v>0</v>
      </c>
      <c r="R279">
        <f t="shared" si="61"/>
        <v>0.31444444444444425</v>
      </c>
      <c r="S279">
        <f t="shared" si="62"/>
        <v>0.19599999999999973</v>
      </c>
      <c r="AH279">
        <f t="shared" si="63"/>
        <v>4.4737366329738029</v>
      </c>
      <c r="AI279">
        <f t="shared" si="64"/>
        <v>6.02166328837761E-3</v>
      </c>
      <c r="AJ279">
        <f t="shared" si="65"/>
        <v>22.919241494606361</v>
      </c>
      <c r="AL279">
        <f t="shared" si="66"/>
        <v>20.410104844894974</v>
      </c>
      <c r="AM279">
        <f t="shared" si="67"/>
        <v>2.5151583129997626</v>
      </c>
    </row>
    <row r="280" spans="1:39" ht="16.5" x14ac:dyDescent="0.25">
      <c r="A280" s="1">
        <v>45300</v>
      </c>
      <c r="B280" s="5">
        <v>12.02</v>
      </c>
      <c r="C280" s="4">
        <v>12.15</v>
      </c>
      <c r="D280" s="4">
        <v>12.23</v>
      </c>
      <c r="E280" s="4">
        <v>11.98</v>
      </c>
      <c r="F280" s="4" t="s">
        <v>507</v>
      </c>
      <c r="G280" s="2" t="s">
        <v>137</v>
      </c>
      <c r="I280">
        <f t="shared" si="55"/>
        <v>11.401052631578947</v>
      </c>
      <c r="J280">
        <f t="shared" si="56"/>
        <v>11.186249999999998</v>
      </c>
      <c r="L280">
        <f t="shared" si="57"/>
        <v>0</v>
      </c>
      <c r="M280">
        <f t="shared" si="58"/>
        <v>1</v>
      </c>
      <c r="O280">
        <f t="shared" si="59"/>
        <v>0</v>
      </c>
      <c r="P280">
        <f t="shared" si="60"/>
        <v>0.13000000000000078</v>
      </c>
      <c r="R280">
        <f t="shared" si="61"/>
        <v>0.31624999999999992</v>
      </c>
      <c r="S280">
        <f t="shared" si="62"/>
        <v>0.19333333333333305</v>
      </c>
      <c r="AH280">
        <f t="shared" si="63"/>
        <v>4.4713956072613028</v>
      </c>
      <c r="AI280">
        <f t="shared" si="64"/>
        <v>-5.5557284080043345E-2</v>
      </c>
      <c r="AJ280">
        <f t="shared" si="65"/>
        <v>22.857662547237936</v>
      </c>
      <c r="AL280">
        <f t="shared" si="66"/>
        <v>20.343843846101553</v>
      </c>
      <c r="AM280">
        <f t="shared" si="67"/>
        <v>2.4582614170563417</v>
      </c>
    </row>
    <row r="281" spans="1:39" ht="16.5" x14ac:dyDescent="0.25">
      <c r="A281" s="1">
        <v>45299</v>
      </c>
      <c r="B281" s="5">
        <v>12.13</v>
      </c>
      <c r="C281" s="4">
        <v>11.46</v>
      </c>
      <c r="D281" s="4">
        <v>12.13</v>
      </c>
      <c r="E281" s="4">
        <v>11.45</v>
      </c>
      <c r="F281" s="4" t="s">
        <v>1876</v>
      </c>
      <c r="G281" s="2" t="s">
        <v>1877</v>
      </c>
      <c r="I281">
        <f t="shared" si="55"/>
        <v>11.366842105263158</v>
      </c>
      <c r="J281">
        <f t="shared" si="56"/>
        <v>11.127749999999997</v>
      </c>
      <c r="L281">
        <f t="shared" si="57"/>
        <v>1</v>
      </c>
      <c r="M281">
        <f t="shared" si="58"/>
        <v>0</v>
      </c>
      <c r="O281">
        <f t="shared" si="59"/>
        <v>0.66999999999999993</v>
      </c>
      <c r="P281">
        <f t="shared" si="60"/>
        <v>0</v>
      </c>
      <c r="R281">
        <f t="shared" si="61"/>
        <v>0.2844444444444445</v>
      </c>
      <c r="S281">
        <f t="shared" si="62"/>
        <v>0.20599999999999952</v>
      </c>
      <c r="AH281">
        <f t="shared" si="63"/>
        <v>4.4686640581310124</v>
      </c>
      <c r="AI281">
        <f t="shared" si="64"/>
        <v>-8.976781039583237E-2</v>
      </c>
      <c r="AJ281">
        <f t="shared" si="65"/>
        <v>22.823452020922147</v>
      </c>
      <c r="AL281">
        <f t="shared" si="66"/>
        <v>20.304170221525183</v>
      </c>
      <c r="AM281">
        <f t="shared" si="67"/>
        <v>2.4295139890011335</v>
      </c>
    </row>
    <row r="282" spans="1:39" ht="16.5" x14ac:dyDescent="0.25">
      <c r="A282" s="1">
        <v>45296</v>
      </c>
      <c r="B282" s="5">
        <v>11.53</v>
      </c>
      <c r="C282" s="4">
        <v>11.29</v>
      </c>
      <c r="D282" s="4">
        <v>11.6</v>
      </c>
      <c r="E282" s="4">
        <v>11.25</v>
      </c>
      <c r="F282" s="4" t="s">
        <v>139</v>
      </c>
      <c r="G282" s="2" t="s">
        <v>71</v>
      </c>
      <c r="I282">
        <f t="shared" si="55"/>
        <v>11.34</v>
      </c>
      <c r="J282">
        <f t="shared" si="56"/>
        <v>11.052249999999997</v>
      </c>
      <c r="L282">
        <f t="shared" si="57"/>
        <v>1</v>
      </c>
      <c r="M282">
        <f t="shared" si="58"/>
        <v>0</v>
      </c>
      <c r="O282">
        <f t="shared" si="59"/>
        <v>0.24000000000000021</v>
      </c>
      <c r="P282">
        <f t="shared" si="60"/>
        <v>0</v>
      </c>
      <c r="R282">
        <f t="shared" si="61"/>
        <v>0.27222222222222237</v>
      </c>
      <c r="S282">
        <f t="shared" si="62"/>
        <v>0.20599999999999952</v>
      </c>
      <c r="AH282">
        <f t="shared" si="63"/>
        <v>4.4656563557744331</v>
      </c>
      <c r="AI282">
        <f t="shared" si="64"/>
        <v>-0.11660991565899081</v>
      </c>
      <c r="AJ282">
        <f t="shared" si="65"/>
        <v>22.796609915658991</v>
      </c>
      <c r="AL282">
        <f t="shared" si="66"/>
        <v>20.271312711548866</v>
      </c>
      <c r="AM282">
        <f t="shared" si="67"/>
        <v>2.4086872884511337</v>
      </c>
    </row>
    <row r="283" spans="1:39" ht="16.5" x14ac:dyDescent="0.25">
      <c r="A283" s="1">
        <v>45295</v>
      </c>
      <c r="B283" s="5">
        <v>11.4</v>
      </c>
      <c r="C283" s="4">
        <v>11.15</v>
      </c>
      <c r="D283" s="4">
        <v>11.43</v>
      </c>
      <c r="E283" s="4">
        <v>11.12</v>
      </c>
      <c r="F283" s="4" t="s">
        <v>1555</v>
      </c>
      <c r="G283" s="2" t="s">
        <v>1677</v>
      </c>
      <c r="I283">
        <f t="shared" si="55"/>
        <v>11.35684210526316</v>
      </c>
      <c r="J283">
        <f t="shared" si="56"/>
        <v>10.997</v>
      </c>
      <c r="L283">
        <f t="shared" si="57"/>
        <v>1</v>
      </c>
      <c r="M283">
        <f t="shared" si="58"/>
        <v>0</v>
      </c>
      <c r="O283">
        <f t="shared" si="59"/>
        <v>0.25</v>
      </c>
      <c r="P283">
        <f t="shared" si="60"/>
        <v>0</v>
      </c>
      <c r="R283">
        <f t="shared" si="61"/>
        <v>0.27625000000000011</v>
      </c>
      <c r="S283">
        <f t="shared" si="62"/>
        <v>0.21833333333333313</v>
      </c>
      <c r="AH283">
        <f t="shared" si="63"/>
        <v>4.4623992874815563</v>
      </c>
      <c r="AI283">
        <f t="shared" si="64"/>
        <v>-9.9767810395830381E-2</v>
      </c>
      <c r="AJ283">
        <f t="shared" si="65"/>
        <v>22.813452020922149</v>
      </c>
      <c r="AL283">
        <f t="shared" si="66"/>
        <v>20.281640680226275</v>
      </c>
      <c r="AM283">
        <f t="shared" si="67"/>
        <v>2.4320435303000476</v>
      </c>
    </row>
    <row r="284" spans="1:39" ht="16.5" x14ac:dyDescent="0.25">
      <c r="A284" s="1">
        <v>45294</v>
      </c>
      <c r="B284" s="5">
        <v>11.12</v>
      </c>
      <c r="C284" s="4">
        <v>11.68</v>
      </c>
      <c r="D284" s="4">
        <v>11.87</v>
      </c>
      <c r="E284" s="4">
        <v>11.09</v>
      </c>
      <c r="F284" s="4" t="s">
        <v>1492</v>
      </c>
      <c r="G284" s="2" t="s">
        <v>1878</v>
      </c>
      <c r="I284">
        <f t="shared" si="55"/>
        <v>11.368947368421052</v>
      </c>
      <c r="J284">
        <f t="shared" si="56"/>
        <v>10.946749999999998</v>
      </c>
      <c r="L284">
        <f t="shared" si="57"/>
        <v>0</v>
      </c>
      <c r="M284">
        <f t="shared" si="58"/>
        <v>1</v>
      </c>
      <c r="O284">
        <f t="shared" si="59"/>
        <v>0</v>
      </c>
      <c r="P284">
        <f t="shared" si="60"/>
        <v>0.5600000000000005</v>
      </c>
      <c r="R284">
        <f t="shared" si="61"/>
        <v>0.28000000000000014</v>
      </c>
      <c r="S284">
        <f t="shared" si="62"/>
        <v>0.25428571428571417</v>
      </c>
      <c r="AH284">
        <f t="shared" si="63"/>
        <v>4.4590940630278926</v>
      </c>
      <c r="AI284">
        <f t="shared" si="64"/>
        <v>-8.7662547237938426E-2</v>
      </c>
      <c r="AJ284">
        <f t="shared" si="65"/>
        <v>22.825557284080041</v>
      </c>
      <c r="AL284">
        <f t="shared" si="66"/>
        <v>20.287135494476836</v>
      </c>
      <c r="AM284">
        <f t="shared" si="67"/>
        <v>2.4507592423652671</v>
      </c>
    </row>
    <row r="285" spans="1:39" ht="16.5" x14ac:dyDescent="0.25">
      <c r="A285" s="1">
        <v>45293</v>
      </c>
      <c r="B285" s="5">
        <v>11.88</v>
      </c>
      <c r="C285" s="4">
        <v>12.03</v>
      </c>
      <c r="D285" s="4">
        <v>12.29</v>
      </c>
      <c r="E285" s="4">
        <v>11.76</v>
      </c>
      <c r="F285" s="4" t="s">
        <v>942</v>
      </c>
      <c r="G285" s="2" t="s">
        <v>1503</v>
      </c>
      <c r="I285">
        <f t="shared" si="55"/>
        <v>11.378421052631579</v>
      </c>
      <c r="J285">
        <f t="shared" si="56"/>
        <v>10.907499999999999</v>
      </c>
      <c r="L285">
        <f t="shared" si="57"/>
        <v>0</v>
      </c>
      <c r="M285">
        <f t="shared" si="58"/>
        <v>1</v>
      </c>
      <c r="O285">
        <f t="shared" si="59"/>
        <v>0</v>
      </c>
      <c r="P285">
        <f t="shared" si="60"/>
        <v>0.14999999999999858</v>
      </c>
      <c r="R285">
        <f t="shared" si="61"/>
        <v>0.28000000000000014</v>
      </c>
      <c r="S285">
        <f t="shared" si="62"/>
        <v>0.19142857142857142</v>
      </c>
      <c r="AH285">
        <f t="shared" si="63"/>
        <v>4.4557169089982382</v>
      </c>
      <c r="AI285">
        <f t="shared" si="64"/>
        <v>-7.8188863027412125E-2</v>
      </c>
      <c r="AJ285">
        <f t="shared" si="65"/>
        <v>22.835030968290567</v>
      </c>
      <c r="AL285">
        <f t="shared" si="66"/>
        <v>20.289854870628055</v>
      </c>
      <c r="AM285">
        <f t="shared" si="67"/>
        <v>2.4669872346351021</v>
      </c>
    </row>
    <row r="286" spans="1:39" ht="16.5" x14ac:dyDescent="0.25">
      <c r="A286" s="1">
        <v>45289</v>
      </c>
      <c r="B286" s="5">
        <v>12</v>
      </c>
      <c r="C286" s="4">
        <v>11.74</v>
      </c>
      <c r="D286" s="4">
        <v>12</v>
      </c>
      <c r="E286" s="4">
        <v>11.67</v>
      </c>
      <c r="F286" s="4" t="s">
        <v>70</v>
      </c>
      <c r="G286" s="2" t="s">
        <v>999</v>
      </c>
      <c r="I286">
        <f t="shared" si="55"/>
        <v>11.35</v>
      </c>
      <c r="J286">
        <f t="shared" si="56"/>
        <v>10.829999999999998</v>
      </c>
      <c r="L286">
        <f t="shared" si="57"/>
        <v>1</v>
      </c>
      <c r="M286">
        <f t="shared" si="58"/>
        <v>0</v>
      </c>
      <c r="O286">
        <f t="shared" si="59"/>
        <v>0.25999999999999979</v>
      </c>
      <c r="P286">
        <f t="shared" si="60"/>
        <v>0</v>
      </c>
      <c r="R286">
        <f t="shared" si="61"/>
        <v>0.29374999999999996</v>
      </c>
      <c r="S286">
        <f t="shared" si="62"/>
        <v>0.19833333333333356</v>
      </c>
      <c r="AH286">
        <f t="shared" si="63"/>
        <v>4.4522534998297854</v>
      </c>
      <c r="AI286">
        <f t="shared" si="64"/>
        <v>-0.10660991565899103</v>
      </c>
      <c r="AJ286">
        <f t="shared" si="65"/>
        <v>22.806609915658989</v>
      </c>
      <c r="AL286">
        <f t="shared" si="66"/>
        <v>20.254506999659569</v>
      </c>
      <c r="AM286">
        <f t="shared" si="67"/>
        <v>2.4454930003404289</v>
      </c>
    </row>
    <row r="287" spans="1:39" ht="16.5" x14ac:dyDescent="0.25">
      <c r="A287" s="1">
        <v>45288</v>
      </c>
      <c r="B287" s="5">
        <v>11.8</v>
      </c>
      <c r="C287" s="4">
        <v>11.91</v>
      </c>
      <c r="D287" s="4">
        <v>12.04</v>
      </c>
      <c r="E287" s="4">
        <v>11.8</v>
      </c>
      <c r="F287" s="4" t="s">
        <v>1520</v>
      </c>
      <c r="G287" s="2" t="s">
        <v>92</v>
      </c>
      <c r="I287">
        <f t="shared" si="55"/>
        <v>11.291052631578948</v>
      </c>
      <c r="J287">
        <f t="shared" si="56"/>
        <v>10.73625</v>
      </c>
      <c r="L287">
        <f t="shared" si="57"/>
        <v>0</v>
      </c>
      <c r="M287">
        <f t="shared" si="58"/>
        <v>1</v>
      </c>
      <c r="O287">
        <f t="shared" si="59"/>
        <v>0</v>
      </c>
      <c r="P287">
        <f t="shared" si="60"/>
        <v>0.10999999999999943</v>
      </c>
      <c r="R287">
        <f t="shared" si="61"/>
        <v>0.26374999999999993</v>
      </c>
      <c r="S287">
        <f t="shared" si="62"/>
        <v>0.19833333333333356</v>
      </c>
      <c r="AH287">
        <f t="shared" si="63"/>
        <v>4.4485175968288218</v>
      </c>
      <c r="AI287">
        <f t="shared" si="64"/>
        <v>-0.16555728408004278</v>
      </c>
      <c r="AJ287">
        <f t="shared" si="65"/>
        <v>22.747662547237937</v>
      </c>
      <c r="AL287">
        <f t="shared" si="66"/>
        <v>20.188087825236593</v>
      </c>
      <c r="AM287">
        <f t="shared" si="67"/>
        <v>2.3940174379213044</v>
      </c>
    </row>
    <row r="288" spans="1:39" ht="16.5" x14ac:dyDescent="0.25">
      <c r="A288" s="1">
        <v>45287</v>
      </c>
      <c r="B288" s="5">
        <v>11.91</v>
      </c>
      <c r="C288" s="4">
        <v>11.46</v>
      </c>
      <c r="D288" s="4">
        <v>11.98</v>
      </c>
      <c r="E288" s="4">
        <v>11.42</v>
      </c>
      <c r="F288" s="4" t="s">
        <v>1879</v>
      </c>
      <c r="G288" s="2" t="s">
        <v>1880</v>
      </c>
      <c r="I288">
        <f t="shared" si="55"/>
        <v>11.236842105263159</v>
      </c>
      <c r="J288">
        <f t="shared" si="56"/>
        <v>10.650500000000001</v>
      </c>
      <c r="L288">
        <f t="shared" si="57"/>
        <v>1</v>
      </c>
      <c r="M288">
        <f t="shared" si="58"/>
        <v>0</v>
      </c>
      <c r="O288">
        <f t="shared" si="59"/>
        <v>0.44999999999999929</v>
      </c>
      <c r="P288">
        <f t="shared" si="60"/>
        <v>0</v>
      </c>
      <c r="R288">
        <f t="shared" si="61"/>
        <v>0.25222222222222218</v>
      </c>
      <c r="S288">
        <f t="shared" si="62"/>
        <v>0.21600000000000036</v>
      </c>
      <c r="AH288">
        <f t="shared" si="63"/>
        <v>4.444349890878855</v>
      </c>
      <c r="AI288">
        <f t="shared" si="64"/>
        <v>-0.21976781039583138</v>
      </c>
      <c r="AJ288">
        <f t="shared" si="65"/>
        <v>22.693452020922152</v>
      </c>
      <c r="AL288">
        <f t="shared" si="66"/>
        <v>20.125541887020869</v>
      </c>
      <c r="AM288">
        <f t="shared" si="67"/>
        <v>2.3481423235054493</v>
      </c>
    </row>
    <row r="289" spans="1:39" ht="16.5" x14ac:dyDescent="0.25">
      <c r="A289" s="1">
        <v>45282</v>
      </c>
      <c r="B289" s="5">
        <v>11.3</v>
      </c>
      <c r="C289" s="4">
        <v>11.33</v>
      </c>
      <c r="D289" s="4">
        <v>11.56</v>
      </c>
      <c r="E289" s="4">
        <v>11.3</v>
      </c>
      <c r="F289" s="4" t="s">
        <v>1520</v>
      </c>
      <c r="G289" s="2" t="s">
        <v>719</v>
      </c>
      <c r="I289">
        <f t="shared" si="55"/>
        <v>11.164210526315792</v>
      </c>
      <c r="J289">
        <f t="shared" si="56"/>
        <v>10.563750000000001</v>
      </c>
      <c r="L289">
        <f t="shared" si="57"/>
        <v>0</v>
      </c>
      <c r="M289">
        <f t="shared" si="58"/>
        <v>1</v>
      </c>
      <c r="O289">
        <f t="shared" si="59"/>
        <v>0</v>
      </c>
      <c r="P289">
        <f t="shared" si="60"/>
        <v>2.9999999999999361E-2</v>
      </c>
      <c r="R289">
        <f t="shared" si="61"/>
        <v>0.24333333333333348</v>
      </c>
      <c r="S289">
        <f t="shared" si="62"/>
        <v>0.21600000000000036</v>
      </c>
      <c r="AH289">
        <f t="shared" si="63"/>
        <v>4.4397597088730798</v>
      </c>
      <c r="AI289">
        <f t="shared" si="64"/>
        <v>-0.29239938934319909</v>
      </c>
      <c r="AJ289">
        <f t="shared" si="65"/>
        <v>22.620820441974782</v>
      </c>
      <c r="AL289">
        <f t="shared" si="66"/>
        <v>20.043729944061951</v>
      </c>
      <c r="AM289">
        <f t="shared" si="67"/>
        <v>2.284691108569632</v>
      </c>
    </row>
    <row r="290" spans="1:39" ht="16.5" x14ac:dyDescent="0.25">
      <c r="A290" s="1">
        <v>45281</v>
      </c>
      <c r="B290" s="5">
        <v>11.41</v>
      </c>
      <c r="C290" s="4">
        <v>11.15</v>
      </c>
      <c r="D290" s="4">
        <v>11.45</v>
      </c>
      <c r="E290" s="4">
        <v>11.09</v>
      </c>
      <c r="F290" s="4" t="s">
        <v>1407</v>
      </c>
      <c r="G290" s="2" t="s">
        <v>365</v>
      </c>
      <c r="I290">
        <f t="shared" si="55"/>
        <v>11.137894736842107</v>
      </c>
      <c r="J290">
        <f t="shared" si="56"/>
        <v>10.468500000000001</v>
      </c>
      <c r="L290">
        <f t="shared" si="57"/>
        <v>1</v>
      </c>
      <c r="M290">
        <f t="shared" si="58"/>
        <v>0</v>
      </c>
      <c r="O290">
        <f t="shared" si="59"/>
        <v>0.25999999999999979</v>
      </c>
      <c r="P290">
        <f t="shared" si="60"/>
        <v>0</v>
      </c>
      <c r="R290">
        <f t="shared" si="61"/>
        <v>0.24333333333333348</v>
      </c>
      <c r="S290">
        <f t="shared" si="62"/>
        <v>0.25000000000000033</v>
      </c>
      <c r="AH290">
        <f t="shared" si="63"/>
        <v>4.4346374835562772</v>
      </c>
      <c r="AI290">
        <f t="shared" si="64"/>
        <v>-0.31871517881688405</v>
      </c>
      <c r="AJ290">
        <f t="shared" si="65"/>
        <v>22.594504652501097</v>
      </c>
      <c r="AL290">
        <f t="shared" si="66"/>
        <v>20.007169703954659</v>
      </c>
      <c r="AM290">
        <f t="shared" si="67"/>
        <v>2.2686197697295523</v>
      </c>
    </row>
    <row r="291" spans="1:39" ht="16.5" x14ac:dyDescent="0.25">
      <c r="A291" s="1">
        <v>45280</v>
      </c>
      <c r="B291" s="5">
        <v>11.41</v>
      </c>
      <c r="C291" s="4">
        <v>11.06</v>
      </c>
      <c r="D291" s="4">
        <v>11.54</v>
      </c>
      <c r="E291" s="4">
        <v>11.02</v>
      </c>
      <c r="F291" s="4" t="s">
        <v>1211</v>
      </c>
      <c r="G291" s="2" t="s">
        <v>1881</v>
      </c>
      <c r="I291">
        <f t="shared" si="55"/>
        <v>11.107894736842107</v>
      </c>
      <c r="J291">
        <f t="shared" si="56"/>
        <v>10.355</v>
      </c>
      <c r="L291">
        <f t="shared" si="57"/>
        <v>1</v>
      </c>
      <c r="M291">
        <f t="shared" si="58"/>
        <v>0</v>
      </c>
      <c r="O291">
        <f t="shared" si="59"/>
        <v>0.34999999999999964</v>
      </c>
      <c r="P291">
        <f t="shared" si="60"/>
        <v>0</v>
      </c>
      <c r="R291">
        <f t="shared" si="61"/>
        <v>0.26333333333333342</v>
      </c>
      <c r="S291">
        <f t="shared" si="62"/>
        <v>0.25000000000000033</v>
      </c>
      <c r="AH291">
        <f t="shared" si="63"/>
        <v>4.4292086067693539</v>
      </c>
      <c r="AI291">
        <f t="shared" si="64"/>
        <v>-0.34871517881688341</v>
      </c>
      <c r="AJ291">
        <f t="shared" si="65"/>
        <v>22.5645046525011</v>
      </c>
      <c r="AL291">
        <f t="shared" si="66"/>
        <v>19.966311950380813</v>
      </c>
      <c r="AM291">
        <f t="shared" si="67"/>
        <v>2.2494775233033995</v>
      </c>
    </row>
    <row r="292" spans="1:39" ht="16.5" x14ac:dyDescent="0.25">
      <c r="A292" s="1">
        <v>45279</v>
      </c>
      <c r="B292" s="5">
        <v>11.09</v>
      </c>
      <c r="C292" s="4">
        <v>11.04</v>
      </c>
      <c r="D292" s="4">
        <v>11.21</v>
      </c>
      <c r="E292" s="4">
        <v>10.83</v>
      </c>
      <c r="F292" s="4" t="s">
        <v>1882</v>
      </c>
      <c r="G292" s="2" t="s">
        <v>43</v>
      </c>
      <c r="I292">
        <f t="shared" si="55"/>
        <v>11.077894736842108</v>
      </c>
      <c r="J292">
        <f t="shared" si="56"/>
        <v>10.335999999999999</v>
      </c>
      <c r="L292">
        <f t="shared" si="57"/>
        <v>1</v>
      </c>
      <c r="M292">
        <f t="shared" si="58"/>
        <v>0</v>
      </c>
      <c r="O292">
        <f t="shared" si="59"/>
        <v>5.0000000000000711E-2</v>
      </c>
      <c r="P292">
        <f t="shared" si="60"/>
        <v>0</v>
      </c>
      <c r="R292">
        <f t="shared" si="61"/>
        <v>0.23111111111111132</v>
      </c>
      <c r="S292">
        <f t="shared" si="62"/>
        <v>0.25000000000000033</v>
      </c>
      <c r="AH292">
        <f t="shared" si="63"/>
        <v>4.4234445778599341</v>
      </c>
      <c r="AI292">
        <f t="shared" si="64"/>
        <v>-0.37871517881688277</v>
      </c>
      <c r="AJ292">
        <f t="shared" si="65"/>
        <v>22.534504652501099</v>
      </c>
      <c r="AL292">
        <f t="shared" si="66"/>
        <v>19.924783892561976</v>
      </c>
      <c r="AM292">
        <f t="shared" si="67"/>
        <v>2.2310055811222398</v>
      </c>
    </row>
    <row r="293" spans="1:39" ht="16.5" x14ac:dyDescent="0.25">
      <c r="A293" s="1">
        <v>45278</v>
      </c>
      <c r="B293" s="5">
        <v>11.01</v>
      </c>
      <c r="C293" s="4">
        <v>11.19</v>
      </c>
      <c r="D293" s="4">
        <v>11.44</v>
      </c>
      <c r="E293" s="4">
        <v>10.97</v>
      </c>
      <c r="F293" s="4" t="s">
        <v>1789</v>
      </c>
      <c r="G293" s="2" t="s">
        <v>1883</v>
      </c>
      <c r="I293">
        <f t="shared" si="55"/>
        <v>11.066842105263158</v>
      </c>
      <c r="J293">
        <f t="shared" si="56"/>
        <v>10.329749999999997</v>
      </c>
      <c r="L293">
        <f t="shared" si="57"/>
        <v>0</v>
      </c>
      <c r="M293">
        <f t="shared" si="58"/>
        <v>1</v>
      </c>
      <c r="O293">
        <f t="shared" si="59"/>
        <v>0</v>
      </c>
      <c r="P293">
        <f t="shared" si="60"/>
        <v>0.17999999999999972</v>
      </c>
      <c r="R293">
        <f t="shared" si="61"/>
        <v>0.25888888888888889</v>
      </c>
      <c r="S293">
        <f t="shared" si="62"/>
        <v>0.25000000000000033</v>
      </c>
      <c r="AH293">
        <f t="shared" si="63"/>
        <v>4.4173355049406426</v>
      </c>
      <c r="AI293">
        <f t="shared" si="64"/>
        <v>-0.38976781039583308</v>
      </c>
      <c r="AJ293">
        <f t="shared" si="65"/>
        <v>22.52345202092215</v>
      </c>
      <c r="AL293">
        <f t="shared" si="66"/>
        <v>19.901513115144443</v>
      </c>
      <c r="AM293">
        <f t="shared" si="67"/>
        <v>2.2321710953818723</v>
      </c>
    </row>
    <row r="294" spans="1:39" ht="16.5" x14ac:dyDescent="0.25">
      <c r="A294" s="1">
        <v>45275</v>
      </c>
      <c r="B294" s="5">
        <v>11.38</v>
      </c>
      <c r="C294" s="4">
        <v>11.35</v>
      </c>
      <c r="D294" s="4">
        <v>11.51</v>
      </c>
      <c r="E294" s="4">
        <v>11.19</v>
      </c>
      <c r="F294" s="4" t="s">
        <v>1694</v>
      </c>
      <c r="G294" s="2" t="s">
        <v>1546</v>
      </c>
      <c r="I294">
        <f t="shared" si="55"/>
        <v>11.064736842105264</v>
      </c>
      <c r="J294">
        <f t="shared" si="56"/>
        <v>10.321749999999998</v>
      </c>
      <c r="L294">
        <f t="shared" si="57"/>
        <v>1</v>
      </c>
      <c r="M294">
        <f t="shared" si="58"/>
        <v>0</v>
      </c>
      <c r="O294">
        <f t="shared" si="59"/>
        <v>3.0000000000001137E-2</v>
      </c>
      <c r="P294">
        <f t="shared" si="60"/>
        <v>0</v>
      </c>
      <c r="R294">
        <f t="shared" si="61"/>
        <v>0.25888888888888889</v>
      </c>
      <c r="S294">
        <f t="shared" si="62"/>
        <v>0.24800000000000039</v>
      </c>
      <c r="AH294">
        <f t="shared" si="63"/>
        <v>4.4109753704109371</v>
      </c>
      <c r="AI294">
        <f t="shared" si="64"/>
        <v>-0.39187307355372702</v>
      </c>
      <c r="AJ294">
        <f t="shared" si="65"/>
        <v>22.521346757764256</v>
      </c>
      <c r="AL294">
        <f t="shared" si="66"/>
        <v>19.886687582927138</v>
      </c>
      <c r="AM294">
        <f t="shared" si="67"/>
        <v>2.2427861012833894</v>
      </c>
    </row>
    <row r="295" spans="1:39" ht="16.5" x14ac:dyDescent="0.25">
      <c r="A295" s="1">
        <v>45274</v>
      </c>
      <c r="B295" s="5">
        <v>11.24</v>
      </c>
      <c r="C295" s="4">
        <v>10.68</v>
      </c>
      <c r="D295" s="4">
        <v>11.35</v>
      </c>
      <c r="E295" s="4">
        <v>10.68</v>
      </c>
      <c r="F295" s="4" t="s">
        <v>858</v>
      </c>
      <c r="G295" s="2" t="s">
        <v>1884</v>
      </c>
      <c r="I295">
        <f t="shared" si="55"/>
        <v>11.093157894736841</v>
      </c>
      <c r="J295">
        <f t="shared" si="56"/>
        <v>10.308999999999999</v>
      </c>
      <c r="L295">
        <f t="shared" si="57"/>
        <v>1</v>
      </c>
      <c r="M295">
        <f t="shared" si="58"/>
        <v>0</v>
      </c>
      <c r="O295">
        <f t="shared" si="59"/>
        <v>0.5600000000000005</v>
      </c>
      <c r="P295">
        <f t="shared" si="60"/>
        <v>0</v>
      </c>
      <c r="R295">
        <f t="shared" si="61"/>
        <v>0.25666666666666671</v>
      </c>
      <c r="S295">
        <f t="shared" si="62"/>
        <v>0.24800000000000039</v>
      </c>
      <c r="AH295">
        <f t="shared" si="63"/>
        <v>4.4044071315687052</v>
      </c>
      <c r="AI295">
        <f t="shared" si="64"/>
        <v>-0.3634520209221499</v>
      </c>
      <c r="AJ295">
        <f t="shared" si="65"/>
        <v>22.549767810395831</v>
      </c>
      <c r="AL295">
        <f t="shared" si="66"/>
        <v>19.901972157874251</v>
      </c>
      <c r="AM295">
        <f t="shared" si="67"/>
        <v>2.2843436315994303</v>
      </c>
    </row>
    <row r="296" spans="1:39" ht="16.5" x14ac:dyDescent="0.25">
      <c r="A296" s="1">
        <v>45273</v>
      </c>
      <c r="B296" s="5">
        <v>10.28</v>
      </c>
      <c r="C296" s="4">
        <v>10.56</v>
      </c>
      <c r="D296" s="4">
        <v>10.67</v>
      </c>
      <c r="E296" s="4">
        <v>10.15</v>
      </c>
      <c r="F296" s="4" t="s">
        <v>927</v>
      </c>
      <c r="G296" s="2" t="s">
        <v>1180</v>
      </c>
      <c r="I296">
        <f t="shared" si="55"/>
        <v>11.116315789473683</v>
      </c>
      <c r="J296">
        <f t="shared" si="56"/>
        <v>10.308999999999999</v>
      </c>
      <c r="L296">
        <f t="shared" si="57"/>
        <v>0</v>
      </c>
      <c r="M296">
        <f t="shared" si="58"/>
        <v>1</v>
      </c>
      <c r="O296">
        <f t="shared" si="59"/>
        <v>0</v>
      </c>
      <c r="P296">
        <f t="shared" si="60"/>
        <v>0.28000000000000114</v>
      </c>
      <c r="R296">
        <f t="shared" si="61"/>
        <v>0.20666666666666661</v>
      </c>
      <c r="S296">
        <f t="shared" si="62"/>
        <v>0.24800000000000039</v>
      </c>
      <c r="AH296">
        <f t="shared" si="63"/>
        <v>4.3977961397339271</v>
      </c>
      <c r="AI296">
        <f t="shared" si="64"/>
        <v>-0.34029412618530763</v>
      </c>
      <c r="AJ296">
        <f t="shared" si="65"/>
        <v>22.572925705132675</v>
      </c>
      <c r="AL296">
        <f t="shared" si="66"/>
        <v>19.911908068941536</v>
      </c>
      <c r="AM296">
        <f t="shared" si="67"/>
        <v>2.3207235100058288</v>
      </c>
    </row>
    <row r="297" spans="1:39" ht="16.5" x14ac:dyDescent="0.25">
      <c r="A297" s="1">
        <v>45272</v>
      </c>
      <c r="B297" s="5">
        <v>10.62</v>
      </c>
      <c r="C297" s="4">
        <v>11.09</v>
      </c>
      <c r="D297" s="4">
        <v>11.24</v>
      </c>
      <c r="E297" s="4">
        <v>10.62</v>
      </c>
      <c r="F297" s="4" t="s">
        <v>965</v>
      </c>
      <c r="G297" s="2" t="s">
        <v>1885</v>
      </c>
      <c r="I297">
        <f t="shared" si="55"/>
        <v>11.146842105263156</v>
      </c>
      <c r="J297">
        <f t="shared" si="56"/>
        <v>10.337749999999998</v>
      </c>
      <c r="L297">
        <f t="shared" si="57"/>
        <v>0</v>
      </c>
      <c r="M297">
        <f t="shared" si="58"/>
        <v>1</v>
      </c>
      <c r="O297">
        <f t="shared" si="59"/>
        <v>0</v>
      </c>
      <c r="P297">
        <f t="shared" si="60"/>
        <v>0.47000000000000064</v>
      </c>
      <c r="R297">
        <f t="shared" si="61"/>
        <v>0.191</v>
      </c>
      <c r="S297">
        <f t="shared" si="62"/>
        <v>0.24000000000000021</v>
      </c>
      <c r="AH297">
        <f t="shared" si="63"/>
        <v>4.391111771228223</v>
      </c>
      <c r="AI297">
        <f t="shared" si="64"/>
        <v>-0.30976781039583479</v>
      </c>
      <c r="AJ297">
        <f t="shared" si="65"/>
        <v>22.603452020922148</v>
      </c>
      <c r="AL297">
        <f t="shared" si="66"/>
        <v>19.929065647719604</v>
      </c>
      <c r="AM297">
        <f t="shared" si="67"/>
        <v>2.3646185628067098</v>
      </c>
    </row>
    <row r="298" spans="1:39" ht="16.5" x14ac:dyDescent="0.25">
      <c r="A298" s="1">
        <v>45271</v>
      </c>
      <c r="B298" s="5">
        <v>11.09</v>
      </c>
      <c r="C298" s="4">
        <v>11.21</v>
      </c>
      <c r="D298" s="4">
        <v>11.45</v>
      </c>
      <c r="E298" s="4">
        <v>10.74</v>
      </c>
      <c r="F298" s="4" t="s">
        <v>490</v>
      </c>
      <c r="G298" s="2" t="s">
        <v>1886</v>
      </c>
      <c r="I298">
        <f t="shared" si="55"/>
        <v>11.174736842105261</v>
      </c>
      <c r="J298">
        <f t="shared" si="56"/>
        <v>10.362499999999999</v>
      </c>
      <c r="L298">
        <f t="shared" si="57"/>
        <v>0</v>
      </c>
      <c r="M298">
        <f t="shared" si="58"/>
        <v>1</v>
      </c>
      <c r="O298">
        <f t="shared" si="59"/>
        <v>0</v>
      </c>
      <c r="P298">
        <f t="shared" si="60"/>
        <v>0.12000000000000099</v>
      </c>
      <c r="R298">
        <f t="shared" si="61"/>
        <v>0.191</v>
      </c>
      <c r="S298">
        <f t="shared" si="62"/>
        <v>0.12250000000000005</v>
      </c>
      <c r="AH298">
        <f t="shared" si="63"/>
        <v>4.3843938181690598</v>
      </c>
      <c r="AI298">
        <f t="shared" si="64"/>
        <v>-0.28187307355372937</v>
      </c>
      <c r="AJ298">
        <f t="shared" si="65"/>
        <v>22.631346757764252</v>
      </c>
      <c r="AL298">
        <f t="shared" si="66"/>
        <v>19.943524478443379</v>
      </c>
      <c r="AM298">
        <f t="shared" si="67"/>
        <v>2.4059492057671417</v>
      </c>
    </row>
    <row r="299" spans="1:39" ht="16.5" x14ac:dyDescent="0.25">
      <c r="A299" s="1">
        <v>45268</v>
      </c>
      <c r="B299" s="5">
        <v>11.37</v>
      </c>
      <c r="C299" s="4">
        <v>10.98</v>
      </c>
      <c r="D299" s="4">
        <v>11.49</v>
      </c>
      <c r="E299" s="4">
        <v>10.89</v>
      </c>
      <c r="F299" s="4" t="s">
        <v>1887</v>
      </c>
      <c r="G299" s="2" t="s">
        <v>80</v>
      </c>
      <c r="I299">
        <f t="shared" si="55"/>
        <v>11.130526315789472</v>
      </c>
      <c r="J299">
        <f t="shared" si="56"/>
        <v>10.376749999999999</v>
      </c>
      <c r="L299">
        <f t="shared" si="57"/>
        <v>1</v>
      </c>
      <c r="M299">
        <f t="shared" si="58"/>
        <v>0</v>
      </c>
      <c r="O299">
        <f t="shared" si="59"/>
        <v>0.38999999999999879</v>
      </c>
      <c r="P299">
        <f t="shared" si="60"/>
        <v>0</v>
      </c>
      <c r="R299">
        <f t="shared" si="61"/>
        <v>0.191</v>
      </c>
      <c r="S299">
        <f t="shared" si="62"/>
        <v>0.31999999999999984</v>
      </c>
      <c r="AH299">
        <f t="shared" si="63"/>
        <v>4.3776264325764034</v>
      </c>
      <c r="AI299">
        <f t="shared" si="64"/>
        <v>-0.32608359986951818</v>
      </c>
      <c r="AJ299">
        <f t="shared" si="65"/>
        <v>22.587136231448461</v>
      </c>
      <c r="AL299">
        <f t="shared" si="66"/>
        <v>19.885779180942279</v>
      </c>
      <c r="AM299">
        <f t="shared" si="67"/>
        <v>2.3752734506366657</v>
      </c>
    </row>
    <row r="300" spans="1:39" ht="16.5" x14ac:dyDescent="0.25">
      <c r="A300" s="1">
        <v>45267</v>
      </c>
      <c r="B300" s="5">
        <v>11.62</v>
      </c>
      <c r="C300" s="4">
        <v>11.6</v>
      </c>
      <c r="D300" s="4">
        <v>11.71</v>
      </c>
      <c r="E300" s="4">
        <v>11.48</v>
      </c>
      <c r="F300" s="4" t="s">
        <v>1505</v>
      </c>
      <c r="G300" s="2" t="s">
        <v>1198</v>
      </c>
      <c r="I300">
        <f t="shared" si="55"/>
        <v>11.056315789473684</v>
      </c>
      <c r="J300">
        <f t="shared" si="56"/>
        <v>10.382249999999999</v>
      </c>
      <c r="L300">
        <f t="shared" si="57"/>
        <v>1</v>
      </c>
      <c r="M300">
        <f t="shared" si="58"/>
        <v>0</v>
      </c>
      <c r="O300">
        <f t="shared" si="59"/>
        <v>1.9999999999999574E-2</v>
      </c>
      <c r="P300">
        <f t="shared" si="60"/>
        <v>0</v>
      </c>
      <c r="R300">
        <f t="shared" si="61"/>
        <v>0.15600000000000006</v>
      </c>
      <c r="S300">
        <f t="shared" si="62"/>
        <v>0.31999999999999984</v>
      </c>
      <c r="AH300">
        <f t="shared" si="63"/>
        <v>4.3703949665335076</v>
      </c>
      <c r="AI300">
        <f t="shared" si="64"/>
        <v>-0.40029412618530635</v>
      </c>
      <c r="AJ300">
        <f t="shared" si="65"/>
        <v>22.512925705132673</v>
      </c>
      <c r="AL300">
        <f t="shared" si="66"/>
        <v>19.797105722540699</v>
      </c>
      <c r="AM300">
        <f t="shared" si="67"/>
        <v>2.3155258564066692</v>
      </c>
    </row>
    <row r="301" spans="1:39" ht="16.5" x14ac:dyDescent="0.25">
      <c r="A301" s="1">
        <v>45266</v>
      </c>
      <c r="B301" s="5">
        <v>11.85</v>
      </c>
      <c r="C301" s="4">
        <v>11.69</v>
      </c>
      <c r="D301" s="4">
        <v>11.96</v>
      </c>
      <c r="E301" s="4">
        <v>11.52</v>
      </c>
      <c r="F301" s="4" t="s">
        <v>1572</v>
      </c>
      <c r="G301" s="2" t="s">
        <v>51</v>
      </c>
      <c r="I301">
        <f t="shared" si="55"/>
        <v>10.938947368421054</v>
      </c>
      <c r="J301">
        <f t="shared" si="56"/>
        <v>10.39175</v>
      </c>
      <c r="L301">
        <f t="shared" si="57"/>
        <v>1</v>
      </c>
      <c r="M301">
        <f t="shared" si="58"/>
        <v>0</v>
      </c>
      <c r="O301">
        <f t="shared" si="59"/>
        <v>0.16000000000000014</v>
      </c>
      <c r="P301">
        <f t="shared" si="60"/>
        <v>0</v>
      </c>
      <c r="R301">
        <f t="shared" si="61"/>
        <v>0.23800000000000007</v>
      </c>
      <c r="S301">
        <f t="shared" si="62"/>
        <v>0.31999999999999984</v>
      </c>
      <c r="AH301">
        <f t="shared" si="63"/>
        <v>4.3625073952466877</v>
      </c>
      <c r="AI301">
        <f t="shared" si="64"/>
        <v>-0.51766254723793637</v>
      </c>
      <c r="AJ301">
        <f t="shared" si="65"/>
        <v>22.395557284080045</v>
      </c>
      <c r="AL301">
        <f t="shared" si="66"/>
        <v>19.66396215891443</v>
      </c>
      <c r="AM301">
        <f t="shared" si="67"/>
        <v>2.2139325779276788</v>
      </c>
    </row>
    <row r="302" spans="1:39" ht="16.5" x14ac:dyDescent="0.25">
      <c r="A302" s="1">
        <v>45265</v>
      </c>
      <c r="B302" s="5">
        <v>11.63</v>
      </c>
      <c r="C302" s="4">
        <v>11.26</v>
      </c>
      <c r="D302" s="4">
        <v>11.68</v>
      </c>
      <c r="E302" s="4">
        <v>11.22</v>
      </c>
      <c r="F302" s="4" t="s">
        <v>1531</v>
      </c>
      <c r="G302" s="2" t="s">
        <v>142</v>
      </c>
      <c r="I302">
        <f t="shared" si="55"/>
        <v>10.824736842105263</v>
      </c>
      <c r="J302">
        <f t="shared" si="56"/>
        <v>10.400500000000001</v>
      </c>
      <c r="L302">
        <f t="shared" si="57"/>
        <v>1</v>
      </c>
      <c r="M302">
        <f t="shared" si="58"/>
        <v>0</v>
      </c>
      <c r="O302">
        <f t="shared" si="59"/>
        <v>0.37000000000000099</v>
      </c>
      <c r="P302">
        <f t="shared" si="60"/>
        <v>0</v>
      </c>
      <c r="R302">
        <f t="shared" si="61"/>
        <v>0.24666666666666673</v>
      </c>
      <c r="S302">
        <f t="shared" si="62"/>
        <v>0.3219999999999999</v>
      </c>
      <c r="AH302">
        <f t="shared" si="63"/>
        <v>4.3536767976387702</v>
      </c>
      <c r="AI302">
        <f t="shared" si="64"/>
        <v>-0.63187307355372724</v>
      </c>
      <c r="AJ302">
        <f t="shared" si="65"/>
        <v>22.281346757764254</v>
      </c>
      <c r="AL302">
        <f t="shared" si="66"/>
        <v>19.532090437382806</v>
      </c>
      <c r="AM302">
        <f t="shared" si="67"/>
        <v>2.1173832468277229</v>
      </c>
    </row>
    <row r="303" spans="1:39" ht="16.5" x14ac:dyDescent="0.25">
      <c r="A303" s="1">
        <v>45264</v>
      </c>
      <c r="B303" s="5">
        <v>11.3</v>
      </c>
      <c r="C303" s="4">
        <v>11.5</v>
      </c>
      <c r="D303" s="4">
        <v>11.58</v>
      </c>
      <c r="E303" s="4">
        <v>11.29</v>
      </c>
      <c r="F303" s="4" t="s">
        <v>1888</v>
      </c>
      <c r="G303" s="2" t="s">
        <v>258</v>
      </c>
      <c r="I303">
        <f t="shared" si="55"/>
        <v>10.692105263157897</v>
      </c>
      <c r="J303">
        <f t="shared" si="56"/>
        <v>10.40925</v>
      </c>
      <c r="L303">
        <f t="shared" si="57"/>
        <v>0</v>
      </c>
      <c r="M303">
        <f t="shared" si="58"/>
        <v>1</v>
      </c>
      <c r="O303">
        <f t="shared" si="59"/>
        <v>0</v>
      </c>
      <c r="P303">
        <f t="shared" si="60"/>
        <v>0.19999999999999929</v>
      </c>
      <c r="R303">
        <f t="shared" si="61"/>
        <v>0.27888888888888885</v>
      </c>
      <c r="S303">
        <f t="shared" si="62"/>
        <v>0.3219999999999999</v>
      </c>
      <c r="AH303">
        <f t="shared" si="63"/>
        <v>4.3438796375804474</v>
      </c>
      <c r="AI303">
        <f t="shared" si="64"/>
        <v>-0.76450465250109367</v>
      </c>
      <c r="AJ303">
        <f t="shared" si="65"/>
        <v>22.148715178816886</v>
      </c>
      <c r="AL303">
        <f t="shared" si="66"/>
        <v>19.379864538318792</v>
      </c>
      <c r="AM303">
        <f t="shared" si="67"/>
        <v>2.0043459879970023</v>
      </c>
    </row>
    <row r="304" spans="1:39" ht="16.5" x14ac:dyDescent="0.25">
      <c r="A304" s="1">
        <v>45261</v>
      </c>
      <c r="B304" s="5">
        <v>11.34</v>
      </c>
      <c r="C304" s="4">
        <v>10.9</v>
      </c>
      <c r="D304" s="4">
        <v>11.45</v>
      </c>
      <c r="E304" s="4">
        <v>10.9</v>
      </c>
      <c r="F304" s="4" t="s">
        <v>1630</v>
      </c>
      <c r="G304" s="2" t="s">
        <v>1889</v>
      </c>
      <c r="I304">
        <f t="shared" si="55"/>
        <v>10.587894736842106</v>
      </c>
      <c r="J304">
        <f t="shared" si="56"/>
        <v>10.416499999999999</v>
      </c>
      <c r="L304">
        <f t="shared" si="57"/>
        <v>1</v>
      </c>
      <c r="M304">
        <f t="shared" si="58"/>
        <v>0</v>
      </c>
      <c r="O304">
        <f t="shared" si="59"/>
        <v>0.4399999999999995</v>
      </c>
      <c r="P304">
        <f t="shared" si="60"/>
        <v>0</v>
      </c>
      <c r="R304">
        <f t="shared" si="61"/>
        <v>0.27888888888888885</v>
      </c>
      <c r="S304">
        <f t="shared" si="62"/>
        <v>0.29400000000000015</v>
      </c>
      <c r="AH304">
        <f t="shared" si="63"/>
        <v>4.3329527875626077</v>
      </c>
      <c r="AI304">
        <f t="shared" si="64"/>
        <v>-0.86871517881688476</v>
      </c>
      <c r="AJ304">
        <f t="shared" si="65"/>
        <v>22.044504652501097</v>
      </c>
      <c r="AL304">
        <f t="shared" si="66"/>
        <v>19.253800311967321</v>
      </c>
      <c r="AM304">
        <f t="shared" si="67"/>
        <v>1.9219891617168905</v>
      </c>
    </row>
    <row r="305" spans="1:39" ht="16.5" x14ac:dyDescent="0.25">
      <c r="A305" s="1">
        <v>45260</v>
      </c>
      <c r="B305" s="5">
        <v>10.88</v>
      </c>
      <c r="C305" s="4">
        <v>10.82</v>
      </c>
      <c r="D305" s="4">
        <v>10.97</v>
      </c>
      <c r="E305" s="4">
        <v>10.76</v>
      </c>
      <c r="F305" s="4" t="s">
        <v>143</v>
      </c>
      <c r="G305" s="2" t="s">
        <v>1156</v>
      </c>
      <c r="I305">
        <f t="shared" si="55"/>
        <v>10.485263157894739</v>
      </c>
      <c r="J305">
        <f t="shared" si="56"/>
        <v>10.419499999999999</v>
      </c>
      <c r="L305">
        <f t="shared" si="57"/>
        <v>1</v>
      </c>
      <c r="M305">
        <f t="shared" si="58"/>
        <v>0</v>
      </c>
      <c r="O305">
        <f t="shared" si="59"/>
        <v>6.0000000000000497E-2</v>
      </c>
      <c r="P305">
        <f t="shared" si="60"/>
        <v>0</v>
      </c>
      <c r="R305">
        <f t="shared" si="61"/>
        <v>0.28111111111111126</v>
      </c>
      <c r="S305">
        <f t="shared" si="62"/>
        <v>0.29400000000000015</v>
      </c>
      <c r="AH305">
        <f t="shared" si="63"/>
        <v>4.3210308592740843</v>
      </c>
      <c r="AI305">
        <f t="shared" si="64"/>
        <v>-0.97134675776425183</v>
      </c>
      <c r="AJ305">
        <f t="shared" si="65"/>
        <v>21.94187307355373</v>
      </c>
      <c r="AL305">
        <f t="shared" si="66"/>
        <v>19.127324876442906</v>
      </c>
      <c r="AM305">
        <f t="shared" si="67"/>
        <v>1.8432014393465703</v>
      </c>
    </row>
    <row r="306" spans="1:39" ht="16.5" x14ac:dyDescent="0.25">
      <c r="A306" s="1">
        <v>45259</v>
      </c>
      <c r="B306" s="5">
        <v>10.77</v>
      </c>
      <c r="C306" s="4">
        <v>10.47</v>
      </c>
      <c r="D306" s="4">
        <v>10.98</v>
      </c>
      <c r="E306" s="4">
        <v>10.47</v>
      </c>
      <c r="F306" s="4" t="s">
        <v>1593</v>
      </c>
      <c r="G306" s="2" t="s">
        <v>112</v>
      </c>
      <c r="I306">
        <f t="shared" si="55"/>
        <v>10.415263157894739</v>
      </c>
      <c r="J306">
        <f t="shared" si="56"/>
        <v>10.43675</v>
      </c>
      <c r="L306">
        <f t="shared" si="57"/>
        <v>1</v>
      </c>
      <c r="M306">
        <f t="shared" si="58"/>
        <v>0</v>
      </c>
      <c r="O306">
        <f t="shared" si="59"/>
        <v>0.29999999999999893</v>
      </c>
      <c r="P306">
        <f t="shared" si="60"/>
        <v>0</v>
      </c>
      <c r="R306">
        <f t="shared" si="61"/>
        <v>0.30875000000000008</v>
      </c>
      <c r="S306">
        <f t="shared" si="62"/>
        <v>0.29166666666666669</v>
      </c>
      <c r="AH306">
        <f t="shared" si="63"/>
        <v>4.3080805403751201</v>
      </c>
      <c r="AI306">
        <f t="shared" si="64"/>
        <v>-1.0413467577642521</v>
      </c>
      <c r="AJ306">
        <f t="shared" si="65"/>
        <v>21.871873073553729</v>
      </c>
      <c r="AL306">
        <f t="shared" si="66"/>
        <v>19.031424238644981</v>
      </c>
      <c r="AM306">
        <f t="shared" si="67"/>
        <v>1.7991020771444983</v>
      </c>
    </row>
    <row r="307" spans="1:39" ht="16.5" x14ac:dyDescent="0.25">
      <c r="A307" s="1">
        <v>45258</v>
      </c>
      <c r="B307" s="5">
        <v>10.53</v>
      </c>
      <c r="C307" s="4">
        <v>10.7</v>
      </c>
      <c r="D307" s="4">
        <v>10.8</v>
      </c>
      <c r="E307" s="4">
        <v>10.37</v>
      </c>
      <c r="F307" s="4" t="s">
        <v>826</v>
      </c>
      <c r="G307" s="2" t="s">
        <v>1890</v>
      </c>
      <c r="I307">
        <f t="shared" si="55"/>
        <v>10.310526315789474</v>
      </c>
      <c r="J307">
        <f t="shared" si="56"/>
        <v>10.457750000000001</v>
      </c>
      <c r="L307">
        <f t="shared" si="57"/>
        <v>0</v>
      </c>
      <c r="M307">
        <f t="shared" si="58"/>
        <v>1</v>
      </c>
      <c r="O307">
        <f t="shared" si="59"/>
        <v>0</v>
      </c>
      <c r="P307">
        <f t="shared" si="60"/>
        <v>0.16999999999999993</v>
      </c>
      <c r="R307">
        <f t="shared" si="61"/>
        <v>0.35125000000000028</v>
      </c>
      <c r="S307">
        <f t="shared" si="62"/>
        <v>0.29166666666666669</v>
      </c>
      <c r="AH307">
        <f t="shared" si="63"/>
        <v>4.29428517254689</v>
      </c>
      <c r="AI307">
        <f t="shared" si="64"/>
        <v>-1.1460835998695167</v>
      </c>
      <c r="AJ307">
        <f t="shared" si="65"/>
        <v>21.767136231448465</v>
      </c>
      <c r="AL307">
        <f t="shared" si="66"/>
        <v>18.899096660883252</v>
      </c>
      <c r="AM307">
        <f t="shared" si="67"/>
        <v>1.7219559706956939</v>
      </c>
    </row>
    <row r="308" spans="1:39" ht="16.5" x14ac:dyDescent="0.25">
      <c r="A308" s="1">
        <v>45257</v>
      </c>
      <c r="B308" s="5">
        <v>10.8</v>
      </c>
      <c r="C308" s="4">
        <v>10.79</v>
      </c>
      <c r="D308" s="4">
        <v>10.92</v>
      </c>
      <c r="E308" s="4">
        <v>10.67</v>
      </c>
      <c r="F308" s="4" t="s">
        <v>1423</v>
      </c>
      <c r="G308" s="2" t="s">
        <v>632</v>
      </c>
      <c r="I308">
        <f t="shared" si="55"/>
        <v>10.190526315789475</v>
      </c>
      <c r="J308">
        <f t="shared" si="56"/>
        <v>10.487750000000002</v>
      </c>
      <c r="L308">
        <f t="shared" si="57"/>
        <v>1</v>
      </c>
      <c r="M308">
        <f t="shared" si="58"/>
        <v>0</v>
      </c>
      <c r="O308">
        <f t="shared" si="59"/>
        <v>1.0000000000001563E-2</v>
      </c>
      <c r="P308">
        <f t="shared" si="60"/>
        <v>0</v>
      </c>
      <c r="R308">
        <f t="shared" si="61"/>
        <v>0.35125000000000028</v>
      </c>
      <c r="S308">
        <f t="shared" si="62"/>
        <v>0.31333333333333346</v>
      </c>
      <c r="AH308">
        <f t="shared" si="63"/>
        <v>4.2793618293250848</v>
      </c>
      <c r="AI308">
        <f t="shared" si="64"/>
        <v>-1.2660835998695159</v>
      </c>
      <c r="AJ308">
        <f t="shared" si="65"/>
        <v>21.647136231448464</v>
      </c>
      <c r="AL308">
        <f t="shared" si="66"/>
        <v>18.749249974439643</v>
      </c>
      <c r="AM308">
        <f t="shared" si="67"/>
        <v>1.6318026571393052</v>
      </c>
    </row>
    <row r="309" spans="1:39" ht="16.5" x14ac:dyDescent="0.25">
      <c r="A309" s="1">
        <v>45254</v>
      </c>
      <c r="B309" s="5">
        <v>10.84</v>
      </c>
      <c r="C309" s="4">
        <v>10.73</v>
      </c>
      <c r="D309" s="4">
        <v>10.88</v>
      </c>
      <c r="E309" s="4">
        <v>10.68</v>
      </c>
      <c r="F309" s="4" t="s">
        <v>1391</v>
      </c>
      <c r="G309" s="2" t="s">
        <v>365</v>
      </c>
      <c r="I309">
        <f t="shared" si="55"/>
        <v>10.062631578947366</v>
      </c>
      <c r="J309">
        <f t="shared" si="56"/>
        <v>10.520999999999999</v>
      </c>
      <c r="L309">
        <f t="shared" si="57"/>
        <v>1</v>
      </c>
      <c r="M309">
        <f t="shared" si="58"/>
        <v>0</v>
      </c>
      <c r="O309">
        <f t="shared" si="59"/>
        <v>0.10999999999999943</v>
      </c>
      <c r="P309">
        <f t="shared" si="60"/>
        <v>0</v>
      </c>
      <c r="R309">
        <f t="shared" si="61"/>
        <v>0.39000000000000012</v>
      </c>
      <c r="S309">
        <f t="shared" si="62"/>
        <v>0.31333333333333346</v>
      </c>
      <c r="AH309">
        <f t="shared" si="63"/>
        <v>4.2631461919909883</v>
      </c>
      <c r="AI309">
        <f t="shared" si="64"/>
        <v>-1.3939783367116245</v>
      </c>
      <c r="AJ309">
        <f t="shared" si="65"/>
        <v>21.519241494606355</v>
      </c>
      <c r="AL309">
        <f t="shared" si="66"/>
        <v>18.588923962929343</v>
      </c>
      <c r="AM309">
        <f t="shared" si="67"/>
        <v>1.5363391949653895</v>
      </c>
    </row>
    <row r="310" spans="1:39" ht="16.5" x14ac:dyDescent="0.25">
      <c r="A310" s="1">
        <v>45253</v>
      </c>
      <c r="B310" s="5">
        <v>10.84</v>
      </c>
      <c r="C310" s="4">
        <v>10.79</v>
      </c>
      <c r="D310" s="4">
        <v>11.19</v>
      </c>
      <c r="E310" s="4">
        <v>10.68</v>
      </c>
      <c r="F310" s="4" t="s">
        <v>1402</v>
      </c>
      <c r="G310" s="2" t="s">
        <v>632</v>
      </c>
      <c r="I310">
        <f t="shared" si="55"/>
        <v>9.9363157894736869</v>
      </c>
      <c r="J310">
        <f t="shared" si="56"/>
        <v>10.559500000000002</v>
      </c>
      <c r="L310">
        <f t="shared" si="57"/>
        <v>1</v>
      </c>
      <c r="M310">
        <f t="shared" si="58"/>
        <v>0</v>
      </c>
      <c r="O310">
        <f t="shared" si="59"/>
        <v>5.0000000000000711E-2</v>
      </c>
      <c r="P310">
        <f t="shared" si="60"/>
        <v>0</v>
      </c>
      <c r="R310">
        <f t="shared" si="61"/>
        <v>0.43000000000000022</v>
      </c>
      <c r="S310">
        <f t="shared" si="62"/>
        <v>0.34142857142857153</v>
      </c>
      <c r="AH310">
        <f t="shared" si="63"/>
        <v>4.245515650037583</v>
      </c>
      <c r="AI310">
        <f t="shared" si="64"/>
        <v>-1.5202941261853038</v>
      </c>
      <c r="AJ310">
        <f t="shared" si="65"/>
        <v>21.392925705132676</v>
      </c>
      <c r="AL310">
        <f t="shared" si="66"/>
        <v>18.427347089548853</v>
      </c>
      <c r="AM310">
        <f t="shared" si="67"/>
        <v>1.4452844893985208</v>
      </c>
    </row>
    <row r="311" spans="1:39" ht="16.5" x14ac:dyDescent="0.25">
      <c r="A311" s="1">
        <v>45252</v>
      </c>
      <c r="B311" s="5">
        <v>10.88</v>
      </c>
      <c r="C311" s="4">
        <v>10.88</v>
      </c>
      <c r="D311" s="4">
        <v>11.1</v>
      </c>
      <c r="E311" s="4">
        <v>10.64</v>
      </c>
      <c r="F311" s="4" t="s">
        <v>1048</v>
      </c>
      <c r="G311" s="2" t="s">
        <v>88</v>
      </c>
      <c r="I311">
        <f t="shared" si="55"/>
        <v>9.7600000000000016</v>
      </c>
      <c r="J311">
        <f t="shared" si="56"/>
        <v>10.59125</v>
      </c>
      <c r="L311">
        <f t="shared" si="57"/>
        <v>0</v>
      </c>
      <c r="M311">
        <f t="shared" si="58"/>
        <v>1</v>
      </c>
      <c r="O311">
        <f t="shared" si="59"/>
        <v>0</v>
      </c>
      <c r="P311">
        <f t="shared" si="60"/>
        <v>0</v>
      </c>
      <c r="R311">
        <f t="shared" si="61"/>
        <v>0.50000000000000022</v>
      </c>
      <c r="S311">
        <f t="shared" si="62"/>
        <v>0.34142857142857153</v>
      </c>
      <c r="AH311">
        <f t="shared" si="63"/>
        <v>4.2264122010107501</v>
      </c>
      <c r="AI311">
        <f t="shared" si="64"/>
        <v>-1.6966099156589891</v>
      </c>
      <c r="AJ311">
        <f t="shared" si="65"/>
        <v>21.216609915658992</v>
      </c>
      <c r="AL311">
        <f t="shared" si="66"/>
        <v>18.212824402021504</v>
      </c>
      <c r="AM311">
        <f t="shared" si="67"/>
        <v>1.3071755979785014</v>
      </c>
    </row>
    <row r="312" spans="1:39" ht="16.5" x14ac:dyDescent="0.25">
      <c r="A312" s="1">
        <v>45251</v>
      </c>
      <c r="B312" s="5">
        <v>10.97</v>
      </c>
      <c r="C312" s="4">
        <v>11.88</v>
      </c>
      <c r="D312" s="4">
        <v>12.09</v>
      </c>
      <c r="E312" s="4">
        <v>10.52</v>
      </c>
      <c r="F312" s="4" t="s">
        <v>1891</v>
      </c>
      <c r="G312" s="2" t="s">
        <v>1892</v>
      </c>
      <c r="I312">
        <f t="shared" si="55"/>
        <v>9.5489473684210537</v>
      </c>
      <c r="J312">
        <f t="shared" si="56"/>
        <v>10.624000000000001</v>
      </c>
      <c r="L312">
        <f t="shared" si="57"/>
        <v>0</v>
      </c>
      <c r="M312">
        <f t="shared" si="58"/>
        <v>1</v>
      </c>
      <c r="O312">
        <f t="shared" si="59"/>
        <v>0</v>
      </c>
      <c r="P312">
        <f t="shared" si="60"/>
        <v>0.91000000000000014</v>
      </c>
      <c r="R312">
        <f t="shared" si="61"/>
        <v>0.49125000000000019</v>
      </c>
      <c r="S312">
        <f t="shared" si="62"/>
        <v>0.39833333333333343</v>
      </c>
      <c r="AH312">
        <f t="shared" si="63"/>
        <v>4.2053534962203543</v>
      </c>
      <c r="AI312">
        <f t="shared" si="64"/>
        <v>-1.9076625472379369</v>
      </c>
      <c r="AJ312">
        <f t="shared" si="65"/>
        <v>21.005557284080044</v>
      </c>
      <c r="AL312">
        <f t="shared" si="66"/>
        <v>17.959654360861762</v>
      </c>
      <c r="AM312">
        <f t="shared" si="67"/>
        <v>1.1382403759803452</v>
      </c>
    </row>
    <row r="313" spans="1:39" ht="16.5" x14ac:dyDescent="0.25">
      <c r="A313" s="1">
        <v>45250</v>
      </c>
      <c r="B313" s="5">
        <v>11.92</v>
      </c>
      <c r="C313" s="4">
        <v>11.88</v>
      </c>
      <c r="D313" s="4">
        <v>12.09</v>
      </c>
      <c r="E313" s="4">
        <v>11.65</v>
      </c>
      <c r="F313" s="4" t="s">
        <v>1893</v>
      </c>
      <c r="G313" s="2" t="s">
        <v>289</v>
      </c>
      <c r="I313">
        <f t="shared" si="55"/>
        <v>9.5321052631578951</v>
      </c>
      <c r="J313">
        <f t="shared" si="56"/>
        <v>10.64775</v>
      </c>
      <c r="L313">
        <f t="shared" si="57"/>
        <v>1</v>
      </c>
      <c r="M313">
        <f t="shared" si="58"/>
        <v>0</v>
      </c>
      <c r="O313">
        <f t="shared" si="59"/>
        <v>3.9999999999999147E-2</v>
      </c>
      <c r="P313">
        <f t="shared" si="60"/>
        <v>0</v>
      </c>
      <c r="R313">
        <f t="shared" si="61"/>
        <v>0.49125000000000019</v>
      </c>
      <c r="S313">
        <f t="shared" si="62"/>
        <v>0.25833333333333347</v>
      </c>
      <c r="AH313">
        <f t="shared" si="63"/>
        <v>4.1819299761016344</v>
      </c>
      <c r="AI313">
        <f t="shared" si="64"/>
        <v>-1.9245046525010956</v>
      </c>
      <c r="AJ313">
        <f t="shared" si="65"/>
        <v>20.988715178816886</v>
      </c>
      <c r="AL313">
        <f t="shared" si="66"/>
        <v>17.895965215361166</v>
      </c>
      <c r="AM313">
        <f t="shared" si="67"/>
        <v>1.1682453109546262</v>
      </c>
    </row>
    <row r="314" spans="1:39" ht="16.5" x14ac:dyDescent="0.25">
      <c r="A314" s="1">
        <v>45247</v>
      </c>
      <c r="B314" s="5">
        <v>11.68</v>
      </c>
      <c r="C314" s="4">
        <v>10.84</v>
      </c>
      <c r="D314" s="4">
        <v>11.75</v>
      </c>
      <c r="E314" s="4">
        <v>10.84</v>
      </c>
      <c r="F314" s="4" t="s">
        <v>1894</v>
      </c>
      <c r="G314" s="2" t="s">
        <v>1895</v>
      </c>
      <c r="I314">
        <f t="shared" si="55"/>
        <v>9.4752631578947391</v>
      </c>
      <c r="J314">
        <f t="shared" si="56"/>
        <v>10.660750000000002</v>
      </c>
      <c r="L314">
        <f t="shared" si="57"/>
        <v>1</v>
      </c>
      <c r="M314">
        <f t="shared" si="58"/>
        <v>0</v>
      </c>
      <c r="O314">
        <f t="shared" si="59"/>
        <v>0.83999999999999986</v>
      </c>
      <c r="P314">
        <f t="shared" si="60"/>
        <v>0</v>
      </c>
      <c r="R314">
        <f t="shared" si="61"/>
        <v>0.55571428571428605</v>
      </c>
      <c r="S314">
        <f t="shared" si="62"/>
        <v>0.22571428571428598</v>
      </c>
      <c r="AH314">
        <f t="shared" si="63"/>
        <v>4.1577027825767896</v>
      </c>
      <c r="AI314">
        <f t="shared" si="64"/>
        <v>-1.9813467577642516</v>
      </c>
      <c r="AJ314">
        <f t="shared" si="65"/>
        <v>20.931873073553732</v>
      </c>
      <c r="AL314">
        <f t="shared" si="66"/>
        <v>17.79066872304832</v>
      </c>
      <c r="AM314">
        <f t="shared" si="67"/>
        <v>1.1598575927411598</v>
      </c>
    </row>
    <row r="315" spans="1:39" ht="16.5" x14ac:dyDescent="0.25">
      <c r="A315" s="1">
        <v>45246</v>
      </c>
      <c r="B315" s="5">
        <v>10.86</v>
      </c>
      <c r="C315" s="4">
        <v>11.19</v>
      </c>
      <c r="D315" s="4">
        <v>11.29</v>
      </c>
      <c r="E315" s="4">
        <v>10.63</v>
      </c>
      <c r="F315" s="4" t="s">
        <v>1077</v>
      </c>
      <c r="G315" s="2" t="s">
        <v>1847</v>
      </c>
      <c r="I315">
        <f t="shared" si="55"/>
        <v>9.4231578947368426</v>
      </c>
      <c r="J315">
        <f t="shared" si="56"/>
        <v>10.677500000000002</v>
      </c>
      <c r="L315">
        <f t="shared" si="57"/>
        <v>0</v>
      </c>
      <c r="M315">
        <f t="shared" si="58"/>
        <v>1</v>
      </c>
      <c r="O315">
        <f t="shared" si="59"/>
        <v>0</v>
      </c>
      <c r="P315">
        <f t="shared" si="60"/>
        <v>0.33000000000000007</v>
      </c>
      <c r="R315">
        <f t="shared" si="61"/>
        <v>0.50833333333333375</v>
      </c>
      <c r="S315">
        <f t="shared" si="62"/>
        <v>0.23375000000000035</v>
      </c>
      <c r="AH315">
        <f t="shared" si="63"/>
        <v>4.1322866988157578</v>
      </c>
      <c r="AI315">
        <f t="shared" si="64"/>
        <v>-2.0334520209221481</v>
      </c>
      <c r="AJ315">
        <f t="shared" si="65"/>
        <v>20.879767810395833</v>
      </c>
      <c r="AL315">
        <f t="shared" si="66"/>
        <v>17.687731292368358</v>
      </c>
      <c r="AM315">
        <f t="shared" si="67"/>
        <v>1.158584497105327</v>
      </c>
    </row>
    <row r="316" spans="1:39" ht="16.5" x14ac:dyDescent="0.25">
      <c r="A316" s="1">
        <v>45245</v>
      </c>
      <c r="B316" s="5">
        <v>11.15</v>
      </c>
      <c r="C316" s="4">
        <v>10.49</v>
      </c>
      <c r="D316" s="4">
        <v>11.35</v>
      </c>
      <c r="E316" s="4">
        <v>10.44</v>
      </c>
      <c r="F316" s="4" t="s">
        <v>1896</v>
      </c>
      <c r="G316" s="2" t="s">
        <v>1897</v>
      </c>
      <c r="I316">
        <f t="shared" si="55"/>
        <v>9.4236842105263161</v>
      </c>
      <c r="J316">
        <f t="shared" si="56"/>
        <v>10.711750000000002</v>
      </c>
      <c r="L316">
        <f t="shared" si="57"/>
        <v>1</v>
      </c>
      <c r="M316">
        <f t="shared" si="58"/>
        <v>0</v>
      </c>
      <c r="O316">
        <f t="shared" si="59"/>
        <v>0.66000000000000014</v>
      </c>
      <c r="P316">
        <f t="shared" si="60"/>
        <v>0</v>
      </c>
      <c r="R316">
        <f t="shared" si="61"/>
        <v>0.47571428571428609</v>
      </c>
      <c r="S316">
        <f t="shared" si="62"/>
        <v>0.22000000000000039</v>
      </c>
      <c r="AH316">
        <f t="shared" si="63"/>
        <v>4.1056728433468512</v>
      </c>
      <c r="AI316">
        <f t="shared" si="64"/>
        <v>-2.0329257051326746</v>
      </c>
      <c r="AJ316">
        <f t="shared" si="65"/>
        <v>20.880294126185305</v>
      </c>
      <c r="AL316">
        <f t="shared" si="66"/>
        <v>17.635029897220019</v>
      </c>
      <c r="AM316">
        <f t="shared" si="67"/>
        <v>1.2123385238326136</v>
      </c>
    </row>
    <row r="317" spans="1:39" ht="16.5" x14ac:dyDescent="0.25">
      <c r="A317" s="1">
        <v>45244</v>
      </c>
      <c r="B317" s="5">
        <v>10.25</v>
      </c>
      <c r="C317" s="4">
        <v>10.31</v>
      </c>
      <c r="D317" s="4">
        <v>10.38</v>
      </c>
      <c r="E317" s="4">
        <v>9.9600000000000009</v>
      </c>
      <c r="F317" s="4" t="s">
        <v>1898</v>
      </c>
      <c r="G317" s="2" t="s">
        <v>1899</v>
      </c>
      <c r="I317">
        <f t="shared" si="55"/>
        <v>9.4284210526315793</v>
      </c>
      <c r="J317">
        <f t="shared" si="56"/>
        <v>10.748500000000002</v>
      </c>
      <c r="L317">
        <f t="shared" si="57"/>
        <v>0</v>
      </c>
      <c r="M317">
        <f t="shared" si="58"/>
        <v>1</v>
      </c>
      <c r="O317">
        <f t="shared" si="59"/>
        <v>0</v>
      </c>
      <c r="P317">
        <f t="shared" si="60"/>
        <v>6.0000000000000497E-2</v>
      </c>
      <c r="R317">
        <f t="shared" si="61"/>
        <v>0.44500000000000045</v>
      </c>
      <c r="S317">
        <f t="shared" si="62"/>
        <v>0.57125000000000037</v>
      </c>
      <c r="AH317">
        <f t="shared" si="63"/>
        <v>4.0782968309313734</v>
      </c>
      <c r="AI317">
        <f t="shared" si="64"/>
        <v>-2.0281888630274114</v>
      </c>
      <c r="AJ317">
        <f t="shared" si="65"/>
        <v>20.885030968290572</v>
      </c>
      <c r="AL317">
        <f t="shared" si="66"/>
        <v>17.585014714494328</v>
      </c>
      <c r="AM317">
        <f t="shared" si="67"/>
        <v>1.2718273907688324</v>
      </c>
    </row>
    <row r="318" spans="1:39" ht="16.5" x14ac:dyDescent="0.25">
      <c r="A318" s="1">
        <v>45243</v>
      </c>
      <c r="B318" s="5">
        <v>9.9600000000000009</v>
      </c>
      <c r="C318" s="4">
        <v>9.5</v>
      </c>
      <c r="D318" s="4">
        <v>10.039999999999999</v>
      </c>
      <c r="E318" s="4">
        <v>9.44</v>
      </c>
      <c r="F318" s="4" t="s">
        <v>1900</v>
      </c>
      <c r="G318" s="2" t="s">
        <v>1901</v>
      </c>
      <c r="I318">
        <f t="shared" si="55"/>
        <v>9.4905263157894755</v>
      </c>
      <c r="J318">
        <f t="shared" si="56"/>
        <v>10.806000000000001</v>
      </c>
      <c r="L318">
        <f t="shared" si="57"/>
        <v>1</v>
      </c>
      <c r="M318">
        <f t="shared" si="58"/>
        <v>0</v>
      </c>
      <c r="O318">
        <f t="shared" si="59"/>
        <v>0.46000000000000085</v>
      </c>
      <c r="P318">
        <f t="shared" si="60"/>
        <v>0</v>
      </c>
      <c r="R318">
        <f t="shared" si="61"/>
        <v>0.44500000000000045</v>
      </c>
      <c r="S318">
        <f t="shared" si="62"/>
        <v>0.59750000000000025</v>
      </c>
      <c r="AH318">
        <f t="shared" si="63"/>
        <v>4.0501696271247019</v>
      </c>
      <c r="AI318">
        <f t="shared" si="64"/>
        <v>-1.9660835998695152</v>
      </c>
      <c r="AJ318">
        <f t="shared" si="65"/>
        <v>20.947136231448468</v>
      </c>
      <c r="AL318">
        <f t="shared" si="66"/>
        <v>17.590865570038879</v>
      </c>
      <c r="AM318">
        <f t="shared" si="67"/>
        <v>1.3901870615400718</v>
      </c>
    </row>
    <row r="319" spans="1:39" ht="16.5" x14ac:dyDescent="0.25">
      <c r="A319" s="1">
        <v>45240</v>
      </c>
      <c r="B319" s="5">
        <v>9.39</v>
      </c>
      <c r="C319" s="4">
        <v>9.67</v>
      </c>
      <c r="D319" s="4">
        <v>9.73</v>
      </c>
      <c r="E319" s="4">
        <v>9.2799999999999994</v>
      </c>
      <c r="F319" s="4" t="s">
        <v>1000</v>
      </c>
      <c r="G319" s="2" t="s">
        <v>1902</v>
      </c>
      <c r="I319">
        <f t="shared" si="55"/>
        <v>9.5773684210526326</v>
      </c>
      <c r="J319">
        <f t="shared" si="56"/>
        <v>10.871750000000002</v>
      </c>
      <c r="L319">
        <f t="shared" si="57"/>
        <v>0</v>
      </c>
      <c r="M319">
        <f t="shared" si="58"/>
        <v>1</v>
      </c>
      <c r="O319">
        <f t="shared" si="59"/>
        <v>0</v>
      </c>
      <c r="P319">
        <f t="shared" si="60"/>
        <v>0.27999999999999936</v>
      </c>
      <c r="R319">
        <f t="shared" si="61"/>
        <v>0.37833333333333369</v>
      </c>
      <c r="S319">
        <f t="shared" si="62"/>
        <v>0.59750000000000025</v>
      </c>
      <c r="AH319">
        <f t="shared" si="63"/>
        <v>4.0218084547926063</v>
      </c>
      <c r="AI319">
        <f t="shared" si="64"/>
        <v>-1.879241494606358</v>
      </c>
      <c r="AJ319">
        <f t="shared" si="65"/>
        <v>21.033978336711623</v>
      </c>
      <c r="AL319">
        <f t="shared" si="66"/>
        <v>17.620985330637843</v>
      </c>
      <c r="AM319">
        <f t="shared" si="67"/>
        <v>1.5337515114674201</v>
      </c>
    </row>
    <row r="320" spans="1:39" ht="16.5" x14ac:dyDescent="0.25">
      <c r="A320" s="1">
        <v>45239</v>
      </c>
      <c r="B320" s="5">
        <v>9.68</v>
      </c>
      <c r="C320" s="4">
        <v>9.0399999999999991</v>
      </c>
      <c r="D320" s="4">
        <v>9.83</v>
      </c>
      <c r="E320" s="4">
        <v>9.0399999999999991</v>
      </c>
      <c r="F320" s="4" t="s">
        <v>1245</v>
      </c>
      <c r="G320" s="2" t="s">
        <v>1903</v>
      </c>
      <c r="I320">
        <f t="shared" si="55"/>
        <v>9.6968421052631601</v>
      </c>
      <c r="J320">
        <f t="shared" si="56"/>
        <v>10.959500000000002</v>
      </c>
      <c r="L320">
        <f t="shared" si="57"/>
        <v>1</v>
      </c>
      <c r="M320">
        <f t="shared" si="58"/>
        <v>0</v>
      </c>
      <c r="O320">
        <f t="shared" si="59"/>
        <v>0.64000000000000057</v>
      </c>
      <c r="P320">
        <f t="shared" si="60"/>
        <v>0</v>
      </c>
      <c r="R320">
        <f t="shared" si="61"/>
        <v>0.37833333333333369</v>
      </c>
      <c r="S320">
        <f t="shared" si="62"/>
        <v>0.5850000000000003</v>
      </c>
      <c r="AH320">
        <f t="shared" si="63"/>
        <v>3.9934425455977589</v>
      </c>
      <c r="AI320">
        <f t="shared" si="64"/>
        <v>-1.7597678103958305</v>
      </c>
      <c r="AJ320">
        <f t="shared" si="65"/>
        <v>21.153452020922153</v>
      </c>
      <c r="AL320">
        <f t="shared" si="66"/>
        <v>17.683727196458676</v>
      </c>
      <c r="AM320">
        <f t="shared" si="67"/>
        <v>1.7099570140676423</v>
      </c>
    </row>
    <row r="321" spans="1:39" ht="16.5" x14ac:dyDescent="0.25">
      <c r="A321" s="1">
        <v>45238</v>
      </c>
      <c r="B321" s="5">
        <v>9.11</v>
      </c>
      <c r="C321" s="4">
        <v>9.41</v>
      </c>
      <c r="D321" s="4">
        <v>9.9499999999999993</v>
      </c>
      <c r="E321" s="4">
        <v>9.09</v>
      </c>
      <c r="F321" s="4" t="s">
        <v>1904</v>
      </c>
      <c r="G321" s="2" t="s">
        <v>1905</v>
      </c>
      <c r="I321">
        <f t="shared" si="55"/>
        <v>9.7973684210526333</v>
      </c>
      <c r="J321">
        <f t="shared" si="56"/>
        <v>11.040250000000004</v>
      </c>
      <c r="L321">
        <f t="shared" si="57"/>
        <v>0</v>
      </c>
      <c r="M321">
        <f t="shared" si="58"/>
        <v>1</v>
      </c>
      <c r="O321">
        <f t="shared" si="59"/>
        <v>0</v>
      </c>
      <c r="P321">
        <f t="shared" si="60"/>
        <v>0.30000000000000071</v>
      </c>
      <c r="R321">
        <f t="shared" si="61"/>
        <v>0.32600000000000035</v>
      </c>
      <c r="S321">
        <f t="shared" si="62"/>
        <v>0.54777777777777803</v>
      </c>
      <c r="AH321">
        <f t="shared" si="63"/>
        <v>3.9653842780096498</v>
      </c>
      <c r="AI321">
        <f t="shared" si="64"/>
        <v>-1.6592414946063574</v>
      </c>
      <c r="AJ321">
        <f t="shared" si="65"/>
        <v>21.253978336711626</v>
      </c>
      <c r="AL321">
        <f t="shared" si="66"/>
        <v>17.728136977071934</v>
      </c>
      <c r="AM321">
        <f t="shared" si="67"/>
        <v>1.8665998650333337</v>
      </c>
    </row>
    <row r="322" spans="1:39" ht="16.5" x14ac:dyDescent="0.25">
      <c r="A322" s="1">
        <v>45237</v>
      </c>
      <c r="B322" s="5">
        <v>9.32</v>
      </c>
      <c r="C322" s="4">
        <v>9</v>
      </c>
      <c r="D322" s="4">
        <v>9.4700000000000006</v>
      </c>
      <c r="E322" s="4">
        <v>8.77</v>
      </c>
      <c r="F322" s="4" t="s">
        <v>987</v>
      </c>
      <c r="G322" s="2" t="s">
        <v>501</v>
      </c>
      <c r="I322">
        <f t="shared" ref="I322:I385" si="68">AVERAGE(B322:B340)</f>
        <v>9.9494736842105276</v>
      </c>
      <c r="J322">
        <f t="shared" ref="J322:J385" si="69">AVERAGE(B322:B361)</f>
        <v>11.122250000000001</v>
      </c>
      <c r="L322">
        <f t="shared" si="57"/>
        <v>1</v>
      </c>
      <c r="M322">
        <f t="shared" si="58"/>
        <v>0</v>
      </c>
      <c r="O322">
        <f t="shared" si="59"/>
        <v>0.32000000000000028</v>
      </c>
      <c r="P322">
        <f t="shared" si="60"/>
        <v>0</v>
      </c>
      <c r="R322">
        <f t="shared" si="61"/>
        <v>0.32600000000000035</v>
      </c>
      <c r="S322">
        <f t="shared" si="62"/>
        <v>0.5211111111111113</v>
      </c>
      <c r="AH322">
        <f t="shared" si="63"/>
        <v>3.9374601907580189</v>
      </c>
      <c r="AI322">
        <f t="shared" si="64"/>
        <v>-1.5071362314484631</v>
      </c>
      <c r="AJ322">
        <f t="shared" si="65"/>
        <v>21.406083599869518</v>
      </c>
      <c r="AL322">
        <f t="shared" si="66"/>
        <v>17.824394065726565</v>
      </c>
      <c r="AM322">
        <f t="shared" si="67"/>
        <v>2.0745533026944898</v>
      </c>
    </row>
    <row r="323" spans="1:39" ht="16.5" x14ac:dyDescent="0.25">
      <c r="A323" s="1">
        <v>45236</v>
      </c>
      <c r="B323" s="5">
        <v>9.39</v>
      </c>
      <c r="C323" s="4">
        <v>9.9</v>
      </c>
      <c r="D323" s="4">
        <v>10</v>
      </c>
      <c r="E323" s="4">
        <v>9.2200000000000006</v>
      </c>
      <c r="F323" s="4" t="s">
        <v>1263</v>
      </c>
      <c r="G323" s="2" t="s">
        <v>598</v>
      </c>
      <c r="I323">
        <f t="shared" si="68"/>
        <v>10.101052631578948</v>
      </c>
      <c r="J323">
        <f t="shared" si="69"/>
        <v>11.195250000000001</v>
      </c>
      <c r="L323">
        <f t="shared" ref="L323:L386" si="70">IF($C323&lt;$B323,1,0)</f>
        <v>0</v>
      </c>
      <c r="M323">
        <f t="shared" ref="M323:M386" si="71">IF($C323&lt;$B323,0,1)</f>
        <v>1</v>
      </c>
      <c r="O323">
        <f t="shared" ref="O323:O386" si="72">IF($C323&lt;$B323,B323-C323,0)</f>
        <v>0</v>
      </c>
      <c r="P323">
        <f t="shared" ref="P323:P386" si="73">IF($B323&lt;$C323,C323-B323,0)</f>
        <v>0.50999999999999979</v>
      </c>
      <c r="R323">
        <f t="shared" ref="R323:R386" si="74">SUM(O323:O336)/SUM(L323:L336)</f>
        <v>0.32750000000000035</v>
      </c>
      <c r="S323">
        <f t="shared" ref="S323:S386" si="75">SUM(P323:P336)/SUM(M323:M336)</f>
        <v>0.48600000000000021</v>
      </c>
      <c r="AH323">
        <f t="shared" ref="AH323:AH386" si="76">_xlfn.STDEV.S(I323:I853)</f>
        <v>3.9101685874395051</v>
      </c>
      <c r="AI323">
        <f t="shared" ref="AI323:AI386" si="77">I323-$AH$2</f>
        <v>-1.3555572840800423</v>
      </c>
      <c r="AJ323">
        <f t="shared" ref="AJ323:AJ386" si="78">I323+$AH$2</f>
        <v>21.557662547237939</v>
      </c>
      <c r="AL323">
        <f t="shared" ref="AL323:AL386" si="79">I323+(AH323*2)</f>
        <v>17.92138980645796</v>
      </c>
      <c r="AM323">
        <f t="shared" ref="AM323:AM386" si="80">I323-(AH323*2)</f>
        <v>2.2807154566999381</v>
      </c>
    </row>
    <row r="324" spans="1:39" ht="16.5" x14ac:dyDescent="0.25">
      <c r="A324" s="1">
        <v>45233</v>
      </c>
      <c r="B324" s="5">
        <v>9.5500000000000007</v>
      </c>
      <c r="C324" s="4">
        <v>9.01</v>
      </c>
      <c r="D324" s="4">
        <v>9.81</v>
      </c>
      <c r="E324" s="4">
        <v>8.9700000000000006</v>
      </c>
      <c r="F324" s="4" t="s">
        <v>1906</v>
      </c>
      <c r="G324" s="2" t="s">
        <v>1907</v>
      </c>
      <c r="I324">
        <f t="shared" si="68"/>
        <v>10.237368421052629</v>
      </c>
      <c r="J324">
        <f t="shared" si="69"/>
        <v>11.270250000000001</v>
      </c>
      <c r="L324">
        <f t="shared" si="70"/>
        <v>1</v>
      </c>
      <c r="M324">
        <f t="shared" si="71"/>
        <v>0</v>
      </c>
      <c r="O324">
        <f t="shared" si="72"/>
        <v>0.54000000000000092</v>
      </c>
      <c r="P324">
        <f t="shared" si="73"/>
        <v>0</v>
      </c>
      <c r="R324">
        <f t="shared" si="74"/>
        <v>0.32750000000000035</v>
      </c>
      <c r="S324">
        <f t="shared" si="75"/>
        <v>0.44000000000000028</v>
      </c>
      <c r="AH324">
        <f t="shared" si="76"/>
        <v>3.8835170409688895</v>
      </c>
      <c r="AI324">
        <f t="shared" si="77"/>
        <v>-1.2192414946063614</v>
      </c>
      <c r="AJ324">
        <f t="shared" si="78"/>
        <v>21.69397833671162</v>
      </c>
      <c r="AL324">
        <f t="shared" si="79"/>
        <v>18.004402502990409</v>
      </c>
      <c r="AM324">
        <f t="shared" si="80"/>
        <v>2.4703343391148502</v>
      </c>
    </row>
    <row r="325" spans="1:39" ht="16.5" x14ac:dyDescent="0.25">
      <c r="A325" s="1">
        <v>45232</v>
      </c>
      <c r="B325" s="5">
        <v>8.7799999999999994</v>
      </c>
      <c r="C325" s="4">
        <v>8.35</v>
      </c>
      <c r="D325" s="4">
        <v>8.99</v>
      </c>
      <c r="E325" s="4">
        <v>8.2799999999999994</v>
      </c>
      <c r="F325" s="4" t="s">
        <v>881</v>
      </c>
      <c r="G325" s="2" t="s">
        <v>1908</v>
      </c>
      <c r="I325">
        <f t="shared" si="68"/>
        <v>10.344736842105263</v>
      </c>
      <c r="J325">
        <f t="shared" si="69"/>
        <v>11.337000000000002</v>
      </c>
      <c r="L325">
        <f t="shared" si="70"/>
        <v>1</v>
      </c>
      <c r="M325">
        <f t="shared" si="71"/>
        <v>0</v>
      </c>
      <c r="O325">
        <f t="shared" si="72"/>
        <v>0.42999999999999972</v>
      </c>
      <c r="P325">
        <f t="shared" si="73"/>
        <v>0</v>
      </c>
      <c r="R325">
        <f t="shared" si="74"/>
        <v>0.20750000000000024</v>
      </c>
      <c r="S325">
        <f t="shared" si="75"/>
        <v>0.44000000000000028</v>
      </c>
      <c r="AH325">
        <f t="shared" si="76"/>
        <v>3.8573730646134479</v>
      </c>
      <c r="AI325">
        <f t="shared" si="77"/>
        <v>-1.1118730735537277</v>
      </c>
      <c r="AJ325">
        <f t="shared" si="78"/>
        <v>21.801346757764254</v>
      </c>
      <c r="AL325">
        <f t="shared" si="79"/>
        <v>18.059482971332159</v>
      </c>
      <c r="AM325">
        <f t="shared" si="80"/>
        <v>2.6299907128783673</v>
      </c>
    </row>
    <row r="326" spans="1:39" ht="16.5" x14ac:dyDescent="0.25">
      <c r="A326" s="1">
        <v>45231</v>
      </c>
      <c r="B326" s="5">
        <v>8.25</v>
      </c>
      <c r="C326" s="4">
        <v>8.32</v>
      </c>
      <c r="D326" s="4">
        <v>8.4600000000000009</v>
      </c>
      <c r="E326" s="4">
        <v>8.14</v>
      </c>
      <c r="F326" s="4" t="s">
        <v>1909</v>
      </c>
      <c r="G326" s="2" t="s">
        <v>1910</v>
      </c>
      <c r="I326">
        <f t="shared" si="68"/>
        <v>10.485789473684211</v>
      </c>
      <c r="J326">
        <f t="shared" si="69"/>
        <v>11.4275</v>
      </c>
      <c r="L326">
        <f t="shared" si="70"/>
        <v>0</v>
      </c>
      <c r="M326">
        <f t="shared" si="71"/>
        <v>1</v>
      </c>
      <c r="O326">
        <f t="shared" si="72"/>
        <v>0</v>
      </c>
      <c r="P326">
        <f t="shared" si="73"/>
        <v>7.0000000000000284E-2</v>
      </c>
      <c r="R326">
        <f t="shared" si="74"/>
        <v>0.13333333333333375</v>
      </c>
      <c r="S326">
        <f t="shared" si="75"/>
        <v>0.42636363636363672</v>
      </c>
      <c r="AH326">
        <f t="shared" si="76"/>
        <v>3.8314722646114108</v>
      </c>
      <c r="AI326">
        <f t="shared" si="77"/>
        <v>-0.97082044197478012</v>
      </c>
      <c r="AJ326">
        <f t="shared" si="78"/>
        <v>21.942399389343201</v>
      </c>
      <c r="AL326">
        <f t="shared" si="79"/>
        <v>18.148734002907034</v>
      </c>
      <c r="AM326">
        <f t="shared" si="80"/>
        <v>2.822844944461389</v>
      </c>
    </row>
    <row r="327" spans="1:39" ht="16.5" x14ac:dyDescent="0.25">
      <c r="A327" s="1">
        <v>45230</v>
      </c>
      <c r="B327" s="5">
        <v>8.3699999999999992</v>
      </c>
      <c r="C327" s="4">
        <v>8.4</v>
      </c>
      <c r="D327" s="4">
        <v>8.68</v>
      </c>
      <c r="E327" s="4">
        <v>7.98</v>
      </c>
      <c r="F327" s="4" t="s">
        <v>1911</v>
      </c>
      <c r="G327" s="2" t="s">
        <v>1912</v>
      </c>
      <c r="I327">
        <f t="shared" si="68"/>
        <v>10.660526315789472</v>
      </c>
      <c r="J327">
        <f t="shared" si="69"/>
        <v>11.537249999999998</v>
      </c>
      <c r="L327">
        <f t="shared" si="70"/>
        <v>0</v>
      </c>
      <c r="M327">
        <f t="shared" si="71"/>
        <v>1</v>
      </c>
      <c r="O327">
        <f t="shared" si="72"/>
        <v>0</v>
      </c>
      <c r="P327">
        <f t="shared" si="73"/>
        <v>3.0000000000001137E-2</v>
      </c>
      <c r="R327">
        <f t="shared" si="74"/>
        <v>0.13333333333333375</v>
      </c>
      <c r="S327">
        <f t="shared" si="75"/>
        <v>0.43727272727272753</v>
      </c>
      <c r="AH327">
        <f t="shared" si="76"/>
        <v>3.8061416977153768</v>
      </c>
      <c r="AI327">
        <f t="shared" si="77"/>
        <v>-0.79608359986951882</v>
      </c>
      <c r="AJ327">
        <f t="shared" si="78"/>
        <v>22.117136231448463</v>
      </c>
      <c r="AL327">
        <f t="shared" si="79"/>
        <v>18.272809711220226</v>
      </c>
      <c r="AM327">
        <f t="shared" si="80"/>
        <v>3.0482429203587182</v>
      </c>
    </row>
    <row r="328" spans="1:39" ht="16.5" x14ac:dyDescent="0.25">
      <c r="A328" s="1">
        <v>45229</v>
      </c>
      <c r="B328" s="5">
        <v>8.44</v>
      </c>
      <c r="C328" s="4">
        <v>8.73</v>
      </c>
      <c r="D328" s="4">
        <v>8.74</v>
      </c>
      <c r="E328" s="4">
        <v>7.62</v>
      </c>
      <c r="F328" s="4" t="s">
        <v>1913</v>
      </c>
      <c r="G328" s="2" t="s">
        <v>1914</v>
      </c>
      <c r="I328">
        <f t="shared" si="68"/>
        <v>10.831052631578945</v>
      </c>
      <c r="J328">
        <f t="shared" si="69"/>
        <v>11.641999999999999</v>
      </c>
      <c r="L328">
        <f t="shared" si="70"/>
        <v>0</v>
      </c>
      <c r="M328">
        <f t="shared" si="71"/>
        <v>1</v>
      </c>
      <c r="O328">
        <f t="shared" si="72"/>
        <v>0</v>
      </c>
      <c r="P328">
        <f t="shared" si="73"/>
        <v>0.29000000000000092</v>
      </c>
      <c r="R328">
        <f t="shared" si="74"/>
        <v>0.15250000000000008</v>
      </c>
      <c r="S328">
        <f t="shared" si="75"/>
        <v>0.4780000000000002</v>
      </c>
      <c r="AH328">
        <f t="shared" si="76"/>
        <v>3.7817110319233689</v>
      </c>
      <c r="AI328">
        <f t="shared" si="77"/>
        <v>-0.62555728408004541</v>
      </c>
      <c r="AJ328">
        <f t="shared" si="78"/>
        <v>22.287662547237936</v>
      </c>
      <c r="AL328">
        <f t="shared" si="79"/>
        <v>18.394474695425682</v>
      </c>
      <c r="AM328">
        <f t="shared" si="80"/>
        <v>3.2676305677322075</v>
      </c>
    </row>
    <row r="329" spans="1:39" ht="16.5" x14ac:dyDescent="0.25">
      <c r="A329" s="1">
        <v>45226</v>
      </c>
      <c r="B329" s="5">
        <v>7.49</v>
      </c>
      <c r="C329" s="4">
        <v>7.21</v>
      </c>
      <c r="D329" s="4">
        <v>7.68</v>
      </c>
      <c r="E329" s="4">
        <v>6.87</v>
      </c>
      <c r="F329" s="4" t="s">
        <v>1915</v>
      </c>
      <c r="G329" s="2" t="s">
        <v>1916</v>
      </c>
      <c r="I329">
        <f t="shared" si="68"/>
        <v>11.004210526315788</v>
      </c>
      <c r="J329">
        <f t="shared" si="69"/>
        <v>11.756749999999998</v>
      </c>
      <c r="L329">
        <f t="shared" si="70"/>
        <v>1</v>
      </c>
      <c r="M329">
        <f t="shared" si="71"/>
        <v>0</v>
      </c>
      <c r="O329">
        <f t="shared" si="72"/>
        <v>0.28000000000000025</v>
      </c>
      <c r="P329">
        <f t="shared" si="73"/>
        <v>0</v>
      </c>
      <c r="R329">
        <f t="shared" si="74"/>
        <v>0.20800000000000002</v>
      </c>
      <c r="S329">
        <f t="shared" si="75"/>
        <v>0.49888888888888899</v>
      </c>
      <c r="AH329">
        <f t="shared" si="76"/>
        <v>3.7581536570200296</v>
      </c>
      <c r="AI329">
        <f t="shared" si="77"/>
        <v>-0.45239938934320278</v>
      </c>
      <c r="AJ329">
        <f t="shared" si="78"/>
        <v>22.460820441974779</v>
      </c>
      <c r="AL329">
        <f t="shared" si="79"/>
        <v>18.520517840355847</v>
      </c>
      <c r="AM329">
        <f t="shared" si="80"/>
        <v>3.4879032122757287</v>
      </c>
    </row>
    <row r="330" spans="1:39" ht="16.5" x14ac:dyDescent="0.25">
      <c r="A330" s="1">
        <v>45225</v>
      </c>
      <c r="B330" s="5">
        <v>6.87</v>
      </c>
      <c r="C330" s="4">
        <v>9.9</v>
      </c>
      <c r="D330" s="4">
        <v>10.31</v>
      </c>
      <c r="E330" s="4">
        <v>6.4</v>
      </c>
      <c r="F330" s="4" t="s">
        <v>1917</v>
      </c>
      <c r="G330" s="2" t="s">
        <v>1918</v>
      </c>
      <c r="I330">
        <f t="shared" si="68"/>
        <v>11.24842105263158</v>
      </c>
      <c r="J330">
        <f t="shared" si="69"/>
        <v>11.8955</v>
      </c>
      <c r="L330">
        <f t="shared" si="70"/>
        <v>0</v>
      </c>
      <c r="M330">
        <f t="shared" si="71"/>
        <v>1</v>
      </c>
      <c r="O330">
        <f t="shared" si="72"/>
        <v>0</v>
      </c>
      <c r="P330">
        <f t="shared" si="73"/>
        <v>3.0300000000000002</v>
      </c>
      <c r="R330">
        <f t="shared" si="74"/>
        <v>0.1759999999999998</v>
      </c>
      <c r="S330">
        <f t="shared" si="75"/>
        <v>0.49888888888888899</v>
      </c>
      <c r="AH330">
        <f t="shared" si="76"/>
        <v>3.7355061447838596</v>
      </c>
      <c r="AI330">
        <f t="shared" si="77"/>
        <v>-0.20818886302741113</v>
      </c>
      <c r="AJ330">
        <f t="shared" si="78"/>
        <v>22.705030968290572</v>
      </c>
      <c r="AL330">
        <f t="shared" si="79"/>
        <v>18.719433342199299</v>
      </c>
      <c r="AM330">
        <f t="shared" si="80"/>
        <v>3.7774087630638604</v>
      </c>
    </row>
    <row r="331" spans="1:39" ht="16.5" x14ac:dyDescent="0.25">
      <c r="A331" s="1">
        <v>45224</v>
      </c>
      <c r="B331" s="5">
        <v>10.65</v>
      </c>
      <c r="C331" s="4">
        <v>10.92</v>
      </c>
      <c r="D331" s="4">
        <v>10.94</v>
      </c>
      <c r="E331" s="4">
        <v>10.38</v>
      </c>
      <c r="F331" s="4" t="s">
        <v>1527</v>
      </c>
      <c r="G331" s="2" t="s">
        <v>1919</v>
      </c>
      <c r="I331">
        <f t="shared" si="68"/>
        <v>11.538421052631579</v>
      </c>
      <c r="J331">
        <f t="shared" si="69"/>
        <v>12.05275</v>
      </c>
      <c r="L331">
        <f t="shared" si="70"/>
        <v>0</v>
      </c>
      <c r="M331">
        <f t="shared" si="71"/>
        <v>1</v>
      </c>
      <c r="O331">
        <f t="shared" si="72"/>
        <v>0</v>
      </c>
      <c r="P331">
        <f t="shared" si="73"/>
        <v>0.26999999999999957</v>
      </c>
      <c r="R331">
        <f t="shared" si="74"/>
        <v>0.1759999999999998</v>
      </c>
      <c r="S331">
        <f t="shared" si="75"/>
        <v>0.18111111111111119</v>
      </c>
      <c r="AH331">
        <f t="shared" si="76"/>
        <v>3.7144291975523727</v>
      </c>
      <c r="AI331">
        <f t="shared" si="77"/>
        <v>8.1811136972588017E-2</v>
      </c>
      <c r="AJ331">
        <f t="shared" si="78"/>
        <v>22.995030968290571</v>
      </c>
      <c r="AL331">
        <f t="shared" si="79"/>
        <v>18.967279447736324</v>
      </c>
      <c r="AM331">
        <f t="shared" si="80"/>
        <v>4.1095626575268334</v>
      </c>
    </row>
    <row r="332" spans="1:39" ht="16.5" x14ac:dyDescent="0.25">
      <c r="A332" s="1">
        <v>45223</v>
      </c>
      <c r="B332" s="5">
        <v>10.84</v>
      </c>
      <c r="C332" s="4">
        <v>10.78</v>
      </c>
      <c r="D332" s="4">
        <v>11.07</v>
      </c>
      <c r="E332" s="4">
        <v>10.48</v>
      </c>
      <c r="F332" s="4" t="s">
        <v>885</v>
      </c>
      <c r="G332" s="2" t="s">
        <v>65</v>
      </c>
      <c r="I332">
        <f t="shared" si="68"/>
        <v>11.615263157894736</v>
      </c>
      <c r="J332">
        <f t="shared" si="69"/>
        <v>12.11225</v>
      </c>
      <c r="L332">
        <f t="shared" si="70"/>
        <v>1</v>
      </c>
      <c r="M332">
        <f t="shared" si="71"/>
        <v>0</v>
      </c>
      <c r="O332">
        <f t="shared" si="72"/>
        <v>6.0000000000000497E-2</v>
      </c>
      <c r="P332">
        <f t="shared" si="73"/>
        <v>0</v>
      </c>
      <c r="R332">
        <f t="shared" si="74"/>
        <v>0.1759999999999998</v>
      </c>
      <c r="S332">
        <f t="shared" si="75"/>
        <v>0.15888888888888905</v>
      </c>
      <c r="AH332">
        <f t="shared" si="76"/>
        <v>3.6953290282039513</v>
      </c>
      <c r="AI332">
        <f t="shared" si="77"/>
        <v>0.1586532422357454</v>
      </c>
      <c r="AJ332">
        <f t="shared" si="78"/>
        <v>23.071873073553725</v>
      </c>
      <c r="AL332">
        <f t="shared" si="79"/>
        <v>19.005921214302639</v>
      </c>
      <c r="AM332">
        <f t="shared" si="80"/>
        <v>4.2246051014868335</v>
      </c>
    </row>
    <row r="333" spans="1:39" ht="16.5" x14ac:dyDescent="0.25">
      <c r="A333" s="1">
        <v>45222</v>
      </c>
      <c r="B333" s="5">
        <v>10.69</v>
      </c>
      <c r="C333" s="4">
        <v>10.87</v>
      </c>
      <c r="D333" s="4">
        <v>10.89</v>
      </c>
      <c r="E333" s="4">
        <v>10.41</v>
      </c>
      <c r="F333" s="4" t="s">
        <v>1427</v>
      </c>
      <c r="G333" s="2" t="s">
        <v>1461</v>
      </c>
      <c r="I333">
        <f t="shared" si="68"/>
        <v>11.686315789473682</v>
      </c>
      <c r="J333">
        <f t="shared" si="69"/>
        <v>12.177999999999999</v>
      </c>
      <c r="L333">
        <f t="shared" si="70"/>
        <v>0</v>
      </c>
      <c r="M333">
        <f t="shared" si="71"/>
        <v>1</v>
      </c>
      <c r="O333">
        <f t="shared" si="72"/>
        <v>0</v>
      </c>
      <c r="P333">
        <f t="shared" si="73"/>
        <v>0.17999999999999972</v>
      </c>
      <c r="R333">
        <f t="shared" si="74"/>
        <v>0.20499999999999963</v>
      </c>
      <c r="S333">
        <f t="shared" si="75"/>
        <v>0.14400000000000013</v>
      </c>
      <c r="AH333">
        <f t="shared" si="76"/>
        <v>3.6763304178208691</v>
      </c>
      <c r="AI333">
        <f t="shared" si="77"/>
        <v>0.22970587381469088</v>
      </c>
      <c r="AJ333">
        <f t="shared" si="78"/>
        <v>23.142925705132672</v>
      </c>
      <c r="AL333">
        <f t="shared" si="79"/>
        <v>19.038976625115421</v>
      </c>
      <c r="AM333">
        <f t="shared" si="80"/>
        <v>4.3336549538319433</v>
      </c>
    </row>
    <row r="334" spans="1:39" ht="16.5" x14ac:dyDescent="0.25">
      <c r="A334" s="1">
        <v>45219</v>
      </c>
      <c r="B334" s="5">
        <v>10.87</v>
      </c>
      <c r="C334" s="4">
        <v>11.12</v>
      </c>
      <c r="D334" s="4">
        <v>11.2</v>
      </c>
      <c r="E334" s="4">
        <v>10.81</v>
      </c>
      <c r="F334" s="4" t="s">
        <v>915</v>
      </c>
      <c r="G334" s="2" t="s">
        <v>1920</v>
      </c>
      <c r="I334">
        <f t="shared" si="68"/>
        <v>11.751052631578945</v>
      </c>
      <c r="J334">
        <f t="shared" si="69"/>
        <v>12.23875</v>
      </c>
      <c r="L334">
        <f t="shared" si="70"/>
        <v>0</v>
      </c>
      <c r="M334">
        <f t="shared" si="71"/>
        <v>1</v>
      </c>
      <c r="O334">
        <f t="shared" si="72"/>
        <v>0</v>
      </c>
      <c r="P334">
        <f t="shared" si="73"/>
        <v>0.25</v>
      </c>
      <c r="R334">
        <f t="shared" si="74"/>
        <v>0.20499999999999963</v>
      </c>
      <c r="S334">
        <f t="shared" si="75"/>
        <v>0.15500000000000008</v>
      </c>
      <c r="AH334">
        <f t="shared" si="76"/>
        <v>3.6573843287365455</v>
      </c>
      <c r="AI334">
        <f t="shared" si="77"/>
        <v>0.29444271591995452</v>
      </c>
      <c r="AJ334">
        <f t="shared" si="78"/>
        <v>23.207662547237938</v>
      </c>
      <c r="AL334">
        <f t="shared" si="79"/>
        <v>19.065821289052035</v>
      </c>
      <c r="AM334">
        <f t="shared" si="80"/>
        <v>4.4362839741058542</v>
      </c>
    </row>
    <row r="335" spans="1:39" ht="16.5" x14ac:dyDescent="0.25">
      <c r="A335" s="1">
        <v>45218</v>
      </c>
      <c r="B335" s="5">
        <v>11.24</v>
      </c>
      <c r="C335" s="4">
        <v>11.3</v>
      </c>
      <c r="D335" s="4">
        <v>11.46</v>
      </c>
      <c r="E335" s="4">
        <v>11.21</v>
      </c>
      <c r="F335" s="4" t="s">
        <v>1482</v>
      </c>
      <c r="G335" s="2" t="s">
        <v>1461</v>
      </c>
      <c r="I335">
        <f t="shared" si="68"/>
        <v>11.833684210526313</v>
      </c>
      <c r="J335">
        <f t="shared" si="69"/>
        <v>12.289999999999997</v>
      </c>
      <c r="L335">
        <f t="shared" si="70"/>
        <v>0</v>
      </c>
      <c r="M335">
        <f t="shared" si="71"/>
        <v>1</v>
      </c>
      <c r="O335">
        <f t="shared" si="72"/>
        <v>0</v>
      </c>
      <c r="P335">
        <f t="shared" si="73"/>
        <v>6.0000000000000497E-2</v>
      </c>
      <c r="R335">
        <f t="shared" si="74"/>
        <v>0.20499999999999963</v>
      </c>
      <c r="S335">
        <f t="shared" si="75"/>
        <v>0.15999999999999998</v>
      </c>
      <c r="AH335">
        <f t="shared" si="76"/>
        <v>3.6384356348769264</v>
      </c>
      <c r="AI335">
        <f t="shared" si="77"/>
        <v>0.37707429486732202</v>
      </c>
      <c r="AJ335">
        <f t="shared" si="78"/>
        <v>23.290294126185302</v>
      </c>
      <c r="AL335">
        <f t="shared" si="79"/>
        <v>19.110555480280166</v>
      </c>
      <c r="AM335">
        <f t="shared" si="80"/>
        <v>4.5568129407724598</v>
      </c>
    </row>
    <row r="336" spans="1:39" ht="16.5" x14ac:dyDescent="0.25">
      <c r="A336" s="1">
        <v>45217</v>
      </c>
      <c r="B336" s="5">
        <v>11.43</v>
      </c>
      <c r="C336" s="4">
        <v>11.6</v>
      </c>
      <c r="D336" s="4">
        <v>11.62</v>
      </c>
      <c r="E336" s="4">
        <v>11.29</v>
      </c>
      <c r="F336" s="4" t="s">
        <v>1414</v>
      </c>
      <c r="G336" s="2" t="s">
        <v>184</v>
      </c>
      <c r="I336">
        <f t="shared" si="68"/>
        <v>11.892105263157891</v>
      </c>
      <c r="J336">
        <f t="shared" si="69"/>
        <v>12.332749999999997</v>
      </c>
      <c r="L336">
        <f t="shared" si="70"/>
        <v>0</v>
      </c>
      <c r="M336">
        <f t="shared" si="71"/>
        <v>1</v>
      </c>
      <c r="O336">
        <f t="shared" si="72"/>
        <v>0</v>
      </c>
      <c r="P336">
        <f t="shared" si="73"/>
        <v>0.16999999999999993</v>
      </c>
      <c r="R336">
        <f t="shared" si="74"/>
        <v>0.20199999999999996</v>
      </c>
      <c r="S336">
        <f t="shared" si="75"/>
        <v>0.17111111111111102</v>
      </c>
      <c r="AH336">
        <f t="shared" si="76"/>
        <v>3.6196449454701143</v>
      </c>
      <c r="AI336">
        <f t="shared" si="77"/>
        <v>0.43549534749890029</v>
      </c>
      <c r="AJ336">
        <f t="shared" si="78"/>
        <v>23.348715178816882</v>
      </c>
      <c r="AL336">
        <f t="shared" si="79"/>
        <v>19.131395154098119</v>
      </c>
      <c r="AM336">
        <f t="shared" si="80"/>
        <v>4.6528153722176624</v>
      </c>
    </row>
    <row r="337" spans="1:39" ht="16.5" x14ac:dyDescent="0.25">
      <c r="A337" s="1">
        <v>45216</v>
      </c>
      <c r="B337" s="5">
        <v>11.61</v>
      </c>
      <c r="C337" s="4">
        <v>11.66</v>
      </c>
      <c r="D337" s="4">
        <v>11.78</v>
      </c>
      <c r="E337" s="4">
        <v>11.41</v>
      </c>
      <c r="F337" s="4" t="s">
        <v>139</v>
      </c>
      <c r="G337" s="2" t="s">
        <v>693</v>
      </c>
      <c r="I337">
        <f t="shared" si="68"/>
        <v>11.934210526315788</v>
      </c>
      <c r="J337">
        <f t="shared" si="69"/>
        <v>12.372499999999999</v>
      </c>
      <c r="L337">
        <f t="shared" si="70"/>
        <v>0</v>
      </c>
      <c r="M337">
        <f t="shared" si="71"/>
        <v>1</v>
      </c>
      <c r="O337">
        <f t="shared" si="72"/>
        <v>0</v>
      </c>
      <c r="P337">
        <f t="shared" si="73"/>
        <v>5.0000000000000711E-2</v>
      </c>
      <c r="R337">
        <f t="shared" si="74"/>
        <v>0.20199999999999996</v>
      </c>
      <c r="S337">
        <f t="shared" si="75"/>
        <v>0.16333333333333341</v>
      </c>
      <c r="AH337">
        <f t="shared" si="76"/>
        <v>3.6007979677277455</v>
      </c>
      <c r="AI337">
        <f t="shared" si="77"/>
        <v>0.47760061065679693</v>
      </c>
      <c r="AJ337">
        <f t="shared" si="78"/>
        <v>23.390820441974778</v>
      </c>
      <c r="AL337">
        <f t="shared" si="79"/>
        <v>19.135806461771278</v>
      </c>
      <c r="AM337">
        <f t="shared" si="80"/>
        <v>4.7326145908602966</v>
      </c>
    </row>
    <row r="338" spans="1:39" ht="16.5" x14ac:dyDescent="0.25">
      <c r="A338" s="1">
        <v>45215</v>
      </c>
      <c r="B338" s="5">
        <v>11.66</v>
      </c>
      <c r="C338" s="4">
        <v>11.6</v>
      </c>
      <c r="D338" s="4">
        <v>11.71</v>
      </c>
      <c r="E338" s="4">
        <v>11.45</v>
      </c>
      <c r="F338" s="4" t="s">
        <v>1550</v>
      </c>
      <c r="G338" s="2" t="s">
        <v>706</v>
      </c>
      <c r="I338">
        <f t="shared" si="68"/>
        <v>11.987368421052629</v>
      </c>
      <c r="J338">
        <f t="shared" si="69"/>
        <v>12.412249999999998</v>
      </c>
      <c r="L338">
        <f t="shared" si="70"/>
        <v>1</v>
      </c>
      <c r="M338">
        <f t="shared" si="71"/>
        <v>0</v>
      </c>
      <c r="O338">
        <f t="shared" si="72"/>
        <v>6.0000000000000497E-2</v>
      </c>
      <c r="P338">
        <f t="shared" si="73"/>
        <v>0</v>
      </c>
      <c r="R338">
        <f t="shared" si="74"/>
        <v>0.21499999999999986</v>
      </c>
      <c r="S338">
        <f t="shared" si="75"/>
        <v>0.17749999999999999</v>
      </c>
      <c r="AH338">
        <f t="shared" si="76"/>
        <v>3.5817449005309467</v>
      </c>
      <c r="AI338">
        <f t="shared" si="77"/>
        <v>0.53075850539363856</v>
      </c>
      <c r="AJ338">
        <f t="shared" si="78"/>
        <v>23.44397833671162</v>
      </c>
      <c r="AL338">
        <f t="shared" si="79"/>
        <v>19.150858222114522</v>
      </c>
      <c r="AM338">
        <f t="shared" si="80"/>
        <v>4.8238786199907357</v>
      </c>
    </row>
    <row r="339" spans="1:39" ht="16.5" x14ac:dyDescent="0.25">
      <c r="A339" s="1">
        <v>45212</v>
      </c>
      <c r="B339" s="5">
        <v>11.59</v>
      </c>
      <c r="C339" s="4">
        <v>11.88</v>
      </c>
      <c r="D339" s="4">
        <v>11.88</v>
      </c>
      <c r="E339" s="4">
        <v>11.44</v>
      </c>
      <c r="F339" s="4" t="s">
        <v>1637</v>
      </c>
      <c r="G339" s="2" t="s">
        <v>1921</v>
      </c>
      <c r="I339">
        <f t="shared" si="68"/>
        <v>12.034210526315787</v>
      </c>
      <c r="J339">
        <f t="shared" si="69"/>
        <v>12.442999999999998</v>
      </c>
      <c r="L339">
        <f t="shared" si="70"/>
        <v>0</v>
      </c>
      <c r="M339">
        <f t="shared" si="71"/>
        <v>1</v>
      </c>
      <c r="O339">
        <f t="shared" si="72"/>
        <v>0</v>
      </c>
      <c r="P339">
        <f t="shared" si="73"/>
        <v>0.29000000000000092</v>
      </c>
      <c r="R339">
        <f t="shared" si="74"/>
        <v>0.24599999999999972</v>
      </c>
      <c r="S339">
        <f t="shared" si="75"/>
        <v>0.2077777777777777</v>
      </c>
      <c r="AH339">
        <f t="shared" si="76"/>
        <v>3.5625809707594325</v>
      </c>
      <c r="AI339">
        <f t="shared" si="77"/>
        <v>0.57760061065679658</v>
      </c>
      <c r="AJ339">
        <f t="shared" si="78"/>
        <v>23.490820441974776</v>
      </c>
      <c r="AL339">
        <f t="shared" si="79"/>
        <v>19.15937246783465</v>
      </c>
      <c r="AM339">
        <f t="shared" si="80"/>
        <v>4.9090485847969223</v>
      </c>
    </row>
    <row r="340" spans="1:39" ht="16.5" x14ac:dyDescent="0.25">
      <c r="A340" s="1">
        <v>45211</v>
      </c>
      <c r="B340" s="5">
        <v>12</v>
      </c>
      <c r="C340" s="4">
        <v>12.19</v>
      </c>
      <c r="D340" s="4">
        <v>12.51</v>
      </c>
      <c r="E340" s="4">
        <v>11.99</v>
      </c>
      <c r="F340" s="4" t="s">
        <v>507</v>
      </c>
      <c r="G340" s="2" t="s">
        <v>465</v>
      </c>
      <c r="I340">
        <f t="shared" si="68"/>
        <v>12.086842105263157</v>
      </c>
      <c r="J340">
        <f t="shared" si="69"/>
        <v>12.481249999999999</v>
      </c>
      <c r="L340">
        <f t="shared" si="70"/>
        <v>0</v>
      </c>
      <c r="M340">
        <f t="shared" si="71"/>
        <v>1</v>
      </c>
      <c r="O340">
        <f t="shared" si="72"/>
        <v>0</v>
      </c>
      <c r="P340">
        <f t="shared" si="73"/>
        <v>0.1899999999999995</v>
      </c>
      <c r="R340">
        <f t="shared" si="74"/>
        <v>0.22999999999999984</v>
      </c>
      <c r="S340">
        <f t="shared" si="75"/>
        <v>0.19749999999999979</v>
      </c>
      <c r="AH340">
        <f t="shared" si="76"/>
        <v>3.5432446940932198</v>
      </c>
      <c r="AI340">
        <f t="shared" si="77"/>
        <v>0.63023218960416649</v>
      </c>
      <c r="AJ340">
        <f t="shared" si="78"/>
        <v>23.543452020922146</v>
      </c>
      <c r="AL340">
        <f t="shared" si="79"/>
        <v>19.173331493449595</v>
      </c>
      <c r="AM340">
        <f t="shared" si="80"/>
        <v>5.0003527170767175</v>
      </c>
    </row>
    <row r="341" spans="1:39" ht="16.5" x14ac:dyDescent="0.25">
      <c r="A341" s="1">
        <v>45210</v>
      </c>
      <c r="B341" s="5">
        <v>12.2</v>
      </c>
      <c r="C341" s="4">
        <v>11.99</v>
      </c>
      <c r="D341" s="4">
        <v>12.32</v>
      </c>
      <c r="E341" s="4">
        <v>11.88</v>
      </c>
      <c r="F341" s="4" t="s">
        <v>1576</v>
      </c>
      <c r="G341" s="2" t="s">
        <v>1512</v>
      </c>
      <c r="I341">
        <f t="shared" si="68"/>
        <v>12.134210526315789</v>
      </c>
      <c r="J341">
        <f t="shared" si="69"/>
        <v>12.517499999999998</v>
      </c>
      <c r="L341">
        <f t="shared" si="70"/>
        <v>1</v>
      </c>
      <c r="M341">
        <f t="shared" si="71"/>
        <v>0</v>
      </c>
      <c r="O341">
        <f t="shared" si="72"/>
        <v>0.20999999999999908</v>
      </c>
      <c r="P341">
        <f t="shared" si="73"/>
        <v>0</v>
      </c>
      <c r="R341">
        <f t="shared" si="74"/>
        <v>0.23285714285714271</v>
      </c>
      <c r="S341">
        <f t="shared" si="75"/>
        <v>0.1985714285714284</v>
      </c>
      <c r="AH341">
        <f t="shared" si="76"/>
        <v>3.5237849094780476</v>
      </c>
      <c r="AI341">
        <f t="shared" si="77"/>
        <v>0.677600610656798</v>
      </c>
      <c r="AJ341">
        <f t="shared" si="78"/>
        <v>23.590820441974778</v>
      </c>
      <c r="AL341">
        <f t="shared" si="79"/>
        <v>19.181780345271882</v>
      </c>
      <c r="AM341">
        <f t="shared" si="80"/>
        <v>5.0866407073596935</v>
      </c>
    </row>
    <row r="342" spans="1:39" ht="16.5" x14ac:dyDescent="0.25">
      <c r="A342" s="1">
        <v>45209</v>
      </c>
      <c r="B342" s="5">
        <v>11.98</v>
      </c>
      <c r="C342" s="4">
        <v>11.55</v>
      </c>
      <c r="D342" s="4">
        <v>12.02</v>
      </c>
      <c r="E342" s="4">
        <v>11.53</v>
      </c>
      <c r="F342" s="4" t="s">
        <v>1509</v>
      </c>
      <c r="G342" s="2" t="s">
        <v>790</v>
      </c>
      <c r="I342">
        <f t="shared" si="68"/>
        <v>12.17157894736842</v>
      </c>
      <c r="J342">
        <f t="shared" si="69"/>
        <v>12.550999999999998</v>
      </c>
      <c r="L342">
        <f t="shared" si="70"/>
        <v>1</v>
      </c>
      <c r="M342">
        <f t="shared" si="71"/>
        <v>0</v>
      </c>
      <c r="O342">
        <f t="shared" si="72"/>
        <v>0.42999999999999972</v>
      </c>
      <c r="P342">
        <f t="shared" si="73"/>
        <v>0</v>
      </c>
      <c r="R342">
        <f t="shared" si="74"/>
        <v>0.23666666666666666</v>
      </c>
      <c r="S342">
        <f t="shared" si="75"/>
        <v>0.20999999999999974</v>
      </c>
      <c r="AH342">
        <f t="shared" si="76"/>
        <v>3.5041486461760192</v>
      </c>
      <c r="AI342">
        <f t="shared" si="77"/>
        <v>0.71496903170942971</v>
      </c>
      <c r="AJ342">
        <f t="shared" si="78"/>
        <v>23.628188863027411</v>
      </c>
      <c r="AL342">
        <f t="shared" si="79"/>
        <v>19.179876239720457</v>
      </c>
      <c r="AM342">
        <f t="shared" si="80"/>
        <v>5.163281655016382</v>
      </c>
    </row>
    <row r="343" spans="1:39" ht="16.5" x14ac:dyDescent="0.25">
      <c r="A343" s="1">
        <v>45208</v>
      </c>
      <c r="B343" s="5">
        <v>11.59</v>
      </c>
      <c r="C343" s="4">
        <v>11.47</v>
      </c>
      <c r="D343" s="4">
        <v>11.74</v>
      </c>
      <c r="E343" s="4">
        <v>11.33</v>
      </c>
      <c r="F343" s="4" t="s">
        <v>1576</v>
      </c>
      <c r="G343" s="2" t="s">
        <v>61</v>
      </c>
      <c r="I343">
        <f t="shared" si="68"/>
        <v>12.193157894736842</v>
      </c>
      <c r="J343">
        <f t="shared" si="69"/>
        <v>12.587</v>
      </c>
      <c r="L343">
        <f t="shared" si="70"/>
        <v>1</v>
      </c>
      <c r="M343">
        <f t="shared" si="71"/>
        <v>0</v>
      </c>
      <c r="O343">
        <f t="shared" si="72"/>
        <v>0.11999999999999922</v>
      </c>
      <c r="P343">
        <f t="shared" si="73"/>
        <v>0</v>
      </c>
      <c r="R343">
        <f t="shared" si="74"/>
        <v>0.18333333333333326</v>
      </c>
      <c r="S343">
        <f t="shared" si="75"/>
        <v>0.20999999999999974</v>
      </c>
      <c r="AH343">
        <f t="shared" si="76"/>
        <v>3.4842357800959087</v>
      </c>
      <c r="AI343">
        <f t="shared" si="77"/>
        <v>0.73654797907785152</v>
      </c>
      <c r="AJ343">
        <f t="shared" si="78"/>
        <v>23.649767810395833</v>
      </c>
      <c r="AL343">
        <f t="shared" si="79"/>
        <v>19.161629454928658</v>
      </c>
      <c r="AM343">
        <f t="shared" si="80"/>
        <v>5.2246863345450247</v>
      </c>
    </row>
    <row r="344" spans="1:39" ht="16.5" x14ac:dyDescent="0.25">
      <c r="A344" s="1">
        <v>45205</v>
      </c>
      <c r="B344" s="5">
        <v>11.46</v>
      </c>
      <c r="C344" s="4">
        <v>11.63</v>
      </c>
      <c r="D344" s="4">
        <v>11.66</v>
      </c>
      <c r="E344" s="4">
        <v>11.04</v>
      </c>
      <c r="F344" s="4" t="s">
        <v>1431</v>
      </c>
      <c r="G344" s="2" t="s">
        <v>721</v>
      </c>
      <c r="I344">
        <f t="shared" si="68"/>
        <v>12.227368421052635</v>
      </c>
      <c r="J344">
        <f t="shared" si="69"/>
        <v>12.639750000000001</v>
      </c>
      <c r="L344">
        <f t="shared" si="70"/>
        <v>0</v>
      </c>
      <c r="M344">
        <f t="shared" si="71"/>
        <v>1</v>
      </c>
      <c r="O344">
        <f t="shared" si="72"/>
        <v>0</v>
      </c>
      <c r="P344">
        <f t="shared" si="73"/>
        <v>0.16999999999999993</v>
      </c>
      <c r="R344">
        <f t="shared" si="74"/>
        <v>0.17166666666666686</v>
      </c>
      <c r="S344">
        <f t="shared" si="75"/>
        <v>0.20999999999999974</v>
      </c>
      <c r="AH344">
        <f t="shared" si="76"/>
        <v>3.4638857995029446</v>
      </c>
      <c r="AI344">
        <f t="shared" si="77"/>
        <v>0.7707585053936441</v>
      </c>
      <c r="AJ344">
        <f t="shared" si="78"/>
        <v>23.683978336711625</v>
      </c>
      <c r="AL344">
        <f t="shared" si="79"/>
        <v>19.155140020058525</v>
      </c>
      <c r="AM344">
        <f t="shared" si="80"/>
        <v>5.2995968220467455</v>
      </c>
    </row>
    <row r="345" spans="1:39" ht="16.5" x14ac:dyDescent="0.25">
      <c r="A345" s="1">
        <v>45204</v>
      </c>
      <c r="B345" s="5">
        <v>11.57</v>
      </c>
      <c r="C345" s="4">
        <v>11.64</v>
      </c>
      <c r="D345" s="4">
        <v>11.8</v>
      </c>
      <c r="E345" s="4">
        <v>11.47</v>
      </c>
      <c r="F345" s="4" t="s">
        <v>355</v>
      </c>
      <c r="G345" s="2" t="s">
        <v>471</v>
      </c>
      <c r="I345">
        <f t="shared" si="68"/>
        <v>12.276315789473685</v>
      </c>
      <c r="J345">
        <f t="shared" si="69"/>
        <v>12.697749999999999</v>
      </c>
      <c r="L345">
        <f t="shared" si="70"/>
        <v>0</v>
      </c>
      <c r="M345">
        <f t="shared" si="71"/>
        <v>1</v>
      </c>
      <c r="O345">
        <f t="shared" si="72"/>
        <v>0</v>
      </c>
      <c r="P345">
        <f t="shared" si="73"/>
        <v>7.0000000000000284E-2</v>
      </c>
      <c r="R345">
        <f t="shared" si="74"/>
        <v>0.17166666666666686</v>
      </c>
      <c r="S345">
        <f t="shared" si="75"/>
        <v>0.21499999999999986</v>
      </c>
      <c r="AH345">
        <f t="shared" si="76"/>
        <v>3.4432061752044834</v>
      </c>
      <c r="AI345">
        <f t="shared" si="77"/>
        <v>0.81970587381469429</v>
      </c>
      <c r="AJ345">
        <f t="shared" si="78"/>
        <v>23.732925705132676</v>
      </c>
      <c r="AL345">
        <f t="shared" si="79"/>
        <v>19.162728139882653</v>
      </c>
      <c r="AM345">
        <f t="shared" si="80"/>
        <v>5.3899034390647182</v>
      </c>
    </row>
    <row r="346" spans="1:39" ht="16.5" x14ac:dyDescent="0.25">
      <c r="A346" s="1">
        <v>45203</v>
      </c>
      <c r="B346" s="5">
        <v>11.61</v>
      </c>
      <c r="C346" s="4">
        <v>11.62</v>
      </c>
      <c r="D346" s="4">
        <v>11.86</v>
      </c>
      <c r="E346" s="4">
        <v>11.47</v>
      </c>
      <c r="F346" s="4" t="s">
        <v>1409</v>
      </c>
      <c r="G346" s="2" t="s">
        <v>272</v>
      </c>
      <c r="I346">
        <f t="shared" si="68"/>
        <v>12.310526315789474</v>
      </c>
      <c r="J346">
        <f t="shared" si="69"/>
        <v>12.747499999999999</v>
      </c>
      <c r="L346">
        <f t="shared" si="70"/>
        <v>0</v>
      </c>
      <c r="M346">
        <f t="shared" si="71"/>
        <v>1</v>
      </c>
      <c r="O346">
        <f t="shared" si="72"/>
        <v>0</v>
      </c>
      <c r="P346">
        <f t="shared" si="73"/>
        <v>9.9999999999997868E-3</v>
      </c>
      <c r="R346">
        <f t="shared" si="74"/>
        <v>0.17166666666666686</v>
      </c>
      <c r="S346">
        <f t="shared" si="75"/>
        <v>0.22499999999999987</v>
      </c>
      <c r="AH346">
        <f t="shared" si="76"/>
        <v>3.4223305808962876</v>
      </c>
      <c r="AI346">
        <f t="shared" si="77"/>
        <v>0.85391640013048331</v>
      </c>
      <c r="AJ346">
        <f t="shared" si="78"/>
        <v>23.767136231448465</v>
      </c>
      <c r="AL346">
        <f t="shared" si="79"/>
        <v>19.15518747758205</v>
      </c>
      <c r="AM346">
        <f t="shared" si="80"/>
        <v>5.4658651539968988</v>
      </c>
    </row>
    <row r="347" spans="1:39" ht="16.5" x14ac:dyDescent="0.25">
      <c r="A347" s="1">
        <v>45202</v>
      </c>
      <c r="B347" s="5">
        <v>11.73</v>
      </c>
      <c r="C347" s="4">
        <v>12.02</v>
      </c>
      <c r="D347" s="4">
        <v>12.02</v>
      </c>
      <c r="E347" s="4">
        <v>11.72</v>
      </c>
      <c r="F347" s="4" t="s">
        <v>1497</v>
      </c>
      <c r="G347" s="2" t="s">
        <v>1756</v>
      </c>
      <c r="I347">
        <f t="shared" si="68"/>
        <v>12.352105263157895</v>
      </c>
      <c r="J347">
        <f t="shared" si="69"/>
        <v>12.806999999999999</v>
      </c>
      <c r="L347">
        <f t="shared" si="70"/>
        <v>0</v>
      </c>
      <c r="M347">
        <f t="shared" si="71"/>
        <v>1</v>
      </c>
      <c r="O347">
        <f t="shared" si="72"/>
        <v>0</v>
      </c>
      <c r="P347">
        <f t="shared" si="73"/>
        <v>0.28999999999999915</v>
      </c>
      <c r="R347">
        <f t="shared" si="74"/>
        <v>0.23285714285714296</v>
      </c>
      <c r="S347">
        <f t="shared" si="75"/>
        <v>0.25571428571428562</v>
      </c>
      <c r="AH347">
        <f t="shared" si="76"/>
        <v>3.4011068559731523</v>
      </c>
      <c r="AI347">
        <f t="shared" si="77"/>
        <v>0.89549534749890469</v>
      </c>
      <c r="AJ347">
        <f t="shared" si="78"/>
        <v>23.808715178816886</v>
      </c>
      <c r="AL347">
        <f t="shared" si="79"/>
        <v>19.1543189751042</v>
      </c>
      <c r="AM347">
        <f t="shared" si="80"/>
        <v>5.5498915512115907</v>
      </c>
    </row>
    <row r="348" spans="1:39" ht="16.5" x14ac:dyDescent="0.25">
      <c r="A348" s="1">
        <v>45201</v>
      </c>
      <c r="B348" s="5">
        <v>12.13</v>
      </c>
      <c r="C348" s="4">
        <v>12.43</v>
      </c>
      <c r="D348" s="4">
        <v>12.59</v>
      </c>
      <c r="E348" s="4">
        <v>12.01</v>
      </c>
      <c r="F348" s="4" t="s">
        <v>1422</v>
      </c>
      <c r="G348" s="2" t="s">
        <v>1359</v>
      </c>
      <c r="I348">
        <f t="shared" si="68"/>
        <v>12.399999999999999</v>
      </c>
      <c r="J348">
        <f t="shared" si="69"/>
        <v>12.873249999999999</v>
      </c>
      <c r="L348">
        <f t="shared" si="70"/>
        <v>0</v>
      </c>
      <c r="M348">
        <f t="shared" si="71"/>
        <v>1</v>
      </c>
      <c r="O348">
        <f t="shared" si="72"/>
        <v>0</v>
      </c>
      <c r="P348">
        <f t="shared" si="73"/>
        <v>0.29999999999999893</v>
      </c>
      <c r="R348">
        <f t="shared" si="74"/>
        <v>0.23750000000000027</v>
      </c>
      <c r="S348">
        <f t="shared" si="75"/>
        <v>0.25</v>
      </c>
      <c r="AH348">
        <f t="shared" si="76"/>
        <v>3.3795969896643028</v>
      </c>
      <c r="AI348">
        <f t="shared" si="77"/>
        <v>0.94339008434100791</v>
      </c>
      <c r="AJ348">
        <f t="shared" si="78"/>
        <v>23.856609915658989</v>
      </c>
      <c r="AL348">
        <f t="shared" si="79"/>
        <v>19.159193979328606</v>
      </c>
      <c r="AM348">
        <f t="shared" si="80"/>
        <v>5.640806020671393</v>
      </c>
    </row>
    <row r="349" spans="1:39" ht="16.5" x14ac:dyDescent="0.25">
      <c r="A349" s="1">
        <v>45198</v>
      </c>
      <c r="B349" s="5">
        <v>12.38</v>
      </c>
      <c r="C349" s="4">
        <v>12.19</v>
      </c>
      <c r="D349" s="4">
        <v>12.61</v>
      </c>
      <c r="E349" s="4">
        <v>12.13</v>
      </c>
      <c r="F349" s="4" t="s">
        <v>1681</v>
      </c>
      <c r="G349" s="2" t="s">
        <v>1130</v>
      </c>
      <c r="I349">
        <f t="shared" si="68"/>
        <v>12.422631578947367</v>
      </c>
      <c r="J349">
        <f t="shared" si="69"/>
        <v>12.934999999999999</v>
      </c>
      <c r="L349">
        <f t="shared" si="70"/>
        <v>1</v>
      </c>
      <c r="M349">
        <f t="shared" si="71"/>
        <v>0</v>
      </c>
      <c r="O349">
        <f t="shared" si="72"/>
        <v>0.19000000000000128</v>
      </c>
      <c r="P349">
        <f t="shared" si="73"/>
        <v>0</v>
      </c>
      <c r="R349">
        <f t="shared" si="74"/>
        <v>0.23750000000000027</v>
      </c>
      <c r="S349">
        <f t="shared" si="75"/>
        <v>0.24000000000000021</v>
      </c>
      <c r="AH349">
        <f t="shared" si="76"/>
        <v>3.3578554258581947</v>
      </c>
      <c r="AI349">
        <f t="shared" si="77"/>
        <v>0.96602166328837669</v>
      </c>
      <c r="AJ349">
        <f t="shared" si="78"/>
        <v>23.879241494606358</v>
      </c>
      <c r="AL349">
        <f t="shared" si="79"/>
        <v>19.138342430663755</v>
      </c>
      <c r="AM349">
        <f t="shared" si="80"/>
        <v>5.7069207272309779</v>
      </c>
    </row>
    <row r="350" spans="1:39" ht="16.5" x14ac:dyDescent="0.25">
      <c r="A350" s="1">
        <v>45197</v>
      </c>
      <c r="B350" s="5">
        <v>12.11</v>
      </c>
      <c r="C350" s="4">
        <v>12.21</v>
      </c>
      <c r="D350" s="4">
        <v>12.26</v>
      </c>
      <c r="E350" s="4">
        <v>11.96</v>
      </c>
      <c r="F350" s="4" t="s">
        <v>1631</v>
      </c>
      <c r="G350" s="2" t="s">
        <v>292</v>
      </c>
      <c r="I350">
        <f t="shared" si="68"/>
        <v>12.456842105263156</v>
      </c>
      <c r="J350">
        <f t="shared" si="69"/>
        <v>13.014249999999999</v>
      </c>
      <c r="L350">
        <f t="shared" si="70"/>
        <v>0</v>
      </c>
      <c r="M350">
        <f t="shared" si="71"/>
        <v>1</v>
      </c>
      <c r="O350">
        <f t="shared" si="72"/>
        <v>0</v>
      </c>
      <c r="P350">
        <f t="shared" si="73"/>
        <v>0.10000000000000142</v>
      </c>
      <c r="R350">
        <f t="shared" si="74"/>
        <v>0.22500000000000009</v>
      </c>
      <c r="S350">
        <f t="shared" si="75"/>
        <v>0.24000000000000021</v>
      </c>
      <c r="AH350">
        <f t="shared" si="76"/>
        <v>3.3356157980451497</v>
      </c>
      <c r="AI350">
        <f t="shared" si="77"/>
        <v>1.0002321896041657</v>
      </c>
      <c r="AJ350">
        <f t="shared" si="78"/>
        <v>23.913452020922147</v>
      </c>
      <c r="AL350">
        <f t="shared" si="79"/>
        <v>19.128073701353458</v>
      </c>
      <c r="AM350">
        <f t="shared" si="80"/>
        <v>5.7856105091728569</v>
      </c>
    </row>
    <row r="351" spans="1:39" ht="16.5" x14ac:dyDescent="0.25">
      <c r="A351" s="1">
        <v>45196</v>
      </c>
      <c r="B351" s="5">
        <v>12.19</v>
      </c>
      <c r="C351" s="4">
        <v>11.91</v>
      </c>
      <c r="D351" s="4">
        <v>12.28</v>
      </c>
      <c r="E351" s="4">
        <v>11.9</v>
      </c>
      <c r="F351" s="4" t="s">
        <v>931</v>
      </c>
      <c r="G351" s="2" t="s">
        <v>1331</v>
      </c>
      <c r="I351">
        <f t="shared" si="68"/>
        <v>12.505789473684212</v>
      </c>
      <c r="J351">
        <f t="shared" si="69"/>
        <v>13.103750000000002</v>
      </c>
      <c r="L351">
        <f t="shared" si="70"/>
        <v>1</v>
      </c>
      <c r="M351">
        <f t="shared" si="71"/>
        <v>0</v>
      </c>
      <c r="O351">
        <f t="shared" si="72"/>
        <v>0.27999999999999936</v>
      </c>
      <c r="P351">
        <f t="shared" si="73"/>
        <v>0</v>
      </c>
      <c r="R351">
        <f t="shared" si="74"/>
        <v>0.22500000000000009</v>
      </c>
      <c r="S351">
        <f t="shared" si="75"/>
        <v>0.26999999999999985</v>
      </c>
      <c r="AH351">
        <f t="shared" si="76"/>
        <v>3.3129797989066518</v>
      </c>
      <c r="AI351">
        <f t="shared" si="77"/>
        <v>1.0491795580252212</v>
      </c>
      <c r="AJ351">
        <f t="shared" si="78"/>
        <v>23.962399389343204</v>
      </c>
      <c r="AL351">
        <f t="shared" si="79"/>
        <v>19.131749071497516</v>
      </c>
      <c r="AM351">
        <f t="shared" si="80"/>
        <v>5.8798298758709082</v>
      </c>
    </row>
    <row r="352" spans="1:39" ht="16.5" x14ac:dyDescent="0.25">
      <c r="A352" s="1">
        <v>45195</v>
      </c>
      <c r="B352" s="5">
        <v>11.92</v>
      </c>
      <c r="C352" s="4">
        <v>12.37</v>
      </c>
      <c r="D352" s="4">
        <v>12.39</v>
      </c>
      <c r="E352" s="4">
        <v>11.81</v>
      </c>
      <c r="F352" s="4" t="s">
        <v>1518</v>
      </c>
      <c r="G352" s="2" t="s">
        <v>1922</v>
      </c>
      <c r="I352">
        <f t="shared" si="68"/>
        <v>12.556842105263158</v>
      </c>
      <c r="J352">
        <f t="shared" si="69"/>
        <v>13.192000000000002</v>
      </c>
      <c r="L352">
        <f t="shared" si="70"/>
        <v>0</v>
      </c>
      <c r="M352">
        <f t="shared" si="71"/>
        <v>1</v>
      </c>
      <c r="O352">
        <f t="shared" si="72"/>
        <v>0</v>
      </c>
      <c r="P352">
        <f t="shared" si="73"/>
        <v>0.44999999999999929</v>
      </c>
      <c r="R352">
        <f t="shared" si="74"/>
        <v>0.21714285714285733</v>
      </c>
      <c r="S352">
        <f t="shared" si="75"/>
        <v>0.2585714285714284</v>
      </c>
      <c r="AH352">
        <f t="shared" si="76"/>
        <v>3.2900880523778486</v>
      </c>
      <c r="AI352">
        <f t="shared" si="77"/>
        <v>1.1002321896041671</v>
      </c>
      <c r="AJ352">
        <f t="shared" si="78"/>
        <v>24.013452020922148</v>
      </c>
      <c r="AL352">
        <f t="shared" si="79"/>
        <v>19.137018210018855</v>
      </c>
      <c r="AM352">
        <f t="shared" si="80"/>
        <v>5.9766660005074606</v>
      </c>
    </row>
    <row r="353" spans="1:39" ht="16.5" x14ac:dyDescent="0.25">
      <c r="A353" s="1">
        <v>45194</v>
      </c>
      <c r="B353" s="5">
        <v>12.44</v>
      </c>
      <c r="C353" s="4">
        <v>12.29</v>
      </c>
      <c r="D353" s="4">
        <v>12.46</v>
      </c>
      <c r="E353" s="4">
        <v>12.09</v>
      </c>
      <c r="F353" s="4" t="s">
        <v>262</v>
      </c>
      <c r="G353" s="2" t="s">
        <v>43</v>
      </c>
      <c r="I353">
        <f t="shared" si="68"/>
        <v>12.615263157894736</v>
      </c>
      <c r="J353">
        <f t="shared" si="69"/>
        <v>13.2805</v>
      </c>
      <c r="L353">
        <f t="shared" si="70"/>
        <v>1</v>
      </c>
      <c r="M353">
        <f t="shared" si="71"/>
        <v>0</v>
      </c>
      <c r="O353">
        <f t="shared" si="72"/>
        <v>0.15000000000000036</v>
      </c>
      <c r="P353">
        <f t="shared" si="73"/>
        <v>0</v>
      </c>
      <c r="R353">
        <f t="shared" si="74"/>
        <v>0.21714285714285733</v>
      </c>
      <c r="S353">
        <f t="shared" si="75"/>
        <v>0.20428571428571424</v>
      </c>
      <c r="AH353">
        <f t="shared" si="76"/>
        <v>3.2669543015238411</v>
      </c>
      <c r="AI353">
        <f t="shared" si="77"/>
        <v>1.1586532422357454</v>
      </c>
      <c r="AJ353">
        <f t="shared" si="78"/>
        <v>24.071873073553725</v>
      </c>
      <c r="AL353">
        <f t="shared" si="79"/>
        <v>19.149171760942419</v>
      </c>
      <c r="AM353">
        <f t="shared" si="80"/>
        <v>6.0813545548470538</v>
      </c>
    </row>
    <row r="354" spans="1:39" ht="16.5" x14ac:dyDescent="0.25">
      <c r="A354" s="1">
        <v>45191</v>
      </c>
      <c r="B354" s="5">
        <v>12.35</v>
      </c>
      <c r="C354" s="4">
        <v>12.1</v>
      </c>
      <c r="D354" s="4">
        <v>12.43</v>
      </c>
      <c r="E354" s="4">
        <v>12.08</v>
      </c>
      <c r="F354" s="4" t="s">
        <v>200</v>
      </c>
      <c r="G354" s="2" t="s">
        <v>448</v>
      </c>
      <c r="I354">
        <f t="shared" si="68"/>
        <v>12.669473684210526</v>
      </c>
      <c r="J354">
        <f t="shared" si="69"/>
        <v>13.354249999999999</v>
      </c>
      <c r="L354">
        <f t="shared" si="70"/>
        <v>1</v>
      </c>
      <c r="M354">
        <f t="shared" si="71"/>
        <v>0</v>
      </c>
      <c r="O354">
        <f t="shared" si="72"/>
        <v>0.25</v>
      </c>
      <c r="P354">
        <f t="shared" si="73"/>
        <v>0</v>
      </c>
      <c r="R354">
        <f t="shared" si="74"/>
        <v>0.2283333333333335</v>
      </c>
      <c r="S354">
        <f t="shared" si="75"/>
        <v>0.2337499999999999</v>
      </c>
      <c r="AH354">
        <f t="shared" si="76"/>
        <v>3.2436493336100973</v>
      </c>
      <c r="AI354">
        <f t="shared" si="77"/>
        <v>1.2128637685515358</v>
      </c>
      <c r="AJ354">
        <f t="shared" si="78"/>
        <v>24.126083599869517</v>
      </c>
      <c r="AL354">
        <f t="shared" si="79"/>
        <v>19.156772351430721</v>
      </c>
      <c r="AM354">
        <f t="shared" si="80"/>
        <v>6.1821750169903318</v>
      </c>
    </row>
    <row r="355" spans="1:39" ht="16.5" x14ac:dyDescent="0.25">
      <c r="A355" s="1">
        <v>45190</v>
      </c>
      <c r="B355" s="5">
        <v>12.23</v>
      </c>
      <c r="C355" s="4">
        <v>12.52</v>
      </c>
      <c r="D355" s="4">
        <v>12.54</v>
      </c>
      <c r="E355" s="4">
        <v>12.11</v>
      </c>
      <c r="F355" s="4" t="s">
        <v>1480</v>
      </c>
      <c r="G355" s="2" t="s">
        <v>1343</v>
      </c>
      <c r="I355">
        <f t="shared" si="68"/>
        <v>12.709999999999999</v>
      </c>
      <c r="J355">
        <f t="shared" si="69"/>
        <v>13.440249999999997</v>
      </c>
      <c r="L355">
        <f t="shared" si="70"/>
        <v>0</v>
      </c>
      <c r="M355">
        <f t="shared" si="71"/>
        <v>1</v>
      </c>
      <c r="O355">
        <f t="shared" si="72"/>
        <v>0</v>
      </c>
      <c r="P355">
        <f t="shared" si="73"/>
        <v>0.28999999999999915</v>
      </c>
      <c r="R355">
        <f t="shared" si="74"/>
        <v>0.2240000000000002</v>
      </c>
      <c r="S355">
        <f t="shared" si="75"/>
        <v>0.21777777777777768</v>
      </c>
      <c r="AH355">
        <f t="shared" si="76"/>
        <v>3.2201222030903844</v>
      </c>
      <c r="AI355">
        <f t="shared" si="77"/>
        <v>1.2533900843410084</v>
      </c>
      <c r="AJ355">
        <f t="shared" si="78"/>
        <v>24.166609915658988</v>
      </c>
      <c r="AL355">
        <f t="shared" si="79"/>
        <v>19.150244406180768</v>
      </c>
      <c r="AM355">
        <f t="shared" si="80"/>
        <v>6.2697555938192302</v>
      </c>
    </row>
    <row r="356" spans="1:39" ht="16.5" x14ac:dyDescent="0.25">
      <c r="A356" s="1">
        <v>45189</v>
      </c>
      <c r="B356" s="5">
        <v>12.62</v>
      </c>
      <c r="C356" s="4">
        <v>12.51</v>
      </c>
      <c r="D356" s="4">
        <v>12.68</v>
      </c>
      <c r="E356" s="4">
        <v>12.48</v>
      </c>
      <c r="F356" s="4" t="s">
        <v>1399</v>
      </c>
      <c r="G356" s="2" t="s">
        <v>696</v>
      </c>
      <c r="I356">
        <f t="shared" si="68"/>
        <v>12.746315789473684</v>
      </c>
      <c r="J356">
        <f t="shared" si="69"/>
        <v>13.531000000000001</v>
      </c>
      <c r="L356">
        <f t="shared" si="70"/>
        <v>1</v>
      </c>
      <c r="M356">
        <f t="shared" si="71"/>
        <v>0</v>
      </c>
      <c r="O356">
        <f t="shared" si="72"/>
        <v>0.10999999999999943</v>
      </c>
      <c r="P356">
        <f t="shared" si="73"/>
        <v>0</v>
      </c>
      <c r="R356">
        <f t="shared" si="74"/>
        <v>0.2240000000000002</v>
      </c>
      <c r="S356">
        <f t="shared" si="75"/>
        <v>0.20333333333333334</v>
      </c>
      <c r="AH356">
        <f t="shared" si="76"/>
        <v>3.1962159880183161</v>
      </c>
      <c r="AI356">
        <f t="shared" si="77"/>
        <v>1.2897058738146931</v>
      </c>
      <c r="AJ356">
        <f t="shared" si="78"/>
        <v>24.202925705132674</v>
      </c>
      <c r="AL356">
        <f t="shared" si="79"/>
        <v>19.138747765510317</v>
      </c>
      <c r="AM356">
        <f t="shared" si="80"/>
        <v>6.3538838134370517</v>
      </c>
    </row>
    <row r="357" spans="1:39" ht="16.5" x14ac:dyDescent="0.25">
      <c r="A357" s="1">
        <v>45188</v>
      </c>
      <c r="B357" s="5">
        <v>12.55</v>
      </c>
      <c r="C357" s="4">
        <v>12.5</v>
      </c>
      <c r="D357" s="4">
        <v>12.63</v>
      </c>
      <c r="E357" s="4">
        <v>12.47</v>
      </c>
      <c r="F357" s="4" t="s">
        <v>1424</v>
      </c>
      <c r="G357" s="2" t="s">
        <v>296</v>
      </c>
      <c r="I357">
        <f t="shared" si="68"/>
        <v>12.763684210526314</v>
      </c>
      <c r="J357">
        <f t="shared" si="69"/>
        <v>13.61375</v>
      </c>
      <c r="L357">
        <f t="shared" si="70"/>
        <v>1</v>
      </c>
      <c r="M357">
        <f t="shared" si="71"/>
        <v>0</v>
      </c>
      <c r="O357">
        <f t="shared" si="72"/>
        <v>5.0000000000000711E-2</v>
      </c>
      <c r="P357">
        <f t="shared" si="73"/>
        <v>0</v>
      </c>
      <c r="R357">
        <f t="shared" si="74"/>
        <v>0.2240000000000002</v>
      </c>
      <c r="S357">
        <f t="shared" si="75"/>
        <v>0.20333333333333334</v>
      </c>
      <c r="AH357">
        <f t="shared" si="76"/>
        <v>3.1718700415997092</v>
      </c>
      <c r="AI357">
        <f t="shared" si="77"/>
        <v>1.3070742948673235</v>
      </c>
      <c r="AJ357">
        <f t="shared" si="78"/>
        <v>24.220294126185305</v>
      </c>
      <c r="AL357">
        <f t="shared" si="79"/>
        <v>19.107424293725732</v>
      </c>
      <c r="AM357">
        <f t="shared" si="80"/>
        <v>6.4199441273268958</v>
      </c>
    </row>
    <row r="358" spans="1:39" ht="16.5" x14ac:dyDescent="0.25">
      <c r="A358" s="1">
        <v>45187</v>
      </c>
      <c r="B358" s="5">
        <v>12.59</v>
      </c>
      <c r="C358" s="4">
        <v>12.8</v>
      </c>
      <c r="D358" s="4">
        <v>12.99</v>
      </c>
      <c r="E358" s="4">
        <v>12.52</v>
      </c>
      <c r="F358" s="4" t="s">
        <v>1392</v>
      </c>
      <c r="G358" s="2" t="s">
        <v>882</v>
      </c>
      <c r="I358">
        <f t="shared" si="68"/>
        <v>12.788421052631579</v>
      </c>
      <c r="J358">
        <f t="shared" si="69"/>
        <v>13.69575</v>
      </c>
      <c r="L358">
        <f t="shared" si="70"/>
        <v>0</v>
      </c>
      <c r="M358">
        <f t="shared" si="71"/>
        <v>1</v>
      </c>
      <c r="O358">
        <f t="shared" si="72"/>
        <v>0</v>
      </c>
      <c r="P358">
        <f t="shared" si="73"/>
        <v>0.21000000000000085</v>
      </c>
      <c r="R358">
        <f t="shared" si="74"/>
        <v>0.26750000000000007</v>
      </c>
      <c r="S358">
        <f t="shared" si="75"/>
        <v>0.21900000000000014</v>
      </c>
      <c r="AH358">
        <f t="shared" si="76"/>
        <v>3.1468543646329121</v>
      </c>
      <c r="AI358">
        <f t="shared" si="77"/>
        <v>1.331811136972588</v>
      </c>
      <c r="AJ358">
        <f t="shared" si="78"/>
        <v>24.245030968290571</v>
      </c>
      <c r="AL358">
        <f t="shared" si="79"/>
        <v>19.082129781897404</v>
      </c>
      <c r="AM358">
        <f t="shared" si="80"/>
        <v>6.4947123233657544</v>
      </c>
    </row>
    <row r="359" spans="1:39" ht="16.5" x14ac:dyDescent="0.25">
      <c r="A359" s="1">
        <v>45184</v>
      </c>
      <c r="B359" s="5">
        <v>12.9</v>
      </c>
      <c r="C359" s="4">
        <v>13.05</v>
      </c>
      <c r="D359" s="4">
        <v>13.24</v>
      </c>
      <c r="E359" s="4">
        <v>12.84</v>
      </c>
      <c r="F359" s="4" t="s">
        <v>1923</v>
      </c>
      <c r="G359" s="2" t="s">
        <v>513</v>
      </c>
      <c r="I359">
        <f t="shared" si="68"/>
        <v>12.820526315789474</v>
      </c>
      <c r="J359">
        <f t="shared" si="69"/>
        <v>13.769500000000003</v>
      </c>
      <c r="L359">
        <f t="shared" si="70"/>
        <v>0</v>
      </c>
      <c r="M359">
        <f t="shared" si="71"/>
        <v>1</v>
      </c>
      <c r="O359">
        <f t="shared" si="72"/>
        <v>0</v>
      </c>
      <c r="P359">
        <f t="shared" si="73"/>
        <v>0.15000000000000036</v>
      </c>
      <c r="R359">
        <f t="shared" si="74"/>
        <v>0.25400000000000028</v>
      </c>
      <c r="S359">
        <f t="shared" si="75"/>
        <v>0.22000000000000006</v>
      </c>
      <c r="AH359">
        <f t="shared" si="76"/>
        <v>3.1212247447863266</v>
      </c>
      <c r="AI359">
        <f t="shared" si="77"/>
        <v>1.3639164001304831</v>
      </c>
      <c r="AJ359">
        <f t="shared" si="78"/>
        <v>24.277136231448466</v>
      </c>
      <c r="AL359">
        <f t="shared" si="79"/>
        <v>19.062975805362129</v>
      </c>
      <c r="AM359">
        <f t="shared" si="80"/>
        <v>6.5780768262168205</v>
      </c>
    </row>
    <row r="360" spans="1:39" ht="16.5" x14ac:dyDescent="0.25">
      <c r="A360" s="1">
        <v>45183</v>
      </c>
      <c r="B360" s="5">
        <v>12.91</v>
      </c>
      <c r="C360" s="4">
        <v>12.31</v>
      </c>
      <c r="D360" s="4">
        <v>12.93</v>
      </c>
      <c r="E360" s="4">
        <v>12.29</v>
      </c>
      <c r="F360" s="4" t="s">
        <v>1659</v>
      </c>
      <c r="G360" s="2" t="s">
        <v>1682</v>
      </c>
      <c r="I360">
        <f t="shared" si="68"/>
        <v>12.819999999999999</v>
      </c>
      <c r="J360">
        <f t="shared" si="69"/>
        <v>13.832249999999998</v>
      </c>
      <c r="L360">
        <f t="shared" si="70"/>
        <v>1</v>
      </c>
      <c r="M360">
        <f t="shared" si="71"/>
        <v>0</v>
      </c>
      <c r="O360">
        <f t="shared" si="72"/>
        <v>0.59999999999999964</v>
      </c>
      <c r="P360">
        <f t="shared" si="73"/>
        <v>0</v>
      </c>
      <c r="R360">
        <f t="shared" si="74"/>
        <v>0.23166666666666677</v>
      </c>
      <c r="S360">
        <f t="shared" si="75"/>
        <v>0.22875000000000001</v>
      </c>
      <c r="AH360">
        <f t="shared" si="76"/>
        <v>3.0950409826998277</v>
      </c>
      <c r="AI360">
        <f t="shared" si="77"/>
        <v>1.3633900843410078</v>
      </c>
      <c r="AJ360">
        <f t="shared" si="78"/>
        <v>24.276609915658987</v>
      </c>
      <c r="AL360">
        <f t="shared" si="79"/>
        <v>19.010081965399653</v>
      </c>
      <c r="AM360">
        <f t="shared" si="80"/>
        <v>6.629918034600343</v>
      </c>
    </row>
    <row r="361" spans="1:39" ht="16.5" x14ac:dyDescent="0.25">
      <c r="A361" s="1">
        <v>45182</v>
      </c>
      <c r="B361" s="5">
        <v>12.39</v>
      </c>
      <c r="C361" s="4">
        <v>12.12</v>
      </c>
      <c r="D361" s="4">
        <v>12.52</v>
      </c>
      <c r="E361" s="4">
        <v>12.07</v>
      </c>
      <c r="F361" s="4" t="s">
        <v>490</v>
      </c>
      <c r="G361" s="2" t="s">
        <v>176</v>
      </c>
      <c r="I361">
        <f t="shared" si="68"/>
        <v>12.831052631578945</v>
      </c>
      <c r="J361">
        <f t="shared" si="69"/>
        <v>13.896750000000001</v>
      </c>
      <c r="L361">
        <f t="shared" si="70"/>
        <v>1</v>
      </c>
      <c r="M361">
        <f t="shared" si="71"/>
        <v>0</v>
      </c>
      <c r="O361">
        <f t="shared" si="72"/>
        <v>0.27000000000000135</v>
      </c>
      <c r="P361">
        <f t="shared" si="73"/>
        <v>0</v>
      </c>
      <c r="R361">
        <f t="shared" si="74"/>
        <v>0.13500000000000009</v>
      </c>
      <c r="S361">
        <f t="shared" si="75"/>
        <v>0.22875000000000001</v>
      </c>
      <c r="AH361">
        <f t="shared" si="76"/>
        <v>3.0678942541164438</v>
      </c>
      <c r="AI361">
        <f t="shared" si="77"/>
        <v>1.3744427159199546</v>
      </c>
      <c r="AJ361">
        <f t="shared" si="78"/>
        <v>24.287662547237936</v>
      </c>
      <c r="AL361">
        <f t="shared" si="79"/>
        <v>18.966841139811834</v>
      </c>
      <c r="AM361">
        <f t="shared" si="80"/>
        <v>6.6952641233460577</v>
      </c>
    </row>
    <row r="362" spans="1:39" ht="16.5" x14ac:dyDescent="0.25">
      <c r="A362" s="1">
        <v>45181</v>
      </c>
      <c r="B362" s="5">
        <v>12.24</v>
      </c>
      <c r="C362" s="4">
        <v>12.48</v>
      </c>
      <c r="D362" s="4">
        <v>12.61</v>
      </c>
      <c r="E362" s="4">
        <v>12.18</v>
      </c>
      <c r="F362" s="4" t="s">
        <v>1480</v>
      </c>
      <c r="G362" s="2" t="s">
        <v>725</v>
      </c>
      <c r="I362">
        <f t="shared" si="68"/>
        <v>12.886842105263156</v>
      </c>
      <c r="J362">
        <f t="shared" si="69"/>
        <v>13.976500000000001</v>
      </c>
      <c r="L362">
        <f t="shared" si="70"/>
        <v>0</v>
      </c>
      <c r="M362">
        <f t="shared" si="71"/>
        <v>1</v>
      </c>
      <c r="O362">
        <f t="shared" si="72"/>
        <v>0</v>
      </c>
      <c r="P362">
        <f t="shared" si="73"/>
        <v>0.24000000000000021</v>
      </c>
      <c r="R362">
        <f t="shared" si="74"/>
        <v>0.10799999999999983</v>
      </c>
      <c r="S362">
        <f t="shared" si="75"/>
        <v>0.22666666666666677</v>
      </c>
      <c r="AH362">
        <f t="shared" si="76"/>
        <v>3.0398779324074203</v>
      </c>
      <c r="AI362">
        <f t="shared" si="77"/>
        <v>1.4302321896041654</v>
      </c>
      <c r="AJ362">
        <f t="shared" si="78"/>
        <v>24.343452020922147</v>
      </c>
      <c r="AL362">
        <f t="shared" si="79"/>
        <v>18.966597970077999</v>
      </c>
      <c r="AM362">
        <f t="shared" si="80"/>
        <v>6.8070862404483155</v>
      </c>
    </row>
    <row r="363" spans="1:39" ht="16.5" x14ac:dyDescent="0.25">
      <c r="A363" s="1">
        <v>45180</v>
      </c>
      <c r="B363" s="5">
        <v>12.39</v>
      </c>
      <c r="C363" s="4">
        <v>12.3</v>
      </c>
      <c r="D363" s="4">
        <v>12.42</v>
      </c>
      <c r="E363" s="4">
        <v>12.24</v>
      </c>
      <c r="F363" s="4" t="s">
        <v>1726</v>
      </c>
      <c r="G363" s="2" t="s">
        <v>1924</v>
      </c>
      <c r="I363">
        <f t="shared" si="68"/>
        <v>12.955263157894734</v>
      </c>
      <c r="J363">
        <f t="shared" si="69"/>
        <v>14.0595</v>
      </c>
      <c r="L363">
        <f t="shared" si="70"/>
        <v>1</v>
      </c>
      <c r="M363">
        <f t="shared" si="71"/>
        <v>0</v>
      </c>
      <c r="O363">
        <f t="shared" si="72"/>
        <v>8.9999999999999858E-2</v>
      </c>
      <c r="P363">
        <f t="shared" si="73"/>
        <v>0</v>
      </c>
      <c r="R363">
        <f t="shared" si="74"/>
        <v>0.10799999999999983</v>
      </c>
      <c r="S363">
        <f t="shared" si="75"/>
        <v>0.22666666666666677</v>
      </c>
      <c r="AH363">
        <f t="shared" si="76"/>
        <v>3.0115001400940304</v>
      </c>
      <c r="AI363">
        <f t="shared" si="77"/>
        <v>1.4986532422357435</v>
      </c>
      <c r="AJ363">
        <f t="shared" si="78"/>
        <v>24.411873073553725</v>
      </c>
      <c r="AL363">
        <f t="shared" si="79"/>
        <v>18.978263438082795</v>
      </c>
      <c r="AM363">
        <f t="shared" si="80"/>
        <v>6.9322628777066733</v>
      </c>
    </row>
    <row r="364" spans="1:39" ht="16.5" x14ac:dyDescent="0.25">
      <c r="A364" s="1">
        <v>45177</v>
      </c>
      <c r="B364" s="5">
        <v>12.22</v>
      </c>
      <c r="C364" s="4">
        <v>12.5</v>
      </c>
      <c r="D364" s="4">
        <v>12.5</v>
      </c>
      <c r="E364" s="4">
        <v>12</v>
      </c>
      <c r="F364" s="4" t="s">
        <v>824</v>
      </c>
      <c r="G364" s="2" t="s">
        <v>1248</v>
      </c>
      <c r="I364">
        <f t="shared" si="68"/>
        <v>13.009473684210525</v>
      </c>
      <c r="J364">
        <f t="shared" si="69"/>
        <v>14.136000000000001</v>
      </c>
      <c r="L364">
        <f t="shared" si="70"/>
        <v>0</v>
      </c>
      <c r="M364">
        <f t="shared" si="71"/>
        <v>1</v>
      </c>
      <c r="O364">
        <f t="shared" si="72"/>
        <v>0</v>
      </c>
      <c r="P364">
        <f t="shared" si="73"/>
        <v>0.27999999999999936</v>
      </c>
      <c r="R364">
        <f t="shared" si="74"/>
        <v>0.12799999999999975</v>
      </c>
      <c r="S364">
        <f t="shared" si="75"/>
        <v>0.22666666666666677</v>
      </c>
      <c r="AH364">
        <f t="shared" si="76"/>
        <v>2.982903047251396</v>
      </c>
      <c r="AI364">
        <f t="shared" si="77"/>
        <v>1.5528637685515339</v>
      </c>
      <c r="AJ364">
        <f t="shared" si="78"/>
        <v>24.466083599869513</v>
      </c>
      <c r="AL364">
        <f t="shared" si="79"/>
        <v>18.975279778713315</v>
      </c>
      <c r="AM364">
        <f t="shared" si="80"/>
        <v>7.0436675897077325</v>
      </c>
    </row>
    <row r="365" spans="1:39" ht="16.5" x14ac:dyDescent="0.25">
      <c r="A365" s="1">
        <v>45176</v>
      </c>
      <c r="B365" s="5">
        <v>12.4</v>
      </c>
      <c r="C365" s="4">
        <v>12.59</v>
      </c>
      <c r="D365" s="4">
        <v>12.64</v>
      </c>
      <c r="E365" s="4">
        <v>12.2</v>
      </c>
      <c r="F365" s="4" t="s">
        <v>1086</v>
      </c>
      <c r="G365" s="2" t="s">
        <v>223</v>
      </c>
      <c r="I365">
        <f t="shared" si="68"/>
        <v>13.087368421052631</v>
      </c>
      <c r="J365">
        <f t="shared" si="69"/>
        <v>14.216750000000001</v>
      </c>
      <c r="L365">
        <f t="shared" si="70"/>
        <v>0</v>
      </c>
      <c r="M365">
        <f t="shared" si="71"/>
        <v>1</v>
      </c>
      <c r="O365">
        <f t="shared" si="72"/>
        <v>0</v>
      </c>
      <c r="P365">
        <f t="shared" si="73"/>
        <v>0.1899999999999995</v>
      </c>
      <c r="R365">
        <f t="shared" si="74"/>
        <v>0.12799999999999975</v>
      </c>
      <c r="S365">
        <f t="shared" si="75"/>
        <v>0.21111111111111114</v>
      </c>
      <c r="AH365">
        <f t="shared" si="76"/>
        <v>2.9539010545923436</v>
      </c>
      <c r="AI365">
        <f t="shared" si="77"/>
        <v>1.63075850539364</v>
      </c>
      <c r="AJ365">
        <f t="shared" si="78"/>
        <v>24.543978336711621</v>
      </c>
      <c r="AL365">
        <f t="shared" si="79"/>
        <v>18.995170530237317</v>
      </c>
      <c r="AM365">
        <f t="shared" si="80"/>
        <v>7.1795663118679434</v>
      </c>
    </row>
    <row r="366" spans="1:39" ht="16.5" x14ac:dyDescent="0.25">
      <c r="A366" s="1">
        <v>45175</v>
      </c>
      <c r="B366" s="5">
        <v>12.64</v>
      </c>
      <c r="C366" s="4">
        <v>12.71</v>
      </c>
      <c r="D366" s="4">
        <v>12.86</v>
      </c>
      <c r="E366" s="4">
        <v>12.57</v>
      </c>
      <c r="F366" s="4" t="s">
        <v>989</v>
      </c>
      <c r="G366" s="2" t="s">
        <v>678</v>
      </c>
      <c r="I366">
        <f t="shared" si="68"/>
        <v>13.16</v>
      </c>
      <c r="J366">
        <f t="shared" si="69"/>
        <v>14.299000000000003</v>
      </c>
      <c r="L366">
        <f t="shared" si="70"/>
        <v>0</v>
      </c>
      <c r="M366">
        <f t="shared" si="71"/>
        <v>1</v>
      </c>
      <c r="O366">
        <f t="shared" si="72"/>
        <v>0</v>
      </c>
      <c r="P366">
        <f t="shared" si="73"/>
        <v>7.0000000000000284E-2</v>
      </c>
      <c r="R366">
        <f t="shared" si="74"/>
        <v>0.12799999999999975</v>
      </c>
      <c r="S366">
        <f t="shared" si="75"/>
        <v>0.20777777777777789</v>
      </c>
      <c r="AH366">
        <f t="shared" si="76"/>
        <v>2.9247776090443089</v>
      </c>
      <c r="AI366">
        <f t="shared" si="77"/>
        <v>1.7033900843410095</v>
      </c>
      <c r="AJ366">
        <f t="shared" si="78"/>
        <v>24.616609915658991</v>
      </c>
      <c r="AL366">
        <f t="shared" si="79"/>
        <v>19.009555218088618</v>
      </c>
      <c r="AM366">
        <f t="shared" si="80"/>
        <v>7.3104447819113823</v>
      </c>
    </row>
    <row r="367" spans="1:39" ht="16.5" x14ac:dyDescent="0.25">
      <c r="A367" s="1">
        <v>45174</v>
      </c>
      <c r="B367" s="5">
        <v>12.56</v>
      </c>
      <c r="C367" s="4">
        <v>13</v>
      </c>
      <c r="D367" s="4">
        <v>13.04</v>
      </c>
      <c r="E367" s="4">
        <v>12.46</v>
      </c>
      <c r="F367" s="4" t="s">
        <v>1777</v>
      </c>
      <c r="G367" s="2" t="s">
        <v>1925</v>
      </c>
      <c r="I367">
        <f t="shared" si="68"/>
        <v>13.208421052631577</v>
      </c>
      <c r="J367">
        <f t="shared" si="69"/>
        <v>14.372250000000005</v>
      </c>
      <c r="L367">
        <f t="shared" si="70"/>
        <v>0</v>
      </c>
      <c r="M367">
        <f t="shared" si="71"/>
        <v>1</v>
      </c>
      <c r="O367">
        <f t="shared" si="72"/>
        <v>0</v>
      </c>
      <c r="P367">
        <f t="shared" si="73"/>
        <v>0.4399999999999995</v>
      </c>
      <c r="R367">
        <f t="shared" si="74"/>
        <v>0.12799999999999975</v>
      </c>
      <c r="S367">
        <f t="shared" si="75"/>
        <v>0.20444444444444462</v>
      </c>
      <c r="AH367">
        <f t="shared" si="76"/>
        <v>2.8954617150492332</v>
      </c>
      <c r="AI367">
        <f t="shared" si="77"/>
        <v>1.7518111369725862</v>
      </c>
      <c r="AJ367">
        <f t="shared" si="78"/>
        <v>24.665030968290566</v>
      </c>
      <c r="AL367">
        <f t="shared" si="79"/>
        <v>18.999344482730045</v>
      </c>
      <c r="AM367">
        <f t="shared" si="80"/>
        <v>7.4174976225331104</v>
      </c>
    </row>
    <row r="368" spans="1:39" ht="16.5" x14ac:dyDescent="0.25">
      <c r="A368" s="1">
        <v>45173</v>
      </c>
      <c r="B368" s="5">
        <v>13.03</v>
      </c>
      <c r="C368" s="4">
        <v>13.12</v>
      </c>
      <c r="D368" s="4">
        <v>13.24</v>
      </c>
      <c r="E368" s="4">
        <v>13.03</v>
      </c>
      <c r="F368" s="4" t="s">
        <v>197</v>
      </c>
      <c r="G368" s="2" t="s">
        <v>513</v>
      </c>
      <c r="I368">
        <f t="shared" si="68"/>
        <v>13.283684210526314</v>
      </c>
      <c r="J368">
        <f t="shared" si="69"/>
        <v>14.440250000000006</v>
      </c>
      <c r="L368">
        <f t="shared" si="70"/>
        <v>0</v>
      </c>
      <c r="M368">
        <f t="shared" si="71"/>
        <v>1</v>
      </c>
      <c r="O368">
        <f t="shared" si="72"/>
        <v>0</v>
      </c>
      <c r="P368">
        <f t="shared" si="73"/>
        <v>8.9999999999999858E-2</v>
      </c>
      <c r="R368">
        <f t="shared" si="74"/>
        <v>0.13666666666666641</v>
      </c>
      <c r="S368">
        <f t="shared" si="75"/>
        <v>0.17500000000000027</v>
      </c>
      <c r="AH368">
        <f t="shared" si="76"/>
        <v>2.8656335200377523</v>
      </c>
      <c r="AI368">
        <f t="shared" si="77"/>
        <v>1.8270742948673231</v>
      </c>
      <c r="AJ368">
        <f t="shared" si="78"/>
        <v>24.740294126185304</v>
      </c>
      <c r="AL368">
        <f t="shared" si="79"/>
        <v>19.014951250601818</v>
      </c>
      <c r="AM368">
        <f t="shared" si="80"/>
        <v>7.5524171704508092</v>
      </c>
    </row>
    <row r="369" spans="1:39" ht="16.5" x14ac:dyDescent="0.25">
      <c r="A369" s="1">
        <v>45170</v>
      </c>
      <c r="B369" s="5">
        <v>13.04</v>
      </c>
      <c r="C369" s="4">
        <v>13.2</v>
      </c>
      <c r="D369" s="4">
        <v>13.24</v>
      </c>
      <c r="E369" s="4">
        <v>13.04</v>
      </c>
      <c r="F369" s="4" t="s">
        <v>724</v>
      </c>
      <c r="G369" s="2" t="s">
        <v>137</v>
      </c>
      <c r="I369">
        <f t="shared" si="68"/>
        <v>13.354736842105263</v>
      </c>
      <c r="J369">
        <f t="shared" si="69"/>
        <v>14.492500000000003</v>
      </c>
      <c r="L369">
        <f t="shared" si="70"/>
        <v>0</v>
      </c>
      <c r="M369">
        <f t="shared" si="71"/>
        <v>1</v>
      </c>
      <c r="O369">
        <f t="shared" si="72"/>
        <v>0</v>
      </c>
      <c r="P369">
        <f t="shared" si="73"/>
        <v>0.16000000000000014</v>
      </c>
      <c r="R369">
        <f t="shared" si="74"/>
        <v>0.13666666666666641</v>
      </c>
      <c r="S369">
        <f t="shared" si="75"/>
        <v>0.19750000000000023</v>
      </c>
      <c r="AH369">
        <f t="shared" si="76"/>
        <v>2.8356227245301051</v>
      </c>
      <c r="AI369">
        <f t="shared" si="77"/>
        <v>1.8981269264462721</v>
      </c>
      <c r="AJ369">
        <f t="shared" si="78"/>
        <v>24.811346757764255</v>
      </c>
      <c r="AL369">
        <f t="shared" si="79"/>
        <v>19.025982291165473</v>
      </c>
      <c r="AM369">
        <f t="shared" si="80"/>
        <v>7.6834913930450526</v>
      </c>
    </row>
    <row r="370" spans="1:39" ht="16.5" x14ac:dyDescent="0.25">
      <c r="A370" s="1">
        <v>45169</v>
      </c>
      <c r="B370" s="5">
        <v>13.16</v>
      </c>
      <c r="C370" s="4">
        <v>13.05</v>
      </c>
      <c r="D370" s="4">
        <v>13.32</v>
      </c>
      <c r="E370" s="4">
        <v>12.99</v>
      </c>
      <c r="F370" s="4" t="s">
        <v>1439</v>
      </c>
      <c r="G370" s="2" t="s">
        <v>554</v>
      </c>
      <c r="I370">
        <f t="shared" si="68"/>
        <v>13.436842105263155</v>
      </c>
      <c r="J370">
        <f t="shared" si="69"/>
        <v>14.539250000000001</v>
      </c>
      <c r="L370">
        <f t="shared" si="70"/>
        <v>1</v>
      </c>
      <c r="M370">
        <f t="shared" si="71"/>
        <v>0</v>
      </c>
      <c r="O370">
        <f t="shared" si="72"/>
        <v>0.10999999999999943</v>
      </c>
      <c r="P370">
        <f t="shared" si="73"/>
        <v>0</v>
      </c>
      <c r="R370">
        <f t="shared" si="74"/>
        <v>0.13666666666666641</v>
      </c>
      <c r="S370">
        <f t="shared" si="75"/>
        <v>0.17875000000000041</v>
      </c>
      <c r="AH370">
        <f t="shared" si="76"/>
        <v>2.8053670877566481</v>
      </c>
      <c r="AI370">
        <f t="shared" si="77"/>
        <v>1.9802321896041644</v>
      </c>
      <c r="AJ370">
        <f t="shared" si="78"/>
        <v>24.893452020922147</v>
      </c>
      <c r="AL370">
        <f t="shared" si="79"/>
        <v>19.04757628077645</v>
      </c>
      <c r="AM370">
        <f t="shared" si="80"/>
        <v>7.8261079297498588</v>
      </c>
    </row>
    <row r="371" spans="1:39" ht="16.5" x14ac:dyDescent="0.25">
      <c r="A371" s="1">
        <v>45168</v>
      </c>
      <c r="B371" s="5">
        <v>13.03</v>
      </c>
      <c r="C371" s="4">
        <v>13.39</v>
      </c>
      <c r="D371" s="4">
        <v>13.4</v>
      </c>
      <c r="E371" s="4">
        <v>12.99</v>
      </c>
      <c r="F371" s="4" t="s">
        <v>1704</v>
      </c>
      <c r="G371" s="2" t="s">
        <v>1926</v>
      </c>
      <c r="I371">
        <f t="shared" si="68"/>
        <v>13.562631578947366</v>
      </c>
      <c r="J371">
        <f t="shared" si="69"/>
        <v>14.583499999999997</v>
      </c>
      <c r="L371">
        <f t="shared" si="70"/>
        <v>0</v>
      </c>
      <c r="M371">
        <f t="shared" si="71"/>
        <v>1</v>
      </c>
      <c r="O371">
        <f t="shared" si="72"/>
        <v>0</v>
      </c>
      <c r="P371">
        <f t="shared" si="73"/>
        <v>0.36000000000000121</v>
      </c>
      <c r="R371">
        <f t="shared" si="74"/>
        <v>0.16499999999999973</v>
      </c>
      <c r="S371">
        <f t="shared" si="75"/>
        <v>0.17875000000000041</v>
      </c>
      <c r="AH371">
        <f t="shared" si="76"/>
        <v>2.7750050190600217</v>
      </c>
      <c r="AI371">
        <f t="shared" si="77"/>
        <v>2.1060216632883755</v>
      </c>
      <c r="AJ371">
        <f t="shared" si="78"/>
        <v>25.019241494606355</v>
      </c>
      <c r="AL371">
        <f t="shared" si="79"/>
        <v>19.11264161706741</v>
      </c>
      <c r="AM371">
        <f t="shared" si="80"/>
        <v>8.0126215408273218</v>
      </c>
    </row>
    <row r="372" spans="1:39" ht="16.5" x14ac:dyDescent="0.25">
      <c r="A372" s="1">
        <v>45167</v>
      </c>
      <c r="B372" s="5">
        <v>13.47</v>
      </c>
      <c r="C372" s="4">
        <v>13.27</v>
      </c>
      <c r="D372" s="4">
        <v>13.47</v>
      </c>
      <c r="E372" s="4">
        <v>13.08</v>
      </c>
      <c r="F372" s="4" t="s">
        <v>1536</v>
      </c>
      <c r="G372" s="2" t="s">
        <v>1927</v>
      </c>
      <c r="I372">
        <f t="shared" si="68"/>
        <v>13.70263157894737</v>
      </c>
      <c r="J372">
        <f t="shared" si="69"/>
        <v>14.636499999999998</v>
      </c>
      <c r="L372">
        <f t="shared" si="70"/>
        <v>1</v>
      </c>
      <c r="M372">
        <f t="shared" si="71"/>
        <v>0</v>
      </c>
      <c r="O372">
        <f t="shared" si="72"/>
        <v>0.20000000000000107</v>
      </c>
      <c r="P372">
        <f t="shared" si="73"/>
        <v>0</v>
      </c>
      <c r="R372">
        <f t="shared" si="74"/>
        <v>0.16499999999999973</v>
      </c>
      <c r="S372">
        <f t="shared" si="75"/>
        <v>0.20125000000000015</v>
      </c>
      <c r="AH372">
        <f t="shared" si="76"/>
        <v>2.7451203228428147</v>
      </c>
      <c r="AI372">
        <f t="shared" si="77"/>
        <v>2.2460216632883796</v>
      </c>
      <c r="AJ372">
        <f t="shared" si="78"/>
        <v>25.159241494606363</v>
      </c>
      <c r="AL372">
        <f t="shared" si="79"/>
        <v>19.192872224633</v>
      </c>
      <c r="AM372">
        <f t="shared" si="80"/>
        <v>8.2123909332617409</v>
      </c>
    </row>
    <row r="373" spans="1:39" ht="16.5" x14ac:dyDescent="0.25">
      <c r="A373" s="1">
        <v>45166</v>
      </c>
      <c r="B373" s="5">
        <v>13.12</v>
      </c>
      <c r="C373" s="4">
        <v>13</v>
      </c>
      <c r="D373" s="4">
        <v>13.29</v>
      </c>
      <c r="E373" s="4">
        <v>12.97</v>
      </c>
      <c r="F373" s="4" t="s">
        <v>1789</v>
      </c>
      <c r="G373" s="2" t="s">
        <v>667</v>
      </c>
      <c r="I373">
        <f t="shared" si="68"/>
        <v>13.821052631578949</v>
      </c>
      <c r="J373">
        <f t="shared" si="69"/>
        <v>14.701249999999996</v>
      </c>
      <c r="L373">
        <f t="shared" si="70"/>
        <v>1</v>
      </c>
      <c r="M373">
        <f t="shared" si="71"/>
        <v>0</v>
      </c>
      <c r="O373">
        <f t="shared" si="72"/>
        <v>0.11999999999999922</v>
      </c>
      <c r="P373">
        <f t="shared" si="73"/>
        <v>0</v>
      </c>
      <c r="R373">
        <f t="shared" si="74"/>
        <v>0.15799999999999947</v>
      </c>
      <c r="S373">
        <f t="shared" si="75"/>
        <v>0.21333333333333351</v>
      </c>
      <c r="AH373">
        <f t="shared" si="76"/>
        <v>2.7159204944202768</v>
      </c>
      <c r="AI373">
        <f t="shared" si="77"/>
        <v>2.3644427159199584</v>
      </c>
      <c r="AJ373">
        <f t="shared" si="78"/>
        <v>25.277662547237938</v>
      </c>
      <c r="AL373">
        <f t="shared" si="79"/>
        <v>19.252893620419503</v>
      </c>
      <c r="AM373">
        <f t="shared" si="80"/>
        <v>8.3892116427383954</v>
      </c>
    </row>
    <row r="374" spans="1:39" ht="16.5" x14ac:dyDescent="0.25">
      <c r="A374" s="1">
        <v>45163</v>
      </c>
      <c r="B374" s="5">
        <v>12.92</v>
      </c>
      <c r="C374" s="4">
        <v>12.9</v>
      </c>
      <c r="D374" s="4">
        <v>13.06</v>
      </c>
      <c r="E374" s="4">
        <v>12.88</v>
      </c>
      <c r="F374" s="4" t="s">
        <v>726</v>
      </c>
      <c r="G374" s="2" t="s">
        <v>816</v>
      </c>
      <c r="I374">
        <f t="shared" si="68"/>
        <v>13.944210526315789</v>
      </c>
      <c r="J374">
        <f t="shared" si="69"/>
        <v>14.781749999999997</v>
      </c>
      <c r="L374">
        <f t="shared" si="70"/>
        <v>1</v>
      </c>
      <c r="M374">
        <f t="shared" si="71"/>
        <v>0</v>
      </c>
      <c r="O374">
        <f t="shared" si="72"/>
        <v>1.9999999999999574E-2</v>
      </c>
      <c r="P374">
        <f t="shared" si="73"/>
        <v>0</v>
      </c>
      <c r="R374">
        <f t="shared" si="74"/>
        <v>0.16749999999999954</v>
      </c>
      <c r="S374">
        <f t="shared" si="75"/>
        <v>0.19400000000000012</v>
      </c>
      <c r="AH374">
        <f t="shared" si="76"/>
        <v>2.6871387953580932</v>
      </c>
      <c r="AI374">
        <f t="shared" si="77"/>
        <v>2.4876006106567985</v>
      </c>
      <c r="AJ374">
        <f t="shared" si="78"/>
        <v>25.40082044197478</v>
      </c>
      <c r="AL374">
        <f t="shared" si="79"/>
        <v>19.318488117031976</v>
      </c>
      <c r="AM374">
        <f t="shared" si="80"/>
        <v>8.5699329355996028</v>
      </c>
    </row>
    <row r="375" spans="1:39" ht="16.5" x14ac:dyDescent="0.25">
      <c r="A375" s="1">
        <v>45162</v>
      </c>
      <c r="B375" s="5">
        <v>12.95</v>
      </c>
      <c r="C375" s="4">
        <v>13.16</v>
      </c>
      <c r="D375" s="4">
        <v>13.27</v>
      </c>
      <c r="E375" s="4">
        <v>12.93</v>
      </c>
      <c r="F375" s="4" t="s">
        <v>1434</v>
      </c>
      <c r="G375" s="2" t="s">
        <v>650</v>
      </c>
      <c r="I375">
        <f t="shared" si="68"/>
        <v>14.07421052631579</v>
      </c>
      <c r="J375">
        <f t="shared" si="69"/>
        <v>14.863249999999997</v>
      </c>
      <c r="L375">
        <f t="shared" si="70"/>
        <v>0</v>
      </c>
      <c r="M375">
        <f t="shared" si="71"/>
        <v>1</v>
      </c>
      <c r="O375">
        <f t="shared" si="72"/>
        <v>0</v>
      </c>
      <c r="P375">
        <f t="shared" si="73"/>
        <v>0.21000000000000085</v>
      </c>
      <c r="R375">
        <f t="shared" si="74"/>
        <v>0.2166666666666662</v>
      </c>
      <c r="S375">
        <f t="shared" si="75"/>
        <v>0.19909090909090921</v>
      </c>
      <c r="AH375">
        <f t="shared" si="76"/>
        <v>2.6588542217384488</v>
      </c>
      <c r="AI375">
        <f t="shared" si="77"/>
        <v>2.6176006106567993</v>
      </c>
      <c r="AJ375">
        <f t="shared" si="78"/>
        <v>25.530820441974782</v>
      </c>
      <c r="AL375">
        <f t="shared" si="79"/>
        <v>19.391918969792687</v>
      </c>
      <c r="AM375">
        <f t="shared" si="80"/>
        <v>8.7565020828388924</v>
      </c>
    </row>
    <row r="376" spans="1:39" ht="16.5" x14ac:dyDescent="0.25">
      <c r="A376" s="1">
        <v>45161</v>
      </c>
      <c r="B376" s="5">
        <v>13.02</v>
      </c>
      <c r="C376" s="4">
        <v>13.26</v>
      </c>
      <c r="D376" s="4">
        <v>13.54</v>
      </c>
      <c r="E376" s="4">
        <v>12.88</v>
      </c>
      <c r="F376" s="4" t="s">
        <v>1928</v>
      </c>
      <c r="G376" s="2" t="s">
        <v>1745</v>
      </c>
      <c r="I376">
        <f t="shared" si="68"/>
        <v>14.223684210526319</v>
      </c>
      <c r="J376">
        <f t="shared" si="69"/>
        <v>14.931999999999999</v>
      </c>
      <c r="L376">
        <f t="shared" si="70"/>
        <v>0</v>
      </c>
      <c r="M376">
        <f t="shared" si="71"/>
        <v>1</v>
      </c>
      <c r="O376">
        <f t="shared" si="72"/>
        <v>0</v>
      </c>
      <c r="P376">
        <f t="shared" si="73"/>
        <v>0.24000000000000021</v>
      </c>
      <c r="R376">
        <f t="shared" si="74"/>
        <v>0.2166666666666662</v>
      </c>
      <c r="S376">
        <f t="shared" si="75"/>
        <v>0.18909090909090909</v>
      </c>
      <c r="AH376">
        <f t="shared" si="76"/>
        <v>2.6311761020136291</v>
      </c>
      <c r="AI376">
        <f t="shared" si="77"/>
        <v>2.7670742948673279</v>
      </c>
      <c r="AJ376">
        <f t="shared" si="78"/>
        <v>25.680294126185309</v>
      </c>
      <c r="AL376">
        <f t="shared" si="79"/>
        <v>19.486036414553578</v>
      </c>
      <c r="AM376">
        <f t="shared" si="80"/>
        <v>8.9613320064990596</v>
      </c>
    </row>
    <row r="377" spans="1:39" ht="16.5" x14ac:dyDescent="0.25">
      <c r="A377" s="1">
        <v>45160</v>
      </c>
      <c r="B377" s="5">
        <v>13.2</v>
      </c>
      <c r="C377" s="4">
        <v>13.01</v>
      </c>
      <c r="D377" s="4">
        <v>13.27</v>
      </c>
      <c r="E377" s="4">
        <v>12.99</v>
      </c>
      <c r="F377" s="4" t="s">
        <v>1789</v>
      </c>
      <c r="G377" s="2" t="s">
        <v>110</v>
      </c>
      <c r="I377">
        <f t="shared" si="68"/>
        <v>14.373157894736844</v>
      </c>
      <c r="J377">
        <f t="shared" si="69"/>
        <v>14.998249999999999</v>
      </c>
      <c r="L377">
        <f t="shared" si="70"/>
        <v>1</v>
      </c>
      <c r="M377">
        <f t="shared" si="71"/>
        <v>0</v>
      </c>
      <c r="O377">
        <f t="shared" si="72"/>
        <v>0.1899999999999995</v>
      </c>
      <c r="P377">
        <f t="shared" si="73"/>
        <v>0</v>
      </c>
      <c r="R377">
        <f t="shared" si="74"/>
        <v>0.2166666666666662</v>
      </c>
      <c r="S377">
        <f t="shared" si="75"/>
        <v>0.16818181818181815</v>
      </c>
      <c r="AH377">
        <f t="shared" si="76"/>
        <v>2.6043850018806896</v>
      </c>
      <c r="AI377">
        <f t="shared" si="77"/>
        <v>2.916547979077853</v>
      </c>
      <c r="AJ377">
        <f t="shared" si="78"/>
        <v>25.829767810395836</v>
      </c>
      <c r="AL377">
        <f t="shared" si="79"/>
        <v>19.581927898498222</v>
      </c>
      <c r="AM377">
        <f t="shared" si="80"/>
        <v>9.1643878909754655</v>
      </c>
    </row>
    <row r="378" spans="1:39" ht="16.5" x14ac:dyDescent="0.25">
      <c r="A378" s="1">
        <v>45159</v>
      </c>
      <c r="B378" s="5">
        <v>12.89</v>
      </c>
      <c r="C378" s="4">
        <v>13.03</v>
      </c>
      <c r="D378" s="4">
        <v>13.1</v>
      </c>
      <c r="E378" s="4">
        <v>12.83</v>
      </c>
      <c r="F378" s="4" t="s">
        <v>1742</v>
      </c>
      <c r="G378" s="2" t="s">
        <v>1919</v>
      </c>
      <c r="I378">
        <f t="shared" si="68"/>
        <v>14.516842105263157</v>
      </c>
      <c r="J378">
        <f t="shared" si="69"/>
        <v>15.035249999999996</v>
      </c>
      <c r="L378">
        <f t="shared" si="70"/>
        <v>0</v>
      </c>
      <c r="M378">
        <f t="shared" si="71"/>
        <v>1</v>
      </c>
      <c r="O378">
        <f t="shared" si="72"/>
        <v>0</v>
      </c>
      <c r="P378">
        <f t="shared" si="73"/>
        <v>0.13999999999999879</v>
      </c>
      <c r="R378">
        <f t="shared" si="74"/>
        <v>0.3000000000000001</v>
      </c>
      <c r="S378">
        <f t="shared" si="75"/>
        <v>0.16818181818181815</v>
      </c>
      <c r="AH378">
        <f t="shared" si="76"/>
        <v>2.5785053948524013</v>
      </c>
      <c r="AI378">
        <f t="shared" si="77"/>
        <v>3.0602321896041662</v>
      </c>
      <c r="AJ378">
        <f t="shared" si="78"/>
        <v>25.973452020922146</v>
      </c>
      <c r="AL378">
        <f t="shared" si="79"/>
        <v>19.673852894967958</v>
      </c>
      <c r="AM378">
        <f t="shared" si="80"/>
        <v>9.3598313155583543</v>
      </c>
    </row>
    <row r="379" spans="1:39" ht="16.5" x14ac:dyDescent="0.25">
      <c r="A379" s="1">
        <v>45156</v>
      </c>
      <c r="B379" s="5">
        <v>13.12</v>
      </c>
      <c r="C379" s="4">
        <v>13.28</v>
      </c>
      <c r="D379" s="4">
        <v>13.4</v>
      </c>
      <c r="E379" s="4">
        <v>13</v>
      </c>
      <c r="F379" s="4" t="s">
        <v>997</v>
      </c>
      <c r="G379" s="2" t="s">
        <v>1772</v>
      </c>
      <c r="I379">
        <f t="shared" si="68"/>
        <v>14.67157894736842</v>
      </c>
      <c r="J379">
        <f t="shared" si="69"/>
        <v>15.071749999999998</v>
      </c>
      <c r="L379">
        <f t="shared" si="70"/>
        <v>0</v>
      </c>
      <c r="M379">
        <f t="shared" si="71"/>
        <v>1</v>
      </c>
      <c r="O379">
        <f t="shared" si="72"/>
        <v>0</v>
      </c>
      <c r="P379">
        <f t="shared" si="73"/>
        <v>0.16000000000000014</v>
      </c>
      <c r="R379">
        <f t="shared" si="74"/>
        <v>0.23250000000000037</v>
      </c>
      <c r="S379">
        <f t="shared" si="75"/>
        <v>0.1710000000000001</v>
      </c>
      <c r="AH379">
        <f t="shared" si="76"/>
        <v>2.5534848678309241</v>
      </c>
      <c r="AI379">
        <f t="shared" si="77"/>
        <v>3.2149690317094297</v>
      </c>
      <c r="AJ379">
        <f t="shared" si="78"/>
        <v>26.128188863027411</v>
      </c>
      <c r="AL379">
        <f t="shared" si="79"/>
        <v>19.778548683030269</v>
      </c>
      <c r="AM379">
        <f t="shared" si="80"/>
        <v>9.5646092117065713</v>
      </c>
    </row>
    <row r="380" spans="1:39" ht="16.5" x14ac:dyDescent="0.25">
      <c r="A380" s="1">
        <v>45155</v>
      </c>
      <c r="B380" s="5">
        <v>13.45</v>
      </c>
      <c r="C380" s="4">
        <v>13.49</v>
      </c>
      <c r="D380" s="4">
        <v>13.57</v>
      </c>
      <c r="E380" s="4">
        <v>13.34</v>
      </c>
      <c r="F380" s="4" t="s">
        <v>343</v>
      </c>
      <c r="G380" s="2" t="s">
        <v>292</v>
      </c>
      <c r="I380">
        <f t="shared" si="68"/>
        <v>14.798947368421054</v>
      </c>
      <c r="J380">
        <f t="shared" si="69"/>
        <v>15.109999999999996</v>
      </c>
      <c r="L380">
        <f t="shared" si="70"/>
        <v>0</v>
      </c>
      <c r="M380">
        <f t="shared" si="71"/>
        <v>1</v>
      </c>
      <c r="O380">
        <f t="shared" si="72"/>
        <v>0</v>
      </c>
      <c r="P380">
        <f t="shared" si="73"/>
        <v>4.0000000000000924E-2</v>
      </c>
      <c r="R380">
        <f t="shared" si="74"/>
        <v>0.23250000000000037</v>
      </c>
      <c r="S380">
        <f t="shared" si="75"/>
        <v>0.19700000000000006</v>
      </c>
      <c r="AH380">
        <f t="shared" si="76"/>
        <v>2.5294913758024098</v>
      </c>
      <c r="AI380">
        <f t="shared" si="77"/>
        <v>3.3423374527620631</v>
      </c>
      <c r="AJ380">
        <f t="shared" si="78"/>
        <v>26.255557284080044</v>
      </c>
      <c r="AL380">
        <f t="shared" si="79"/>
        <v>19.857930120025873</v>
      </c>
      <c r="AM380">
        <f t="shared" si="80"/>
        <v>9.7399646168162342</v>
      </c>
    </row>
    <row r="381" spans="1:39" ht="16.5" x14ac:dyDescent="0.25">
      <c r="A381" s="1">
        <v>45154</v>
      </c>
      <c r="B381" s="5">
        <v>13.54</v>
      </c>
      <c r="C381" s="4">
        <v>13.36</v>
      </c>
      <c r="D381" s="4">
        <v>13.55</v>
      </c>
      <c r="E381" s="4">
        <v>13.33</v>
      </c>
      <c r="F381" s="4" t="s">
        <v>349</v>
      </c>
      <c r="G381" s="2" t="s">
        <v>1004</v>
      </c>
      <c r="I381">
        <f t="shared" si="68"/>
        <v>14.902105263157894</v>
      </c>
      <c r="J381">
        <f t="shared" si="69"/>
        <v>15.358249999999995</v>
      </c>
      <c r="L381">
        <f t="shared" si="70"/>
        <v>1</v>
      </c>
      <c r="M381">
        <f t="shared" si="71"/>
        <v>0</v>
      </c>
      <c r="O381">
        <f t="shared" si="72"/>
        <v>0.17999999999999972</v>
      </c>
      <c r="P381">
        <f t="shared" si="73"/>
        <v>0</v>
      </c>
      <c r="R381">
        <f t="shared" si="74"/>
        <v>0.23250000000000037</v>
      </c>
      <c r="S381">
        <f t="shared" si="75"/>
        <v>0.19600000000000009</v>
      </c>
      <c r="AH381">
        <f t="shared" si="76"/>
        <v>2.5061915299580506</v>
      </c>
      <c r="AI381">
        <f t="shared" si="77"/>
        <v>3.4454953474989036</v>
      </c>
      <c r="AJ381">
        <f t="shared" si="78"/>
        <v>26.358715178816887</v>
      </c>
      <c r="AL381">
        <f t="shared" si="79"/>
        <v>19.914488323073996</v>
      </c>
      <c r="AM381">
        <f t="shared" si="80"/>
        <v>9.8897222032417922</v>
      </c>
    </row>
    <row r="382" spans="1:39" ht="16.5" x14ac:dyDescent="0.25">
      <c r="A382" s="1">
        <v>45153</v>
      </c>
      <c r="B382" s="5">
        <v>13.42</v>
      </c>
      <c r="C382" s="4">
        <v>13.69</v>
      </c>
      <c r="D382" s="4">
        <v>13.79</v>
      </c>
      <c r="E382" s="4">
        <v>13.3</v>
      </c>
      <c r="F382" s="4" t="s">
        <v>1505</v>
      </c>
      <c r="G382" s="2" t="s">
        <v>829</v>
      </c>
      <c r="I382">
        <f t="shared" si="68"/>
        <v>15.004736842105265</v>
      </c>
      <c r="J382">
        <f t="shared" si="69"/>
        <v>15.594249999999997</v>
      </c>
      <c r="L382">
        <f t="shared" si="70"/>
        <v>0</v>
      </c>
      <c r="M382">
        <f t="shared" si="71"/>
        <v>1</v>
      </c>
      <c r="O382">
        <f t="shared" si="72"/>
        <v>0</v>
      </c>
      <c r="P382">
        <f t="shared" si="73"/>
        <v>0.26999999999999957</v>
      </c>
      <c r="R382">
        <f t="shared" si="74"/>
        <v>0.25000000000000061</v>
      </c>
      <c r="S382">
        <f t="shared" si="75"/>
        <v>0.19000000000000014</v>
      </c>
      <c r="AH382">
        <f t="shared" si="76"/>
        <v>2.483288555506046</v>
      </c>
      <c r="AI382">
        <f t="shared" si="77"/>
        <v>3.5481269264462743</v>
      </c>
      <c r="AJ382">
        <f t="shared" si="78"/>
        <v>26.461346757764254</v>
      </c>
      <c r="AL382">
        <f t="shared" si="79"/>
        <v>19.971313953117356</v>
      </c>
      <c r="AM382">
        <f t="shared" si="80"/>
        <v>10.038159731093174</v>
      </c>
    </row>
    <row r="383" spans="1:39" ht="16.5" x14ac:dyDescent="0.25">
      <c r="A383" s="1">
        <v>45152</v>
      </c>
      <c r="B383" s="5">
        <v>13.7</v>
      </c>
      <c r="C383" s="4">
        <v>13.71</v>
      </c>
      <c r="D383" s="4">
        <v>13.88</v>
      </c>
      <c r="E383" s="4">
        <v>13.68</v>
      </c>
      <c r="F383" s="4" t="s">
        <v>89</v>
      </c>
      <c r="G383" s="2" t="s">
        <v>1565</v>
      </c>
      <c r="I383">
        <f t="shared" si="68"/>
        <v>15.118421052631579</v>
      </c>
      <c r="J383">
        <f t="shared" si="69"/>
        <v>15.824499999999997</v>
      </c>
      <c r="L383">
        <f t="shared" si="70"/>
        <v>0</v>
      </c>
      <c r="M383">
        <f t="shared" si="71"/>
        <v>1</v>
      </c>
      <c r="O383">
        <f t="shared" si="72"/>
        <v>0</v>
      </c>
      <c r="P383">
        <f t="shared" si="73"/>
        <v>1.0000000000001563E-2</v>
      </c>
      <c r="R383">
        <f t="shared" si="74"/>
        <v>0.21250000000000036</v>
      </c>
      <c r="S383">
        <f t="shared" si="75"/>
        <v>0.18200000000000022</v>
      </c>
      <c r="AH383">
        <f t="shared" si="76"/>
        <v>2.4607887884053361</v>
      </c>
      <c r="AI383">
        <f t="shared" si="77"/>
        <v>3.6618111369725881</v>
      </c>
      <c r="AJ383">
        <f t="shared" si="78"/>
        <v>26.575030968290569</v>
      </c>
      <c r="AL383">
        <f t="shared" si="79"/>
        <v>20.039998629442252</v>
      </c>
      <c r="AM383">
        <f t="shared" si="80"/>
        <v>10.196843475820906</v>
      </c>
    </row>
    <row r="384" spans="1:39" ht="16.5" x14ac:dyDescent="0.25">
      <c r="A384" s="1">
        <v>45149</v>
      </c>
      <c r="B384" s="5">
        <v>13.78</v>
      </c>
      <c r="C384" s="4">
        <v>13.5</v>
      </c>
      <c r="D384" s="4">
        <v>13.9</v>
      </c>
      <c r="E384" s="4">
        <v>13.28</v>
      </c>
      <c r="F384" s="4" t="s">
        <v>885</v>
      </c>
      <c r="G384" s="2" t="s">
        <v>442</v>
      </c>
      <c r="I384">
        <f t="shared" si="68"/>
        <v>15.216315789473683</v>
      </c>
      <c r="J384">
        <f t="shared" si="69"/>
        <v>16.053249999999998</v>
      </c>
      <c r="L384">
        <f t="shared" si="70"/>
        <v>1</v>
      </c>
      <c r="M384">
        <f t="shared" si="71"/>
        <v>0</v>
      </c>
      <c r="O384">
        <f t="shared" si="72"/>
        <v>0.27999999999999936</v>
      </c>
      <c r="P384">
        <f t="shared" si="73"/>
        <v>0</v>
      </c>
      <c r="R384">
        <f t="shared" si="74"/>
        <v>0.20800000000000018</v>
      </c>
      <c r="S384">
        <f t="shared" si="75"/>
        <v>0.20111111111111116</v>
      </c>
      <c r="AH384">
        <f t="shared" si="76"/>
        <v>2.4388503464597333</v>
      </c>
      <c r="AI384">
        <f t="shared" si="77"/>
        <v>3.759705873814692</v>
      </c>
      <c r="AJ384">
        <f t="shared" si="78"/>
        <v>26.672925705132673</v>
      </c>
      <c r="AL384">
        <f t="shared" si="79"/>
        <v>20.094016482393151</v>
      </c>
      <c r="AM384">
        <f t="shared" si="80"/>
        <v>10.338615096554216</v>
      </c>
    </row>
    <row r="385" spans="1:39" ht="16.5" x14ac:dyDescent="0.25">
      <c r="A385" s="1">
        <v>45148</v>
      </c>
      <c r="B385" s="5">
        <v>13.56</v>
      </c>
      <c r="C385" s="4">
        <v>14.1</v>
      </c>
      <c r="D385" s="4">
        <v>14.12</v>
      </c>
      <c r="E385" s="4">
        <v>13.36</v>
      </c>
      <c r="F385" s="4" t="s">
        <v>977</v>
      </c>
      <c r="G385" s="2" t="s">
        <v>1929</v>
      </c>
      <c r="I385">
        <f t="shared" si="68"/>
        <v>15.304210526315789</v>
      </c>
      <c r="J385">
        <f t="shared" si="69"/>
        <v>16.283999999999999</v>
      </c>
      <c r="L385">
        <f t="shared" si="70"/>
        <v>0</v>
      </c>
      <c r="M385">
        <f t="shared" si="71"/>
        <v>1</v>
      </c>
      <c r="O385">
        <f t="shared" si="72"/>
        <v>0</v>
      </c>
      <c r="P385">
        <f t="shared" si="73"/>
        <v>0.53999999999999915</v>
      </c>
      <c r="R385">
        <f t="shared" si="74"/>
        <v>0.20600000000000024</v>
      </c>
      <c r="S385">
        <f t="shared" si="75"/>
        <v>0.20111111111111116</v>
      </c>
      <c r="AH385">
        <f t="shared" si="76"/>
        <v>2.4172833091023289</v>
      </c>
      <c r="AI385">
        <f t="shared" si="77"/>
        <v>3.8476006106567979</v>
      </c>
      <c r="AJ385">
        <f t="shared" si="78"/>
        <v>26.760820441974779</v>
      </c>
      <c r="AL385">
        <f t="shared" si="79"/>
        <v>20.138777144520446</v>
      </c>
      <c r="AM385">
        <f t="shared" si="80"/>
        <v>10.469643908111131</v>
      </c>
    </row>
    <row r="386" spans="1:39" ht="16.5" x14ac:dyDescent="0.25">
      <c r="A386" s="1">
        <v>45147</v>
      </c>
      <c r="B386" s="5">
        <v>13.99</v>
      </c>
      <c r="C386" s="4">
        <v>14.3</v>
      </c>
      <c r="D386" s="4">
        <v>14.53</v>
      </c>
      <c r="E386" s="4">
        <v>13.91</v>
      </c>
      <c r="F386" s="4" t="s">
        <v>1930</v>
      </c>
      <c r="G386" s="2" t="s">
        <v>1675</v>
      </c>
      <c r="I386">
        <f t="shared" ref="I386:I449" si="81">AVERAGE(B386:B404)</f>
        <v>15.403684210526317</v>
      </c>
      <c r="J386">
        <f t="shared" ref="J386:J449" si="82">AVERAGE(B386:B425)</f>
        <v>16.521750000000004</v>
      </c>
      <c r="L386">
        <f t="shared" si="70"/>
        <v>0</v>
      </c>
      <c r="M386">
        <f t="shared" si="71"/>
        <v>1</v>
      </c>
      <c r="O386">
        <f t="shared" si="72"/>
        <v>0</v>
      </c>
      <c r="P386">
        <f t="shared" si="73"/>
        <v>0.3100000000000005</v>
      </c>
      <c r="R386">
        <f t="shared" si="74"/>
        <v>0.19500000000000028</v>
      </c>
      <c r="S386">
        <f t="shared" si="75"/>
        <v>0.15875000000000017</v>
      </c>
      <c r="AH386">
        <f t="shared" si="76"/>
        <v>2.3959686913377629</v>
      </c>
      <c r="AI386">
        <f t="shared" si="77"/>
        <v>3.9470742948673259</v>
      </c>
      <c r="AJ386">
        <f t="shared" si="78"/>
        <v>26.860294126185309</v>
      </c>
      <c r="AL386">
        <f t="shared" si="79"/>
        <v>20.195621593201842</v>
      </c>
      <c r="AM386">
        <f t="shared" si="80"/>
        <v>10.611746827850791</v>
      </c>
    </row>
    <row r="387" spans="1:39" ht="16.5" x14ac:dyDescent="0.25">
      <c r="A387" s="1">
        <v>45146</v>
      </c>
      <c r="B387" s="5">
        <v>14.38</v>
      </c>
      <c r="C387" s="4">
        <v>14.4</v>
      </c>
      <c r="D387" s="4">
        <v>14.78</v>
      </c>
      <c r="E387" s="4">
        <v>14.22</v>
      </c>
      <c r="F387" s="4" t="s">
        <v>1742</v>
      </c>
      <c r="G387" s="2" t="s">
        <v>102</v>
      </c>
      <c r="I387">
        <f t="shared" si="81"/>
        <v>15.493157894736843</v>
      </c>
      <c r="J387">
        <f t="shared" si="82"/>
        <v>16.764500000000005</v>
      </c>
      <c r="L387">
        <f t="shared" ref="L387:L450" si="83">IF($C387&lt;$B387,1,0)</f>
        <v>0</v>
      </c>
      <c r="M387">
        <f t="shared" ref="M387:M450" si="84">IF($C387&lt;$B387,0,1)</f>
        <v>1</v>
      </c>
      <c r="O387">
        <f t="shared" ref="O387:O450" si="85">IF($C387&lt;$B387,B387-C387,0)</f>
        <v>0</v>
      </c>
      <c r="P387">
        <f t="shared" ref="P387:P450" si="86">IF($B387&lt;$C387,C387-B387,0)</f>
        <v>1.9999999999999574E-2</v>
      </c>
      <c r="R387">
        <f t="shared" ref="R387:R450" si="87">SUM(O387:O400)/SUM(L387:L400)</f>
        <v>0.17142857142857157</v>
      </c>
      <c r="S387">
        <f t="shared" ref="S387:S450" si="88">SUM(P387:P400)/SUM(M387:M400)</f>
        <v>0.13714285714285726</v>
      </c>
      <c r="AH387">
        <f t="shared" ref="AH387:AH450" si="89">_xlfn.STDEV.S(I387:I917)</f>
        <v>2.3750680823795483</v>
      </c>
      <c r="AI387">
        <f t="shared" ref="AI387:AI450" si="90">I387-$AH$2</f>
        <v>4.0365479790778522</v>
      </c>
      <c r="AJ387">
        <f t="shared" ref="AJ387:AJ450" si="91">I387+$AH$2</f>
        <v>26.949767810395834</v>
      </c>
      <c r="AL387">
        <f t="shared" ref="AL387:AL450" si="92">I387+(AH387*2)</f>
        <v>20.243294059495938</v>
      </c>
      <c r="AM387">
        <f t="shared" ref="AM387:AM450" si="93">I387-(AH387*2)</f>
        <v>10.743021729977746</v>
      </c>
    </row>
    <row r="388" spans="1:39" ht="16.5" x14ac:dyDescent="0.25">
      <c r="A388" s="1">
        <v>45145</v>
      </c>
      <c r="B388" s="5">
        <v>14.6</v>
      </c>
      <c r="C388" s="4">
        <v>14.85</v>
      </c>
      <c r="D388" s="4">
        <v>16.36</v>
      </c>
      <c r="E388" s="4">
        <v>14.34</v>
      </c>
      <c r="F388" s="4" t="s">
        <v>1931</v>
      </c>
      <c r="G388" s="2" t="s">
        <v>1932</v>
      </c>
      <c r="I388">
        <f t="shared" si="81"/>
        <v>15.555789473684211</v>
      </c>
      <c r="J388">
        <f t="shared" si="82"/>
        <v>16.997500000000006</v>
      </c>
      <c r="L388">
        <f t="shared" si="83"/>
        <v>0</v>
      </c>
      <c r="M388">
        <f t="shared" si="84"/>
        <v>1</v>
      </c>
      <c r="O388">
        <f t="shared" si="85"/>
        <v>0</v>
      </c>
      <c r="P388">
        <f t="shared" si="86"/>
        <v>0.25</v>
      </c>
      <c r="R388">
        <f t="shared" si="87"/>
        <v>0.17142857142857157</v>
      </c>
      <c r="S388">
        <f t="shared" si="88"/>
        <v>0.13714285714285726</v>
      </c>
      <c r="AH388">
        <f t="shared" si="89"/>
        <v>2.3544630614138979</v>
      </c>
      <c r="AI388">
        <f t="shared" si="90"/>
        <v>4.0991795580252202</v>
      </c>
      <c r="AJ388">
        <f t="shared" si="91"/>
        <v>27.012399389343202</v>
      </c>
      <c r="AL388">
        <f t="shared" si="92"/>
        <v>20.264715596512005</v>
      </c>
      <c r="AM388">
        <f t="shared" si="93"/>
        <v>10.846863350856415</v>
      </c>
    </row>
    <row r="389" spans="1:39" ht="16.5" x14ac:dyDescent="0.25">
      <c r="A389" s="1">
        <v>45142</v>
      </c>
      <c r="B389" s="5">
        <v>15.55</v>
      </c>
      <c r="C389" s="4">
        <v>15.65</v>
      </c>
      <c r="D389" s="4">
        <v>15.75</v>
      </c>
      <c r="E389" s="4">
        <v>15.28</v>
      </c>
      <c r="F389" s="4" t="s">
        <v>1579</v>
      </c>
      <c r="G389" s="2" t="s">
        <v>606</v>
      </c>
      <c r="I389">
        <f t="shared" si="81"/>
        <v>15.591578947368419</v>
      </c>
      <c r="J389">
        <f t="shared" si="82"/>
        <v>17.229750000000003</v>
      </c>
      <c r="L389">
        <f t="shared" si="83"/>
        <v>0</v>
      </c>
      <c r="M389">
        <f t="shared" si="84"/>
        <v>1</v>
      </c>
      <c r="O389">
        <f t="shared" si="85"/>
        <v>0</v>
      </c>
      <c r="P389">
        <f t="shared" si="86"/>
        <v>9.9999999999999645E-2</v>
      </c>
      <c r="R389">
        <f t="shared" si="87"/>
        <v>0.16125000000000012</v>
      </c>
      <c r="S389">
        <f t="shared" si="88"/>
        <v>0.11833333333333347</v>
      </c>
      <c r="AH389">
        <f t="shared" si="89"/>
        <v>2.3338079699641789</v>
      </c>
      <c r="AI389">
        <f t="shared" si="90"/>
        <v>4.1349690317094279</v>
      </c>
      <c r="AJ389">
        <f t="shared" si="91"/>
        <v>27.048188863027409</v>
      </c>
      <c r="AL389">
        <f t="shared" si="92"/>
        <v>20.259194887296776</v>
      </c>
      <c r="AM389">
        <f t="shared" si="93"/>
        <v>10.923963007440062</v>
      </c>
    </row>
    <row r="390" spans="1:39" ht="16.5" x14ac:dyDescent="0.25">
      <c r="A390" s="1">
        <v>45141</v>
      </c>
      <c r="B390" s="5">
        <v>15.69</v>
      </c>
      <c r="C390" s="4">
        <v>15.7</v>
      </c>
      <c r="D390" s="4">
        <v>15.93</v>
      </c>
      <c r="E390" s="4">
        <v>15.59</v>
      </c>
      <c r="F390" s="4" t="s">
        <v>1706</v>
      </c>
      <c r="G390" s="2" t="s">
        <v>342</v>
      </c>
      <c r="I390">
        <f t="shared" si="81"/>
        <v>15.568947368421053</v>
      </c>
      <c r="J390">
        <f t="shared" si="82"/>
        <v>17.434000000000005</v>
      </c>
      <c r="L390">
        <f t="shared" si="83"/>
        <v>0</v>
      </c>
      <c r="M390">
        <f t="shared" si="84"/>
        <v>1</v>
      </c>
      <c r="O390">
        <f t="shared" si="85"/>
        <v>0</v>
      </c>
      <c r="P390">
        <f t="shared" si="86"/>
        <v>9.9999999999997868E-3</v>
      </c>
      <c r="R390">
        <f t="shared" si="87"/>
        <v>0.15777777777777777</v>
      </c>
      <c r="S390">
        <f t="shared" si="88"/>
        <v>0.12200000000000025</v>
      </c>
      <c r="AH390">
        <f t="shared" si="89"/>
        <v>2.3127400119761004</v>
      </c>
      <c r="AI390">
        <f t="shared" si="90"/>
        <v>4.1123374527620626</v>
      </c>
      <c r="AJ390">
        <f t="shared" si="91"/>
        <v>27.025557284080044</v>
      </c>
      <c r="AL390">
        <f t="shared" si="92"/>
        <v>20.194427392373253</v>
      </c>
      <c r="AM390">
        <f t="shared" si="93"/>
        <v>10.943467344468853</v>
      </c>
    </row>
    <row r="391" spans="1:39" ht="16.5" x14ac:dyDescent="0.25">
      <c r="A391" s="1">
        <v>45140</v>
      </c>
      <c r="B391" s="5">
        <v>15.72</v>
      </c>
      <c r="C391" s="4">
        <v>15.28</v>
      </c>
      <c r="D391" s="4">
        <v>15.73</v>
      </c>
      <c r="E391" s="4">
        <v>15.26</v>
      </c>
      <c r="F391" s="4" t="s">
        <v>490</v>
      </c>
      <c r="G391" s="2" t="s">
        <v>287</v>
      </c>
      <c r="I391">
        <f t="shared" si="81"/>
        <v>15.527894736842107</v>
      </c>
      <c r="J391">
        <f t="shared" si="82"/>
        <v>17.636750000000003</v>
      </c>
      <c r="L391">
        <f t="shared" si="83"/>
        <v>1</v>
      </c>
      <c r="M391">
        <f t="shared" si="84"/>
        <v>0</v>
      </c>
      <c r="O391">
        <f t="shared" si="85"/>
        <v>0.44000000000000128</v>
      </c>
      <c r="P391">
        <f t="shared" si="86"/>
        <v>0</v>
      </c>
      <c r="R391">
        <f t="shared" si="87"/>
        <v>0.15777777777777777</v>
      </c>
      <c r="S391">
        <f t="shared" si="88"/>
        <v>0.13800000000000026</v>
      </c>
      <c r="AH391">
        <f t="shared" si="89"/>
        <v>2.2904338090609047</v>
      </c>
      <c r="AI391">
        <f t="shared" si="90"/>
        <v>4.0712848211831165</v>
      </c>
      <c r="AJ391">
        <f t="shared" si="91"/>
        <v>26.984504652501098</v>
      </c>
      <c r="AL391">
        <f t="shared" si="92"/>
        <v>20.108762354963915</v>
      </c>
      <c r="AM391">
        <f t="shared" si="93"/>
        <v>10.947027118720298</v>
      </c>
    </row>
    <row r="392" spans="1:39" ht="16.5" x14ac:dyDescent="0.25">
      <c r="A392" s="1">
        <v>45139</v>
      </c>
      <c r="B392" s="5">
        <v>15.46</v>
      </c>
      <c r="C392" s="4">
        <v>15.43</v>
      </c>
      <c r="D392" s="4">
        <v>15.63</v>
      </c>
      <c r="E392" s="4">
        <v>15.3</v>
      </c>
      <c r="F392" s="4" t="s">
        <v>824</v>
      </c>
      <c r="G392" s="2" t="s">
        <v>160</v>
      </c>
      <c r="I392">
        <f t="shared" si="81"/>
        <v>15.486315789473684</v>
      </c>
      <c r="J392">
        <f t="shared" si="82"/>
        <v>17.851500000000001</v>
      </c>
      <c r="L392">
        <f t="shared" si="83"/>
        <v>1</v>
      </c>
      <c r="M392">
        <f t="shared" si="84"/>
        <v>0</v>
      </c>
      <c r="O392">
        <f t="shared" si="85"/>
        <v>3.0000000000001137E-2</v>
      </c>
      <c r="P392">
        <f t="shared" si="86"/>
        <v>0</v>
      </c>
      <c r="R392">
        <f t="shared" si="87"/>
        <v>0.11666666666666654</v>
      </c>
      <c r="S392">
        <f t="shared" si="88"/>
        <v>0.13800000000000026</v>
      </c>
      <c r="AH392">
        <f t="shared" si="89"/>
        <v>2.2665479383015015</v>
      </c>
      <c r="AI392">
        <f t="shared" si="90"/>
        <v>4.0297058738146934</v>
      </c>
      <c r="AJ392">
        <f t="shared" si="91"/>
        <v>26.942925705132673</v>
      </c>
      <c r="AL392">
        <f t="shared" si="92"/>
        <v>20.019411666076685</v>
      </c>
      <c r="AM392">
        <f t="shared" si="93"/>
        <v>10.953219912870681</v>
      </c>
    </row>
    <row r="393" spans="1:39" ht="16.5" x14ac:dyDescent="0.25">
      <c r="A393" s="1">
        <v>45138</v>
      </c>
      <c r="B393" s="5">
        <v>15.39</v>
      </c>
      <c r="C393" s="4">
        <v>15.81</v>
      </c>
      <c r="D393" s="4">
        <v>15.92</v>
      </c>
      <c r="E393" s="4">
        <v>15.26</v>
      </c>
      <c r="F393" s="4" t="s">
        <v>1933</v>
      </c>
      <c r="G393" s="2" t="s">
        <v>303</v>
      </c>
      <c r="I393">
        <f t="shared" si="81"/>
        <v>15.469999999999997</v>
      </c>
      <c r="J393">
        <f t="shared" si="82"/>
        <v>18.074249999999999</v>
      </c>
      <c r="L393">
        <f t="shared" si="83"/>
        <v>0</v>
      </c>
      <c r="M393">
        <f t="shared" si="84"/>
        <v>1</v>
      </c>
      <c r="O393">
        <f t="shared" si="85"/>
        <v>0</v>
      </c>
      <c r="P393">
        <f t="shared" si="86"/>
        <v>0.41999999999999993</v>
      </c>
      <c r="R393">
        <f t="shared" si="87"/>
        <v>0.14333333333333304</v>
      </c>
      <c r="S393">
        <f t="shared" si="88"/>
        <v>0.13800000000000026</v>
      </c>
      <c r="AH393">
        <f t="shared" si="89"/>
        <v>2.2409658766110758</v>
      </c>
      <c r="AI393">
        <f t="shared" si="90"/>
        <v>4.0133900843410064</v>
      </c>
      <c r="AJ393">
        <f t="shared" si="91"/>
        <v>26.926609915658986</v>
      </c>
      <c r="AL393">
        <f t="shared" si="92"/>
        <v>19.951931753222148</v>
      </c>
      <c r="AM393">
        <f t="shared" si="93"/>
        <v>10.988068246777846</v>
      </c>
    </row>
    <row r="394" spans="1:39" ht="16.5" x14ac:dyDescent="0.25">
      <c r="A394" s="1">
        <v>45135</v>
      </c>
      <c r="B394" s="5">
        <v>15.79</v>
      </c>
      <c r="C394" s="4">
        <v>15.82</v>
      </c>
      <c r="D394" s="4">
        <v>15.88</v>
      </c>
      <c r="E394" s="4">
        <v>15.6</v>
      </c>
      <c r="F394" s="4" t="s">
        <v>116</v>
      </c>
      <c r="G394" s="2" t="s">
        <v>647</v>
      </c>
      <c r="I394">
        <f t="shared" si="81"/>
        <v>15.505263157894731</v>
      </c>
      <c r="J394">
        <f t="shared" si="82"/>
        <v>18.294500000000003</v>
      </c>
      <c r="L394">
        <f t="shared" si="83"/>
        <v>0</v>
      </c>
      <c r="M394">
        <f t="shared" si="84"/>
        <v>1</v>
      </c>
      <c r="O394">
        <f t="shared" si="85"/>
        <v>0</v>
      </c>
      <c r="P394">
        <f t="shared" si="86"/>
        <v>3.0000000000001137E-2</v>
      </c>
      <c r="R394">
        <f t="shared" si="87"/>
        <v>0.14333333333333304</v>
      </c>
      <c r="S394">
        <f t="shared" si="88"/>
        <v>5.400000000000027E-2</v>
      </c>
      <c r="AH394">
        <f t="shared" si="89"/>
        <v>2.2139556708078838</v>
      </c>
      <c r="AI394">
        <f t="shared" si="90"/>
        <v>4.0486532422357406</v>
      </c>
      <c r="AJ394">
        <f t="shared" si="91"/>
        <v>26.961873073553722</v>
      </c>
      <c r="AL394">
        <f t="shared" si="92"/>
        <v>19.9331744995105</v>
      </c>
      <c r="AM394">
        <f t="shared" si="93"/>
        <v>11.077351816278963</v>
      </c>
    </row>
    <row r="395" spans="1:39" ht="16.5" x14ac:dyDescent="0.25">
      <c r="A395" s="1">
        <v>45134</v>
      </c>
      <c r="B395" s="5">
        <v>15.86</v>
      </c>
      <c r="C395" s="4">
        <v>15.99</v>
      </c>
      <c r="D395" s="4">
        <v>16.05</v>
      </c>
      <c r="E395" s="4">
        <v>15.75</v>
      </c>
      <c r="F395" s="4" t="s">
        <v>1385</v>
      </c>
      <c r="G395" s="2" t="s">
        <v>647</v>
      </c>
      <c r="I395">
        <f t="shared" si="81"/>
        <v>15.534210526315785</v>
      </c>
      <c r="J395">
        <f t="shared" si="82"/>
        <v>18.50975</v>
      </c>
      <c r="L395">
        <f t="shared" si="83"/>
        <v>0</v>
      </c>
      <c r="M395">
        <f t="shared" si="84"/>
        <v>1</v>
      </c>
      <c r="O395">
        <f t="shared" si="85"/>
        <v>0</v>
      </c>
      <c r="P395">
        <f t="shared" si="86"/>
        <v>0.13000000000000078</v>
      </c>
      <c r="R395">
        <f t="shared" si="87"/>
        <v>0.15999999999999961</v>
      </c>
      <c r="S395">
        <f t="shared" si="88"/>
        <v>6.0000000000000053E-2</v>
      </c>
      <c r="AH395">
        <f t="shared" si="89"/>
        <v>2.1862331210863331</v>
      </c>
      <c r="AI395">
        <f t="shared" si="90"/>
        <v>4.0776006106567948</v>
      </c>
      <c r="AJ395">
        <f t="shared" si="91"/>
        <v>26.990820441974776</v>
      </c>
      <c r="AL395">
        <f t="shared" si="92"/>
        <v>19.906676768488452</v>
      </c>
      <c r="AM395">
        <f t="shared" si="93"/>
        <v>11.161744284143118</v>
      </c>
    </row>
    <row r="396" spans="1:39" ht="16.5" x14ac:dyDescent="0.25">
      <c r="A396" s="1">
        <v>45133</v>
      </c>
      <c r="B396" s="5">
        <v>15.93</v>
      </c>
      <c r="C396" s="4">
        <v>15.83</v>
      </c>
      <c r="D396" s="4">
        <v>15.96</v>
      </c>
      <c r="E396" s="4">
        <v>15.62</v>
      </c>
      <c r="F396" s="4" t="s">
        <v>400</v>
      </c>
      <c r="G396" s="2" t="s">
        <v>45</v>
      </c>
      <c r="I396">
        <f t="shared" si="81"/>
        <v>15.551052631578946</v>
      </c>
      <c r="J396">
        <f t="shared" si="82"/>
        <v>18.715</v>
      </c>
      <c r="L396">
        <f t="shared" si="83"/>
        <v>1</v>
      </c>
      <c r="M396">
        <f t="shared" si="84"/>
        <v>0</v>
      </c>
      <c r="O396">
        <f t="shared" si="85"/>
        <v>9.9999999999999645E-2</v>
      </c>
      <c r="P396">
        <f t="shared" si="86"/>
        <v>0</v>
      </c>
      <c r="R396">
        <f t="shared" si="87"/>
        <v>0.14999999999999972</v>
      </c>
      <c r="S396">
        <f t="shared" si="88"/>
        <v>3.666666666666648E-2</v>
      </c>
      <c r="AH396">
        <f t="shared" si="89"/>
        <v>2.1576575893114875</v>
      </c>
      <c r="AI396">
        <f t="shared" si="90"/>
        <v>4.0944427159199552</v>
      </c>
      <c r="AJ396">
        <f t="shared" si="91"/>
        <v>27.007662547237935</v>
      </c>
      <c r="AL396">
        <f t="shared" si="92"/>
        <v>19.866367810201922</v>
      </c>
      <c r="AM396">
        <f t="shared" si="93"/>
        <v>11.23573745295597</v>
      </c>
    </row>
    <row r="397" spans="1:39" ht="16.5" x14ac:dyDescent="0.25">
      <c r="A397" s="1">
        <v>45132</v>
      </c>
      <c r="B397" s="5">
        <v>15.83</v>
      </c>
      <c r="C397" s="4">
        <v>15.64</v>
      </c>
      <c r="D397" s="4">
        <v>15.89</v>
      </c>
      <c r="E397" s="4">
        <v>15.41</v>
      </c>
      <c r="F397" s="4" t="s">
        <v>1674</v>
      </c>
      <c r="G397" s="2" t="s">
        <v>451</v>
      </c>
      <c r="I397">
        <f t="shared" si="81"/>
        <v>15.538947368421054</v>
      </c>
      <c r="J397">
        <f t="shared" si="82"/>
        <v>18.910250000000001</v>
      </c>
      <c r="L397">
        <f t="shared" si="83"/>
        <v>1</v>
      </c>
      <c r="M397">
        <f t="shared" si="84"/>
        <v>0</v>
      </c>
      <c r="O397">
        <f t="shared" si="85"/>
        <v>0.1899999999999995</v>
      </c>
      <c r="P397">
        <f t="shared" si="86"/>
        <v>0</v>
      </c>
      <c r="R397">
        <f t="shared" si="87"/>
        <v>0.15499999999999972</v>
      </c>
      <c r="S397">
        <f t="shared" si="88"/>
        <v>4.9999999999999822E-2</v>
      </c>
      <c r="AH397">
        <f t="shared" si="89"/>
        <v>2.127980478756176</v>
      </c>
      <c r="AI397">
        <f t="shared" si="90"/>
        <v>4.0823374527620633</v>
      </c>
      <c r="AJ397">
        <f t="shared" si="91"/>
        <v>26.995557284080043</v>
      </c>
      <c r="AL397">
        <f t="shared" si="92"/>
        <v>19.794908325933406</v>
      </c>
      <c r="AM397">
        <f t="shared" si="93"/>
        <v>11.282986410908702</v>
      </c>
    </row>
    <row r="398" spans="1:39" ht="16.5" x14ac:dyDescent="0.25">
      <c r="A398" s="1">
        <v>45131</v>
      </c>
      <c r="B398" s="5">
        <v>15.54</v>
      </c>
      <c r="C398" s="4">
        <v>15.27</v>
      </c>
      <c r="D398" s="4">
        <v>15.63</v>
      </c>
      <c r="E398" s="4">
        <v>15.16</v>
      </c>
      <c r="F398" s="4" t="s">
        <v>1539</v>
      </c>
      <c r="G398" s="2" t="s">
        <v>980</v>
      </c>
      <c r="I398">
        <f t="shared" si="81"/>
        <v>15.530526315789476</v>
      </c>
      <c r="J398">
        <f t="shared" si="82"/>
        <v>19.125750000000004</v>
      </c>
      <c r="L398">
        <f t="shared" si="83"/>
        <v>1</v>
      </c>
      <c r="M398">
        <f t="shared" si="84"/>
        <v>0</v>
      </c>
      <c r="O398">
        <f t="shared" si="85"/>
        <v>0.26999999999999957</v>
      </c>
      <c r="P398">
        <f t="shared" si="86"/>
        <v>0</v>
      </c>
      <c r="R398">
        <f t="shared" si="87"/>
        <v>0.15111111111111086</v>
      </c>
      <c r="S398">
        <f t="shared" si="88"/>
        <v>0.18999999999999986</v>
      </c>
      <c r="AH398">
        <f t="shared" si="89"/>
        <v>2.0966424254030462</v>
      </c>
      <c r="AI398">
        <f t="shared" si="90"/>
        <v>4.0739164001304857</v>
      </c>
      <c r="AJ398">
        <f t="shared" si="91"/>
        <v>26.987136231448467</v>
      </c>
      <c r="AL398">
        <f t="shared" si="92"/>
        <v>19.723811166595567</v>
      </c>
      <c r="AM398">
        <f t="shared" si="93"/>
        <v>11.337241464983384</v>
      </c>
    </row>
    <row r="399" spans="1:39" ht="16.5" x14ac:dyDescent="0.25">
      <c r="A399" s="1">
        <v>45128</v>
      </c>
      <c r="B399" s="5">
        <v>15.41</v>
      </c>
      <c r="C399" s="4">
        <v>15.27</v>
      </c>
      <c r="D399" s="4">
        <v>15.51</v>
      </c>
      <c r="E399" s="4">
        <v>15.2</v>
      </c>
      <c r="F399" s="4" t="s">
        <v>981</v>
      </c>
      <c r="G399" s="2" t="s">
        <v>294</v>
      </c>
      <c r="I399">
        <f t="shared" si="81"/>
        <v>15.485263157894739</v>
      </c>
      <c r="J399">
        <f t="shared" si="82"/>
        <v>19.341000000000001</v>
      </c>
      <c r="L399">
        <f t="shared" si="83"/>
        <v>1</v>
      </c>
      <c r="M399">
        <f t="shared" si="84"/>
        <v>0</v>
      </c>
      <c r="O399">
        <f t="shared" si="85"/>
        <v>0.14000000000000057</v>
      </c>
      <c r="P399">
        <f t="shared" si="86"/>
        <v>0</v>
      </c>
      <c r="R399">
        <f t="shared" si="87"/>
        <v>0.13624999999999976</v>
      </c>
      <c r="S399">
        <f t="shared" si="88"/>
        <v>0.18333333333333357</v>
      </c>
      <c r="AH399">
        <f t="shared" si="89"/>
        <v>2.0635849032284468</v>
      </c>
      <c r="AI399">
        <f t="shared" si="90"/>
        <v>4.0286532422357482</v>
      </c>
      <c r="AJ399">
        <f t="shared" si="91"/>
        <v>26.94187307355373</v>
      </c>
      <c r="AL399">
        <f t="shared" si="92"/>
        <v>19.612432964351633</v>
      </c>
      <c r="AM399">
        <f t="shared" si="93"/>
        <v>11.358093351437844</v>
      </c>
    </row>
    <row r="400" spans="1:39" ht="16.5" x14ac:dyDescent="0.25">
      <c r="A400" s="1">
        <v>45127</v>
      </c>
      <c r="B400" s="5">
        <v>15.49</v>
      </c>
      <c r="C400" s="4">
        <v>15.46</v>
      </c>
      <c r="D400" s="4">
        <v>15.63</v>
      </c>
      <c r="E400" s="4">
        <v>15.4</v>
      </c>
      <c r="F400" s="4" t="s">
        <v>46</v>
      </c>
      <c r="G400" s="2" t="s">
        <v>1565</v>
      </c>
      <c r="I400">
        <f t="shared" si="81"/>
        <v>15.429473684210528</v>
      </c>
      <c r="J400">
        <f t="shared" si="82"/>
        <v>19.559750000000001</v>
      </c>
      <c r="L400">
        <f t="shared" si="83"/>
        <v>1</v>
      </c>
      <c r="M400">
        <f t="shared" si="84"/>
        <v>0</v>
      </c>
      <c r="O400">
        <f t="shared" si="85"/>
        <v>2.9999999999999361E-2</v>
      </c>
      <c r="P400">
        <f t="shared" si="86"/>
        <v>0</v>
      </c>
      <c r="R400">
        <f t="shared" si="87"/>
        <v>0.13571428571428537</v>
      </c>
      <c r="S400">
        <f t="shared" si="88"/>
        <v>0.17714285714285744</v>
      </c>
      <c r="AH400">
        <f t="shared" si="89"/>
        <v>2.028007298722629</v>
      </c>
      <c r="AI400">
        <f t="shared" si="90"/>
        <v>3.9728637685515373</v>
      </c>
      <c r="AJ400">
        <f t="shared" si="91"/>
        <v>26.886083599869519</v>
      </c>
      <c r="AL400">
        <f t="shared" si="92"/>
        <v>19.485488281655787</v>
      </c>
      <c r="AM400">
        <f t="shared" si="93"/>
        <v>11.373459086765269</v>
      </c>
    </row>
    <row r="401" spans="1:39" ht="16.5" x14ac:dyDescent="0.25">
      <c r="A401" s="1">
        <v>45126</v>
      </c>
      <c r="B401" s="5">
        <v>15.58</v>
      </c>
      <c r="C401" s="4">
        <v>15.6</v>
      </c>
      <c r="D401" s="4">
        <v>15.71</v>
      </c>
      <c r="E401" s="4">
        <v>15.33</v>
      </c>
      <c r="F401" s="4" t="s">
        <v>1588</v>
      </c>
      <c r="G401" s="2" t="s">
        <v>323</v>
      </c>
      <c r="I401">
        <f t="shared" si="81"/>
        <v>15.385263157894736</v>
      </c>
      <c r="J401">
        <f t="shared" si="82"/>
        <v>19.766999999999999</v>
      </c>
      <c r="L401">
        <f t="shared" si="83"/>
        <v>0</v>
      </c>
      <c r="M401">
        <f t="shared" si="84"/>
        <v>1</v>
      </c>
      <c r="O401">
        <f t="shared" si="85"/>
        <v>0</v>
      </c>
      <c r="P401">
        <f t="shared" si="86"/>
        <v>1.9999999999999574E-2</v>
      </c>
      <c r="R401">
        <f t="shared" si="87"/>
        <v>0.17857142857142833</v>
      </c>
      <c r="S401">
        <f t="shared" si="88"/>
        <v>0.17714285714285744</v>
      </c>
      <c r="AH401">
        <f t="shared" si="89"/>
        <v>1.9894844407489114</v>
      </c>
      <c r="AI401">
        <f t="shared" si="90"/>
        <v>3.928653242235745</v>
      </c>
      <c r="AJ401">
        <f t="shared" si="91"/>
        <v>26.841873073553728</v>
      </c>
      <c r="AL401">
        <f t="shared" si="92"/>
        <v>19.364232039392558</v>
      </c>
      <c r="AM401">
        <f t="shared" si="93"/>
        <v>11.406294276396913</v>
      </c>
    </row>
    <row r="402" spans="1:39" ht="16.5" x14ac:dyDescent="0.25">
      <c r="A402" s="1">
        <v>45125</v>
      </c>
      <c r="B402" s="5">
        <v>15.56</v>
      </c>
      <c r="C402" s="4">
        <v>15.47</v>
      </c>
      <c r="D402" s="4">
        <v>15.6</v>
      </c>
      <c r="E402" s="4">
        <v>15.34</v>
      </c>
      <c r="F402" s="4" t="s">
        <v>77</v>
      </c>
      <c r="G402" s="2" t="s">
        <v>424</v>
      </c>
      <c r="I402">
        <f t="shared" si="81"/>
        <v>15.795789473684211</v>
      </c>
      <c r="J402">
        <f t="shared" si="82"/>
        <v>19.962999999999997</v>
      </c>
      <c r="L402">
        <f t="shared" si="83"/>
        <v>1</v>
      </c>
      <c r="M402">
        <f t="shared" si="84"/>
        <v>0</v>
      </c>
      <c r="O402">
        <f t="shared" si="85"/>
        <v>8.9999999999999858E-2</v>
      </c>
      <c r="P402">
        <f t="shared" si="86"/>
        <v>0</v>
      </c>
      <c r="R402">
        <f t="shared" si="87"/>
        <v>0.17249999999999965</v>
      </c>
      <c r="S402">
        <f t="shared" si="88"/>
        <v>0.20333333333333373</v>
      </c>
      <c r="AH402">
        <f t="shared" si="89"/>
        <v>1.947964409199938</v>
      </c>
      <c r="AI402">
        <f t="shared" si="90"/>
        <v>4.3391795580252204</v>
      </c>
      <c r="AJ402">
        <f t="shared" si="91"/>
        <v>27.252399389343203</v>
      </c>
      <c r="AL402">
        <f t="shared" si="92"/>
        <v>19.691718292084087</v>
      </c>
      <c r="AM402">
        <f t="shared" si="93"/>
        <v>11.899860655284336</v>
      </c>
    </row>
    <row r="403" spans="1:39" ht="16.5" x14ac:dyDescent="0.25">
      <c r="A403" s="1">
        <v>45124</v>
      </c>
      <c r="B403" s="5">
        <v>15.45</v>
      </c>
      <c r="C403" s="4">
        <v>15.32</v>
      </c>
      <c r="D403" s="4">
        <v>15.46</v>
      </c>
      <c r="E403" s="4">
        <v>15.2</v>
      </c>
      <c r="F403" s="4" t="s">
        <v>1513</v>
      </c>
      <c r="G403" s="2" t="s">
        <v>365</v>
      </c>
      <c r="I403">
        <f t="shared" si="81"/>
        <v>16.186315789473685</v>
      </c>
      <c r="J403">
        <f t="shared" si="82"/>
        <v>20.173499999999997</v>
      </c>
      <c r="L403">
        <f t="shared" si="83"/>
        <v>1</v>
      </c>
      <c r="M403">
        <f t="shared" si="84"/>
        <v>0</v>
      </c>
      <c r="O403">
        <f t="shared" si="85"/>
        <v>0.12999999999999901</v>
      </c>
      <c r="P403">
        <f t="shared" si="86"/>
        <v>0</v>
      </c>
      <c r="R403">
        <f t="shared" si="87"/>
        <v>0.29249999999999976</v>
      </c>
      <c r="S403">
        <f t="shared" si="88"/>
        <v>0.20333333333333373</v>
      </c>
      <c r="AH403">
        <f t="shared" si="89"/>
        <v>1.9122350791636915</v>
      </c>
      <c r="AI403">
        <f t="shared" si="90"/>
        <v>4.7297058738146944</v>
      </c>
      <c r="AJ403">
        <f t="shared" si="91"/>
        <v>27.642925705132676</v>
      </c>
      <c r="AL403">
        <f t="shared" si="92"/>
        <v>20.010785947801068</v>
      </c>
      <c r="AM403">
        <f t="shared" si="93"/>
        <v>12.361845631146302</v>
      </c>
    </row>
    <row r="404" spans="1:39" ht="16.5" x14ac:dyDescent="0.25">
      <c r="A404" s="1">
        <v>45121</v>
      </c>
      <c r="B404" s="5">
        <v>15.45</v>
      </c>
      <c r="C404" s="4">
        <v>15.54</v>
      </c>
      <c r="D404" s="4">
        <v>15.73</v>
      </c>
      <c r="E404" s="4">
        <v>15.35</v>
      </c>
      <c r="F404" s="4" t="s">
        <v>1544</v>
      </c>
      <c r="G404" s="2" t="s">
        <v>151</v>
      </c>
      <c r="I404">
        <f t="shared" si="81"/>
        <v>16.56421052631579</v>
      </c>
      <c r="J404">
        <f t="shared" si="82"/>
        <v>20.390999999999998</v>
      </c>
      <c r="L404">
        <f t="shared" si="83"/>
        <v>0</v>
      </c>
      <c r="M404">
        <f t="shared" si="84"/>
        <v>1</v>
      </c>
      <c r="O404">
        <f t="shared" si="85"/>
        <v>0</v>
      </c>
      <c r="P404">
        <f t="shared" si="86"/>
        <v>8.9999999999999858E-2</v>
      </c>
      <c r="R404">
        <f t="shared" si="87"/>
        <v>0.3112499999999998</v>
      </c>
      <c r="S404">
        <f t="shared" si="88"/>
        <v>0.20333333333333373</v>
      </c>
      <c r="AH404">
        <f t="shared" si="89"/>
        <v>1.8818914648710514</v>
      </c>
      <c r="AI404">
        <f t="shared" si="90"/>
        <v>5.1076006106567995</v>
      </c>
      <c r="AJ404">
        <f t="shared" si="91"/>
        <v>28.020820441974781</v>
      </c>
      <c r="AL404">
        <f t="shared" si="92"/>
        <v>20.327993456057893</v>
      </c>
      <c r="AM404">
        <f t="shared" si="93"/>
        <v>12.800427596573687</v>
      </c>
    </row>
    <row r="405" spans="1:39" ht="16.5" x14ac:dyDescent="0.25">
      <c r="A405" s="1">
        <v>45120</v>
      </c>
      <c r="B405" s="5">
        <v>15.69</v>
      </c>
      <c r="C405" s="4">
        <v>15.62</v>
      </c>
      <c r="D405" s="4">
        <v>15.87</v>
      </c>
      <c r="E405" s="4">
        <v>15.49</v>
      </c>
      <c r="F405" s="4" t="s">
        <v>1504</v>
      </c>
      <c r="G405" s="2" t="s">
        <v>861</v>
      </c>
      <c r="I405">
        <f t="shared" si="81"/>
        <v>16.953684210526315</v>
      </c>
      <c r="J405">
        <f t="shared" si="82"/>
        <v>20.610749999999999</v>
      </c>
      <c r="L405">
        <f t="shared" si="83"/>
        <v>1</v>
      </c>
      <c r="M405">
        <f t="shared" si="84"/>
        <v>0</v>
      </c>
      <c r="O405">
        <f t="shared" si="85"/>
        <v>7.0000000000000284E-2</v>
      </c>
      <c r="P405">
        <f t="shared" si="86"/>
        <v>0</v>
      </c>
      <c r="R405">
        <f t="shared" si="87"/>
        <v>0.3112499999999998</v>
      </c>
      <c r="S405">
        <f t="shared" si="88"/>
        <v>0.24833333333333396</v>
      </c>
      <c r="AH405">
        <f t="shared" si="89"/>
        <v>1.8566316045021554</v>
      </c>
      <c r="AI405">
        <f t="shared" si="90"/>
        <v>5.4970742948673248</v>
      </c>
      <c r="AJ405">
        <f t="shared" si="91"/>
        <v>28.410294126185306</v>
      </c>
      <c r="AL405">
        <f t="shared" si="92"/>
        <v>20.666947419530626</v>
      </c>
      <c r="AM405">
        <f t="shared" si="93"/>
        <v>13.240421001522005</v>
      </c>
    </row>
    <row r="406" spans="1:39" ht="16.5" x14ac:dyDescent="0.25">
      <c r="A406" s="1">
        <v>45119</v>
      </c>
      <c r="B406" s="5">
        <v>15.57</v>
      </c>
      <c r="C406" s="4">
        <v>15.3</v>
      </c>
      <c r="D406" s="4">
        <v>15.67</v>
      </c>
      <c r="E406" s="4">
        <v>15.23</v>
      </c>
      <c r="F406" s="4" t="s">
        <v>1523</v>
      </c>
      <c r="G406" s="2" t="s">
        <v>911</v>
      </c>
      <c r="I406">
        <f t="shared" si="81"/>
        <v>17.338947368421053</v>
      </c>
      <c r="J406">
        <f t="shared" si="82"/>
        <v>20.81925</v>
      </c>
      <c r="L406">
        <f t="shared" si="83"/>
        <v>1</v>
      </c>
      <c r="M406">
        <f t="shared" si="84"/>
        <v>0</v>
      </c>
      <c r="O406">
        <f t="shared" si="85"/>
        <v>0.26999999999999957</v>
      </c>
      <c r="P406">
        <f t="shared" si="86"/>
        <v>0</v>
      </c>
      <c r="R406">
        <f t="shared" si="87"/>
        <v>0.34571428571428547</v>
      </c>
      <c r="S406">
        <f t="shared" si="88"/>
        <v>0.26571428571428612</v>
      </c>
      <c r="AH406">
        <f t="shared" si="89"/>
        <v>1.8364992029641221</v>
      </c>
      <c r="AI406">
        <f t="shared" si="90"/>
        <v>5.8823374527620622</v>
      </c>
      <c r="AJ406">
        <f t="shared" si="91"/>
        <v>28.795557284080044</v>
      </c>
      <c r="AL406">
        <f t="shared" si="92"/>
        <v>21.011945774349297</v>
      </c>
      <c r="AM406">
        <f t="shared" si="93"/>
        <v>13.665948962492809</v>
      </c>
    </row>
    <row r="407" spans="1:39" ht="16.5" x14ac:dyDescent="0.25">
      <c r="A407" s="1">
        <v>45118</v>
      </c>
      <c r="B407" s="5">
        <v>15.28</v>
      </c>
      <c r="C407" s="4">
        <v>15.28</v>
      </c>
      <c r="D407" s="4">
        <v>15.45</v>
      </c>
      <c r="E407" s="4">
        <v>15.11</v>
      </c>
      <c r="F407" s="4" t="s">
        <v>1393</v>
      </c>
      <c r="G407" s="2" t="s">
        <v>642</v>
      </c>
      <c r="I407">
        <f t="shared" si="81"/>
        <v>17.733684210526317</v>
      </c>
      <c r="J407">
        <f t="shared" si="82"/>
        <v>21.027499999999996</v>
      </c>
      <c r="L407">
        <f t="shared" si="83"/>
        <v>0</v>
      </c>
      <c r="M407">
        <f t="shared" si="84"/>
        <v>1</v>
      </c>
      <c r="O407">
        <f t="shared" si="85"/>
        <v>0</v>
      </c>
      <c r="P407">
        <f t="shared" si="86"/>
        <v>0</v>
      </c>
      <c r="R407">
        <f t="shared" si="87"/>
        <v>0.37857142857142839</v>
      </c>
      <c r="S407">
        <f t="shared" si="88"/>
        <v>0.26571428571428612</v>
      </c>
      <c r="AH407">
        <f t="shared" si="89"/>
        <v>1.8212013219234389</v>
      </c>
      <c r="AI407">
        <f t="shared" si="90"/>
        <v>6.2770742948673259</v>
      </c>
      <c r="AJ407">
        <f t="shared" si="91"/>
        <v>29.190294126185307</v>
      </c>
      <c r="AL407">
        <f t="shared" si="92"/>
        <v>21.376086854373195</v>
      </c>
      <c r="AM407">
        <f t="shared" si="93"/>
        <v>14.091281566679438</v>
      </c>
    </row>
    <row r="408" spans="1:39" ht="16.5" x14ac:dyDescent="0.25">
      <c r="A408" s="1">
        <v>45117</v>
      </c>
      <c r="B408" s="5">
        <v>15.12</v>
      </c>
      <c r="C408" s="4">
        <v>14.81</v>
      </c>
      <c r="D408" s="4">
        <v>15.23</v>
      </c>
      <c r="E408" s="4">
        <v>14.79</v>
      </c>
      <c r="F408" s="4" t="s">
        <v>1378</v>
      </c>
      <c r="G408" s="2" t="s">
        <v>1644</v>
      </c>
      <c r="I408">
        <f t="shared" si="81"/>
        <v>18.176842105263155</v>
      </c>
      <c r="J408">
        <f t="shared" si="82"/>
        <v>21.235749999999999</v>
      </c>
      <c r="L408">
        <f t="shared" si="83"/>
        <v>1</v>
      </c>
      <c r="M408">
        <f t="shared" si="84"/>
        <v>0</v>
      </c>
      <c r="O408">
        <f t="shared" si="85"/>
        <v>0.30999999999999872</v>
      </c>
      <c r="P408">
        <f t="shared" si="86"/>
        <v>0</v>
      </c>
      <c r="R408">
        <f t="shared" si="87"/>
        <v>0.3787499999999997</v>
      </c>
      <c r="S408">
        <f t="shared" si="88"/>
        <v>0.3100000000000005</v>
      </c>
      <c r="AH408">
        <f t="shared" si="89"/>
        <v>1.810563383862889</v>
      </c>
      <c r="AI408">
        <f t="shared" si="90"/>
        <v>6.7202321896041646</v>
      </c>
      <c r="AJ408">
        <f t="shared" si="91"/>
        <v>29.633452020922146</v>
      </c>
      <c r="AL408">
        <f t="shared" si="92"/>
        <v>21.797968872988932</v>
      </c>
      <c r="AM408">
        <f t="shared" si="93"/>
        <v>14.555715337537377</v>
      </c>
    </row>
    <row r="409" spans="1:39" ht="16.5" x14ac:dyDescent="0.25">
      <c r="A409" s="1">
        <v>45114</v>
      </c>
      <c r="B409" s="5">
        <v>14.91</v>
      </c>
      <c r="C409" s="4">
        <v>14.86</v>
      </c>
      <c r="D409" s="4">
        <v>14.99</v>
      </c>
      <c r="E409" s="4">
        <v>14.55</v>
      </c>
      <c r="F409" s="4" t="s">
        <v>1597</v>
      </c>
      <c r="G409" s="2" t="s">
        <v>530</v>
      </c>
      <c r="I409">
        <f t="shared" si="81"/>
        <v>18.628421052631577</v>
      </c>
      <c r="J409">
        <f t="shared" si="82"/>
        <v>21.430999999999997</v>
      </c>
      <c r="L409">
        <f t="shared" si="83"/>
        <v>1</v>
      </c>
      <c r="M409">
        <f t="shared" si="84"/>
        <v>0</v>
      </c>
      <c r="O409">
        <f t="shared" si="85"/>
        <v>5.0000000000000711E-2</v>
      </c>
      <c r="P409">
        <f t="shared" si="86"/>
        <v>0</v>
      </c>
      <c r="R409">
        <f t="shared" si="87"/>
        <v>0.3885714285714284</v>
      </c>
      <c r="S409">
        <f t="shared" si="88"/>
        <v>0.2857142857142862</v>
      </c>
      <c r="AH409">
        <f t="shared" si="89"/>
        <v>1.8047330992073487</v>
      </c>
      <c r="AI409">
        <f t="shared" si="90"/>
        <v>7.1718111369725861</v>
      </c>
      <c r="AJ409">
        <f t="shared" si="91"/>
        <v>30.085030968290567</v>
      </c>
      <c r="AL409">
        <f t="shared" si="92"/>
        <v>22.237887251046274</v>
      </c>
      <c r="AM409">
        <f t="shared" si="93"/>
        <v>15.018954854216879</v>
      </c>
    </row>
    <row r="410" spans="1:39" ht="16.5" x14ac:dyDescent="0.25">
      <c r="A410" s="1">
        <v>45113</v>
      </c>
      <c r="B410" s="5">
        <v>14.93</v>
      </c>
      <c r="C410" s="4">
        <v>15.02</v>
      </c>
      <c r="D410" s="4">
        <v>15.3</v>
      </c>
      <c r="E410" s="4">
        <v>14.84</v>
      </c>
      <c r="F410" s="4" t="s">
        <v>1856</v>
      </c>
      <c r="G410" s="2" t="s">
        <v>1248</v>
      </c>
      <c r="I410">
        <f t="shared" si="81"/>
        <v>19.101052631578945</v>
      </c>
      <c r="J410">
        <f t="shared" si="82"/>
        <v>21.617749999999994</v>
      </c>
      <c r="L410">
        <f t="shared" si="83"/>
        <v>0</v>
      </c>
      <c r="M410">
        <f t="shared" si="84"/>
        <v>1</v>
      </c>
      <c r="O410">
        <f t="shared" si="85"/>
        <v>0</v>
      </c>
      <c r="P410">
        <f t="shared" si="86"/>
        <v>8.9999999999999858E-2</v>
      </c>
      <c r="R410">
        <f t="shared" si="87"/>
        <v>0.38428571428571445</v>
      </c>
      <c r="S410">
        <f t="shared" si="88"/>
        <v>0.2857142857142862</v>
      </c>
      <c r="AH410">
        <f t="shared" si="89"/>
        <v>1.8031688469687552</v>
      </c>
      <c r="AI410">
        <f t="shared" si="90"/>
        <v>7.6444427159199542</v>
      </c>
      <c r="AJ410">
        <f t="shared" si="91"/>
        <v>30.557662547237936</v>
      </c>
      <c r="AL410">
        <f t="shared" si="92"/>
        <v>22.707390325516457</v>
      </c>
      <c r="AM410">
        <f t="shared" si="93"/>
        <v>15.494714937641435</v>
      </c>
    </row>
    <row r="411" spans="1:39" ht="16.5" x14ac:dyDescent="0.25">
      <c r="A411" s="1">
        <v>45112</v>
      </c>
      <c r="B411" s="5">
        <v>15.15</v>
      </c>
      <c r="C411" s="4">
        <v>15.9</v>
      </c>
      <c r="D411" s="4">
        <v>16</v>
      </c>
      <c r="E411" s="4">
        <v>15.12</v>
      </c>
      <c r="F411" s="4" t="s">
        <v>987</v>
      </c>
      <c r="G411" s="2" t="s">
        <v>1934</v>
      </c>
      <c r="I411">
        <f t="shared" si="81"/>
        <v>19.563684210526311</v>
      </c>
      <c r="J411">
        <f t="shared" si="82"/>
        <v>21.785999999999994</v>
      </c>
      <c r="L411">
        <f t="shared" si="83"/>
        <v>0</v>
      </c>
      <c r="M411">
        <f t="shared" si="84"/>
        <v>1</v>
      </c>
      <c r="O411">
        <f t="shared" si="85"/>
        <v>0</v>
      </c>
      <c r="P411">
        <f t="shared" si="86"/>
        <v>0.75</v>
      </c>
      <c r="R411">
        <f t="shared" si="87"/>
        <v>0.38428571428571445</v>
      </c>
      <c r="S411">
        <f t="shared" si="88"/>
        <v>0.30142857142857188</v>
      </c>
      <c r="AH411">
        <f t="shared" si="89"/>
        <v>1.8052949762950068</v>
      </c>
      <c r="AI411">
        <f t="shared" si="90"/>
        <v>8.1070742948673207</v>
      </c>
      <c r="AJ411">
        <f t="shared" si="91"/>
        <v>31.020294126185302</v>
      </c>
      <c r="AL411">
        <f t="shared" si="92"/>
        <v>23.174274163116326</v>
      </c>
      <c r="AM411">
        <f t="shared" si="93"/>
        <v>15.953094257936298</v>
      </c>
    </row>
    <row r="412" spans="1:39" ht="16.5" x14ac:dyDescent="0.25">
      <c r="A412" s="1">
        <v>45111</v>
      </c>
      <c r="B412" s="5">
        <v>16.059999999999999</v>
      </c>
      <c r="C412" s="4">
        <v>16.21</v>
      </c>
      <c r="D412" s="4">
        <v>16.23</v>
      </c>
      <c r="E412" s="4">
        <v>15.86</v>
      </c>
      <c r="F412" s="4" t="s">
        <v>1436</v>
      </c>
      <c r="G412" s="2" t="s">
        <v>341</v>
      </c>
      <c r="I412">
        <f t="shared" si="81"/>
        <v>20.018947368421049</v>
      </c>
      <c r="J412">
        <f t="shared" si="82"/>
        <v>21.962499999999995</v>
      </c>
      <c r="L412">
        <f t="shared" si="83"/>
        <v>0</v>
      </c>
      <c r="M412">
        <f t="shared" si="84"/>
        <v>1</v>
      </c>
      <c r="O412">
        <f t="shared" si="85"/>
        <v>0</v>
      </c>
      <c r="P412">
        <f t="shared" si="86"/>
        <v>0.15000000000000213</v>
      </c>
      <c r="R412">
        <f t="shared" si="87"/>
        <v>0.38428571428571445</v>
      </c>
      <c r="S412">
        <f t="shared" si="88"/>
        <v>0.28428571428571459</v>
      </c>
      <c r="AH412">
        <f t="shared" si="89"/>
        <v>1.8101849980193288</v>
      </c>
      <c r="AI412">
        <f t="shared" si="90"/>
        <v>8.5623374527620584</v>
      </c>
      <c r="AJ412">
        <f t="shared" si="91"/>
        <v>31.47555728408004</v>
      </c>
      <c r="AL412">
        <f t="shared" si="92"/>
        <v>23.639317364459707</v>
      </c>
      <c r="AM412">
        <f t="shared" si="93"/>
        <v>16.398577372382391</v>
      </c>
    </row>
    <row r="413" spans="1:39" ht="16.5" x14ac:dyDescent="0.25">
      <c r="A413" s="1">
        <v>45110</v>
      </c>
      <c r="B413" s="5">
        <v>16.34</v>
      </c>
      <c r="C413" s="4">
        <v>16.48</v>
      </c>
      <c r="D413" s="4">
        <v>16.52</v>
      </c>
      <c r="E413" s="4">
        <v>15.99</v>
      </c>
      <c r="F413" s="4" t="s">
        <v>1081</v>
      </c>
      <c r="G413" s="2" t="s">
        <v>477</v>
      </c>
      <c r="I413">
        <f t="shared" si="81"/>
        <v>20.453157894736837</v>
      </c>
      <c r="J413">
        <f t="shared" si="82"/>
        <v>22.116999999999994</v>
      </c>
      <c r="L413">
        <f t="shared" si="83"/>
        <v>0</v>
      </c>
      <c r="M413">
        <f t="shared" si="84"/>
        <v>1</v>
      </c>
      <c r="O413">
        <f t="shared" si="85"/>
        <v>0</v>
      </c>
      <c r="P413">
        <f t="shared" si="86"/>
        <v>0.14000000000000057</v>
      </c>
      <c r="R413">
        <f t="shared" si="87"/>
        <v>0.38428571428571445</v>
      </c>
      <c r="S413">
        <f t="shared" si="88"/>
        <v>0.26285714285714284</v>
      </c>
      <c r="AH413">
        <f t="shared" si="89"/>
        <v>1.816923599176262</v>
      </c>
      <c r="AI413">
        <f t="shared" si="90"/>
        <v>8.996547979077846</v>
      </c>
      <c r="AJ413">
        <f t="shared" si="91"/>
        <v>31.909767810395827</v>
      </c>
      <c r="AL413">
        <f t="shared" si="92"/>
        <v>24.08700509308936</v>
      </c>
      <c r="AM413">
        <f t="shared" si="93"/>
        <v>16.819310696384314</v>
      </c>
    </row>
    <row r="414" spans="1:39" ht="16.5" x14ac:dyDescent="0.25">
      <c r="A414" s="1">
        <v>45107</v>
      </c>
      <c r="B414" s="5">
        <v>16.18</v>
      </c>
      <c r="C414" s="4">
        <v>15.85</v>
      </c>
      <c r="D414" s="4">
        <v>16.36</v>
      </c>
      <c r="E414" s="4">
        <v>15.63</v>
      </c>
      <c r="F414" s="4" t="s">
        <v>1935</v>
      </c>
      <c r="G414" s="2" t="s">
        <v>961</v>
      </c>
      <c r="I414">
        <f t="shared" si="81"/>
        <v>20.875789473684211</v>
      </c>
      <c r="J414">
        <f t="shared" si="82"/>
        <v>22.276749999999996</v>
      </c>
      <c r="L414">
        <f t="shared" si="83"/>
        <v>1</v>
      </c>
      <c r="M414">
        <f t="shared" si="84"/>
        <v>0</v>
      </c>
      <c r="O414">
        <f t="shared" si="85"/>
        <v>0.33000000000000007</v>
      </c>
      <c r="P414">
        <f t="shared" si="86"/>
        <v>0</v>
      </c>
      <c r="R414">
        <f t="shared" si="87"/>
        <v>0.38428571428571445</v>
      </c>
      <c r="S414">
        <f t="shared" si="88"/>
        <v>0.28857142857142853</v>
      </c>
      <c r="AH414">
        <f t="shared" si="89"/>
        <v>1.8245818586017635</v>
      </c>
      <c r="AI414">
        <f t="shared" si="90"/>
        <v>9.4191795580252204</v>
      </c>
      <c r="AJ414">
        <f t="shared" si="91"/>
        <v>32.332399389343202</v>
      </c>
      <c r="AL414">
        <f t="shared" si="92"/>
        <v>24.524953190887739</v>
      </c>
      <c r="AM414">
        <f t="shared" si="93"/>
        <v>17.226625756480683</v>
      </c>
    </row>
    <row r="415" spans="1:39" ht="16.5" x14ac:dyDescent="0.25">
      <c r="A415" s="1">
        <v>45106</v>
      </c>
      <c r="B415" s="5">
        <v>15.7</v>
      </c>
      <c r="C415" s="4">
        <v>15.57</v>
      </c>
      <c r="D415" s="4">
        <v>15.7</v>
      </c>
      <c r="E415" s="4">
        <v>15.13</v>
      </c>
      <c r="F415" s="4" t="s">
        <v>1936</v>
      </c>
      <c r="G415" s="2" t="s">
        <v>422</v>
      </c>
      <c r="I415">
        <f t="shared" si="81"/>
        <v>21.2978947368421</v>
      </c>
      <c r="J415">
        <f t="shared" si="82"/>
        <v>22.435249999999993</v>
      </c>
      <c r="L415">
        <f t="shared" si="83"/>
        <v>1</v>
      </c>
      <c r="M415">
        <f t="shared" si="84"/>
        <v>0</v>
      </c>
      <c r="O415">
        <f t="shared" si="85"/>
        <v>0.12999999999999901</v>
      </c>
      <c r="P415">
        <f t="shared" si="86"/>
        <v>0</v>
      </c>
      <c r="R415">
        <f t="shared" si="87"/>
        <v>0.39333333333333353</v>
      </c>
      <c r="S415">
        <f t="shared" si="88"/>
        <v>0.25875000000000004</v>
      </c>
      <c r="AH415">
        <f t="shared" si="89"/>
        <v>1.8323084495664907</v>
      </c>
      <c r="AI415">
        <f t="shared" si="90"/>
        <v>9.841284821183109</v>
      </c>
      <c r="AJ415">
        <f t="shared" si="91"/>
        <v>32.75450465250109</v>
      </c>
      <c r="AL415">
        <f t="shared" si="92"/>
        <v>24.96251163597508</v>
      </c>
      <c r="AM415">
        <f t="shared" si="93"/>
        <v>17.633277837709119</v>
      </c>
    </row>
    <row r="416" spans="1:39" ht="16.5" x14ac:dyDescent="0.25">
      <c r="A416" s="1">
        <v>45105</v>
      </c>
      <c r="B416" s="5">
        <v>15.67</v>
      </c>
      <c r="C416" s="4">
        <v>14.62</v>
      </c>
      <c r="D416" s="4">
        <v>15.77</v>
      </c>
      <c r="E416" s="4">
        <v>14.61</v>
      </c>
      <c r="F416" s="4" t="s">
        <v>1287</v>
      </c>
      <c r="G416" s="2" t="s">
        <v>1937</v>
      </c>
      <c r="I416">
        <f t="shared" si="81"/>
        <v>21.755789473684207</v>
      </c>
      <c r="J416">
        <f t="shared" si="82"/>
        <v>22.591749999999998</v>
      </c>
      <c r="L416">
        <f t="shared" si="83"/>
        <v>1</v>
      </c>
      <c r="M416">
        <f t="shared" si="84"/>
        <v>0</v>
      </c>
      <c r="O416">
        <f t="shared" si="85"/>
        <v>1.0500000000000007</v>
      </c>
      <c r="P416">
        <f t="shared" si="86"/>
        <v>0</v>
      </c>
      <c r="R416">
        <f t="shared" si="87"/>
        <v>0.44600000000000045</v>
      </c>
      <c r="S416">
        <f t="shared" si="88"/>
        <v>0.2488888888888891</v>
      </c>
      <c r="AH416">
        <f t="shared" si="89"/>
        <v>1.8392507543135024</v>
      </c>
      <c r="AI416">
        <f t="shared" si="90"/>
        <v>10.299179558025216</v>
      </c>
      <c r="AJ416">
        <f t="shared" si="91"/>
        <v>33.212399389343197</v>
      </c>
      <c r="AL416">
        <f t="shared" si="92"/>
        <v>25.434290982311211</v>
      </c>
      <c r="AM416">
        <f t="shared" si="93"/>
        <v>18.077287965057202</v>
      </c>
    </row>
    <row r="417" spans="1:39" ht="16.5" x14ac:dyDescent="0.25">
      <c r="A417" s="1">
        <v>45104</v>
      </c>
      <c r="B417" s="5">
        <v>14.68</v>
      </c>
      <c r="C417" s="4">
        <v>14.4</v>
      </c>
      <c r="D417" s="4">
        <v>15.06</v>
      </c>
      <c r="E417" s="4">
        <v>14.11</v>
      </c>
      <c r="F417" s="4" t="s">
        <v>1938</v>
      </c>
      <c r="G417" s="2" t="s">
        <v>1939</v>
      </c>
      <c r="I417">
        <f t="shared" si="81"/>
        <v>22.197894736842105</v>
      </c>
      <c r="J417">
        <f t="shared" si="82"/>
        <v>22.753749999999997</v>
      </c>
      <c r="L417">
        <f t="shared" si="83"/>
        <v>1</v>
      </c>
      <c r="M417">
        <f t="shared" si="84"/>
        <v>0</v>
      </c>
      <c r="O417">
        <f t="shared" si="85"/>
        <v>0.27999999999999936</v>
      </c>
      <c r="P417">
        <f t="shared" si="86"/>
        <v>0</v>
      </c>
      <c r="R417">
        <f t="shared" si="87"/>
        <v>0.29500000000000037</v>
      </c>
      <c r="S417">
        <f t="shared" si="88"/>
        <v>0.2700000000000003</v>
      </c>
      <c r="AH417">
        <f t="shared" si="89"/>
        <v>1.8443283858615456</v>
      </c>
      <c r="AI417">
        <f t="shared" si="90"/>
        <v>10.741284821183115</v>
      </c>
      <c r="AJ417">
        <f t="shared" si="91"/>
        <v>33.654504652501096</v>
      </c>
      <c r="AL417">
        <f t="shared" si="92"/>
        <v>25.886551508565198</v>
      </c>
      <c r="AM417">
        <f t="shared" si="93"/>
        <v>18.509237965119013</v>
      </c>
    </row>
    <row r="418" spans="1:39" ht="16.5" x14ac:dyDescent="0.25">
      <c r="A418" s="1">
        <v>45103</v>
      </c>
      <c r="B418" s="5">
        <v>14.35</v>
      </c>
      <c r="C418" s="4">
        <v>14.71</v>
      </c>
      <c r="D418" s="4">
        <v>15.02</v>
      </c>
      <c r="E418" s="4">
        <v>13.78</v>
      </c>
      <c r="F418" s="4" t="s">
        <v>1940</v>
      </c>
      <c r="G418" s="2" t="s">
        <v>1624</v>
      </c>
      <c r="I418">
        <f t="shared" si="81"/>
        <v>22.674736842105261</v>
      </c>
      <c r="J418">
        <f t="shared" si="82"/>
        <v>22.949999999999996</v>
      </c>
      <c r="L418">
        <f t="shared" si="83"/>
        <v>0</v>
      </c>
      <c r="M418">
        <f t="shared" si="84"/>
        <v>1</v>
      </c>
      <c r="O418">
        <f t="shared" si="85"/>
        <v>0</v>
      </c>
      <c r="P418">
        <f t="shared" si="86"/>
        <v>0.36000000000000121</v>
      </c>
      <c r="R418">
        <f t="shared" si="87"/>
        <v>0.30000000000000071</v>
      </c>
      <c r="S418">
        <f t="shared" si="88"/>
        <v>0.25363636363636388</v>
      </c>
      <c r="AH418">
        <f t="shared" si="89"/>
        <v>1.8465582604144422</v>
      </c>
      <c r="AI418">
        <f t="shared" si="90"/>
        <v>11.218126926446271</v>
      </c>
      <c r="AJ418">
        <f t="shared" si="91"/>
        <v>34.131346757764248</v>
      </c>
      <c r="AL418">
        <f t="shared" si="92"/>
        <v>26.367853362934145</v>
      </c>
      <c r="AM418">
        <f t="shared" si="93"/>
        <v>18.981620321276377</v>
      </c>
    </row>
    <row r="419" spans="1:39" ht="16.5" x14ac:dyDescent="0.25">
      <c r="A419" s="1">
        <v>45100</v>
      </c>
      <c r="B419" s="5">
        <v>14.65</v>
      </c>
      <c r="C419" s="4">
        <v>15.02</v>
      </c>
      <c r="D419" s="4">
        <v>17.14</v>
      </c>
      <c r="E419" s="4">
        <v>14.5</v>
      </c>
      <c r="F419" s="4" t="s">
        <v>1941</v>
      </c>
      <c r="G419" s="2" t="s">
        <v>1942</v>
      </c>
      <c r="I419">
        <f t="shared" si="81"/>
        <v>23.206315789473678</v>
      </c>
      <c r="J419">
        <f t="shared" si="82"/>
        <v>23.145749999999992</v>
      </c>
      <c r="L419">
        <f t="shared" si="83"/>
        <v>0</v>
      </c>
      <c r="M419">
        <f t="shared" si="84"/>
        <v>1</v>
      </c>
      <c r="O419">
        <f t="shared" si="85"/>
        <v>0</v>
      </c>
      <c r="P419">
        <f t="shared" si="86"/>
        <v>0.36999999999999922</v>
      </c>
      <c r="R419">
        <f t="shared" si="87"/>
        <v>0.23750000000000071</v>
      </c>
      <c r="S419">
        <f t="shared" si="88"/>
        <v>0.24300000000000016</v>
      </c>
      <c r="AH419">
        <f t="shared" si="89"/>
        <v>1.8444922708574196</v>
      </c>
      <c r="AI419">
        <f t="shared" si="90"/>
        <v>11.749705873814687</v>
      </c>
      <c r="AJ419">
        <f t="shared" si="91"/>
        <v>34.662925705132665</v>
      </c>
      <c r="AL419">
        <f t="shared" si="92"/>
        <v>26.895300331188515</v>
      </c>
      <c r="AM419">
        <f t="shared" si="93"/>
        <v>19.51733124775884</v>
      </c>
    </row>
    <row r="420" spans="1:39" ht="16.5" x14ac:dyDescent="0.25">
      <c r="A420" s="1">
        <v>45099</v>
      </c>
      <c r="B420" s="5">
        <v>23.38</v>
      </c>
      <c r="C420" s="4">
        <v>22.88</v>
      </c>
      <c r="D420" s="4">
        <v>23.41</v>
      </c>
      <c r="E420" s="4">
        <v>22.79</v>
      </c>
      <c r="F420" s="4" t="s">
        <v>109</v>
      </c>
      <c r="G420" s="2" t="s">
        <v>657</v>
      </c>
      <c r="I420">
        <f t="shared" si="81"/>
        <v>23.706315789473678</v>
      </c>
      <c r="J420">
        <f t="shared" si="82"/>
        <v>23.323749999999993</v>
      </c>
      <c r="L420">
        <f t="shared" si="83"/>
        <v>1</v>
      </c>
      <c r="M420">
        <f t="shared" si="84"/>
        <v>0</v>
      </c>
      <c r="O420">
        <f t="shared" si="85"/>
        <v>0.5</v>
      </c>
      <c r="P420">
        <f t="shared" si="86"/>
        <v>0</v>
      </c>
      <c r="R420">
        <f t="shared" si="87"/>
        <v>0.23750000000000071</v>
      </c>
      <c r="S420">
        <f t="shared" si="88"/>
        <v>0.23000000000000043</v>
      </c>
      <c r="AH420">
        <f t="shared" si="89"/>
        <v>1.8360533398713541</v>
      </c>
      <c r="AI420">
        <f t="shared" si="90"/>
        <v>12.249705873814687</v>
      </c>
      <c r="AJ420">
        <f t="shared" si="91"/>
        <v>35.162925705132665</v>
      </c>
      <c r="AL420">
        <f t="shared" si="92"/>
        <v>27.378422469216385</v>
      </c>
      <c r="AM420">
        <f t="shared" si="93"/>
        <v>20.03420910973097</v>
      </c>
    </row>
    <row r="421" spans="1:39" ht="16.5" x14ac:dyDescent="0.25">
      <c r="A421" s="1">
        <v>45098</v>
      </c>
      <c r="B421" s="5">
        <v>22.98</v>
      </c>
      <c r="C421" s="4">
        <v>22.6</v>
      </c>
      <c r="D421" s="4">
        <v>23.13</v>
      </c>
      <c r="E421" s="4">
        <v>22.47</v>
      </c>
      <c r="F421" s="4" t="s">
        <v>202</v>
      </c>
      <c r="G421" s="2" t="s">
        <v>667</v>
      </c>
      <c r="I421">
        <f t="shared" si="81"/>
        <v>23.747368421052627</v>
      </c>
      <c r="J421">
        <f t="shared" si="82"/>
        <v>23.267749999999992</v>
      </c>
      <c r="L421">
        <f t="shared" si="83"/>
        <v>1</v>
      </c>
      <c r="M421">
        <f t="shared" si="84"/>
        <v>0</v>
      </c>
      <c r="O421">
        <f t="shared" si="85"/>
        <v>0.37999999999999901</v>
      </c>
      <c r="P421">
        <f t="shared" si="86"/>
        <v>0</v>
      </c>
      <c r="R421">
        <f t="shared" si="87"/>
        <v>0.12750000000000039</v>
      </c>
      <c r="S421">
        <f t="shared" si="88"/>
        <v>0.23000000000000043</v>
      </c>
      <c r="AH421">
        <f t="shared" si="89"/>
        <v>1.8198730589230303</v>
      </c>
      <c r="AI421">
        <f t="shared" si="90"/>
        <v>12.290758505393637</v>
      </c>
      <c r="AJ421">
        <f t="shared" si="91"/>
        <v>35.203978336711614</v>
      </c>
      <c r="AL421">
        <f t="shared" si="92"/>
        <v>27.387114538898686</v>
      </c>
      <c r="AM421">
        <f t="shared" si="93"/>
        <v>20.107622303206568</v>
      </c>
    </row>
    <row r="422" spans="1:39" ht="16.5" x14ac:dyDescent="0.25">
      <c r="A422" s="1">
        <v>45097</v>
      </c>
      <c r="B422" s="5">
        <v>22.63</v>
      </c>
      <c r="C422" s="4">
        <v>22.77</v>
      </c>
      <c r="D422" s="4">
        <v>22.95</v>
      </c>
      <c r="E422" s="4">
        <v>22.45</v>
      </c>
      <c r="F422" s="4" t="s">
        <v>759</v>
      </c>
      <c r="G422" s="2" t="s">
        <v>719</v>
      </c>
      <c r="I422">
        <f t="shared" si="81"/>
        <v>23.789473684210527</v>
      </c>
      <c r="J422">
        <f t="shared" si="82"/>
        <v>23.221499999999999</v>
      </c>
      <c r="L422">
        <f t="shared" si="83"/>
        <v>0</v>
      </c>
      <c r="M422">
        <f t="shared" si="84"/>
        <v>1</v>
      </c>
      <c r="O422">
        <f t="shared" si="85"/>
        <v>0</v>
      </c>
      <c r="P422">
        <f t="shared" si="86"/>
        <v>0.14000000000000057</v>
      </c>
      <c r="R422">
        <f t="shared" si="87"/>
        <v>0.12500000000000089</v>
      </c>
      <c r="S422">
        <f t="shared" si="88"/>
        <v>0.23000000000000043</v>
      </c>
      <c r="AH422">
        <f t="shared" si="89"/>
        <v>1.8021197593163651</v>
      </c>
      <c r="AI422">
        <f t="shared" si="90"/>
        <v>12.332863768551537</v>
      </c>
      <c r="AJ422">
        <f t="shared" si="91"/>
        <v>35.246083599869522</v>
      </c>
      <c r="AL422">
        <f t="shared" si="92"/>
        <v>27.393713202843259</v>
      </c>
      <c r="AM422">
        <f t="shared" si="93"/>
        <v>20.185234165577796</v>
      </c>
    </row>
    <row r="423" spans="1:39" ht="16.5" x14ac:dyDescent="0.25">
      <c r="A423" s="1">
        <v>45096</v>
      </c>
      <c r="B423" s="5">
        <v>22.85</v>
      </c>
      <c r="C423" s="4">
        <v>22.83</v>
      </c>
      <c r="D423" s="4">
        <v>22.98</v>
      </c>
      <c r="E423" s="4">
        <v>22.66</v>
      </c>
      <c r="F423" s="4" t="s">
        <v>41</v>
      </c>
      <c r="G423" s="2" t="s">
        <v>1729</v>
      </c>
      <c r="I423">
        <f t="shared" si="81"/>
        <v>23.831052631578949</v>
      </c>
      <c r="J423">
        <f t="shared" si="82"/>
        <v>23.180749999999996</v>
      </c>
      <c r="L423">
        <f t="shared" si="83"/>
        <v>1</v>
      </c>
      <c r="M423">
        <f t="shared" si="84"/>
        <v>0</v>
      </c>
      <c r="O423">
        <f t="shared" si="85"/>
        <v>2.0000000000003126E-2</v>
      </c>
      <c r="P423">
        <f t="shared" si="86"/>
        <v>0</v>
      </c>
      <c r="R423">
        <f t="shared" si="87"/>
        <v>0.12500000000000089</v>
      </c>
      <c r="S423">
        <f t="shared" si="88"/>
        <v>0.26200000000000045</v>
      </c>
      <c r="AH423">
        <f t="shared" si="89"/>
        <v>1.7826477724864456</v>
      </c>
      <c r="AI423">
        <f t="shared" si="90"/>
        <v>12.374442715919958</v>
      </c>
      <c r="AJ423">
        <f t="shared" si="91"/>
        <v>35.287662547237943</v>
      </c>
      <c r="AL423">
        <f t="shared" si="92"/>
        <v>27.39634817655184</v>
      </c>
      <c r="AM423">
        <f t="shared" si="93"/>
        <v>20.265757086606058</v>
      </c>
    </row>
    <row r="424" spans="1:39" ht="16.5" x14ac:dyDescent="0.25">
      <c r="A424" s="1">
        <v>45093</v>
      </c>
      <c r="B424" s="5">
        <v>23.01</v>
      </c>
      <c r="C424" s="4">
        <v>23.21</v>
      </c>
      <c r="D424" s="4">
        <v>23.28</v>
      </c>
      <c r="E424" s="4">
        <v>22.79</v>
      </c>
      <c r="F424" s="4" t="s">
        <v>1943</v>
      </c>
      <c r="G424" s="2" t="s">
        <v>843</v>
      </c>
      <c r="I424">
        <f t="shared" si="81"/>
        <v>23.890526315789476</v>
      </c>
      <c r="J424">
        <f t="shared" si="82"/>
        <v>23.141499999999997</v>
      </c>
      <c r="L424">
        <f t="shared" si="83"/>
        <v>0</v>
      </c>
      <c r="M424">
        <f t="shared" si="84"/>
        <v>1</v>
      </c>
      <c r="O424">
        <f t="shared" si="85"/>
        <v>0</v>
      </c>
      <c r="P424">
        <f t="shared" si="86"/>
        <v>0.19999999999999929</v>
      </c>
      <c r="R424">
        <f t="shared" si="87"/>
        <v>0.15500000000000025</v>
      </c>
      <c r="S424">
        <f t="shared" si="88"/>
        <v>0.26200000000000045</v>
      </c>
      <c r="AH424">
        <f t="shared" si="89"/>
        <v>1.7613219042612704</v>
      </c>
      <c r="AI424">
        <f t="shared" si="90"/>
        <v>12.433916400130485</v>
      </c>
      <c r="AJ424">
        <f t="shared" si="91"/>
        <v>35.347136231448467</v>
      </c>
      <c r="AL424">
        <f t="shared" si="92"/>
        <v>27.413170124312018</v>
      </c>
      <c r="AM424">
        <f t="shared" si="93"/>
        <v>20.367882507266934</v>
      </c>
    </row>
    <row r="425" spans="1:39" ht="16.5" x14ac:dyDescent="0.25">
      <c r="A425" s="1">
        <v>45092</v>
      </c>
      <c r="B425" s="5">
        <v>23.07</v>
      </c>
      <c r="C425" s="4">
        <v>23.7</v>
      </c>
      <c r="D425" s="4">
        <v>23.72</v>
      </c>
      <c r="E425" s="4">
        <v>22.74</v>
      </c>
      <c r="F425" s="4" t="s">
        <v>1714</v>
      </c>
      <c r="G425" s="2" t="s">
        <v>75</v>
      </c>
      <c r="I425">
        <f t="shared" si="81"/>
        <v>23.950526315789475</v>
      </c>
      <c r="J425">
        <f t="shared" si="82"/>
        <v>23.096499999999999</v>
      </c>
      <c r="L425">
        <f t="shared" si="83"/>
        <v>0</v>
      </c>
      <c r="M425">
        <f t="shared" si="84"/>
        <v>1</v>
      </c>
      <c r="O425">
        <f t="shared" si="85"/>
        <v>0</v>
      </c>
      <c r="P425">
        <f t="shared" si="86"/>
        <v>0.62999999999999901</v>
      </c>
      <c r="R425">
        <f t="shared" si="87"/>
        <v>0.15500000000000025</v>
      </c>
      <c r="S425">
        <f t="shared" si="88"/>
        <v>0.25200000000000067</v>
      </c>
      <c r="AH425">
        <f t="shared" si="89"/>
        <v>1.7376454068973921</v>
      </c>
      <c r="AI425">
        <f t="shared" si="90"/>
        <v>12.493916400130484</v>
      </c>
      <c r="AJ425">
        <f t="shared" si="91"/>
        <v>35.407136231448462</v>
      </c>
      <c r="AL425">
        <f t="shared" si="92"/>
        <v>27.42581712958426</v>
      </c>
      <c r="AM425">
        <f t="shared" si="93"/>
        <v>20.475235501994689</v>
      </c>
    </row>
    <row r="426" spans="1:39" ht="16.5" x14ac:dyDescent="0.25">
      <c r="A426" s="1">
        <v>45091</v>
      </c>
      <c r="B426" s="5">
        <v>23.7</v>
      </c>
      <c r="C426" s="4">
        <v>23.7</v>
      </c>
      <c r="D426" s="4">
        <v>23.81</v>
      </c>
      <c r="E426" s="4">
        <v>23.49</v>
      </c>
      <c r="F426" s="4" t="s">
        <v>588</v>
      </c>
      <c r="G426" s="2" t="s">
        <v>365</v>
      </c>
      <c r="I426">
        <f t="shared" si="81"/>
        <v>24.012105263157892</v>
      </c>
      <c r="J426">
        <f t="shared" si="82"/>
        <v>23.053749999999997</v>
      </c>
      <c r="L426">
        <f t="shared" si="83"/>
        <v>0</v>
      </c>
      <c r="M426">
        <f t="shared" si="84"/>
        <v>1</v>
      </c>
      <c r="O426">
        <f t="shared" si="85"/>
        <v>0</v>
      </c>
      <c r="P426">
        <f t="shared" si="86"/>
        <v>0</v>
      </c>
      <c r="R426">
        <f t="shared" si="87"/>
        <v>0.15600000000000022</v>
      </c>
      <c r="S426">
        <f t="shared" si="88"/>
        <v>0.21000000000000085</v>
      </c>
      <c r="AH426">
        <f t="shared" si="89"/>
        <v>1.7113809707814247</v>
      </c>
      <c r="AI426">
        <f t="shared" si="90"/>
        <v>12.555495347498901</v>
      </c>
      <c r="AJ426">
        <f t="shared" si="91"/>
        <v>35.468715178816879</v>
      </c>
      <c r="AL426">
        <f t="shared" si="92"/>
        <v>27.434867204720742</v>
      </c>
      <c r="AM426">
        <f t="shared" si="93"/>
        <v>20.589343321595042</v>
      </c>
    </row>
    <row r="427" spans="1:39" ht="16.5" x14ac:dyDescent="0.25">
      <c r="A427" s="1">
        <v>45090</v>
      </c>
      <c r="B427" s="5">
        <v>23.7</v>
      </c>
      <c r="C427" s="4">
        <v>24.02</v>
      </c>
      <c r="D427" s="4">
        <v>24.15</v>
      </c>
      <c r="E427" s="4">
        <v>22.93</v>
      </c>
      <c r="F427" s="4" t="s">
        <v>830</v>
      </c>
      <c r="G427" s="2" t="s">
        <v>792</v>
      </c>
      <c r="I427">
        <f t="shared" si="81"/>
        <v>24.029473684210529</v>
      </c>
      <c r="J427">
        <f t="shared" si="82"/>
        <v>22.993749999999999</v>
      </c>
      <c r="L427">
        <f t="shared" si="83"/>
        <v>0</v>
      </c>
      <c r="M427">
        <f t="shared" si="84"/>
        <v>1</v>
      </c>
      <c r="O427">
        <f t="shared" si="85"/>
        <v>0</v>
      </c>
      <c r="P427">
        <f t="shared" si="86"/>
        <v>0.32000000000000028</v>
      </c>
      <c r="R427">
        <f t="shared" si="87"/>
        <v>0.17666666666666705</v>
      </c>
      <c r="S427">
        <f t="shared" si="88"/>
        <v>0.23625000000000096</v>
      </c>
      <c r="AH427">
        <f t="shared" si="89"/>
        <v>1.682234326085106</v>
      </c>
      <c r="AI427">
        <f t="shared" si="90"/>
        <v>12.572863768551539</v>
      </c>
      <c r="AJ427">
        <f t="shared" si="91"/>
        <v>35.486083599869517</v>
      </c>
      <c r="AL427">
        <f t="shared" si="92"/>
        <v>27.393942336380743</v>
      </c>
      <c r="AM427">
        <f t="shared" si="93"/>
        <v>20.665005032040316</v>
      </c>
    </row>
    <row r="428" spans="1:39" ht="16.5" x14ac:dyDescent="0.25">
      <c r="A428" s="1">
        <v>45089</v>
      </c>
      <c r="B428" s="5">
        <v>23.89</v>
      </c>
      <c r="C428" s="4">
        <v>23.94</v>
      </c>
      <c r="D428" s="4">
        <v>24.11</v>
      </c>
      <c r="E428" s="4">
        <v>23.75</v>
      </c>
      <c r="F428" s="4" t="s">
        <v>1599</v>
      </c>
      <c r="G428" s="2" t="s">
        <v>1071</v>
      </c>
      <c r="I428">
        <f t="shared" si="81"/>
        <v>24.04</v>
      </c>
      <c r="J428">
        <f t="shared" si="82"/>
        <v>22.939749999999997</v>
      </c>
      <c r="L428">
        <f t="shared" si="83"/>
        <v>0</v>
      </c>
      <c r="M428">
        <f t="shared" si="84"/>
        <v>1</v>
      </c>
      <c r="O428">
        <f t="shared" si="85"/>
        <v>0</v>
      </c>
      <c r="P428">
        <f t="shared" si="86"/>
        <v>5.0000000000000711E-2</v>
      </c>
      <c r="R428">
        <f t="shared" si="87"/>
        <v>0.17666666666666705</v>
      </c>
      <c r="S428">
        <f t="shared" si="88"/>
        <v>0.2437500000000008</v>
      </c>
      <c r="AH428">
        <f t="shared" si="89"/>
        <v>1.6508679798518491</v>
      </c>
      <c r="AI428">
        <f t="shared" si="90"/>
        <v>12.583390084341008</v>
      </c>
      <c r="AJ428">
        <f t="shared" si="91"/>
        <v>35.496609915658993</v>
      </c>
      <c r="AL428">
        <f t="shared" si="92"/>
        <v>27.341735959703698</v>
      </c>
      <c r="AM428">
        <f t="shared" si="93"/>
        <v>20.738264040296301</v>
      </c>
    </row>
    <row r="429" spans="1:39" ht="16.5" x14ac:dyDescent="0.25">
      <c r="A429" s="1">
        <v>45086</v>
      </c>
      <c r="B429" s="5">
        <v>23.72</v>
      </c>
      <c r="C429" s="4">
        <v>23.89</v>
      </c>
      <c r="D429" s="4">
        <v>24.09</v>
      </c>
      <c r="E429" s="4">
        <v>23.68</v>
      </c>
      <c r="F429" s="4" t="s">
        <v>74</v>
      </c>
      <c r="G429" s="2" t="s">
        <v>471</v>
      </c>
      <c r="I429">
        <f t="shared" si="81"/>
        <v>24.025263157894738</v>
      </c>
      <c r="J429">
        <f t="shared" si="82"/>
        <v>22.884999999999998</v>
      </c>
      <c r="L429">
        <f t="shared" si="83"/>
        <v>0</v>
      </c>
      <c r="M429">
        <f t="shared" si="84"/>
        <v>1</v>
      </c>
      <c r="O429">
        <f t="shared" si="85"/>
        <v>0</v>
      </c>
      <c r="P429">
        <f t="shared" si="86"/>
        <v>0.17000000000000171</v>
      </c>
      <c r="R429">
        <f t="shared" si="87"/>
        <v>0.16571428571428623</v>
      </c>
      <c r="S429">
        <f t="shared" si="88"/>
        <v>0.27142857142857224</v>
      </c>
      <c r="AH429">
        <f t="shared" si="89"/>
        <v>1.6172216754624116</v>
      </c>
      <c r="AI429">
        <f t="shared" si="90"/>
        <v>12.568653242235747</v>
      </c>
      <c r="AJ429">
        <f t="shared" si="91"/>
        <v>35.481873073553729</v>
      </c>
      <c r="AL429">
        <f t="shared" si="92"/>
        <v>27.259706508819562</v>
      </c>
      <c r="AM429">
        <f t="shared" si="93"/>
        <v>20.790819806969914</v>
      </c>
    </row>
    <row r="430" spans="1:39" ht="16.5" x14ac:dyDescent="0.25">
      <c r="A430" s="1">
        <v>45085</v>
      </c>
      <c r="B430" s="5">
        <v>23.8</v>
      </c>
      <c r="C430" s="4">
        <v>24.26</v>
      </c>
      <c r="D430" s="4">
        <v>24.29</v>
      </c>
      <c r="E430" s="4">
        <v>23.57</v>
      </c>
      <c r="F430" s="4" t="s">
        <v>202</v>
      </c>
      <c r="G430" s="2" t="s">
        <v>1944</v>
      </c>
      <c r="I430">
        <f t="shared" si="81"/>
        <v>23.983684210526317</v>
      </c>
      <c r="J430">
        <f t="shared" si="82"/>
        <v>22.824749999999998</v>
      </c>
      <c r="L430">
        <f t="shared" si="83"/>
        <v>0</v>
      </c>
      <c r="M430">
        <f t="shared" si="84"/>
        <v>1</v>
      </c>
      <c r="O430">
        <f t="shared" si="85"/>
        <v>0</v>
      </c>
      <c r="P430">
        <f t="shared" si="86"/>
        <v>0.46000000000000085</v>
      </c>
      <c r="R430">
        <f t="shared" si="87"/>
        <v>0.1525000000000003</v>
      </c>
      <c r="S430">
        <f t="shared" si="88"/>
        <v>0.288333333333334</v>
      </c>
      <c r="AH430">
        <f t="shared" si="89"/>
        <v>1.5816656807340366</v>
      </c>
      <c r="AI430">
        <f t="shared" si="90"/>
        <v>12.527074294867326</v>
      </c>
      <c r="AJ430">
        <f t="shared" si="91"/>
        <v>35.440294126185307</v>
      </c>
      <c r="AL430">
        <f t="shared" si="92"/>
        <v>27.147015571994391</v>
      </c>
      <c r="AM430">
        <f t="shared" si="93"/>
        <v>20.820352849058242</v>
      </c>
    </row>
    <row r="431" spans="1:39" ht="16.5" x14ac:dyDescent="0.25">
      <c r="A431" s="1">
        <v>45084</v>
      </c>
      <c r="B431" s="5">
        <v>24.31</v>
      </c>
      <c r="C431" s="4">
        <v>24.4</v>
      </c>
      <c r="D431" s="4">
        <v>24.5</v>
      </c>
      <c r="E431" s="4">
        <v>24.16</v>
      </c>
      <c r="F431" s="4" t="s">
        <v>383</v>
      </c>
      <c r="G431" s="2" t="s">
        <v>924</v>
      </c>
      <c r="I431">
        <f t="shared" si="81"/>
        <v>23.908947368421053</v>
      </c>
      <c r="J431">
        <f t="shared" si="82"/>
        <v>22.764499999999995</v>
      </c>
      <c r="L431">
        <f t="shared" si="83"/>
        <v>0</v>
      </c>
      <c r="M431">
        <f t="shared" si="84"/>
        <v>1</v>
      </c>
      <c r="O431">
        <f t="shared" si="85"/>
        <v>0</v>
      </c>
      <c r="P431">
        <f t="shared" si="86"/>
        <v>8.9999999999999858E-2</v>
      </c>
      <c r="R431">
        <f t="shared" si="87"/>
        <v>0.1388888888888889</v>
      </c>
      <c r="S431">
        <f t="shared" si="88"/>
        <v>0.25400000000000061</v>
      </c>
      <c r="AH431">
        <f t="shared" si="89"/>
        <v>1.5446718162484943</v>
      </c>
      <c r="AI431">
        <f t="shared" si="90"/>
        <v>12.452337452762062</v>
      </c>
      <c r="AJ431">
        <f t="shared" si="91"/>
        <v>35.36555728408004</v>
      </c>
      <c r="AL431">
        <f t="shared" si="92"/>
        <v>26.998291000918041</v>
      </c>
      <c r="AM431">
        <f t="shared" si="93"/>
        <v>20.819603735924066</v>
      </c>
    </row>
    <row r="432" spans="1:39" ht="16.5" x14ac:dyDescent="0.25">
      <c r="A432" s="1">
        <v>45083</v>
      </c>
      <c r="B432" s="5">
        <v>24.37</v>
      </c>
      <c r="C432" s="4">
        <v>24.32</v>
      </c>
      <c r="D432" s="4">
        <v>24.43</v>
      </c>
      <c r="E432" s="4">
        <v>23.98</v>
      </c>
      <c r="F432" s="4" t="s">
        <v>1568</v>
      </c>
      <c r="G432" s="2" t="s">
        <v>856</v>
      </c>
      <c r="I432">
        <f t="shared" si="81"/>
        <v>23.769473684210528</v>
      </c>
      <c r="J432">
        <f t="shared" si="82"/>
        <v>22.686999999999994</v>
      </c>
      <c r="L432">
        <f t="shared" si="83"/>
        <v>1</v>
      </c>
      <c r="M432">
        <f t="shared" si="84"/>
        <v>0</v>
      </c>
      <c r="O432">
        <f t="shared" si="85"/>
        <v>5.0000000000000711E-2</v>
      </c>
      <c r="P432">
        <f t="shared" si="86"/>
        <v>0</v>
      </c>
      <c r="R432">
        <f t="shared" si="87"/>
        <v>0.1388888888888889</v>
      </c>
      <c r="S432">
        <f t="shared" si="88"/>
        <v>0.32800000000000012</v>
      </c>
      <c r="AH432">
        <f t="shared" si="89"/>
        <v>1.5069399792899141</v>
      </c>
      <c r="AI432">
        <f t="shared" si="90"/>
        <v>12.312863768551537</v>
      </c>
      <c r="AJ432">
        <f t="shared" si="91"/>
        <v>35.226083599869519</v>
      </c>
      <c r="AL432">
        <f t="shared" si="92"/>
        <v>26.783353642790356</v>
      </c>
      <c r="AM432">
        <f t="shared" si="93"/>
        <v>20.7555937256307</v>
      </c>
    </row>
    <row r="433" spans="1:39" ht="16.5" x14ac:dyDescent="0.25">
      <c r="A433" s="1">
        <v>45082</v>
      </c>
      <c r="B433" s="5">
        <v>24.2</v>
      </c>
      <c r="C433" s="4">
        <v>24.44</v>
      </c>
      <c r="D433" s="4">
        <v>24.64</v>
      </c>
      <c r="E433" s="4">
        <v>23.92</v>
      </c>
      <c r="F433" s="4" t="s">
        <v>302</v>
      </c>
      <c r="G433" s="2" t="s">
        <v>88</v>
      </c>
      <c r="I433">
        <f t="shared" si="81"/>
        <v>23.655789473684209</v>
      </c>
      <c r="J433">
        <f t="shared" si="82"/>
        <v>22.597749999999998</v>
      </c>
      <c r="L433">
        <f t="shared" si="83"/>
        <v>0</v>
      </c>
      <c r="M433">
        <f t="shared" si="84"/>
        <v>1</v>
      </c>
      <c r="O433">
        <f t="shared" si="85"/>
        <v>0</v>
      </c>
      <c r="P433">
        <f t="shared" si="86"/>
        <v>0.24000000000000199</v>
      </c>
      <c r="R433">
        <f t="shared" si="87"/>
        <v>0.16666666666666627</v>
      </c>
      <c r="S433">
        <f t="shared" si="88"/>
        <v>0.32800000000000012</v>
      </c>
      <c r="AH433">
        <f t="shared" si="89"/>
        <v>1.470054871686024</v>
      </c>
      <c r="AI433">
        <f t="shared" si="90"/>
        <v>12.199179558025218</v>
      </c>
      <c r="AJ433">
        <f t="shared" si="91"/>
        <v>35.112399389343196</v>
      </c>
      <c r="AL433">
        <f t="shared" si="92"/>
        <v>26.595899217056257</v>
      </c>
      <c r="AM433">
        <f t="shared" si="93"/>
        <v>20.715679730312161</v>
      </c>
    </row>
    <row r="434" spans="1:39" ht="16.5" x14ac:dyDescent="0.25">
      <c r="A434" s="1">
        <v>45079</v>
      </c>
      <c r="B434" s="5">
        <v>24.4</v>
      </c>
      <c r="C434" s="4">
        <v>24.34</v>
      </c>
      <c r="D434" s="4">
        <v>24.54</v>
      </c>
      <c r="E434" s="4">
        <v>24.17</v>
      </c>
      <c r="F434" s="4" t="s">
        <v>77</v>
      </c>
      <c r="G434" s="2" t="s">
        <v>420</v>
      </c>
      <c r="I434">
        <f t="shared" si="81"/>
        <v>23.55263157894737</v>
      </c>
      <c r="J434">
        <f t="shared" si="82"/>
        <v>22.514499999999995</v>
      </c>
      <c r="L434">
        <f t="shared" si="83"/>
        <v>1</v>
      </c>
      <c r="M434">
        <f t="shared" si="84"/>
        <v>0</v>
      </c>
      <c r="O434">
        <f t="shared" si="85"/>
        <v>5.9999999999998721E-2</v>
      </c>
      <c r="P434">
        <f t="shared" si="86"/>
        <v>0</v>
      </c>
      <c r="R434">
        <f t="shared" si="87"/>
        <v>0.21699999999999947</v>
      </c>
      <c r="S434">
        <f t="shared" si="88"/>
        <v>0.34999999999999964</v>
      </c>
      <c r="AH434">
        <f t="shared" si="89"/>
        <v>1.433424316975018</v>
      </c>
      <c r="AI434">
        <f t="shared" si="90"/>
        <v>12.096021663288379</v>
      </c>
      <c r="AJ434">
        <f t="shared" si="91"/>
        <v>35.009241494606357</v>
      </c>
      <c r="AL434">
        <f t="shared" si="92"/>
        <v>26.419480212897405</v>
      </c>
      <c r="AM434">
        <f t="shared" si="93"/>
        <v>20.685782944997335</v>
      </c>
    </row>
    <row r="435" spans="1:39" ht="16.5" x14ac:dyDescent="0.25">
      <c r="A435" s="1">
        <v>45078</v>
      </c>
      <c r="B435" s="5">
        <v>24.07</v>
      </c>
      <c r="C435" s="4">
        <v>23.7</v>
      </c>
      <c r="D435" s="4">
        <v>24.18</v>
      </c>
      <c r="E435" s="4">
        <v>23.67</v>
      </c>
      <c r="F435" s="4" t="s">
        <v>1378</v>
      </c>
      <c r="G435" s="2" t="s">
        <v>1924</v>
      </c>
      <c r="I435">
        <f t="shared" si="81"/>
        <v>23.464736842105264</v>
      </c>
      <c r="J435">
        <f t="shared" si="82"/>
        <v>22.429999999999993</v>
      </c>
      <c r="L435">
        <f t="shared" si="83"/>
        <v>1</v>
      </c>
      <c r="M435">
        <f t="shared" si="84"/>
        <v>0</v>
      </c>
      <c r="O435">
        <f t="shared" si="85"/>
        <v>0.37000000000000099</v>
      </c>
      <c r="P435">
        <f t="shared" si="86"/>
        <v>0</v>
      </c>
      <c r="R435">
        <f t="shared" si="87"/>
        <v>0.28399999999999964</v>
      </c>
      <c r="S435">
        <f t="shared" si="88"/>
        <v>0.34999999999999964</v>
      </c>
      <c r="AH435">
        <f t="shared" si="89"/>
        <v>1.3968000425991249</v>
      </c>
      <c r="AI435">
        <f t="shared" si="90"/>
        <v>12.008126926446273</v>
      </c>
      <c r="AJ435">
        <f t="shared" si="91"/>
        <v>34.921346757764255</v>
      </c>
      <c r="AL435">
        <f t="shared" si="92"/>
        <v>26.258336927303514</v>
      </c>
      <c r="AM435">
        <f t="shared" si="93"/>
        <v>20.671136756907014</v>
      </c>
    </row>
    <row r="436" spans="1:39" ht="16.5" x14ac:dyDescent="0.25">
      <c r="A436" s="1">
        <v>45077</v>
      </c>
      <c r="B436" s="5">
        <v>23.74</v>
      </c>
      <c r="C436" s="4">
        <v>24.2</v>
      </c>
      <c r="D436" s="4">
        <v>24.21</v>
      </c>
      <c r="E436" s="4">
        <v>23.37</v>
      </c>
      <c r="F436" s="4" t="s">
        <v>851</v>
      </c>
      <c r="G436" s="2" t="s">
        <v>871</v>
      </c>
      <c r="I436">
        <f t="shared" si="81"/>
        <v>23.383157894736843</v>
      </c>
      <c r="J436">
        <f t="shared" si="82"/>
        <v>22.356249999999996</v>
      </c>
      <c r="L436">
        <f t="shared" si="83"/>
        <v>0</v>
      </c>
      <c r="M436">
        <f t="shared" si="84"/>
        <v>1</v>
      </c>
      <c r="O436">
        <f t="shared" si="85"/>
        <v>0</v>
      </c>
      <c r="P436">
        <f t="shared" si="86"/>
        <v>0.46000000000000085</v>
      </c>
      <c r="R436">
        <f t="shared" si="87"/>
        <v>0.31099999999999961</v>
      </c>
      <c r="S436">
        <f t="shared" si="88"/>
        <v>0.34999999999999964</v>
      </c>
      <c r="AH436">
        <f t="shared" si="89"/>
        <v>1.3597830260361592</v>
      </c>
      <c r="AI436">
        <f t="shared" si="90"/>
        <v>11.926547979077853</v>
      </c>
      <c r="AJ436">
        <f t="shared" si="91"/>
        <v>34.839767810395834</v>
      </c>
      <c r="AL436">
        <f t="shared" si="92"/>
        <v>26.102723946809164</v>
      </c>
      <c r="AM436">
        <f t="shared" si="93"/>
        <v>20.663591842664523</v>
      </c>
    </row>
    <row r="437" spans="1:39" ht="16.5" x14ac:dyDescent="0.25">
      <c r="A437" s="1">
        <v>45076</v>
      </c>
      <c r="B437" s="5">
        <v>24.45</v>
      </c>
      <c r="C437" s="4">
        <v>24.31</v>
      </c>
      <c r="D437" s="4">
        <v>24.81</v>
      </c>
      <c r="E437" s="4">
        <v>24.03</v>
      </c>
      <c r="F437" s="4" t="s">
        <v>331</v>
      </c>
      <c r="G437" s="2" t="s">
        <v>741</v>
      </c>
      <c r="I437">
        <f t="shared" si="81"/>
        <v>23.289473684210527</v>
      </c>
      <c r="J437">
        <f t="shared" si="82"/>
        <v>22.268749999999997</v>
      </c>
      <c r="L437">
        <f t="shared" si="83"/>
        <v>1</v>
      </c>
      <c r="M437">
        <f t="shared" si="84"/>
        <v>0</v>
      </c>
      <c r="O437">
        <f t="shared" si="85"/>
        <v>0.14000000000000057</v>
      </c>
      <c r="P437">
        <f t="shared" si="86"/>
        <v>0</v>
      </c>
      <c r="R437">
        <f t="shared" si="87"/>
        <v>0.31099999999999961</v>
      </c>
      <c r="S437">
        <f t="shared" si="88"/>
        <v>0.3824999999999994</v>
      </c>
      <c r="AH437">
        <f t="shared" si="89"/>
        <v>1.3221706647067231</v>
      </c>
      <c r="AI437">
        <f t="shared" si="90"/>
        <v>11.832863768551537</v>
      </c>
      <c r="AJ437">
        <f t="shared" si="91"/>
        <v>34.746083599869522</v>
      </c>
      <c r="AL437">
        <f t="shared" si="92"/>
        <v>25.933815013623974</v>
      </c>
      <c r="AM437">
        <f t="shared" si="93"/>
        <v>20.645132354797081</v>
      </c>
    </row>
    <row r="438" spans="1:39" ht="16.5" x14ac:dyDescent="0.25">
      <c r="A438" s="1">
        <v>45075</v>
      </c>
      <c r="B438" s="5">
        <v>24.15</v>
      </c>
      <c r="C438" s="4">
        <v>24.25</v>
      </c>
      <c r="D438" s="4">
        <v>24.32</v>
      </c>
      <c r="E438" s="4">
        <v>24.08</v>
      </c>
      <c r="F438" s="4" t="s">
        <v>1945</v>
      </c>
      <c r="G438" s="2" t="s">
        <v>729</v>
      </c>
      <c r="I438">
        <f t="shared" si="81"/>
        <v>23.168421052631579</v>
      </c>
      <c r="J438">
        <f t="shared" si="82"/>
        <v>22.158999999999999</v>
      </c>
      <c r="L438">
        <f t="shared" si="83"/>
        <v>0</v>
      </c>
      <c r="M438">
        <f t="shared" si="84"/>
        <v>1</v>
      </c>
      <c r="O438">
        <f t="shared" si="85"/>
        <v>0</v>
      </c>
      <c r="P438">
        <f t="shared" si="86"/>
        <v>0.10000000000000142</v>
      </c>
      <c r="R438">
        <f t="shared" si="87"/>
        <v>0.32999999999999946</v>
      </c>
      <c r="S438">
        <f t="shared" si="88"/>
        <v>0.32999999999999902</v>
      </c>
      <c r="AH438">
        <f t="shared" si="89"/>
        <v>1.2842482634311618</v>
      </c>
      <c r="AI438">
        <f t="shared" si="90"/>
        <v>11.711811136972589</v>
      </c>
      <c r="AJ438">
        <f t="shared" si="91"/>
        <v>34.625030968290574</v>
      </c>
      <c r="AL438">
        <f t="shared" si="92"/>
        <v>25.736917579493902</v>
      </c>
      <c r="AM438">
        <f t="shared" si="93"/>
        <v>20.599924525769257</v>
      </c>
    </row>
    <row r="439" spans="1:39" ht="16.5" x14ac:dyDescent="0.25">
      <c r="A439" s="1">
        <v>45072</v>
      </c>
      <c r="B439" s="5">
        <v>24.16</v>
      </c>
      <c r="C439" s="4">
        <v>24</v>
      </c>
      <c r="D439" s="4">
        <v>24.16</v>
      </c>
      <c r="E439" s="4">
        <v>23.83</v>
      </c>
      <c r="F439" s="4" t="s">
        <v>107</v>
      </c>
      <c r="G439" s="2" t="s">
        <v>117</v>
      </c>
      <c r="I439">
        <f t="shared" si="81"/>
        <v>23.083157894736843</v>
      </c>
      <c r="J439">
        <f t="shared" si="82"/>
        <v>22.045749999999998</v>
      </c>
      <c r="L439">
        <f t="shared" si="83"/>
        <v>1</v>
      </c>
      <c r="M439">
        <f t="shared" si="84"/>
        <v>0</v>
      </c>
      <c r="O439">
        <f t="shared" si="85"/>
        <v>0.16000000000000014</v>
      </c>
      <c r="P439">
        <f t="shared" si="86"/>
        <v>0</v>
      </c>
      <c r="R439">
        <f t="shared" si="87"/>
        <v>0.32999999999999946</v>
      </c>
      <c r="S439">
        <f t="shared" si="88"/>
        <v>0.38599999999999923</v>
      </c>
      <c r="AH439">
        <f t="shared" si="89"/>
        <v>1.2467675816618105</v>
      </c>
      <c r="AI439">
        <f t="shared" si="90"/>
        <v>11.626547979077852</v>
      </c>
      <c r="AJ439">
        <f t="shared" si="91"/>
        <v>34.53976781039583</v>
      </c>
      <c r="AL439">
        <f t="shared" si="92"/>
        <v>25.576693058060464</v>
      </c>
      <c r="AM439">
        <f t="shared" si="93"/>
        <v>20.589622731413222</v>
      </c>
    </row>
    <row r="440" spans="1:39" ht="16.5" x14ac:dyDescent="0.25">
      <c r="A440" s="1">
        <v>45071</v>
      </c>
      <c r="B440" s="5">
        <v>23.78</v>
      </c>
      <c r="C440" s="4">
        <v>23.5</v>
      </c>
      <c r="D440" s="4">
        <v>24.13</v>
      </c>
      <c r="E440" s="4">
        <v>23.4</v>
      </c>
      <c r="F440" s="4" t="s">
        <v>1383</v>
      </c>
      <c r="G440" s="2" t="s">
        <v>946</v>
      </c>
      <c r="I440">
        <f t="shared" si="81"/>
        <v>22.97894736842105</v>
      </c>
      <c r="J440">
        <f t="shared" si="82"/>
        <v>21.925749999999994</v>
      </c>
      <c r="L440">
        <f t="shared" si="83"/>
        <v>1</v>
      </c>
      <c r="M440">
        <f t="shared" si="84"/>
        <v>0</v>
      </c>
      <c r="O440">
        <f t="shared" si="85"/>
        <v>0.28000000000000114</v>
      </c>
      <c r="P440">
        <f t="shared" si="86"/>
        <v>0</v>
      </c>
      <c r="R440">
        <f t="shared" si="87"/>
        <v>0.33111111111111075</v>
      </c>
      <c r="S440">
        <f t="shared" si="88"/>
        <v>0.38599999999999923</v>
      </c>
      <c r="AH440">
        <f t="shared" si="89"/>
        <v>1.2087412354243519</v>
      </c>
      <c r="AI440">
        <f t="shared" si="90"/>
        <v>11.522337452762059</v>
      </c>
      <c r="AJ440">
        <f t="shared" si="91"/>
        <v>34.435557284080041</v>
      </c>
      <c r="AL440">
        <f t="shared" si="92"/>
        <v>25.396429839269754</v>
      </c>
      <c r="AM440">
        <f t="shared" si="93"/>
        <v>20.561464897572346</v>
      </c>
    </row>
    <row r="441" spans="1:39" ht="16.5" x14ac:dyDescent="0.25">
      <c r="A441" s="1">
        <v>45070</v>
      </c>
      <c r="B441" s="5">
        <v>23.42</v>
      </c>
      <c r="C441" s="4">
        <v>23.8</v>
      </c>
      <c r="D441" s="4">
        <v>23.81</v>
      </c>
      <c r="E441" s="4">
        <v>23.25</v>
      </c>
      <c r="F441" s="4" t="s">
        <v>1484</v>
      </c>
      <c r="G441" s="2" t="s">
        <v>1946</v>
      </c>
      <c r="I441">
        <f t="shared" si="81"/>
        <v>22.873157894736842</v>
      </c>
      <c r="J441">
        <f t="shared" si="82"/>
        <v>21.806249999999999</v>
      </c>
      <c r="L441">
        <f t="shared" si="83"/>
        <v>0</v>
      </c>
      <c r="M441">
        <f t="shared" si="84"/>
        <v>1</v>
      </c>
      <c r="O441">
        <f t="shared" si="85"/>
        <v>0</v>
      </c>
      <c r="P441">
        <f t="shared" si="86"/>
        <v>0.37999999999999901</v>
      </c>
      <c r="R441">
        <f t="shared" si="87"/>
        <v>0.34666666666666601</v>
      </c>
      <c r="S441">
        <f t="shared" si="88"/>
        <v>0.38599999999999923</v>
      </c>
      <c r="AH441">
        <f t="shared" si="89"/>
        <v>1.1706804468787639</v>
      </c>
      <c r="AI441">
        <f t="shared" si="90"/>
        <v>11.416547979077851</v>
      </c>
      <c r="AJ441">
        <f t="shared" si="91"/>
        <v>34.329767810395836</v>
      </c>
      <c r="AL441">
        <f t="shared" si="92"/>
        <v>25.21451878849437</v>
      </c>
      <c r="AM441">
        <f t="shared" si="93"/>
        <v>20.531797000979314</v>
      </c>
    </row>
    <row r="442" spans="1:39" ht="16.5" x14ac:dyDescent="0.25">
      <c r="A442" s="1">
        <v>45069</v>
      </c>
      <c r="B442" s="5">
        <v>23.98</v>
      </c>
      <c r="C442" s="4">
        <v>23.88</v>
      </c>
      <c r="D442" s="4">
        <v>24.02</v>
      </c>
      <c r="E442" s="4">
        <v>23.67</v>
      </c>
      <c r="F442" s="4" t="s">
        <v>759</v>
      </c>
      <c r="G442" s="2" t="s">
        <v>1729</v>
      </c>
      <c r="I442">
        <f t="shared" si="81"/>
        <v>22.753157894736837</v>
      </c>
      <c r="J442">
        <f t="shared" si="82"/>
        <v>21.684249999999995</v>
      </c>
      <c r="L442">
        <f t="shared" si="83"/>
        <v>1</v>
      </c>
      <c r="M442">
        <f t="shared" si="84"/>
        <v>0</v>
      </c>
      <c r="O442">
        <f t="shared" si="85"/>
        <v>0.10000000000000142</v>
      </c>
      <c r="P442">
        <f t="shared" si="86"/>
        <v>0</v>
      </c>
      <c r="R442">
        <f t="shared" si="87"/>
        <v>0.34666666666666601</v>
      </c>
      <c r="S442">
        <f t="shared" si="88"/>
        <v>0.33799999999999952</v>
      </c>
      <c r="AH442">
        <f t="shared" si="89"/>
        <v>1.1326344685201153</v>
      </c>
      <c r="AI442">
        <f t="shared" si="90"/>
        <v>11.296547979077847</v>
      </c>
      <c r="AJ442">
        <f t="shared" si="91"/>
        <v>34.209767810395832</v>
      </c>
      <c r="AL442">
        <f t="shared" si="92"/>
        <v>25.018426831777067</v>
      </c>
      <c r="AM442">
        <f t="shared" si="93"/>
        <v>20.487888957696608</v>
      </c>
    </row>
    <row r="443" spans="1:39" ht="16.5" x14ac:dyDescent="0.25">
      <c r="A443" s="1">
        <v>45068</v>
      </c>
      <c r="B443" s="5">
        <v>24.15</v>
      </c>
      <c r="C443" s="4">
        <v>24.09</v>
      </c>
      <c r="D443" s="4">
        <v>24.25</v>
      </c>
      <c r="E443" s="4">
        <v>23.85</v>
      </c>
      <c r="F443" s="4" t="s">
        <v>492</v>
      </c>
      <c r="G443" s="2" t="s">
        <v>632</v>
      </c>
      <c r="I443">
        <f t="shared" si="81"/>
        <v>22.603157894736835</v>
      </c>
      <c r="J443">
        <f t="shared" si="82"/>
        <v>21.56999999999999</v>
      </c>
      <c r="L443">
        <f t="shared" si="83"/>
        <v>1</v>
      </c>
      <c r="M443">
        <f t="shared" si="84"/>
        <v>0</v>
      </c>
      <c r="O443">
        <f t="shared" si="85"/>
        <v>5.9999999999998721E-2</v>
      </c>
      <c r="P443">
        <f t="shared" si="86"/>
        <v>0</v>
      </c>
      <c r="R443">
        <f t="shared" si="87"/>
        <v>0.37749999999999906</v>
      </c>
      <c r="S443">
        <f t="shared" si="88"/>
        <v>0.33999999999999986</v>
      </c>
      <c r="AH443">
        <f t="shared" si="89"/>
        <v>1.0950469965948004</v>
      </c>
      <c r="AI443">
        <f t="shared" si="90"/>
        <v>11.146547979077845</v>
      </c>
      <c r="AJ443">
        <f t="shared" si="91"/>
        <v>34.059767810395826</v>
      </c>
      <c r="AL443">
        <f t="shared" si="92"/>
        <v>24.793251887926438</v>
      </c>
      <c r="AM443">
        <f t="shared" si="93"/>
        <v>20.413063901547233</v>
      </c>
    </row>
    <row r="444" spans="1:39" ht="16.5" x14ac:dyDescent="0.25">
      <c r="A444" s="1">
        <v>45065</v>
      </c>
      <c r="B444" s="5">
        <v>24.24</v>
      </c>
      <c r="C444" s="4">
        <v>24.21</v>
      </c>
      <c r="D444" s="4">
        <v>24.38</v>
      </c>
      <c r="E444" s="4">
        <v>24.02</v>
      </c>
      <c r="F444" s="4" t="s">
        <v>654</v>
      </c>
      <c r="G444" s="2" t="s">
        <v>702</v>
      </c>
      <c r="I444">
        <f t="shared" si="81"/>
        <v>22.437368421052625</v>
      </c>
      <c r="J444">
        <f t="shared" si="82"/>
        <v>21.440999999999995</v>
      </c>
      <c r="L444">
        <f t="shared" si="83"/>
        <v>1</v>
      </c>
      <c r="M444">
        <f t="shared" si="84"/>
        <v>0</v>
      </c>
      <c r="O444">
        <f t="shared" si="85"/>
        <v>2.9999999999997584E-2</v>
      </c>
      <c r="P444">
        <f t="shared" si="86"/>
        <v>0</v>
      </c>
      <c r="R444">
        <f t="shared" si="87"/>
        <v>0.42249999999999943</v>
      </c>
      <c r="S444">
        <f t="shared" si="88"/>
        <v>0.33999999999999986</v>
      </c>
      <c r="AH444">
        <f t="shared" si="89"/>
        <v>1.0588974158529296</v>
      </c>
      <c r="AI444">
        <f t="shared" si="90"/>
        <v>10.980758505393634</v>
      </c>
      <c r="AJ444">
        <f t="shared" si="91"/>
        <v>33.893978336711612</v>
      </c>
      <c r="AL444">
        <f t="shared" si="92"/>
        <v>24.555163252758483</v>
      </c>
      <c r="AM444">
        <f t="shared" si="93"/>
        <v>20.319573589346767</v>
      </c>
    </row>
    <row r="445" spans="1:39" ht="16.5" x14ac:dyDescent="0.25">
      <c r="A445" s="1">
        <v>45064</v>
      </c>
      <c r="B445" s="5">
        <v>24.03</v>
      </c>
      <c r="C445" s="4">
        <v>24.49</v>
      </c>
      <c r="D445" s="4">
        <v>24.59</v>
      </c>
      <c r="E445" s="4">
        <v>23.85</v>
      </c>
      <c r="F445" s="4" t="s">
        <v>698</v>
      </c>
      <c r="G445" s="2" t="s">
        <v>26</v>
      </c>
      <c r="I445">
        <f t="shared" si="81"/>
        <v>22.281578947368423</v>
      </c>
      <c r="J445">
        <f t="shared" si="82"/>
        <v>21.315749999999998</v>
      </c>
      <c r="L445">
        <f t="shared" si="83"/>
        <v>0</v>
      </c>
      <c r="M445">
        <f t="shared" si="84"/>
        <v>1</v>
      </c>
      <c r="O445">
        <f t="shared" si="85"/>
        <v>0</v>
      </c>
      <c r="P445">
        <f t="shared" si="86"/>
        <v>0.4599999999999973</v>
      </c>
      <c r="R445">
        <f t="shared" si="87"/>
        <v>0.45499999999999963</v>
      </c>
      <c r="S445">
        <f t="shared" si="88"/>
        <v>0.33999999999999986</v>
      </c>
      <c r="AH445">
        <f t="shared" si="89"/>
        <v>1.024796889363452</v>
      </c>
      <c r="AI445">
        <f t="shared" si="90"/>
        <v>10.824969031709433</v>
      </c>
      <c r="AJ445">
        <f t="shared" si="91"/>
        <v>33.738188863027418</v>
      </c>
      <c r="AL445">
        <f t="shared" si="92"/>
        <v>24.331172726095328</v>
      </c>
      <c r="AM445">
        <f t="shared" si="93"/>
        <v>20.231985168641518</v>
      </c>
    </row>
    <row r="446" spans="1:39" ht="16.5" x14ac:dyDescent="0.25">
      <c r="A446" s="1">
        <v>45063</v>
      </c>
      <c r="B446" s="5">
        <v>23.9</v>
      </c>
      <c r="C446" s="4">
        <v>23.6</v>
      </c>
      <c r="D446" s="4">
        <v>23.97</v>
      </c>
      <c r="E446" s="4">
        <v>23.41</v>
      </c>
      <c r="F446" s="4" t="s">
        <v>1438</v>
      </c>
      <c r="G446" s="2" t="s">
        <v>176</v>
      </c>
      <c r="I446">
        <f t="shared" si="81"/>
        <v>22.133157894736843</v>
      </c>
      <c r="J446">
        <f t="shared" si="82"/>
        <v>21.189749999999997</v>
      </c>
      <c r="L446">
        <f t="shared" si="83"/>
        <v>1</v>
      </c>
      <c r="M446">
        <f t="shared" si="84"/>
        <v>0</v>
      </c>
      <c r="O446">
        <f t="shared" si="85"/>
        <v>0.29999999999999716</v>
      </c>
      <c r="P446">
        <f t="shared" si="86"/>
        <v>0</v>
      </c>
      <c r="R446">
        <f t="shared" si="87"/>
        <v>0.47999999999999965</v>
      </c>
      <c r="S446">
        <f t="shared" si="88"/>
        <v>0.31600000000000039</v>
      </c>
      <c r="AH446">
        <f t="shared" si="89"/>
        <v>0.99259444472657621</v>
      </c>
      <c r="AI446">
        <f t="shared" si="90"/>
        <v>10.676547979077853</v>
      </c>
      <c r="AJ446">
        <f t="shared" si="91"/>
        <v>33.589767810395834</v>
      </c>
      <c r="AL446">
        <f t="shared" si="92"/>
        <v>24.118346784189995</v>
      </c>
      <c r="AM446">
        <f t="shared" si="93"/>
        <v>20.147969005283692</v>
      </c>
    </row>
    <row r="447" spans="1:39" ht="16.5" x14ac:dyDescent="0.25">
      <c r="A447" s="1">
        <v>45062</v>
      </c>
      <c r="B447" s="5">
        <v>23.61</v>
      </c>
      <c r="C447" s="4">
        <v>22.94</v>
      </c>
      <c r="D447" s="4">
        <v>23.81</v>
      </c>
      <c r="E447" s="4">
        <v>22.83</v>
      </c>
      <c r="F447" s="4" t="s">
        <v>1669</v>
      </c>
      <c r="G447" s="2" t="s">
        <v>1259</v>
      </c>
      <c r="I447">
        <f t="shared" si="81"/>
        <v>21.999473684210525</v>
      </c>
      <c r="J447">
        <f t="shared" si="82"/>
        <v>21.050249999999998</v>
      </c>
      <c r="L447">
        <f t="shared" si="83"/>
        <v>1</v>
      </c>
      <c r="M447">
        <f t="shared" si="84"/>
        <v>0</v>
      </c>
      <c r="O447">
        <f t="shared" si="85"/>
        <v>0.66999999999999815</v>
      </c>
      <c r="P447">
        <f t="shared" si="86"/>
        <v>0</v>
      </c>
      <c r="R447">
        <f t="shared" si="87"/>
        <v>0.45666666666666661</v>
      </c>
      <c r="S447">
        <f t="shared" si="88"/>
        <v>0.31600000000000039</v>
      </c>
      <c r="AH447">
        <f t="shared" si="89"/>
        <v>0.96220834801401922</v>
      </c>
      <c r="AI447">
        <f t="shared" si="90"/>
        <v>10.542863768551534</v>
      </c>
      <c r="AJ447">
        <f t="shared" si="91"/>
        <v>33.456083599869515</v>
      </c>
      <c r="AL447">
        <f t="shared" si="92"/>
        <v>23.923890380238564</v>
      </c>
      <c r="AM447">
        <f t="shared" si="93"/>
        <v>20.075056988182485</v>
      </c>
    </row>
    <row r="448" spans="1:39" ht="16.5" x14ac:dyDescent="0.25">
      <c r="A448" s="1">
        <v>45061</v>
      </c>
      <c r="B448" s="5">
        <v>22.93</v>
      </c>
      <c r="C448" s="4">
        <v>22.2</v>
      </c>
      <c r="D448" s="4">
        <v>23.28</v>
      </c>
      <c r="E448" s="4">
        <v>22.16</v>
      </c>
      <c r="F448" s="4" t="s">
        <v>1947</v>
      </c>
      <c r="G448" s="2" t="s">
        <v>1553</v>
      </c>
      <c r="I448">
        <f t="shared" si="81"/>
        <v>21.877894736842109</v>
      </c>
      <c r="J448">
        <f t="shared" si="82"/>
        <v>20.939</v>
      </c>
      <c r="L448">
        <f t="shared" si="83"/>
        <v>1</v>
      </c>
      <c r="M448">
        <f t="shared" si="84"/>
        <v>0</v>
      </c>
      <c r="O448">
        <f t="shared" si="85"/>
        <v>0.73000000000000043</v>
      </c>
      <c r="P448">
        <f t="shared" si="86"/>
        <v>0</v>
      </c>
      <c r="R448">
        <f t="shared" si="87"/>
        <v>0.39666666666666672</v>
      </c>
      <c r="S448">
        <f t="shared" si="88"/>
        <v>0.31600000000000039</v>
      </c>
      <c r="AH448">
        <f t="shared" si="89"/>
        <v>0.93332597474578627</v>
      </c>
      <c r="AI448">
        <f t="shared" si="90"/>
        <v>10.421284821183118</v>
      </c>
      <c r="AJ448">
        <f t="shared" si="91"/>
        <v>33.334504652501096</v>
      </c>
      <c r="AL448">
        <f t="shared" si="92"/>
        <v>23.744546686333681</v>
      </c>
      <c r="AM448">
        <f t="shared" si="93"/>
        <v>20.011242787350536</v>
      </c>
    </row>
    <row r="449" spans="1:39" ht="16.5" x14ac:dyDescent="0.25">
      <c r="A449" s="1">
        <v>45058</v>
      </c>
      <c r="B449" s="5">
        <v>22.38</v>
      </c>
      <c r="C449" s="4">
        <v>21.74</v>
      </c>
      <c r="D449" s="4">
        <v>22.44</v>
      </c>
      <c r="E449" s="4">
        <v>21.64</v>
      </c>
      <c r="F449" s="4" t="s">
        <v>1552</v>
      </c>
      <c r="G449" s="2" t="s">
        <v>1948</v>
      </c>
      <c r="I449">
        <f t="shared" si="81"/>
        <v>21.804736842105264</v>
      </c>
      <c r="J449">
        <f t="shared" si="82"/>
        <v>20.821499999999997</v>
      </c>
      <c r="L449">
        <f t="shared" si="83"/>
        <v>1</v>
      </c>
      <c r="M449">
        <f t="shared" si="84"/>
        <v>0</v>
      </c>
      <c r="O449">
        <f t="shared" si="85"/>
        <v>0.64000000000000057</v>
      </c>
      <c r="P449">
        <f t="shared" si="86"/>
        <v>0</v>
      </c>
      <c r="R449">
        <f t="shared" si="87"/>
        <v>0.35499999999999998</v>
      </c>
      <c r="S449">
        <f t="shared" si="88"/>
        <v>0.3033333333333334</v>
      </c>
      <c r="AH449">
        <f t="shared" si="89"/>
        <v>0.90569598832600295</v>
      </c>
      <c r="AI449">
        <f t="shared" si="90"/>
        <v>10.348126926446273</v>
      </c>
      <c r="AJ449">
        <f t="shared" si="91"/>
        <v>33.261346757764258</v>
      </c>
      <c r="AL449">
        <f t="shared" si="92"/>
        <v>23.616128818757268</v>
      </c>
      <c r="AM449">
        <f t="shared" si="93"/>
        <v>19.99334486545326</v>
      </c>
    </row>
    <row r="450" spans="1:39" ht="16.5" x14ac:dyDescent="0.25">
      <c r="A450" s="1">
        <v>45057</v>
      </c>
      <c r="B450" s="5">
        <v>21.66</v>
      </c>
      <c r="C450" s="4">
        <v>22.25</v>
      </c>
      <c r="D450" s="4">
        <v>22.28</v>
      </c>
      <c r="E450" s="4">
        <v>21.55</v>
      </c>
      <c r="F450" s="4" t="s">
        <v>1460</v>
      </c>
      <c r="G450" s="2" t="s">
        <v>1824</v>
      </c>
      <c r="I450">
        <f t="shared" ref="I450:I513" si="94">AVERAGE(B450:B468)</f>
        <v>21.768947368421053</v>
      </c>
      <c r="J450">
        <f t="shared" ref="J450:J513" si="95">AVERAGE(B450:B489)</f>
        <v>20.7515</v>
      </c>
      <c r="L450">
        <f t="shared" si="83"/>
        <v>0</v>
      </c>
      <c r="M450">
        <f t="shared" si="84"/>
        <v>1</v>
      </c>
      <c r="O450">
        <f t="shared" si="85"/>
        <v>0</v>
      </c>
      <c r="P450">
        <f t="shared" si="86"/>
        <v>0.58999999999999986</v>
      </c>
      <c r="R450">
        <f t="shared" si="87"/>
        <v>0.31428571428571417</v>
      </c>
      <c r="S450">
        <f t="shared" si="88"/>
        <v>0.26571428571428563</v>
      </c>
      <c r="AH450">
        <f t="shared" si="89"/>
        <v>0.87793114624050517</v>
      </c>
      <c r="AI450">
        <f t="shared" si="90"/>
        <v>10.312337452762062</v>
      </c>
      <c r="AJ450">
        <f t="shared" si="91"/>
        <v>33.22555728408004</v>
      </c>
      <c r="AL450">
        <f t="shared" si="92"/>
        <v>23.524809660902061</v>
      </c>
      <c r="AM450">
        <f t="shared" si="93"/>
        <v>20.013085075940044</v>
      </c>
    </row>
    <row r="451" spans="1:39" ht="16.5" x14ac:dyDescent="0.25">
      <c r="A451" s="1">
        <v>45056</v>
      </c>
      <c r="B451" s="5">
        <v>22.21</v>
      </c>
      <c r="C451" s="4">
        <v>22.33</v>
      </c>
      <c r="D451" s="4">
        <v>22.7</v>
      </c>
      <c r="E451" s="4">
        <v>22.06</v>
      </c>
      <c r="F451" s="4" t="s">
        <v>1424</v>
      </c>
      <c r="G451" s="2" t="s">
        <v>530</v>
      </c>
      <c r="I451">
        <f t="shared" si="94"/>
        <v>21.750526315789475</v>
      </c>
      <c r="J451">
        <f t="shared" si="95"/>
        <v>20.688500000000001</v>
      </c>
      <c r="L451">
        <f t="shared" ref="L451:L514" si="96">IF($C451&lt;$B451,1,0)</f>
        <v>0</v>
      </c>
      <c r="M451">
        <f t="shared" ref="M451:M514" si="97">IF($C451&lt;$B451,0,1)</f>
        <v>1</v>
      </c>
      <c r="O451">
        <f t="shared" ref="O451:O514" si="98">IF($C451&lt;$B451,B451-C451,0)</f>
        <v>0</v>
      </c>
      <c r="P451">
        <f t="shared" ref="P451:P514" si="99">IF($B451&lt;$C451,C451-B451,0)</f>
        <v>0.11999999999999744</v>
      </c>
      <c r="R451">
        <f t="shared" ref="R451:R514" si="100">SUM(O451:O464)/SUM(L451:L464)</f>
        <v>0.31428571428571417</v>
      </c>
      <c r="S451">
        <f t="shared" ref="S451:S514" si="101">SUM(P451:P464)/SUM(M451:M464)</f>
        <v>0.2028571428571426</v>
      </c>
      <c r="AH451">
        <f t="shared" ref="AH451:AH514" si="102">_xlfn.STDEV.S(I451:I981)</f>
        <v>0.84882187390704211</v>
      </c>
      <c r="AI451">
        <f t="shared" ref="AI451:AI514" si="103">I451-$AH$2</f>
        <v>10.293916400130485</v>
      </c>
      <c r="AJ451">
        <f t="shared" ref="AJ451:AJ514" si="104">I451+$AH$2</f>
        <v>33.207136231448466</v>
      </c>
      <c r="AL451">
        <f t="shared" ref="AL451:AL514" si="105">I451+(AH451*2)</f>
        <v>23.448170063603559</v>
      </c>
      <c r="AM451">
        <f t="shared" ref="AM451:AM514" si="106">I451-(AH451*2)</f>
        <v>20.052882567975391</v>
      </c>
    </row>
    <row r="452" spans="1:39" ht="16.5" x14ac:dyDescent="0.25">
      <c r="A452" s="1">
        <v>45055</v>
      </c>
      <c r="B452" s="5">
        <v>22.24</v>
      </c>
      <c r="C452" s="4">
        <v>22.62</v>
      </c>
      <c r="D452" s="4">
        <v>22.74</v>
      </c>
      <c r="E452" s="4">
        <v>22.24</v>
      </c>
      <c r="F452" s="4" t="s">
        <v>1391</v>
      </c>
      <c r="G452" s="2" t="s">
        <v>1622</v>
      </c>
      <c r="I452">
        <f t="shared" si="94"/>
        <v>21.707368421052632</v>
      </c>
      <c r="J452">
        <f t="shared" si="95"/>
        <v>20.629749999999998</v>
      </c>
      <c r="L452">
        <f t="shared" si="96"/>
        <v>0</v>
      </c>
      <c r="M452">
        <f t="shared" si="97"/>
        <v>1</v>
      </c>
      <c r="O452">
        <f t="shared" si="98"/>
        <v>0</v>
      </c>
      <c r="P452">
        <f t="shared" si="99"/>
        <v>0.38000000000000256</v>
      </c>
      <c r="R452">
        <f t="shared" si="100"/>
        <v>0.29499999999999993</v>
      </c>
      <c r="S452">
        <f t="shared" si="101"/>
        <v>0.21666666666666679</v>
      </c>
      <c r="AH452">
        <f t="shared" si="102"/>
        <v>0.81760671804687435</v>
      </c>
      <c r="AI452">
        <f t="shared" si="103"/>
        <v>10.250758505393641</v>
      </c>
      <c r="AJ452">
        <f t="shared" si="104"/>
        <v>33.163978336711622</v>
      </c>
      <c r="AL452">
        <f t="shared" si="105"/>
        <v>23.342581857146381</v>
      </c>
      <c r="AM452">
        <f t="shared" si="106"/>
        <v>20.072154984958882</v>
      </c>
    </row>
    <row r="453" spans="1:39" ht="16.5" x14ac:dyDescent="0.25">
      <c r="A453" s="1">
        <v>45054</v>
      </c>
      <c r="B453" s="5">
        <v>22.73</v>
      </c>
      <c r="C453" s="4">
        <v>22.56</v>
      </c>
      <c r="D453" s="4">
        <v>22.95</v>
      </c>
      <c r="E453" s="4">
        <v>22.33</v>
      </c>
      <c r="F453" s="4" t="s">
        <v>383</v>
      </c>
      <c r="G453" s="2" t="s">
        <v>338</v>
      </c>
      <c r="I453">
        <f t="shared" si="94"/>
        <v>21.653157894736843</v>
      </c>
      <c r="J453">
        <f t="shared" si="95"/>
        <v>20.58325</v>
      </c>
      <c r="L453">
        <f t="shared" si="96"/>
        <v>1</v>
      </c>
      <c r="M453">
        <f t="shared" si="97"/>
        <v>0</v>
      </c>
      <c r="O453">
        <f t="shared" si="98"/>
        <v>0.17000000000000171</v>
      </c>
      <c r="P453">
        <f t="shared" si="99"/>
        <v>0</v>
      </c>
      <c r="R453">
        <f t="shared" si="100"/>
        <v>0.29499999999999993</v>
      </c>
      <c r="S453">
        <f t="shared" si="101"/>
        <v>0.22666666666666599</v>
      </c>
      <c r="AH453">
        <f t="shared" si="102"/>
        <v>0.78486651092657644</v>
      </c>
      <c r="AI453">
        <f t="shared" si="103"/>
        <v>10.196547979077852</v>
      </c>
      <c r="AJ453">
        <f t="shared" si="104"/>
        <v>33.109767810395837</v>
      </c>
      <c r="AL453">
        <f t="shared" si="105"/>
        <v>23.222890916589996</v>
      </c>
      <c r="AM453">
        <f t="shared" si="106"/>
        <v>20.08342487288369</v>
      </c>
    </row>
    <row r="454" spans="1:39" ht="16.5" x14ac:dyDescent="0.25">
      <c r="A454" s="1">
        <v>45051</v>
      </c>
      <c r="B454" s="5">
        <v>22.52</v>
      </c>
      <c r="C454" s="4">
        <v>22.1</v>
      </c>
      <c r="D454" s="4">
        <v>22.56</v>
      </c>
      <c r="E454" s="4">
        <v>21.97</v>
      </c>
      <c r="F454" s="4" t="s">
        <v>1468</v>
      </c>
      <c r="G454" s="2" t="s">
        <v>133</v>
      </c>
      <c r="I454">
        <f t="shared" si="94"/>
        <v>21.551578947368423</v>
      </c>
      <c r="J454">
        <f t="shared" si="95"/>
        <v>20.515000000000001</v>
      </c>
      <c r="L454">
        <f t="shared" si="96"/>
        <v>1</v>
      </c>
      <c r="M454">
        <f t="shared" si="97"/>
        <v>0</v>
      </c>
      <c r="O454">
        <f t="shared" si="98"/>
        <v>0.41999999999999815</v>
      </c>
      <c r="P454">
        <f t="shared" si="99"/>
        <v>0</v>
      </c>
      <c r="R454">
        <f t="shared" si="100"/>
        <v>0.31285714285714256</v>
      </c>
      <c r="S454">
        <f t="shared" si="101"/>
        <v>0.23142857142857107</v>
      </c>
      <c r="AH454">
        <f t="shared" si="102"/>
        <v>0.75079605184436859</v>
      </c>
      <c r="AI454">
        <f t="shared" si="103"/>
        <v>10.094969031709432</v>
      </c>
      <c r="AJ454">
        <f t="shared" si="104"/>
        <v>33.008188863027414</v>
      </c>
      <c r="AL454">
        <f t="shared" si="105"/>
        <v>23.053171051057159</v>
      </c>
      <c r="AM454">
        <f t="shared" si="106"/>
        <v>20.049986843679687</v>
      </c>
    </row>
    <row r="455" spans="1:39" ht="16.5" x14ac:dyDescent="0.25">
      <c r="A455" s="1">
        <v>45050</v>
      </c>
      <c r="B455" s="5">
        <v>21.96</v>
      </c>
      <c r="C455" s="4">
        <v>22.1</v>
      </c>
      <c r="D455" s="4">
        <v>22.1</v>
      </c>
      <c r="E455" s="4">
        <v>21.71</v>
      </c>
      <c r="F455" s="4" t="s">
        <v>197</v>
      </c>
      <c r="G455" s="2" t="s">
        <v>542</v>
      </c>
      <c r="I455">
        <f t="shared" si="94"/>
        <v>21.464736842105264</v>
      </c>
      <c r="J455">
        <f t="shared" si="95"/>
        <v>20.449750000000002</v>
      </c>
      <c r="L455">
        <f t="shared" si="96"/>
        <v>0</v>
      </c>
      <c r="M455">
        <f t="shared" si="97"/>
        <v>1</v>
      </c>
      <c r="O455">
        <f t="shared" si="98"/>
        <v>0</v>
      </c>
      <c r="P455">
        <f t="shared" si="99"/>
        <v>0.14000000000000057</v>
      </c>
      <c r="R455">
        <f t="shared" si="100"/>
        <v>0.28428571428571409</v>
      </c>
      <c r="S455">
        <f t="shared" si="101"/>
        <v>0.23142857142857107</v>
      </c>
      <c r="AH455">
        <f t="shared" si="102"/>
        <v>0.71703927969846748</v>
      </c>
      <c r="AI455">
        <f t="shared" si="103"/>
        <v>10.008126926446273</v>
      </c>
      <c r="AJ455">
        <f t="shared" si="104"/>
        <v>32.921346757764255</v>
      </c>
      <c r="AL455">
        <f t="shared" si="105"/>
        <v>22.898815401502198</v>
      </c>
      <c r="AM455">
        <f t="shared" si="106"/>
        <v>20.03065828270833</v>
      </c>
    </row>
    <row r="456" spans="1:39" ht="16.5" x14ac:dyDescent="0.25">
      <c r="A456" s="1">
        <v>45049</v>
      </c>
      <c r="B456" s="5">
        <v>22.15</v>
      </c>
      <c r="C456" s="4">
        <v>22.5</v>
      </c>
      <c r="D456" s="4">
        <v>22.67</v>
      </c>
      <c r="E456" s="4">
        <v>22.05</v>
      </c>
      <c r="F456" s="4" t="s">
        <v>1379</v>
      </c>
      <c r="G456" s="2" t="s">
        <v>1949</v>
      </c>
      <c r="I456">
        <f t="shared" si="94"/>
        <v>21.415263157894735</v>
      </c>
      <c r="J456">
        <f t="shared" si="95"/>
        <v>20.406500000000001</v>
      </c>
      <c r="L456">
        <f t="shared" si="96"/>
        <v>0</v>
      </c>
      <c r="M456">
        <f t="shared" si="97"/>
        <v>1</v>
      </c>
      <c r="O456">
        <f t="shared" si="98"/>
        <v>0</v>
      </c>
      <c r="P456">
        <f t="shared" si="99"/>
        <v>0.35000000000000142</v>
      </c>
      <c r="R456">
        <f t="shared" si="100"/>
        <v>0.28428571428571409</v>
      </c>
      <c r="S456">
        <f t="shared" si="101"/>
        <v>0.2385714285714283</v>
      </c>
      <c r="AH456">
        <f t="shared" si="102"/>
        <v>0.68305723498237936</v>
      </c>
      <c r="AI456">
        <f t="shared" si="103"/>
        <v>9.9586532422357443</v>
      </c>
      <c r="AJ456">
        <f t="shared" si="104"/>
        <v>32.871873073553729</v>
      </c>
      <c r="AL456">
        <f t="shared" si="105"/>
        <v>22.781377627859495</v>
      </c>
      <c r="AM456">
        <f t="shared" si="106"/>
        <v>20.049148687929975</v>
      </c>
    </row>
    <row r="457" spans="1:39" ht="16.5" x14ac:dyDescent="0.25">
      <c r="A457" s="1">
        <v>45048</v>
      </c>
      <c r="B457" s="5">
        <v>22.53</v>
      </c>
      <c r="C457" s="4">
        <v>22.11</v>
      </c>
      <c r="D457" s="4">
        <v>22.53</v>
      </c>
      <c r="E457" s="4">
        <v>22.1</v>
      </c>
      <c r="F457" s="4" t="s">
        <v>1714</v>
      </c>
      <c r="G457" s="2" t="s">
        <v>1229</v>
      </c>
      <c r="I457">
        <f t="shared" si="94"/>
        <v>21.361052631578946</v>
      </c>
      <c r="J457">
        <f t="shared" si="95"/>
        <v>20.350500000000004</v>
      </c>
      <c r="L457">
        <f t="shared" si="96"/>
        <v>1</v>
      </c>
      <c r="M457">
        <f t="shared" si="97"/>
        <v>0</v>
      </c>
      <c r="O457">
        <f t="shared" si="98"/>
        <v>0.42000000000000171</v>
      </c>
      <c r="P457">
        <f t="shared" si="99"/>
        <v>0</v>
      </c>
      <c r="R457">
        <f t="shared" si="100"/>
        <v>0.26750000000000007</v>
      </c>
      <c r="S457">
        <f t="shared" si="101"/>
        <v>0.21999999999999945</v>
      </c>
      <c r="AH457">
        <f t="shared" si="102"/>
        <v>0.64726665693128282</v>
      </c>
      <c r="AI457">
        <f t="shared" si="103"/>
        <v>9.9044427159199557</v>
      </c>
      <c r="AJ457">
        <f t="shared" si="104"/>
        <v>32.817662547237937</v>
      </c>
      <c r="AL457">
        <f t="shared" si="105"/>
        <v>22.655585945441512</v>
      </c>
      <c r="AM457">
        <f t="shared" si="106"/>
        <v>20.066519317716381</v>
      </c>
    </row>
    <row r="458" spans="1:39" ht="16.5" x14ac:dyDescent="0.25">
      <c r="A458" s="1">
        <v>45044</v>
      </c>
      <c r="B458" s="5">
        <v>22.18</v>
      </c>
      <c r="C458" s="4">
        <v>21.89</v>
      </c>
      <c r="D458" s="4">
        <v>22.22</v>
      </c>
      <c r="E458" s="4">
        <v>21.63</v>
      </c>
      <c r="F458" s="4" t="s">
        <v>1403</v>
      </c>
      <c r="G458" s="2" t="s">
        <v>1684</v>
      </c>
      <c r="I458">
        <f t="shared" si="94"/>
        <v>21.24052631578947</v>
      </c>
      <c r="J458">
        <f t="shared" si="95"/>
        <v>20.274250000000002</v>
      </c>
      <c r="L458">
        <f t="shared" si="96"/>
        <v>1</v>
      </c>
      <c r="M458">
        <f t="shared" si="97"/>
        <v>0</v>
      </c>
      <c r="O458">
        <f t="shared" si="98"/>
        <v>0.28999999999999915</v>
      </c>
      <c r="P458">
        <f t="shared" si="99"/>
        <v>0</v>
      </c>
      <c r="R458">
        <f t="shared" si="100"/>
        <v>0.23249999999999993</v>
      </c>
      <c r="S458">
        <f t="shared" si="101"/>
        <v>0.21999999999999945</v>
      </c>
      <c r="AH458">
        <f t="shared" si="102"/>
        <v>0.60954520625282249</v>
      </c>
      <c r="AI458">
        <f t="shared" si="103"/>
        <v>9.7839164001304795</v>
      </c>
      <c r="AJ458">
        <f t="shared" si="104"/>
        <v>32.697136231448461</v>
      </c>
      <c r="AL458">
        <f t="shared" si="105"/>
        <v>22.459616728295114</v>
      </c>
      <c r="AM458">
        <f t="shared" si="106"/>
        <v>20.021435903283827</v>
      </c>
    </row>
    <row r="459" spans="1:39" ht="16.5" x14ac:dyDescent="0.25">
      <c r="A459" s="1">
        <v>45043</v>
      </c>
      <c r="B459" s="5">
        <v>21.77</v>
      </c>
      <c r="C459" s="4">
        <v>21.09</v>
      </c>
      <c r="D459" s="4">
        <v>21.79</v>
      </c>
      <c r="E459" s="4">
        <v>21</v>
      </c>
      <c r="F459" s="4" t="s">
        <v>349</v>
      </c>
      <c r="G459" s="2" t="s">
        <v>1950</v>
      </c>
      <c r="I459">
        <f t="shared" si="94"/>
        <v>21.128947368421052</v>
      </c>
      <c r="J459">
        <f t="shared" si="95"/>
        <v>20.208750000000002</v>
      </c>
      <c r="L459">
        <f t="shared" si="96"/>
        <v>1</v>
      </c>
      <c r="M459">
        <f t="shared" si="97"/>
        <v>0</v>
      </c>
      <c r="O459">
        <f t="shared" si="98"/>
        <v>0.67999999999999972</v>
      </c>
      <c r="P459">
        <f t="shared" si="99"/>
        <v>0</v>
      </c>
      <c r="R459">
        <f t="shared" si="100"/>
        <v>0.22428571428571434</v>
      </c>
      <c r="S459">
        <f t="shared" si="101"/>
        <v>0.19142857142857089</v>
      </c>
      <c r="AH459">
        <f t="shared" si="102"/>
        <v>0.57259821029563884</v>
      </c>
      <c r="AI459">
        <f t="shared" si="103"/>
        <v>9.6723374527620614</v>
      </c>
      <c r="AJ459">
        <f t="shared" si="104"/>
        <v>32.585557284080039</v>
      </c>
      <c r="AL459">
        <f t="shared" si="105"/>
        <v>22.274143789012328</v>
      </c>
      <c r="AM459">
        <f t="shared" si="106"/>
        <v>19.983750947829776</v>
      </c>
    </row>
    <row r="460" spans="1:39" ht="16.5" x14ac:dyDescent="0.25">
      <c r="A460" s="1">
        <v>45042</v>
      </c>
      <c r="B460" s="5">
        <v>21.14</v>
      </c>
      <c r="C460" s="4">
        <v>21.05</v>
      </c>
      <c r="D460" s="4">
        <v>21.3</v>
      </c>
      <c r="E460" s="4">
        <v>20.96</v>
      </c>
      <c r="F460" s="4" t="s">
        <v>588</v>
      </c>
      <c r="G460" s="2" t="s">
        <v>418</v>
      </c>
      <c r="I460">
        <f t="shared" si="94"/>
        <v>21.015789473684208</v>
      </c>
      <c r="J460">
        <f t="shared" si="95"/>
        <v>20.138750000000002</v>
      </c>
      <c r="L460">
        <f t="shared" si="96"/>
        <v>1</v>
      </c>
      <c r="M460">
        <f t="shared" si="97"/>
        <v>0</v>
      </c>
      <c r="O460">
        <f t="shared" si="98"/>
        <v>8.9999999999999858E-2</v>
      </c>
      <c r="P460">
        <f t="shared" si="99"/>
        <v>0</v>
      </c>
      <c r="R460">
        <f t="shared" si="100"/>
        <v>0.14833333333333343</v>
      </c>
      <c r="S460">
        <f t="shared" si="101"/>
        <v>0.18874999999999931</v>
      </c>
      <c r="AH460">
        <f t="shared" si="102"/>
        <v>0.53612003922903062</v>
      </c>
      <c r="AI460">
        <f t="shared" si="103"/>
        <v>9.5591795580252175</v>
      </c>
      <c r="AJ460">
        <f t="shared" si="104"/>
        <v>32.472399389343195</v>
      </c>
      <c r="AL460">
        <f t="shared" si="105"/>
        <v>22.08802955214227</v>
      </c>
      <c r="AM460">
        <f t="shared" si="106"/>
        <v>19.943549395226146</v>
      </c>
    </row>
    <row r="461" spans="1:39" ht="16.5" x14ac:dyDescent="0.25">
      <c r="A461" s="1">
        <v>45041</v>
      </c>
      <c r="B461" s="5">
        <v>21.13</v>
      </c>
      <c r="C461" s="4">
        <v>21</v>
      </c>
      <c r="D461" s="4">
        <v>21.17</v>
      </c>
      <c r="E461" s="4">
        <v>20.71</v>
      </c>
      <c r="F461" s="4" t="s">
        <v>1383</v>
      </c>
      <c r="G461" s="2" t="s">
        <v>583</v>
      </c>
      <c r="I461">
        <f t="shared" si="94"/>
        <v>20.922105263157892</v>
      </c>
      <c r="J461">
        <f t="shared" si="95"/>
        <v>20.082500000000003</v>
      </c>
      <c r="L461">
        <f t="shared" si="96"/>
        <v>1</v>
      </c>
      <c r="M461">
        <f t="shared" si="97"/>
        <v>0</v>
      </c>
      <c r="O461">
        <f t="shared" si="98"/>
        <v>0.12999999999999901</v>
      </c>
      <c r="P461">
        <f t="shared" si="99"/>
        <v>0</v>
      </c>
      <c r="R461">
        <f t="shared" si="100"/>
        <v>0.16000000000000014</v>
      </c>
      <c r="S461">
        <f t="shared" si="101"/>
        <v>0.18777777777777713</v>
      </c>
      <c r="AH461">
        <f t="shared" si="102"/>
        <v>0.50025709110430483</v>
      </c>
      <c r="AI461">
        <f t="shared" si="103"/>
        <v>9.4654953474989014</v>
      </c>
      <c r="AJ461">
        <f t="shared" si="104"/>
        <v>32.378715178816883</v>
      </c>
      <c r="AL461">
        <f t="shared" si="105"/>
        <v>21.9226194453665</v>
      </c>
      <c r="AM461">
        <f t="shared" si="106"/>
        <v>19.921591080949284</v>
      </c>
    </row>
    <row r="462" spans="1:39" ht="16.5" x14ac:dyDescent="0.25">
      <c r="A462" s="1">
        <v>45040</v>
      </c>
      <c r="B462" s="5">
        <v>21</v>
      </c>
      <c r="C462" s="4">
        <v>21.24</v>
      </c>
      <c r="D462" s="4">
        <v>21.37</v>
      </c>
      <c r="E462" s="4">
        <v>20.92</v>
      </c>
      <c r="F462" s="4" t="s">
        <v>1676</v>
      </c>
      <c r="G462" s="2" t="s">
        <v>585</v>
      </c>
      <c r="I462">
        <f t="shared" si="94"/>
        <v>20.810000000000002</v>
      </c>
      <c r="J462">
        <f t="shared" si="95"/>
        <v>20.023000000000003</v>
      </c>
      <c r="L462">
        <f t="shared" si="96"/>
        <v>0</v>
      </c>
      <c r="M462">
        <f t="shared" si="97"/>
        <v>1</v>
      </c>
      <c r="O462">
        <f t="shared" si="98"/>
        <v>0</v>
      </c>
      <c r="P462">
        <f t="shared" si="99"/>
        <v>0.23999999999999844</v>
      </c>
      <c r="R462">
        <f t="shared" si="100"/>
        <v>0.24800000000000039</v>
      </c>
      <c r="S462">
        <f t="shared" si="101"/>
        <v>0.18777777777777713</v>
      </c>
      <c r="AH462">
        <f t="shared" si="102"/>
        <v>0.46411354568800556</v>
      </c>
      <c r="AI462">
        <f t="shared" si="103"/>
        <v>9.3533900843410116</v>
      </c>
      <c r="AJ462">
        <f t="shared" si="104"/>
        <v>32.266609915658989</v>
      </c>
      <c r="AL462">
        <f t="shared" si="105"/>
        <v>21.738227091376014</v>
      </c>
      <c r="AM462">
        <f t="shared" si="106"/>
        <v>19.88177290862399</v>
      </c>
    </row>
    <row r="463" spans="1:39" ht="16.5" x14ac:dyDescent="0.25">
      <c r="A463" s="1">
        <v>45037</v>
      </c>
      <c r="B463" s="5">
        <v>21.28</v>
      </c>
      <c r="C463" s="4">
        <v>21.32</v>
      </c>
      <c r="D463" s="4">
        <v>21.36</v>
      </c>
      <c r="E463" s="4">
        <v>20.99</v>
      </c>
      <c r="F463" s="4" t="s">
        <v>1578</v>
      </c>
      <c r="G463" s="2" t="s">
        <v>821</v>
      </c>
      <c r="I463">
        <f t="shared" si="94"/>
        <v>20.680526315789479</v>
      </c>
      <c r="J463">
        <f t="shared" si="95"/>
        <v>19.968250000000001</v>
      </c>
      <c r="L463">
        <f t="shared" si="96"/>
        <v>0</v>
      </c>
      <c r="M463">
        <f t="shared" si="97"/>
        <v>1</v>
      </c>
      <c r="O463">
        <f t="shared" si="98"/>
        <v>0</v>
      </c>
      <c r="P463">
        <f t="shared" si="99"/>
        <v>3.9999999999999147E-2</v>
      </c>
      <c r="R463">
        <f t="shared" si="100"/>
        <v>0.24333333333333348</v>
      </c>
      <c r="S463">
        <f t="shared" si="101"/>
        <v>0.18124999999999947</v>
      </c>
      <c r="AH463">
        <f t="shared" si="102"/>
        <v>0.42859142313456866</v>
      </c>
      <c r="AI463">
        <f t="shared" si="103"/>
        <v>9.2239164001304879</v>
      </c>
      <c r="AJ463">
        <f t="shared" si="104"/>
        <v>32.137136231448466</v>
      </c>
      <c r="AL463">
        <f t="shared" si="105"/>
        <v>21.537709162058615</v>
      </c>
      <c r="AM463">
        <f t="shared" si="106"/>
        <v>19.823343469520342</v>
      </c>
    </row>
    <row r="464" spans="1:39" ht="16.5" x14ac:dyDescent="0.25">
      <c r="A464" s="1">
        <v>45036</v>
      </c>
      <c r="B464" s="5">
        <v>21.21</v>
      </c>
      <c r="C464" s="4">
        <v>21.36</v>
      </c>
      <c r="D464" s="4">
        <v>21.38</v>
      </c>
      <c r="E464" s="4">
        <v>20.94</v>
      </c>
      <c r="F464" s="4" t="s">
        <v>1578</v>
      </c>
      <c r="G464" s="2" t="s">
        <v>1729</v>
      </c>
      <c r="I464">
        <f t="shared" si="94"/>
        <v>20.582105263157899</v>
      </c>
      <c r="J464">
        <f t="shared" si="95"/>
        <v>19.893000000000001</v>
      </c>
      <c r="L464">
        <f t="shared" si="96"/>
        <v>0</v>
      </c>
      <c r="M464">
        <f t="shared" si="97"/>
        <v>1</v>
      </c>
      <c r="O464">
        <f t="shared" si="98"/>
        <v>0</v>
      </c>
      <c r="P464">
        <f t="shared" si="99"/>
        <v>0.14999999999999858</v>
      </c>
      <c r="R464">
        <f t="shared" si="100"/>
        <v>0.23714285714285716</v>
      </c>
      <c r="S464">
        <f t="shared" si="101"/>
        <v>0.20142857142857093</v>
      </c>
      <c r="AH464">
        <f t="shared" si="102"/>
        <v>0.39474225322928602</v>
      </c>
      <c r="AI464">
        <f t="shared" si="103"/>
        <v>9.1254953474989087</v>
      </c>
      <c r="AJ464">
        <f t="shared" si="104"/>
        <v>32.038715178816886</v>
      </c>
      <c r="AL464">
        <f t="shared" si="105"/>
        <v>21.37158976961647</v>
      </c>
      <c r="AM464">
        <f t="shared" si="106"/>
        <v>19.792620756699328</v>
      </c>
    </row>
    <row r="465" spans="1:39" ht="16.5" x14ac:dyDescent="0.25">
      <c r="A465" s="1">
        <v>45035</v>
      </c>
      <c r="B465" s="5">
        <v>21.36</v>
      </c>
      <c r="C465" s="4">
        <v>21.2</v>
      </c>
      <c r="D465" s="4">
        <v>21.36</v>
      </c>
      <c r="E465" s="4">
        <v>20.84</v>
      </c>
      <c r="F465" s="4" t="s">
        <v>191</v>
      </c>
      <c r="G465" s="2" t="s">
        <v>399</v>
      </c>
      <c r="I465">
        <f t="shared" si="94"/>
        <v>20.465263157894743</v>
      </c>
      <c r="J465">
        <f t="shared" si="95"/>
        <v>19.823</v>
      </c>
      <c r="L465">
        <f t="shared" si="96"/>
        <v>1</v>
      </c>
      <c r="M465">
        <f t="shared" si="97"/>
        <v>0</v>
      </c>
      <c r="O465">
        <f t="shared" si="98"/>
        <v>0.16000000000000014</v>
      </c>
      <c r="P465">
        <f t="shared" si="99"/>
        <v>0</v>
      </c>
      <c r="R465">
        <f t="shared" si="100"/>
        <v>0.21625000000000005</v>
      </c>
      <c r="S465">
        <f t="shared" si="101"/>
        <v>0.20999999999999966</v>
      </c>
      <c r="AH465">
        <f t="shared" si="102"/>
        <v>0.36110649830575953</v>
      </c>
      <c r="AI465">
        <f t="shared" si="103"/>
        <v>9.0086532422357521</v>
      </c>
      <c r="AJ465">
        <f t="shared" si="104"/>
        <v>31.921873073553733</v>
      </c>
      <c r="AL465">
        <f t="shared" si="105"/>
        <v>21.18747615450626</v>
      </c>
      <c r="AM465">
        <f t="shared" si="106"/>
        <v>19.743050161283225</v>
      </c>
    </row>
    <row r="466" spans="1:39" ht="16.5" x14ac:dyDescent="0.25">
      <c r="A466" s="1">
        <v>45034</v>
      </c>
      <c r="B466" s="5">
        <v>21.3</v>
      </c>
      <c r="C466" s="4">
        <v>21.74</v>
      </c>
      <c r="D466" s="4">
        <v>21.81</v>
      </c>
      <c r="E466" s="4">
        <v>21.25</v>
      </c>
      <c r="F466" s="4" t="s">
        <v>1086</v>
      </c>
      <c r="G466" s="2" t="s">
        <v>82</v>
      </c>
      <c r="I466">
        <f t="shared" si="94"/>
        <v>20.353157894736849</v>
      </c>
      <c r="J466">
        <f t="shared" si="95"/>
        <v>19.761749999999999</v>
      </c>
      <c r="L466">
        <f t="shared" si="96"/>
        <v>0</v>
      </c>
      <c r="M466">
        <f t="shared" si="97"/>
        <v>1</v>
      </c>
      <c r="O466">
        <f t="shared" si="98"/>
        <v>0</v>
      </c>
      <c r="P466">
        <f t="shared" si="99"/>
        <v>0.43999999999999773</v>
      </c>
      <c r="R466">
        <f t="shared" si="100"/>
        <v>0.22428571428571434</v>
      </c>
      <c r="S466">
        <f t="shared" si="101"/>
        <v>0.18714285714285697</v>
      </c>
      <c r="AH466">
        <f t="shared" si="102"/>
        <v>0.32879008027062445</v>
      </c>
      <c r="AI466">
        <f t="shared" si="103"/>
        <v>8.8965479790778588</v>
      </c>
      <c r="AJ466">
        <f t="shared" si="104"/>
        <v>31.80976781039584</v>
      </c>
      <c r="AL466">
        <f t="shared" si="105"/>
        <v>21.010738055278097</v>
      </c>
      <c r="AM466">
        <f t="shared" si="106"/>
        <v>19.695577734195602</v>
      </c>
    </row>
    <row r="467" spans="1:39" ht="16.5" x14ac:dyDescent="0.25">
      <c r="A467" s="1">
        <v>45033</v>
      </c>
      <c r="B467" s="5">
        <v>21.54</v>
      </c>
      <c r="C467" s="4">
        <v>21.8</v>
      </c>
      <c r="D467" s="4">
        <v>21.9</v>
      </c>
      <c r="E467" s="4">
        <v>21.32</v>
      </c>
      <c r="F467" s="4" t="s">
        <v>1599</v>
      </c>
      <c r="G467" s="2" t="s">
        <v>969</v>
      </c>
      <c r="I467">
        <f t="shared" si="94"/>
        <v>20.231578947368426</v>
      </c>
      <c r="J467">
        <f t="shared" si="95"/>
        <v>19.709250000000001</v>
      </c>
      <c r="L467">
        <f t="shared" si="96"/>
        <v>0</v>
      </c>
      <c r="M467">
        <f t="shared" si="97"/>
        <v>1</v>
      </c>
      <c r="O467">
        <f t="shared" si="98"/>
        <v>0</v>
      </c>
      <c r="P467">
        <f t="shared" si="99"/>
        <v>0.26000000000000156</v>
      </c>
      <c r="R467">
        <f t="shared" si="100"/>
        <v>0.22428571428571434</v>
      </c>
      <c r="S467">
        <f t="shared" si="101"/>
        <v>0.14428571428571452</v>
      </c>
      <c r="AH467">
        <f t="shared" si="102"/>
        <v>0.29775302325918629</v>
      </c>
      <c r="AI467">
        <f t="shared" si="103"/>
        <v>8.7749690317094355</v>
      </c>
      <c r="AJ467">
        <f t="shared" si="104"/>
        <v>31.688188863027417</v>
      </c>
      <c r="AL467">
        <f t="shared" si="105"/>
        <v>20.8270849938868</v>
      </c>
      <c r="AM467">
        <f t="shared" si="106"/>
        <v>19.636072900850053</v>
      </c>
    </row>
    <row r="468" spans="1:39" ht="16.5" x14ac:dyDescent="0.25">
      <c r="A468" s="1">
        <v>45030</v>
      </c>
      <c r="B468" s="5">
        <v>21.7</v>
      </c>
      <c r="C468" s="4">
        <v>21.48</v>
      </c>
      <c r="D468" s="4">
        <v>21.74</v>
      </c>
      <c r="E468" s="4">
        <v>21.4</v>
      </c>
      <c r="F468" s="4" t="s">
        <v>1379</v>
      </c>
      <c r="G468" s="2" t="s">
        <v>1144</v>
      </c>
      <c r="I468">
        <f t="shared" si="94"/>
        <v>20.0621052631579</v>
      </c>
      <c r="J468">
        <f t="shared" si="95"/>
        <v>19.657250000000001</v>
      </c>
      <c r="L468">
        <f t="shared" si="96"/>
        <v>1</v>
      </c>
      <c r="M468">
        <f t="shared" si="97"/>
        <v>0</v>
      </c>
      <c r="O468">
        <f t="shared" si="98"/>
        <v>0.21999999999999886</v>
      </c>
      <c r="P468">
        <f t="shared" si="99"/>
        <v>0</v>
      </c>
      <c r="R468">
        <f t="shared" si="100"/>
        <v>0.22428571428571434</v>
      </c>
      <c r="S468">
        <f t="shared" si="101"/>
        <v>0.20857142857142869</v>
      </c>
      <c r="AH468">
        <f t="shared" si="102"/>
        <v>0.26884606384983278</v>
      </c>
      <c r="AI468">
        <f t="shared" si="103"/>
        <v>8.6054953474989091</v>
      </c>
      <c r="AJ468">
        <f t="shared" si="104"/>
        <v>31.51871517881689</v>
      </c>
      <c r="AL468">
        <f t="shared" si="105"/>
        <v>20.599797390857564</v>
      </c>
      <c r="AM468">
        <f t="shared" si="106"/>
        <v>19.524413135458236</v>
      </c>
    </row>
    <row r="469" spans="1:39" ht="16.5" x14ac:dyDescent="0.25">
      <c r="A469" s="1">
        <v>45029</v>
      </c>
      <c r="B469" s="5">
        <v>21.31</v>
      </c>
      <c r="C469" s="4">
        <v>21.5</v>
      </c>
      <c r="D469" s="4">
        <v>21.63</v>
      </c>
      <c r="E469" s="4">
        <v>21.27</v>
      </c>
      <c r="F469" s="4" t="s">
        <v>1536</v>
      </c>
      <c r="G469" s="2" t="s">
        <v>632</v>
      </c>
      <c r="I469">
        <f t="shared" si="94"/>
        <v>19.928421052631585</v>
      </c>
      <c r="J469">
        <f t="shared" si="95"/>
        <v>19.594000000000001</v>
      </c>
      <c r="L469">
        <f t="shared" si="96"/>
        <v>0</v>
      </c>
      <c r="M469">
        <f t="shared" si="97"/>
        <v>1</v>
      </c>
      <c r="O469">
        <f t="shared" si="98"/>
        <v>0</v>
      </c>
      <c r="P469">
        <f t="shared" si="99"/>
        <v>0.19000000000000128</v>
      </c>
      <c r="R469">
        <f t="shared" si="100"/>
        <v>0.26428571428571451</v>
      </c>
      <c r="S469">
        <f t="shared" si="101"/>
        <v>0.20857142857142869</v>
      </c>
      <c r="AH469">
        <f t="shared" si="102"/>
        <v>0.2454616283712131</v>
      </c>
      <c r="AI469">
        <f t="shared" si="103"/>
        <v>8.4718111369725939</v>
      </c>
      <c r="AJ469">
        <f t="shared" si="104"/>
        <v>31.385030968290575</v>
      </c>
      <c r="AL469">
        <f t="shared" si="105"/>
        <v>20.419344309374011</v>
      </c>
      <c r="AM469">
        <f t="shared" si="106"/>
        <v>19.437497795889158</v>
      </c>
    </row>
    <row r="470" spans="1:39" ht="16.5" x14ac:dyDescent="0.25">
      <c r="A470" s="1">
        <v>45028</v>
      </c>
      <c r="B470" s="5">
        <v>21.39</v>
      </c>
      <c r="C470" s="4">
        <v>21.24</v>
      </c>
      <c r="D470" s="4">
        <v>21.57</v>
      </c>
      <c r="E470" s="4">
        <v>21.09</v>
      </c>
      <c r="F470" s="4" t="s">
        <v>1468</v>
      </c>
      <c r="G470" s="2" t="s">
        <v>333</v>
      </c>
      <c r="I470">
        <f t="shared" si="94"/>
        <v>19.766315789473687</v>
      </c>
      <c r="J470">
        <f t="shared" si="95"/>
        <v>19.536249999999999</v>
      </c>
      <c r="L470">
        <f t="shared" si="96"/>
        <v>1</v>
      </c>
      <c r="M470">
        <f t="shared" si="97"/>
        <v>0</v>
      </c>
      <c r="O470">
        <f t="shared" si="98"/>
        <v>0.15000000000000213</v>
      </c>
      <c r="P470">
        <f t="shared" si="99"/>
        <v>0</v>
      </c>
      <c r="R470">
        <f t="shared" si="100"/>
        <v>0.26428571428571451</v>
      </c>
      <c r="S470">
        <f t="shared" si="101"/>
        <v>0.22571428571428598</v>
      </c>
      <c r="AH470">
        <f t="shared" si="102"/>
        <v>0.22618553452051468</v>
      </c>
      <c r="AI470">
        <f t="shared" si="103"/>
        <v>8.3097058738146963</v>
      </c>
      <c r="AJ470">
        <f t="shared" si="104"/>
        <v>31.222925705132678</v>
      </c>
      <c r="AL470">
        <f t="shared" si="105"/>
        <v>20.218686858514715</v>
      </c>
      <c r="AM470">
        <f t="shared" si="106"/>
        <v>19.313944720432659</v>
      </c>
    </row>
    <row r="471" spans="1:39" ht="16.5" x14ac:dyDescent="0.25">
      <c r="A471" s="1">
        <v>45027</v>
      </c>
      <c r="B471" s="5">
        <v>21.21</v>
      </c>
      <c r="C471" s="4">
        <v>21.07</v>
      </c>
      <c r="D471" s="4">
        <v>21.37</v>
      </c>
      <c r="E471" s="4">
        <v>20.97</v>
      </c>
      <c r="F471" s="4" t="s">
        <v>331</v>
      </c>
      <c r="G471" s="2" t="s">
        <v>1673</v>
      </c>
      <c r="I471">
        <f t="shared" si="94"/>
        <v>19.671052631578949</v>
      </c>
      <c r="J471">
        <f t="shared" si="95"/>
        <v>19.47925</v>
      </c>
      <c r="L471">
        <f t="shared" si="96"/>
        <v>1</v>
      </c>
      <c r="M471">
        <f t="shared" si="97"/>
        <v>0</v>
      </c>
      <c r="O471">
        <f t="shared" si="98"/>
        <v>0.14000000000000057</v>
      </c>
      <c r="P471">
        <f t="shared" si="99"/>
        <v>0</v>
      </c>
      <c r="R471">
        <f t="shared" si="100"/>
        <v>0.25285714285714278</v>
      </c>
      <c r="S471">
        <f t="shared" si="101"/>
        <v>0.22571428571428598</v>
      </c>
      <c r="AH471">
        <f t="shared" si="102"/>
        <v>0.21289720456715111</v>
      </c>
      <c r="AI471">
        <f t="shared" si="103"/>
        <v>8.214442715919958</v>
      </c>
      <c r="AJ471">
        <f t="shared" si="104"/>
        <v>31.127662547237939</v>
      </c>
      <c r="AL471">
        <f t="shared" si="105"/>
        <v>20.09684704071325</v>
      </c>
      <c r="AM471">
        <f t="shared" si="106"/>
        <v>19.245258222444647</v>
      </c>
    </row>
    <row r="472" spans="1:39" ht="16.5" x14ac:dyDescent="0.25">
      <c r="A472" s="1">
        <v>45022</v>
      </c>
      <c r="B472" s="5">
        <v>20.8</v>
      </c>
      <c r="C472" s="4">
        <v>20.82</v>
      </c>
      <c r="D472" s="4">
        <v>21.09</v>
      </c>
      <c r="E472" s="4">
        <v>20.36</v>
      </c>
      <c r="F472" s="4" t="s">
        <v>1393</v>
      </c>
      <c r="G472" s="2" t="s">
        <v>471</v>
      </c>
      <c r="I472">
        <f t="shared" si="94"/>
        <v>19.562105263157896</v>
      </c>
      <c r="J472">
        <f t="shared" si="95"/>
        <v>19.421749999999999</v>
      </c>
      <c r="L472">
        <f t="shared" si="96"/>
        <v>0</v>
      </c>
      <c r="M472">
        <f t="shared" si="97"/>
        <v>1</v>
      </c>
      <c r="O472">
        <f t="shared" si="98"/>
        <v>0</v>
      </c>
      <c r="P472">
        <f t="shared" si="99"/>
        <v>1.9999999999999574E-2</v>
      </c>
      <c r="R472">
        <f t="shared" si="100"/>
        <v>0.33857142857142819</v>
      </c>
      <c r="S472">
        <f t="shared" si="101"/>
        <v>0.22571428571428598</v>
      </c>
      <c r="AH472">
        <f t="shared" si="102"/>
        <v>0.20250008968985786</v>
      </c>
      <c r="AI472">
        <f t="shared" si="103"/>
        <v>8.1054953474989055</v>
      </c>
      <c r="AJ472">
        <f t="shared" si="104"/>
        <v>31.018715178816887</v>
      </c>
      <c r="AL472">
        <f t="shared" si="105"/>
        <v>19.967105442537612</v>
      </c>
      <c r="AM472">
        <f t="shared" si="106"/>
        <v>19.15710508377818</v>
      </c>
    </row>
    <row r="473" spans="1:39" ht="16.5" x14ac:dyDescent="0.25">
      <c r="A473" s="1">
        <v>45021</v>
      </c>
      <c r="B473" s="5">
        <v>20.87</v>
      </c>
      <c r="C473" s="4">
        <v>21.04</v>
      </c>
      <c r="D473" s="4">
        <v>21.07</v>
      </c>
      <c r="E473" s="4">
        <v>20.62</v>
      </c>
      <c r="F473" s="4" t="s">
        <v>1420</v>
      </c>
      <c r="G473" s="2" t="s">
        <v>396</v>
      </c>
      <c r="I473">
        <f t="shared" si="94"/>
        <v>19.512631578947367</v>
      </c>
      <c r="J473">
        <f t="shared" si="95"/>
        <v>19.375499999999999</v>
      </c>
      <c r="L473">
        <f t="shared" si="96"/>
        <v>0</v>
      </c>
      <c r="M473">
        <f t="shared" si="97"/>
        <v>1</v>
      </c>
      <c r="O473">
        <f t="shared" si="98"/>
        <v>0</v>
      </c>
      <c r="P473">
        <f t="shared" si="99"/>
        <v>0.16999999999999815</v>
      </c>
      <c r="R473">
        <f t="shared" si="100"/>
        <v>0.33857142857142819</v>
      </c>
      <c r="S473">
        <f t="shared" si="101"/>
        <v>0.33571428571428591</v>
      </c>
      <c r="AH473">
        <f t="shared" si="102"/>
        <v>0.19561523188997357</v>
      </c>
      <c r="AI473">
        <f t="shared" si="103"/>
        <v>8.0560216632883765</v>
      </c>
      <c r="AJ473">
        <f t="shared" si="104"/>
        <v>30.969241494606358</v>
      </c>
      <c r="AL473">
        <f t="shared" si="105"/>
        <v>19.903862042727315</v>
      </c>
      <c r="AM473">
        <f t="shared" si="106"/>
        <v>19.121401115167419</v>
      </c>
    </row>
    <row r="474" spans="1:39" ht="16.5" x14ac:dyDescent="0.25">
      <c r="A474" s="1">
        <v>45020</v>
      </c>
      <c r="B474" s="5">
        <v>21.02</v>
      </c>
      <c r="C474" s="4">
        <v>21.2</v>
      </c>
      <c r="D474" s="4">
        <v>21.43</v>
      </c>
      <c r="E474" s="4">
        <v>20.96</v>
      </c>
      <c r="F474" s="4" t="s">
        <v>1507</v>
      </c>
      <c r="G474" s="2" t="s">
        <v>370</v>
      </c>
      <c r="I474">
        <f t="shared" si="94"/>
        <v>19.486842105263158</v>
      </c>
      <c r="J474">
        <f t="shared" si="95"/>
        <v>19.315249999999999</v>
      </c>
      <c r="L474">
        <f t="shared" si="96"/>
        <v>0</v>
      </c>
      <c r="M474">
        <f t="shared" si="97"/>
        <v>1</v>
      </c>
      <c r="O474">
        <f t="shared" si="98"/>
        <v>0</v>
      </c>
      <c r="P474">
        <f t="shared" si="99"/>
        <v>0.17999999999999972</v>
      </c>
      <c r="R474">
        <f t="shared" si="100"/>
        <v>0.41874999999999973</v>
      </c>
      <c r="S474">
        <f t="shared" si="101"/>
        <v>0.3633333333333339</v>
      </c>
      <c r="AH474">
        <f t="shared" si="102"/>
        <v>0.18989432581796695</v>
      </c>
      <c r="AI474">
        <f t="shared" si="103"/>
        <v>8.0302321896041668</v>
      </c>
      <c r="AJ474">
        <f t="shared" si="104"/>
        <v>30.943452020922148</v>
      </c>
      <c r="AL474">
        <f t="shared" si="105"/>
        <v>19.866630756899092</v>
      </c>
      <c r="AM474">
        <f t="shared" si="106"/>
        <v>19.107053453627223</v>
      </c>
    </row>
    <row r="475" spans="1:39" ht="16.5" x14ac:dyDescent="0.25">
      <c r="A475" s="1">
        <v>45019</v>
      </c>
      <c r="B475" s="5">
        <v>21.12</v>
      </c>
      <c r="C475" s="4">
        <v>20.55</v>
      </c>
      <c r="D475" s="4">
        <v>21.6</v>
      </c>
      <c r="E475" s="4">
        <v>20.55</v>
      </c>
      <c r="F475" s="4" t="s">
        <v>822</v>
      </c>
      <c r="G475" s="2" t="s">
        <v>1951</v>
      </c>
      <c r="I475">
        <f t="shared" si="94"/>
        <v>19.433157894736841</v>
      </c>
      <c r="J475">
        <f t="shared" si="95"/>
        <v>19.244750000000003</v>
      </c>
      <c r="L475">
        <f t="shared" si="96"/>
        <v>1</v>
      </c>
      <c r="M475">
        <f t="shared" si="97"/>
        <v>0</v>
      </c>
      <c r="O475">
        <f t="shared" si="98"/>
        <v>0.57000000000000028</v>
      </c>
      <c r="P475">
        <f t="shared" si="99"/>
        <v>0</v>
      </c>
      <c r="R475">
        <f t="shared" si="100"/>
        <v>0.41874999999999973</v>
      </c>
      <c r="S475">
        <f t="shared" si="101"/>
        <v>0.55333333333333401</v>
      </c>
      <c r="AH475">
        <f t="shared" si="102"/>
        <v>0.1845089957956603</v>
      </c>
      <c r="AI475">
        <f t="shared" si="103"/>
        <v>7.97654797907785</v>
      </c>
      <c r="AJ475">
        <f t="shared" si="104"/>
        <v>30.889767810395831</v>
      </c>
      <c r="AL475">
        <f t="shared" si="105"/>
        <v>19.802175886328161</v>
      </c>
      <c r="AM475">
        <f t="shared" si="106"/>
        <v>19.06413990314552</v>
      </c>
    </row>
    <row r="476" spans="1:39" ht="16.5" x14ac:dyDescent="0.25">
      <c r="A476" s="1">
        <v>45016</v>
      </c>
      <c r="B476" s="5">
        <v>20.239999999999998</v>
      </c>
      <c r="C476" s="4">
        <v>20.02</v>
      </c>
      <c r="D476" s="4">
        <v>20.3</v>
      </c>
      <c r="E476" s="4">
        <v>19.89</v>
      </c>
      <c r="F476" s="4" t="s">
        <v>1470</v>
      </c>
      <c r="G476" s="2" t="s">
        <v>550</v>
      </c>
      <c r="I476">
        <f t="shared" si="94"/>
        <v>19.369473684210526</v>
      </c>
      <c r="J476">
        <f t="shared" si="95"/>
        <v>19.182250000000003</v>
      </c>
      <c r="L476">
        <f t="shared" si="96"/>
        <v>1</v>
      </c>
      <c r="M476">
        <f t="shared" si="97"/>
        <v>0</v>
      </c>
      <c r="O476">
        <f t="shared" si="98"/>
        <v>0.21999999999999886</v>
      </c>
      <c r="P476">
        <f t="shared" si="99"/>
        <v>0</v>
      </c>
      <c r="R476">
        <f t="shared" si="100"/>
        <v>0.40499999999999936</v>
      </c>
      <c r="S476">
        <f t="shared" si="101"/>
        <v>0.55333333333333401</v>
      </c>
      <c r="AH476">
        <f t="shared" si="102"/>
        <v>0.18049242927204279</v>
      </c>
      <c r="AI476">
        <f t="shared" si="103"/>
        <v>7.9128637685515351</v>
      </c>
      <c r="AJ476">
        <f t="shared" si="104"/>
        <v>30.826083599869516</v>
      </c>
      <c r="AL476">
        <f t="shared" si="105"/>
        <v>19.730458542754612</v>
      </c>
      <c r="AM476">
        <f t="shared" si="106"/>
        <v>19.00848882566644</v>
      </c>
    </row>
    <row r="477" spans="1:39" ht="16.5" x14ac:dyDescent="0.25">
      <c r="A477" s="1">
        <v>45015</v>
      </c>
      <c r="B477" s="5">
        <v>20.059999999999999</v>
      </c>
      <c r="C477" s="4">
        <v>19.86</v>
      </c>
      <c r="D477" s="4">
        <v>20.36</v>
      </c>
      <c r="E477" s="4">
        <v>19.84</v>
      </c>
      <c r="F477" s="4" t="s">
        <v>1499</v>
      </c>
      <c r="G477" s="2" t="s">
        <v>1791</v>
      </c>
      <c r="I477">
        <f t="shared" si="94"/>
        <v>19.36894736842105</v>
      </c>
      <c r="J477">
        <f t="shared" si="95"/>
        <v>19.153500000000005</v>
      </c>
      <c r="L477">
        <f t="shared" si="96"/>
        <v>1</v>
      </c>
      <c r="M477">
        <f t="shared" si="97"/>
        <v>0</v>
      </c>
      <c r="O477">
        <f t="shared" si="98"/>
        <v>0.19999999999999929</v>
      </c>
      <c r="P477">
        <f t="shared" si="99"/>
        <v>0</v>
      </c>
      <c r="R477">
        <f t="shared" si="100"/>
        <v>0.43142857142857088</v>
      </c>
      <c r="S477">
        <f t="shared" si="101"/>
        <v>0.5757142857142864</v>
      </c>
      <c r="AH477">
        <f t="shared" si="102"/>
        <v>0.17811222163879017</v>
      </c>
      <c r="AI477">
        <f t="shared" si="103"/>
        <v>7.9123374527620598</v>
      </c>
      <c r="AJ477">
        <f t="shared" si="104"/>
        <v>30.825557284080041</v>
      </c>
      <c r="AL477">
        <f t="shared" si="105"/>
        <v>19.72517181169863</v>
      </c>
      <c r="AM477">
        <f t="shared" si="106"/>
        <v>19.012722925143471</v>
      </c>
    </row>
    <row r="478" spans="1:39" ht="16.5" x14ac:dyDescent="0.25">
      <c r="A478" s="1">
        <v>45014</v>
      </c>
      <c r="B478" s="5">
        <v>19.62</v>
      </c>
      <c r="C478" s="4">
        <v>19.55</v>
      </c>
      <c r="D478" s="4">
        <v>20</v>
      </c>
      <c r="E478" s="4">
        <v>19.43</v>
      </c>
      <c r="F478" s="4" t="s">
        <v>874</v>
      </c>
      <c r="G478" s="2" t="s">
        <v>1952</v>
      </c>
      <c r="I478">
        <f t="shared" si="94"/>
        <v>19.36105263157895</v>
      </c>
      <c r="J478">
        <f t="shared" si="95"/>
        <v>19.140500000000007</v>
      </c>
      <c r="L478">
        <f t="shared" si="96"/>
        <v>1</v>
      </c>
      <c r="M478">
        <f t="shared" si="97"/>
        <v>0</v>
      </c>
      <c r="O478">
        <f t="shared" si="98"/>
        <v>7.0000000000000284E-2</v>
      </c>
      <c r="P478">
        <f t="shared" si="99"/>
        <v>0</v>
      </c>
      <c r="R478">
        <f t="shared" si="100"/>
        <v>0.46999999999999947</v>
      </c>
      <c r="S478">
        <f t="shared" si="101"/>
        <v>0.5250000000000008</v>
      </c>
      <c r="AH478">
        <f t="shared" si="102"/>
        <v>0.17546778928881243</v>
      </c>
      <c r="AI478">
        <f t="shared" si="103"/>
        <v>7.9044427159199593</v>
      </c>
      <c r="AJ478">
        <f t="shared" si="104"/>
        <v>30.817662547237941</v>
      </c>
      <c r="AL478">
        <f t="shared" si="105"/>
        <v>19.711988210156576</v>
      </c>
      <c r="AM478">
        <f t="shared" si="106"/>
        <v>19.010117053001323</v>
      </c>
    </row>
    <row r="479" spans="1:39" ht="16.5" x14ac:dyDescent="0.25">
      <c r="A479" s="1">
        <v>45013</v>
      </c>
      <c r="B479" s="5">
        <v>19.36</v>
      </c>
      <c r="C479" s="4">
        <v>19.41</v>
      </c>
      <c r="D479" s="4">
        <v>19.55</v>
      </c>
      <c r="E479" s="4">
        <v>19.25</v>
      </c>
      <c r="F479" s="4" t="s">
        <v>1550</v>
      </c>
      <c r="G479" s="2" t="s">
        <v>51</v>
      </c>
      <c r="I479">
        <f t="shared" si="94"/>
        <v>19.353684210526321</v>
      </c>
      <c r="J479">
        <f t="shared" si="95"/>
        <v>19.120250000000006</v>
      </c>
      <c r="L479">
        <f t="shared" si="96"/>
        <v>0</v>
      </c>
      <c r="M479">
        <f t="shared" si="97"/>
        <v>1</v>
      </c>
      <c r="O479">
        <f t="shared" si="98"/>
        <v>0</v>
      </c>
      <c r="P479">
        <f t="shared" si="99"/>
        <v>5.0000000000000711E-2</v>
      </c>
      <c r="R479">
        <f t="shared" si="100"/>
        <v>0.52166666666666595</v>
      </c>
      <c r="S479">
        <f t="shared" si="101"/>
        <v>0.5250000000000008</v>
      </c>
      <c r="AH479">
        <f t="shared" si="102"/>
        <v>0.17276218689035502</v>
      </c>
      <c r="AI479">
        <f t="shared" si="103"/>
        <v>7.8970742948673305</v>
      </c>
      <c r="AJ479">
        <f t="shared" si="104"/>
        <v>30.810294126185312</v>
      </c>
      <c r="AL479">
        <f t="shared" si="105"/>
        <v>19.69920858430703</v>
      </c>
      <c r="AM479">
        <f t="shared" si="106"/>
        <v>19.008159836745612</v>
      </c>
    </row>
    <row r="480" spans="1:39" ht="16.5" x14ac:dyDescent="0.25">
      <c r="A480" s="1">
        <v>45012</v>
      </c>
      <c r="B480" s="5">
        <v>19</v>
      </c>
      <c r="C480" s="4">
        <v>19.14</v>
      </c>
      <c r="D480" s="4">
        <v>19.39</v>
      </c>
      <c r="E480" s="4">
        <v>18.75</v>
      </c>
      <c r="F480" s="4" t="s">
        <v>1578</v>
      </c>
      <c r="G480" s="2" t="s">
        <v>1300</v>
      </c>
      <c r="I480">
        <f t="shared" si="94"/>
        <v>19.364210526315794</v>
      </c>
      <c r="J480">
        <f t="shared" si="95"/>
        <v>19.114250000000006</v>
      </c>
      <c r="L480">
        <f t="shared" si="96"/>
        <v>0</v>
      </c>
      <c r="M480">
        <f t="shared" si="97"/>
        <v>1</v>
      </c>
      <c r="O480">
        <f t="shared" si="98"/>
        <v>0</v>
      </c>
      <c r="P480">
        <f t="shared" si="99"/>
        <v>0.14000000000000057</v>
      </c>
      <c r="R480">
        <f t="shared" si="100"/>
        <v>0.46571428571428491</v>
      </c>
      <c r="S480">
        <f t="shared" si="101"/>
        <v>0.59285714285714364</v>
      </c>
      <c r="AH480">
        <f t="shared" si="102"/>
        <v>0.16997167364850305</v>
      </c>
      <c r="AI480">
        <f t="shared" si="103"/>
        <v>7.9076006106568038</v>
      </c>
      <c r="AJ480">
        <f t="shared" si="104"/>
        <v>30.820820441974785</v>
      </c>
      <c r="AL480">
        <f t="shared" si="105"/>
        <v>19.7041538736128</v>
      </c>
      <c r="AM480">
        <f t="shared" si="106"/>
        <v>19.024267179018789</v>
      </c>
    </row>
    <row r="481" spans="1:39" ht="16.5" x14ac:dyDescent="0.25">
      <c r="A481" s="1">
        <v>45009</v>
      </c>
      <c r="B481" s="5">
        <v>18.54</v>
      </c>
      <c r="C481" s="4">
        <v>19.25</v>
      </c>
      <c r="D481" s="4">
        <v>19.350000000000001</v>
      </c>
      <c r="E481" s="4">
        <v>18.32</v>
      </c>
      <c r="F481" s="4" t="s">
        <v>1385</v>
      </c>
      <c r="G481" s="2" t="s">
        <v>1953</v>
      </c>
      <c r="I481">
        <f t="shared" si="94"/>
        <v>19.362631578947372</v>
      </c>
      <c r="J481">
        <f t="shared" si="95"/>
        <v>19.114250000000006</v>
      </c>
      <c r="L481">
        <f t="shared" si="96"/>
        <v>0</v>
      </c>
      <c r="M481">
        <f t="shared" si="97"/>
        <v>1</v>
      </c>
      <c r="O481">
        <f t="shared" si="98"/>
        <v>0</v>
      </c>
      <c r="P481">
        <f t="shared" si="99"/>
        <v>0.71000000000000085</v>
      </c>
      <c r="R481">
        <f t="shared" si="100"/>
        <v>0.46571428571428491</v>
      </c>
      <c r="S481">
        <f t="shared" si="101"/>
        <v>0.59714285714285764</v>
      </c>
      <c r="AH481">
        <f t="shared" si="102"/>
        <v>0.16646397803018806</v>
      </c>
      <c r="AI481">
        <f t="shared" si="103"/>
        <v>7.9060216632883815</v>
      </c>
      <c r="AJ481">
        <f t="shared" si="104"/>
        <v>30.819241494606363</v>
      </c>
      <c r="AL481">
        <f t="shared" si="105"/>
        <v>19.695559535007749</v>
      </c>
      <c r="AM481">
        <f t="shared" si="106"/>
        <v>19.029703622886995</v>
      </c>
    </row>
    <row r="482" spans="1:39" ht="16.5" x14ac:dyDescent="0.25">
      <c r="A482" s="1">
        <v>45008</v>
      </c>
      <c r="B482" s="5">
        <v>19.41</v>
      </c>
      <c r="C482" s="4">
        <v>18.91</v>
      </c>
      <c r="D482" s="4">
        <v>19.41</v>
      </c>
      <c r="E482" s="4">
        <v>18.829999999999998</v>
      </c>
      <c r="F482" s="4" t="s">
        <v>1123</v>
      </c>
      <c r="G482" s="2" t="s">
        <v>123</v>
      </c>
      <c r="I482">
        <f t="shared" si="94"/>
        <v>19.38105263157895</v>
      </c>
      <c r="J482">
        <f t="shared" si="95"/>
        <v>19.123000000000001</v>
      </c>
      <c r="L482">
        <f t="shared" si="96"/>
        <v>1</v>
      </c>
      <c r="M482">
        <f t="shared" si="97"/>
        <v>0</v>
      </c>
      <c r="O482">
        <f t="shared" si="98"/>
        <v>0.5</v>
      </c>
      <c r="P482">
        <f t="shared" si="99"/>
        <v>0</v>
      </c>
      <c r="R482">
        <f t="shared" si="100"/>
        <v>0.43749999999999956</v>
      </c>
      <c r="S482">
        <f t="shared" si="101"/>
        <v>0.5783333333333337</v>
      </c>
      <c r="AH482">
        <f t="shared" si="102"/>
        <v>0.16257259739395916</v>
      </c>
      <c r="AI482">
        <f t="shared" si="103"/>
        <v>7.9244427159199589</v>
      </c>
      <c r="AJ482">
        <f t="shared" si="104"/>
        <v>30.83766254723794</v>
      </c>
      <c r="AL482">
        <f t="shared" si="105"/>
        <v>19.706197826366868</v>
      </c>
      <c r="AM482">
        <f t="shared" si="106"/>
        <v>19.055907436791031</v>
      </c>
    </row>
    <row r="483" spans="1:39" ht="16.5" x14ac:dyDescent="0.25">
      <c r="A483" s="1">
        <v>45007</v>
      </c>
      <c r="B483" s="5">
        <v>18.989999999999998</v>
      </c>
      <c r="C483" s="4">
        <v>19.3</v>
      </c>
      <c r="D483" s="4">
        <v>19.36</v>
      </c>
      <c r="E483" s="4">
        <v>18.84</v>
      </c>
      <c r="F483" s="4" t="s">
        <v>1533</v>
      </c>
      <c r="G483" s="2" t="s">
        <v>221</v>
      </c>
      <c r="I483">
        <f t="shared" si="94"/>
        <v>19.346315789473685</v>
      </c>
      <c r="J483">
        <f t="shared" si="95"/>
        <v>19.108750000000004</v>
      </c>
      <c r="L483">
        <f t="shared" si="96"/>
        <v>0</v>
      </c>
      <c r="M483">
        <f t="shared" si="97"/>
        <v>1</v>
      </c>
      <c r="O483">
        <f t="shared" si="98"/>
        <v>0</v>
      </c>
      <c r="P483">
        <f t="shared" si="99"/>
        <v>0.31000000000000227</v>
      </c>
      <c r="R483">
        <f t="shared" si="100"/>
        <v>0.42374999999999963</v>
      </c>
      <c r="S483">
        <f t="shared" si="101"/>
        <v>0.5783333333333337</v>
      </c>
      <c r="AH483">
        <f t="shared" si="102"/>
        <v>0.15739781534472427</v>
      </c>
      <c r="AI483">
        <f t="shared" si="103"/>
        <v>7.8897058738146946</v>
      </c>
      <c r="AJ483">
        <f t="shared" si="104"/>
        <v>30.802925705132676</v>
      </c>
      <c r="AL483">
        <f t="shared" si="105"/>
        <v>19.661111420163135</v>
      </c>
      <c r="AM483">
        <f t="shared" si="106"/>
        <v>19.031520158784236</v>
      </c>
    </row>
    <row r="484" spans="1:39" ht="16.5" x14ac:dyDescent="0.25">
      <c r="A484" s="1">
        <v>45006</v>
      </c>
      <c r="B484" s="5">
        <v>19.23</v>
      </c>
      <c r="C484" s="4">
        <v>19.16</v>
      </c>
      <c r="D484" s="4">
        <v>19.7</v>
      </c>
      <c r="E484" s="4">
        <v>18.98</v>
      </c>
      <c r="F484" s="4" t="s">
        <v>1501</v>
      </c>
      <c r="G484" s="2" t="s">
        <v>1954</v>
      </c>
      <c r="I484">
        <f t="shared" si="94"/>
        <v>19.336842105263155</v>
      </c>
      <c r="J484">
        <f t="shared" si="95"/>
        <v>19.1035</v>
      </c>
      <c r="L484">
        <f t="shared" si="96"/>
        <v>1</v>
      </c>
      <c r="M484">
        <f t="shared" si="97"/>
        <v>0</v>
      </c>
      <c r="O484">
        <f t="shared" si="98"/>
        <v>7.0000000000000284E-2</v>
      </c>
      <c r="P484">
        <f t="shared" si="99"/>
        <v>0</v>
      </c>
      <c r="R484">
        <f t="shared" si="100"/>
        <v>0.39333333333333326</v>
      </c>
      <c r="S484">
        <f t="shared" si="101"/>
        <v>0.63200000000000001</v>
      </c>
      <c r="AH484">
        <f t="shared" si="102"/>
        <v>0.15304832784312322</v>
      </c>
      <c r="AI484">
        <f t="shared" si="103"/>
        <v>7.8802321896041647</v>
      </c>
      <c r="AJ484">
        <f t="shared" si="104"/>
        <v>30.793452020922146</v>
      </c>
      <c r="AL484">
        <f t="shared" si="105"/>
        <v>19.642938760949402</v>
      </c>
      <c r="AM484">
        <f t="shared" si="106"/>
        <v>19.030745449576909</v>
      </c>
    </row>
    <row r="485" spans="1:39" ht="16.5" x14ac:dyDescent="0.25">
      <c r="A485" s="1">
        <v>45005</v>
      </c>
      <c r="B485" s="5">
        <v>18.989999999999998</v>
      </c>
      <c r="C485" s="4">
        <v>18.25</v>
      </c>
      <c r="D485" s="4">
        <v>19.12</v>
      </c>
      <c r="E485" s="4">
        <v>17.77</v>
      </c>
      <c r="F485" s="4" t="s">
        <v>1497</v>
      </c>
      <c r="G485" s="2" t="s">
        <v>1874</v>
      </c>
      <c r="I485">
        <f t="shared" si="94"/>
        <v>19.286315789473679</v>
      </c>
      <c r="J485">
        <f t="shared" si="95"/>
        <v>19.096250000000001</v>
      </c>
      <c r="L485">
        <f t="shared" si="96"/>
        <v>1</v>
      </c>
      <c r="M485">
        <f t="shared" si="97"/>
        <v>0</v>
      </c>
      <c r="O485">
        <f t="shared" si="98"/>
        <v>0.73999999999999844</v>
      </c>
      <c r="P485">
        <f t="shared" si="99"/>
        <v>0</v>
      </c>
      <c r="R485">
        <f t="shared" si="100"/>
        <v>0.41444444444444412</v>
      </c>
      <c r="S485">
        <f t="shared" si="101"/>
        <v>0.63200000000000001</v>
      </c>
      <c r="AH485">
        <f t="shared" si="102"/>
        <v>0.14851745625790941</v>
      </c>
      <c r="AI485">
        <f t="shared" si="103"/>
        <v>7.8297058738146887</v>
      </c>
      <c r="AJ485">
        <f t="shared" si="104"/>
        <v>30.74292570513267</v>
      </c>
      <c r="AL485">
        <f t="shared" si="105"/>
        <v>19.583350701989499</v>
      </c>
      <c r="AM485">
        <f t="shared" si="106"/>
        <v>18.98928087695786</v>
      </c>
    </row>
    <row r="486" spans="1:39" ht="16.5" x14ac:dyDescent="0.25">
      <c r="A486" s="1">
        <v>45002</v>
      </c>
      <c r="B486" s="5">
        <v>18.32</v>
      </c>
      <c r="C486" s="4">
        <v>19.11</v>
      </c>
      <c r="D486" s="4">
        <v>19.23</v>
      </c>
      <c r="E486" s="4">
        <v>17.940000000000001</v>
      </c>
      <c r="F486" s="4" t="s">
        <v>900</v>
      </c>
      <c r="G486" s="2" t="s">
        <v>1955</v>
      </c>
      <c r="I486">
        <f t="shared" si="94"/>
        <v>19.25578947368421</v>
      </c>
      <c r="J486">
        <f t="shared" si="95"/>
        <v>19.100000000000001</v>
      </c>
      <c r="L486">
        <f t="shared" si="96"/>
        <v>0</v>
      </c>
      <c r="M486">
        <f t="shared" si="97"/>
        <v>1</v>
      </c>
      <c r="O486">
        <f t="shared" si="98"/>
        <v>0</v>
      </c>
      <c r="P486">
        <f t="shared" si="99"/>
        <v>0.78999999999999915</v>
      </c>
      <c r="R486">
        <f t="shared" si="100"/>
        <v>0.33999999999999986</v>
      </c>
      <c r="S486">
        <f t="shared" si="101"/>
        <v>0.63200000000000001</v>
      </c>
      <c r="AH486">
        <f t="shared" si="102"/>
        <v>0.14549948316147318</v>
      </c>
      <c r="AI486">
        <f t="shared" si="103"/>
        <v>7.7991795580252194</v>
      </c>
      <c r="AJ486">
        <f t="shared" si="104"/>
        <v>30.712399389343201</v>
      </c>
      <c r="AL486">
        <f t="shared" si="105"/>
        <v>19.546788440007155</v>
      </c>
      <c r="AM486">
        <f t="shared" si="106"/>
        <v>18.964790507361265</v>
      </c>
    </row>
    <row r="487" spans="1:39" ht="16.5" x14ac:dyDescent="0.25">
      <c r="A487" s="1">
        <v>45001</v>
      </c>
      <c r="B487" s="5">
        <v>19.16</v>
      </c>
      <c r="C487" s="4">
        <v>18.18</v>
      </c>
      <c r="D487" s="4">
        <v>19.34</v>
      </c>
      <c r="E487" s="4">
        <v>18.05</v>
      </c>
      <c r="F487" s="4" t="s">
        <v>1956</v>
      </c>
      <c r="G487" s="2" t="s">
        <v>1957</v>
      </c>
      <c r="I487">
        <f t="shared" si="94"/>
        <v>19.286842105263158</v>
      </c>
      <c r="J487">
        <f t="shared" si="95"/>
        <v>19.114000000000001</v>
      </c>
      <c r="L487">
        <f t="shared" si="96"/>
        <v>1</v>
      </c>
      <c r="M487">
        <f t="shared" si="97"/>
        <v>0</v>
      </c>
      <c r="O487">
        <f t="shared" si="98"/>
        <v>0.98000000000000043</v>
      </c>
      <c r="P487">
        <f t="shared" si="99"/>
        <v>0</v>
      </c>
      <c r="R487">
        <f t="shared" si="100"/>
        <v>0.30999999999999978</v>
      </c>
      <c r="S487">
        <f t="shared" si="101"/>
        <v>0.59250000000000025</v>
      </c>
      <c r="AH487">
        <f t="shared" si="102"/>
        <v>0.14323102952962483</v>
      </c>
      <c r="AI487">
        <f t="shared" si="103"/>
        <v>7.8302321896041676</v>
      </c>
      <c r="AJ487">
        <f t="shared" si="104"/>
        <v>30.743452020922149</v>
      </c>
      <c r="AL487">
        <f t="shared" si="105"/>
        <v>19.573304164322408</v>
      </c>
      <c r="AM487">
        <f t="shared" si="106"/>
        <v>19.000380046203908</v>
      </c>
    </row>
    <row r="488" spans="1:39" ht="16.5" x14ac:dyDescent="0.25">
      <c r="A488" s="1">
        <v>45000</v>
      </c>
      <c r="B488" s="5">
        <v>18.23</v>
      </c>
      <c r="C488" s="4">
        <v>19.55</v>
      </c>
      <c r="D488" s="4">
        <v>19.57</v>
      </c>
      <c r="E488" s="4">
        <v>18.14</v>
      </c>
      <c r="F488" s="4" t="s">
        <v>1739</v>
      </c>
      <c r="G488" s="2" t="s">
        <v>1958</v>
      </c>
      <c r="I488">
        <f t="shared" si="94"/>
        <v>19.288947368421052</v>
      </c>
      <c r="J488">
        <f t="shared" si="95"/>
        <v>19.1035</v>
      </c>
      <c r="L488">
        <f t="shared" si="96"/>
        <v>0</v>
      </c>
      <c r="M488">
        <f t="shared" si="97"/>
        <v>1</v>
      </c>
      <c r="O488">
        <f t="shared" si="98"/>
        <v>0</v>
      </c>
      <c r="P488">
        <f t="shared" si="99"/>
        <v>1.3200000000000003</v>
      </c>
      <c r="R488">
        <f t="shared" si="100"/>
        <v>0.23555555555555527</v>
      </c>
      <c r="S488">
        <f t="shared" si="101"/>
        <v>0.5</v>
      </c>
      <c r="AH488">
        <f t="shared" si="102"/>
        <v>0.13935568066569881</v>
      </c>
      <c r="AI488">
        <f t="shared" si="103"/>
        <v>7.8323374527620615</v>
      </c>
      <c r="AJ488">
        <f t="shared" si="104"/>
        <v>30.745557284080043</v>
      </c>
      <c r="AL488">
        <f t="shared" si="105"/>
        <v>19.567658729752448</v>
      </c>
      <c r="AM488">
        <f t="shared" si="106"/>
        <v>19.010236007089656</v>
      </c>
    </row>
    <row r="489" spans="1:39" ht="16.5" x14ac:dyDescent="0.25">
      <c r="A489" s="1">
        <v>44999</v>
      </c>
      <c r="B489" s="5">
        <v>19.579999999999998</v>
      </c>
      <c r="C489" s="4">
        <v>19.12</v>
      </c>
      <c r="D489" s="4">
        <v>19.88</v>
      </c>
      <c r="E489" s="4">
        <v>19.09</v>
      </c>
      <c r="F489" s="4" t="s">
        <v>1460</v>
      </c>
      <c r="G489" s="2" t="s">
        <v>1939</v>
      </c>
      <c r="I489">
        <f t="shared" si="94"/>
        <v>19.353684210526314</v>
      </c>
      <c r="J489">
        <f t="shared" si="95"/>
        <v>19.126999999999999</v>
      </c>
      <c r="L489">
        <f t="shared" si="96"/>
        <v>1</v>
      </c>
      <c r="M489">
        <f t="shared" si="97"/>
        <v>0</v>
      </c>
      <c r="O489">
        <f t="shared" si="98"/>
        <v>0.4599999999999973</v>
      </c>
      <c r="P489">
        <f t="shared" si="99"/>
        <v>0</v>
      </c>
      <c r="R489">
        <f t="shared" si="100"/>
        <v>0.26199999999999973</v>
      </c>
      <c r="S489">
        <f t="shared" si="101"/>
        <v>0.29499999999999993</v>
      </c>
      <c r="AH489">
        <f t="shared" si="102"/>
        <v>0.13479905669209902</v>
      </c>
      <c r="AI489">
        <f t="shared" si="103"/>
        <v>7.8970742948673234</v>
      </c>
      <c r="AJ489">
        <f t="shared" si="104"/>
        <v>30.810294126185305</v>
      </c>
      <c r="AL489">
        <f t="shared" si="105"/>
        <v>19.623282323910512</v>
      </c>
      <c r="AM489">
        <f t="shared" si="106"/>
        <v>19.084086097142116</v>
      </c>
    </row>
    <row r="490" spans="1:39" ht="16.5" x14ac:dyDescent="0.25">
      <c r="A490" s="1">
        <v>44998</v>
      </c>
      <c r="B490" s="5">
        <v>19.14</v>
      </c>
      <c r="C490" s="4">
        <v>19.850000000000001</v>
      </c>
      <c r="D490" s="4">
        <v>19.93</v>
      </c>
      <c r="E490" s="4">
        <v>18.55</v>
      </c>
      <c r="F490" s="4" t="s">
        <v>1489</v>
      </c>
      <c r="G490" s="2" t="s">
        <v>1959</v>
      </c>
      <c r="I490">
        <f t="shared" si="94"/>
        <v>19.332105263157896</v>
      </c>
      <c r="J490">
        <f t="shared" si="95"/>
        <v>19.123249999999995</v>
      </c>
      <c r="L490">
        <f t="shared" si="96"/>
        <v>0</v>
      </c>
      <c r="M490">
        <f t="shared" si="97"/>
        <v>1</v>
      </c>
      <c r="O490">
        <f t="shared" si="98"/>
        <v>0</v>
      </c>
      <c r="P490">
        <f t="shared" si="99"/>
        <v>0.71000000000000085</v>
      </c>
      <c r="R490">
        <f t="shared" si="100"/>
        <v>0.24000000000000002</v>
      </c>
      <c r="S490">
        <f t="shared" si="101"/>
        <v>0.23599999999999993</v>
      </c>
      <c r="AH490">
        <f t="shared" si="102"/>
        <v>0.1256806121724946</v>
      </c>
      <c r="AI490">
        <f t="shared" si="103"/>
        <v>7.8754953474989051</v>
      </c>
      <c r="AJ490">
        <f t="shared" si="104"/>
        <v>30.788715178816886</v>
      </c>
      <c r="AL490">
        <f t="shared" si="105"/>
        <v>19.583466487502886</v>
      </c>
      <c r="AM490">
        <f t="shared" si="106"/>
        <v>19.080744038812906</v>
      </c>
    </row>
    <row r="491" spans="1:39" ht="16.5" x14ac:dyDescent="0.25">
      <c r="A491" s="1">
        <v>44995</v>
      </c>
      <c r="B491" s="5">
        <v>19.86</v>
      </c>
      <c r="C491" s="4">
        <v>20.03</v>
      </c>
      <c r="D491" s="4">
        <v>20.12</v>
      </c>
      <c r="E491" s="4">
        <v>19.62</v>
      </c>
      <c r="F491" s="4" t="s">
        <v>1417</v>
      </c>
      <c r="G491" s="2" t="s">
        <v>1960</v>
      </c>
      <c r="I491">
        <f t="shared" si="94"/>
        <v>19.324736842105263</v>
      </c>
      <c r="J491">
        <f t="shared" si="95"/>
        <v>19.128249999999998</v>
      </c>
      <c r="L491">
        <f t="shared" si="96"/>
        <v>0</v>
      </c>
      <c r="M491">
        <f t="shared" si="97"/>
        <v>1</v>
      </c>
      <c r="O491">
        <f t="shared" si="98"/>
        <v>0</v>
      </c>
      <c r="P491">
        <f t="shared" si="99"/>
        <v>0.17000000000000171</v>
      </c>
      <c r="R491">
        <f t="shared" si="100"/>
        <v>0.24000000000000002</v>
      </c>
      <c r="S491">
        <f t="shared" si="101"/>
        <v>0.18399999999999964</v>
      </c>
      <c r="AH491">
        <f t="shared" si="102"/>
        <v>0.11631424812953428</v>
      </c>
      <c r="AI491">
        <f t="shared" si="103"/>
        <v>7.8681269264462728</v>
      </c>
      <c r="AJ491">
        <f t="shared" si="104"/>
        <v>30.781346757764254</v>
      </c>
      <c r="AL491">
        <f t="shared" si="105"/>
        <v>19.557365338364331</v>
      </c>
      <c r="AM491">
        <f t="shared" si="106"/>
        <v>19.092108345846196</v>
      </c>
    </row>
    <row r="492" spans="1:39" ht="16.5" x14ac:dyDescent="0.25">
      <c r="A492" s="1">
        <v>44994</v>
      </c>
      <c r="B492" s="5">
        <v>20.38</v>
      </c>
      <c r="C492" s="4">
        <v>20</v>
      </c>
      <c r="D492" s="4">
        <v>20.43</v>
      </c>
      <c r="E492" s="4">
        <v>19.829999999999998</v>
      </c>
      <c r="F492" s="4" t="s">
        <v>1423</v>
      </c>
      <c r="G492" s="2" t="s">
        <v>911</v>
      </c>
      <c r="I492">
        <f t="shared" si="94"/>
        <v>19.285263157894736</v>
      </c>
      <c r="J492">
        <f t="shared" si="95"/>
        <v>19.101499999999998</v>
      </c>
      <c r="L492">
        <f t="shared" si="96"/>
        <v>1</v>
      </c>
      <c r="M492">
        <f t="shared" si="97"/>
        <v>0</v>
      </c>
      <c r="O492">
        <f t="shared" si="98"/>
        <v>0.37999999999999901</v>
      </c>
      <c r="P492">
        <f t="shared" si="99"/>
        <v>0</v>
      </c>
      <c r="R492">
        <f t="shared" si="100"/>
        <v>0.24000000000000002</v>
      </c>
      <c r="S492">
        <f t="shared" si="101"/>
        <v>0.20999999999999944</v>
      </c>
      <c r="AH492">
        <f t="shared" si="102"/>
        <v>0.10552794549319014</v>
      </c>
      <c r="AI492">
        <f t="shared" si="103"/>
        <v>7.8286532422357453</v>
      </c>
      <c r="AJ492">
        <f t="shared" si="104"/>
        <v>30.741873073553727</v>
      </c>
      <c r="AL492">
        <f t="shared" si="105"/>
        <v>19.496319048881116</v>
      </c>
      <c r="AM492">
        <f t="shared" si="106"/>
        <v>19.074207266908356</v>
      </c>
    </row>
    <row r="493" spans="1:39" ht="16.5" x14ac:dyDescent="0.25">
      <c r="A493" s="1">
        <v>44993</v>
      </c>
      <c r="B493" s="5">
        <v>20</v>
      </c>
      <c r="C493" s="4">
        <v>19.87</v>
      </c>
      <c r="D493" s="4">
        <v>20.18</v>
      </c>
      <c r="E493" s="4">
        <v>19.68</v>
      </c>
      <c r="F493" s="4" t="s">
        <v>134</v>
      </c>
      <c r="G493" s="2" t="s">
        <v>160</v>
      </c>
      <c r="I493">
        <f t="shared" si="94"/>
        <v>19.207894736842107</v>
      </c>
      <c r="J493">
        <f t="shared" si="95"/>
        <v>19.068717948717946</v>
      </c>
      <c r="L493">
        <f t="shared" si="96"/>
        <v>1</v>
      </c>
      <c r="M493">
        <f t="shared" si="97"/>
        <v>0</v>
      </c>
      <c r="O493">
        <f t="shared" si="98"/>
        <v>0.12999999999999901</v>
      </c>
      <c r="P493">
        <f t="shared" si="99"/>
        <v>0</v>
      </c>
      <c r="R493">
        <f t="shared" si="100"/>
        <v>0.22250000000000014</v>
      </c>
      <c r="S493">
        <f t="shared" si="101"/>
        <v>0.17666666666666644</v>
      </c>
      <c r="AH493">
        <f t="shared" si="102"/>
        <v>9.5583869465975857E-2</v>
      </c>
      <c r="AI493">
        <f t="shared" si="103"/>
        <v>7.7512848211831162</v>
      </c>
      <c r="AJ493">
        <f t="shared" si="104"/>
        <v>30.664504652501098</v>
      </c>
      <c r="AL493">
        <f t="shared" si="105"/>
        <v>19.399062475774059</v>
      </c>
      <c r="AM493">
        <f t="shared" si="106"/>
        <v>19.016726997910155</v>
      </c>
    </row>
    <row r="494" spans="1:39" ht="16.5" x14ac:dyDescent="0.25">
      <c r="A494" s="1">
        <v>44992</v>
      </c>
      <c r="B494" s="5">
        <v>19.91</v>
      </c>
      <c r="C494" s="4">
        <v>20.079999999999998</v>
      </c>
      <c r="D494" s="4">
        <v>20.39</v>
      </c>
      <c r="E494" s="4">
        <v>19.82</v>
      </c>
      <c r="F494" s="4" t="s">
        <v>139</v>
      </c>
      <c r="G494" s="2" t="s">
        <v>1302</v>
      </c>
      <c r="I494">
        <f t="shared" si="94"/>
        <v>19.152631578947371</v>
      </c>
      <c r="J494">
        <f t="shared" si="95"/>
        <v>19.044210526315787</v>
      </c>
      <c r="L494">
        <f t="shared" si="96"/>
        <v>0</v>
      </c>
      <c r="M494">
        <f t="shared" si="97"/>
        <v>1</v>
      </c>
      <c r="O494">
        <f t="shared" si="98"/>
        <v>0</v>
      </c>
      <c r="P494">
        <f t="shared" si="99"/>
        <v>0.16999999999999815</v>
      </c>
      <c r="R494">
        <f t="shared" si="100"/>
        <v>0.22375000000000034</v>
      </c>
      <c r="S494">
        <f t="shared" si="101"/>
        <v>0.17666666666666644</v>
      </c>
      <c r="AH494">
        <f t="shared" si="102"/>
        <v>8.956235645951241E-2</v>
      </c>
      <c r="AI494">
        <f t="shared" si="103"/>
        <v>7.6960216632883807</v>
      </c>
      <c r="AJ494">
        <f t="shared" si="104"/>
        <v>30.609241494606362</v>
      </c>
      <c r="AL494">
        <f t="shared" si="105"/>
        <v>19.331756291866395</v>
      </c>
      <c r="AM494">
        <f t="shared" si="106"/>
        <v>18.973506866028348</v>
      </c>
    </row>
    <row r="495" spans="1:39" ht="16.5" x14ac:dyDescent="0.25">
      <c r="A495" s="1">
        <v>44991</v>
      </c>
      <c r="B495" s="5">
        <v>20.23</v>
      </c>
      <c r="C495" s="4">
        <v>19.989999999999998</v>
      </c>
      <c r="D495" s="4">
        <v>20.27</v>
      </c>
      <c r="E495" s="4">
        <v>19.89</v>
      </c>
      <c r="F495" s="4" t="s">
        <v>105</v>
      </c>
      <c r="G495" s="2" t="s">
        <v>276</v>
      </c>
      <c r="I495">
        <f t="shared" si="94"/>
        <v>19.076315789473686</v>
      </c>
      <c r="J495">
        <f t="shared" si="95"/>
        <v>19.020810810810811</v>
      </c>
      <c r="L495">
        <f t="shared" si="96"/>
        <v>1</v>
      </c>
      <c r="M495">
        <f t="shared" si="97"/>
        <v>0</v>
      </c>
      <c r="O495">
        <f t="shared" si="98"/>
        <v>0.24000000000000199</v>
      </c>
      <c r="P495">
        <f t="shared" si="99"/>
        <v>0</v>
      </c>
      <c r="R495">
        <f t="shared" si="100"/>
        <v>0.20222222222222264</v>
      </c>
      <c r="S495">
        <f t="shared" si="101"/>
        <v>0.1780000000000001</v>
      </c>
      <c r="AH495">
        <f t="shared" si="102"/>
        <v>8.601670318055589E-2</v>
      </c>
      <c r="AI495">
        <f t="shared" si="103"/>
        <v>7.619705873814695</v>
      </c>
      <c r="AJ495">
        <f t="shared" si="104"/>
        <v>30.532925705132676</v>
      </c>
      <c r="AL495">
        <f t="shared" si="105"/>
        <v>19.248349195834798</v>
      </c>
      <c r="AM495">
        <f t="shared" si="106"/>
        <v>18.904282383112573</v>
      </c>
    </row>
    <row r="496" spans="1:39" ht="16.5" x14ac:dyDescent="0.25">
      <c r="A496" s="1">
        <v>44988</v>
      </c>
      <c r="B496" s="5">
        <v>19.91</v>
      </c>
      <c r="C496" s="4">
        <v>19.52</v>
      </c>
      <c r="D496" s="4">
        <v>19.920000000000002</v>
      </c>
      <c r="E496" s="4">
        <v>19.3</v>
      </c>
      <c r="F496" s="4" t="s">
        <v>1539</v>
      </c>
      <c r="G496" s="2" t="s">
        <v>123</v>
      </c>
      <c r="I496">
        <f t="shared" si="94"/>
        <v>18.969473684210527</v>
      </c>
      <c r="J496">
        <f t="shared" si="95"/>
        <v>18.987222222222222</v>
      </c>
      <c r="L496">
        <f t="shared" si="96"/>
        <v>1</v>
      </c>
      <c r="M496">
        <f t="shared" si="97"/>
        <v>0</v>
      </c>
      <c r="O496">
        <f t="shared" si="98"/>
        <v>0.39000000000000057</v>
      </c>
      <c r="P496">
        <f t="shared" si="99"/>
        <v>0</v>
      </c>
      <c r="R496">
        <f t="shared" si="100"/>
        <v>0.19750000000000023</v>
      </c>
      <c r="S496">
        <f t="shared" si="101"/>
        <v>0.17833333333333337</v>
      </c>
      <c r="AH496">
        <f t="shared" si="102"/>
        <v>8.5520843089689283E-2</v>
      </c>
      <c r="AI496">
        <f t="shared" si="103"/>
        <v>7.5128637685515365</v>
      </c>
      <c r="AJ496">
        <f t="shared" si="104"/>
        <v>30.426083599869518</v>
      </c>
      <c r="AL496">
        <f t="shared" si="105"/>
        <v>19.140515370389906</v>
      </c>
      <c r="AM496">
        <f t="shared" si="106"/>
        <v>18.798431998031148</v>
      </c>
    </row>
    <row r="497" spans="1:39" ht="16.5" x14ac:dyDescent="0.25">
      <c r="A497" s="1">
        <v>44987</v>
      </c>
      <c r="B497" s="5">
        <v>19.48</v>
      </c>
      <c r="C497" s="4">
        <v>19.329999999999998</v>
      </c>
      <c r="D497" s="4">
        <v>19.489999999999998</v>
      </c>
      <c r="E497" s="4">
        <v>19.14</v>
      </c>
      <c r="F497" s="4" t="s">
        <v>288</v>
      </c>
      <c r="G497" s="2" t="s">
        <v>237</v>
      </c>
      <c r="I497">
        <f t="shared" si="94"/>
        <v>18.901578947368421</v>
      </c>
      <c r="J497">
        <f t="shared" si="95"/>
        <v>18.96085714285714</v>
      </c>
      <c r="L497">
        <f t="shared" si="96"/>
        <v>1</v>
      </c>
      <c r="M497">
        <f t="shared" si="97"/>
        <v>0</v>
      </c>
      <c r="O497">
        <f t="shared" si="98"/>
        <v>0.15000000000000213</v>
      </c>
      <c r="P497">
        <f t="shared" si="99"/>
        <v>0</v>
      </c>
      <c r="R497">
        <f t="shared" si="100"/>
        <v>0.17375000000000007</v>
      </c>
      <c r="S497">
        <f t="shared" si="101"/>
        <v>0.17833333333333337</v>
      </c>
      <c r="AH497">
        <f t="shared" si="102"/>
        <v>8.6767160888989031E-2</v>
      </c>
      <c r="AI497">
        <f t="shared" si="103"/>
        <v>7.4449690317094301</v>
      </c>
      <c r="AJ497">
        <f t="shared" si="104"/>
        <v>30.358188863027411</v>
      </c>
      <c r="AL497">
        <f t="shared" si="105"/>
        <v>19.075113269146399</v>
      </c>
      <c r="AM497">
        <f t="shared" si="106"/>
        <v>18.728044625590442</v>
      </c>
    </row>
    <row r="498" spans="1:39" ht="16.5" x14ac:dyDescent="0.25">
      <c r="A498" s="1">
        <v>44986</v>
      </c>
      <c r="B498" s="5">
        <v>19.559999999999999</v>
      </c>
      <c r="C498" s="4">
        <v>19.3</v>
      </c>
      <c r="D498" s="4">
        <v>19.66</v>
      </c>
      <c r="E498" s="4">
        <v>19.149999999999999</v>
      </c>
      <c r="F498" s="4" t="s">
        <v>1535</v>
      </c>
      <c r="G498" s="2" t="s">
        <v>1961</v>
      </c>
      <c r="I498">
        <f t="shared" si="94"/>
        <v>18.881052631578946</v>
      </c>
      <c r="J498">
        <f t="shared" si="95"/>
        <v>18.945588235294114</v>
      </c>
      <c r="L498">
        <f t="shared" si="96"/>
        <v>1</v>
      </c>
      <c r="M498">
        <f t="shared" si="97"/>
        <v>0</v>
      </c>
      <c r="O498">
        <f t="shared" si="98"/>
        <v>0.25999999999999801</v>
      </c>
      <c r="P498">
        <f t="shared" si="99"/>
        <v>0</v>
      </c>
      <c r="R498">
        <f t="shared" si="100"/>
        <v>0.16624999999999979</v>
      </c>
      <c r="S498">
        <f t="shared" si="101"/>
        <v>0.17833333333333337</v>
      </c>
      <c r="AH498">
        <f t="shared" si="102"/>
        <v>8.7160111667248436E-2</v>
      </c>
      <c r="AI498">
        <f t="shared" si="103"/>
        <v>7.4244427159199553</v>
      </c>
      <c r="AJ498">
        <f t="shared" si="104"/>
        <v>30.337662547237937</v>
      </c>
      <c r="AL498">
        <f t="shared" si="105"/>
        <v>19.055372854913443</v>
      </c>
      <c r="AM498">
        <f t="shared" si="106"/>
        <v>18.706732408244449</v>
      </c>
    </row>
    <row r="499" spans="1:39" ht="16.5" x14ac:dyDescent="0.25">
      <c r="A499" s="1">
        <v>44985</v>
      </c>
      <c r="B499" s="5">
        <v>18.97</v>
      </c>
      <c r="C499" s="4">
        <v>18.899999999999999</v>
      </c>
      <c r="D499" s="4">
        <v>19.11</v>
      </c>
      <c r="E499" s="4">
        <v>18.61</v>
      </c>
      <c r="F499" s="4" t="s">
        <v>928</v>
      </c>
      <c r="G499" s="2" t="s">
        <v>676</v>
      </c>
      <c r="I499">
        <f t="shared" si="94"/>
        <v>18.88</v>
      </c>
      <c r="J499">
        <f t="shared" si="95"/>
        <v>18.926969696969696</v>
      </c>
      <c r="L499">
        <f t="shared" si="96"/>
        <v>1</v>
      </c>
      <c r="M499">
        <f t="shared" si="97"/>
        <v>0</v>
      </c>
      <c r="O499">
        <f t="shared" si="98"/>
        <v>7.0000000000000284E-2</v>
      </c>
      <c r="P499">
        <f t="shared" si="99"/>
        <v>0</v>
      </c>
      <c r="R499">
        <f t="shared" si="100"/>
        <v>0.14124999999999988</v>
      </c>
      <c r="S499">
        <f t="shared" si="101"/>
        <v>0.17833333333333337</v>
      </c>
      <c r="AH499">
        <f t="shared" si="102"/>
        <v>8.6882479513280361E-2</v>
      </c>
      <c r="AI499">
        <f t="shared" si="103"/>
        <v>7.4233900843410083</v>
      </c>
      <c r="AJ499">
        <f t="shared" si="104"/>
        <v>30.33660991565899</v>
      </c>
      <c r="AL499">
        <f t="shared" si="105"/>
        <v>19.053764959026559</v>
      </c>
      <c r="AM499">
        <f t="shared" si="106"/>
        <v>18.706235040973439</v>
      </c>
    </row>
    <row r="500" spans="1:39" ht="16.5" x14ac:dyDescent="0.25">
      <c r="A500" s="1">
        <v>44984</v>
      </c>
      <c r="B500" s="5">
        <v>18.89</v>
      </c>
      <c r="C500" s="4">
        <v>18.850000000000001</v>
      </c>
      <c r="D500" s="4">
        <v>18.97</v>
      </c>
      <c r="E500" s="4">
        <v>18.68</v>
      </c>
      <c r="F500" s="4" t="s">
        <v>664</v>
      </c>
      <c r="G500" s="2" t="s">
        <v>386</v>
      </c>
      <c r="I500">
        <f t="shared" si="94"/>
        <v>18.87157894736842</v>
      </c>
      <c r="J500">
        <f t="shared" si="95"/>
        <v>18.925624999999993</v>
      </c>
      <c r="L500">
        <f t="shared" si="96"/>
        <v>1</v>
      </c>
      <c r="M500">
        <f t="shared" si="97"/>
        <v>0</v>
      </c>
      <c r="O500">
        <f t="shared" si="98"/>
        <v>3.9999999999999147E-2</v>
      </c>
      <c r="P500">
        <f t="shared" si="99"/>
        <v>0</v>
      </c>
      <c r="R500">
        <f t="shared" si="100"/>
        <v>0.14500000000000002</v>
      </c>
      <c r="S500">
        <f t="shared" si="101"/>
        <v>0.17833333333333337</v>
      </c>
      <c r="AH500">
        <f t="shared" si="102"/>
        <v>8.643992203381369E-2</v>
      </c>
      <c r="AI500">
        <f t="shared" si="103"/>
        <v>7.414969031709429</v>
      </c>
      <c r="AJ500">
        <f t="shared" si="104"/>
        <v>30.32818886302741</v>
      </c>
      <c r="AL500">
        <f t="shared" si="105"/>
        <v>19.044458791436046</v>
      </c>
      <c r="AM500">
        <f t="shared" si="106"/>
        <v>18.698699103300793</v>
      </c>
    </row>
    <row r="501" spans="1:39" ht="16.5" x14ac:dyDescent="0.25">
      <c r="A501" s="1">
        <v>44981</v>
      </c>
      <c r="B501" s="5">
        <v>18.75</v>
      </c>
      <c r="C501" s="4">
        <v>18.88</v>
      </c>
      <c r="D501" s="4">
        <v>19.059999999999999</v>
      </c>
      <c r="E501" s="4">
        <v>18.66</v>
      </c>
      <c r="F501" s="4" t="s">
        <v>1391</v>
      </c>
      <c r="G501" s="2" t="s">
        <v>296</v>
      </c>
      <c r="I501">
        <f t="shared" si="94"/>
        <v>18.883684210526315</v>
      </c>
      <c r="J501">
        <f t="shared" si="95"/>
        <v>18.926774193548383</v>
      </c>
      <c r="L501">
        <f t="shared" si="96"/>
        <v>0</v>
      </c>
      <c r="M501">
        <f t="shared" si="97"/>
        <v>1</v>
      </c>
      <c r="O501">
        <f t="shared" si="98"/>
        <v>0</v>
      </c>
      <c r="P501">
        <f t="shared" si="99"/>
        <v>0.12999999999999901</v>
      </c>
      <c r="R501">
        <f t="shared" si="100"/>
        <v>0.16000000000000014</v>
      </c>
      <c r="S501">
        <f t="shared" si="101"/>
        <v>0.18142857142857136</v>
      </c>
      <c r="AH501">
        <f t="shared" si="102"/>
        <v>8.5484625277259529E-2</v>
      </c>
      <c r="AI501">
        <f t="shared" si="103"/>
        <v>7.4270742948673245</v>
      </c>
      <c r="AJ501">
        <f t="shared" si="104"/>
        <v>30.340294126185306</v>
      </c>
      <c r="AL501">
        <f t="shared" si="105"/>
        <v>19.054653461080836</v>
      </c>
      <c r="AM501">
        <f t="shared" si="106"/>
        <v>18.712714959971795</v>
      </c>
    </row>
    <row r="502" spans="1:39" ht="16.5" x14ac:dyDescent="0.25">
      <c r="A502" s="1">
        <v>44980</v>
      </c>
      <c r="B502" s="5">
        <v>18.809999999999999</v>
      </c>
      <c r="C502" s="4">
        <v>18.309999999999999</v>
      </c>
      <c r="D502" s="4">
        <v>18.86</v>
      </c>
      <c r="E502" s="4">
        <v>18.260000000000002</v>
      </c>
      <c r="F502" s="4" t="s">
        <v>1555</v>
      </c>
      <c r="G502" s="2" t="s">
        <v>1102</v>
      </c>
      <c r="I502">
        <f t="shared" si="94"/>
        <v>18.896842105263158</v>
      </c>
      <c r="J502">
        <f t="shared" si="95"/>
        <v>18.932666666666663</v>
      </c>
      <c r="L502">
        <f t="shared" si="96"/>
        <v>1</v>
      </c>
      <c r="M502">
        <f t="shared" si="97"/>
        <v>0</v>
      </c>
      <c r="O502">
        <f t="shared" si="98"/>
        <v>0.5</v>
      </c>
      <c r="P502">
        <f t="shared" si="99"/>
        <v>0</v>
      </c>
      <c r="R502">
        <f t="shared" si="100"/>
        <v>0.16000000000000014</v>
      </c>
      <c r="S502">
        <f t="shared" si="101"/>
        <v>0.20428571428571424</v>
      </c>
      <c r="AH502">
        <f t="shared" si="102"/>
        <v>8.4828809969494656E-2</v>
      </c>
      <c r="AI502">
        <f t="shared" si="103"/>
        <v>7.440232189604167</v>
      </c>
      <c r="AJ502">
        <f t="shared" si="104"/>
        <v>30.353452020922148</v>
      </c>
      <c r="AL502">
        <f t="shared" si="105"/>
        <v>19.066499725202146</v>
      </c>
      <c r="AM502">
        <f t="shared" si="106"/>
        <v>18.72718448532417</v>
      </c>
    </row>
    <row r="503" spans="1:39" ht="16.5" x14ac:dyDescent="0.25">
      <c r="A503" s="1">
        <v>44979</v>
      </c>
      <c r="B503" s="5">
        <v>18.27</v>
      </c>
      <c r="C503" s="4">
        <v>18.27</v>
      </c>
      <c r="D503" s="4">
        <v>18.34</v>
      </c>
      <c r="E503" s="4">
        <v>17.84</v>
      </c>
      <c r="F503" s="4" t="s">
        <v>1732</v>
      </c>
      <c r="G503" s="2" t="s">
        <v>1388</v>
      </c>
      <c r="I503">
        <f t="shared" si="94"/>
        <v>18.901052631578949</v>
      </c>
      <c r="J503">
        <f t="shared" si="95"/>
        <v>18.936896551724136</v>
      </c>
      <c r="L503">
        <f t="shared" si="96"/>
        <v>0</v>
      </c>
      <c r="M503">
        <f t="shared" si="97"/>
        <v>1</v>
      </c>
      <c r="O503">
        <f t="shared" si="98"/>
        <v>0</v>
      </c>
      <c r="P503">
        <f t="shared" si="99"/>
        <v>0</v>
      </c>
      <c r="R503">
        <f t="shared" si="100"/>
        <v>0.1033333333333335</v>
      </c>
      <c r="S503">
        <f t="shared" si="101"/>
        <v>0.22750000000000004</v>
      </c>
      <c r="AH503">
        <f t="shared" si="102"/>
        <v>8.4530349003418506E-2</v>
      </c>
      <c r="AI503">
        <f t="shared" si="103"/>
        <v>7.4444427159199584</v>
      </c>
      <c r="AJ503">
        <f t="shared" si="104"/>
        <v>30.35766254723794</v>
      </c>
      <c r="AL503">
        <f t="shared" si="105"/>
        <v>19.070113329585787</v>
      </c>
      <c r="AM503">
        <f t="shared" si="106"/>
        <v>18.731991933572111</v>
      </c>
    </row>
    <row r="504" spans="1:39" ht="16.5" x14ac:dyDescent="0.25">
      <c r="A504" s="1">
        <v>44978</v>
      </c>
      <c r="B504" s="5">
        <v>18.41</v>
      </c>
      <c r="C504" s="4">
        <v>18.86</v>
      </c>
      <c r="D504" s="4">
        <v>18.86</v>
      </c>
      <c r="E504" s="4">
        <v>18.34</v>
      </c>
      <c r="F504" s="4" t="s">
        <v>683</v>
      </c>
      <c r="G504" s="2" t="s">
        <v>1604</v>
      </c>
      <c r="I504">
        <f t="shared" si="94"/>
        <v>18.931052631578943</v>
      </c>
      <c r="J504">
        <f t="shared" si="95"/>
        <v>18.960714285714282</v>
      </c>
      <c r="L504">
        <f t="shared" si="96"/>
        <v>0</v>
      </c>
      <c r="M504">
        <f t="shared" si="97"/>
        <v>1</v>
      </c>
      <c r="O504">
        <f t="shared" si="98"/>
        <v>0</v>
      </c>
      <c r="P504">
        <f t="shared" si="99"/>
        <v>0.44999999999999929</v>
      </c>
      <c r="R504">
        <f t="shared" si="100"/>
        <v>0.16428571428571409</v>
      </c>
      <c r="S504">
        <f t="shared" si="101"/>
        <v>0.26000000000000006</v>
      </c>
      <c r="AH504">
        <f t="shared" si="102"/>
        <v>8.4250317621126211E-2</v>
      </c>
      <c r="AI504">
        <f t="shared" si="103"/>
        <v>7.4744427159199525</v>
      </c>
      <c r="AJ504">
        <f t="shared" si="104"/>
        <v>30.387662547237934</v>
      </c>
      <c r="AL504">
        <f t="shared" si="105"/>
        <v>19.099553266821196</v>
      </c>
      <c r="AM504">
        <f t="shared" si="106"/>
        <v>18.76255199633669</v>
      </c>
    </row>
    <row r="505" spans="1:39" ht="16.5" x14ac:dyDescent="0.25">
      <c r="A505" s="1">
        <v>44977</v>
      </c>
      <c r="B505" s="5">
        <v>18.91</v>
      </c>
      <c r="C505" s="4">
        <v>19.21</v>
      </c>
      <c r="D505" s="4">
        <v>19.25</v>
      </c>
      <c r="E505" s="4">
        <v>18.8</v>
      </c>
      <c r="F505" s="4" t="s">
        <v>101</v>
      </c>
      <c r="G505" s="2" t="s">
        <v>102</v>
      </c>
      <c r="I505">
        <f t="shared" si="94"/>
        <v>18.950526315789471</v>
      </c>
      <c r="J505">
        <f t="shared" si="95"/>
        <v>18.981111111111108</v>
      </c>
      <c r="L505">
        <f t="shared" si="96"/>
        <v>0</v>
      </c>
      <c r="M505">
        <f t="shared" si="97"/>
        <v>1</v>
      </c>
      <c r="O505">
        <f t="shared" si="98"/>
        <v>0</v>
      </c>
      <c r="P505">
        <f t="shared" si="99"/>
        <v>0.30000000000000071</v>
      </c>
      <c r="R505">
        <f t="shared" si="100"/>
        <v>0.16428571428571409</v>
      </c>
      <c r="S505">
        <f t="shared" si="101"/>
        <v>0.24857142857142886</v>
      </c>
      <c r="AH505">
        <f t="shared" si="102"/>
        <v>8.4916612046716661E-2</v>
      </c>
      <c r="AI505">
        <f t="shared" si="103"/>
        <v>7.4939164001304803</v>
      </c>
      <c r="AJ505">
        <f t="shared" si="104"/>
        <v>30.407136231448462</v>
      </c>
      <c r="AL505">
        <f t="shared" si="105"/>
        <v>19.120359539882905</v>
      </c>
      <c r="AM505">
        <f t="shared" si="106"/>
        <v>18.780693091696037</v>
      </c>
    </row>
    <row r="506" spans="1:39" ht="16.5" x14ac:dyDescent="0.25">
      <c r="A506" s="1">
        <v>44974</v>
      </c>
      <c r="B506" s="5">
        <v>19.2</v>
      </c>
      <c r="C506" s="4">
        <v>19.21</v>
      </c>
      <c r="D506" s="4">
        <v>19.350000000000001</v>
      </c>
      <c r="E506" s="4">
        <v>18.96</v>
      </c>
      <c r="F506" s="4" t="s">
        <v>1533</v>
      </c>
      <c r="G506" s="2" t="s">
        <v>1834</v>
      </c>
      <c r="I506">
        <f t="shared" si="94"/>
        <v>18.952105263157893</v>
      </c>
      <c r="J506">
        <f t="shared" si="95"/>
        <v>18.983846153846152</v>
      </c>
      <c r="L506">
        <f t="shared" si="96"/>
        <v>0</v>
      </c>
      <c r="M506">
        <f t="shared" si="97"/>
        <v>1</v>
      </c>
      <c r="O506">
        <f t="shared" si="98"/>
        <v>0</v>
      </c>
      <c r="P506">
        <f t="shared" si="99"/>
        <v>1.0000000000001563E-2</v>
      </c>
      <c r="R506">
        <f t="shared" si="100"/>
        <v>0.16124999999999989</v>
      </c>
      <c r="S506">
        <f t="shared" si="101"/>
        <v>0.24000000000000021</v>
      </c>
      <c r="AH506">
        <f t="shared" si="102"/>
        <v>8.6083356836929623E-2</v>
      </c>
      <c r="AI506">
        <f t="shared" si="103"/>
        <v>7.4954953474989026</v>
      </c>
      <c r="AJ506">
        <f t="shared" si="104"/>
        <v>30.408715178816884</v>
      </c>
      <c r="AL506">
        <f t="shared" si="105"/>
        <v>19.124271976831754</v>
      </c>
      <c r="AM506">
        <f t="shared" si="106"/>
        <v>18.779938549484033</v>
      </c>
    </row>
    <row r="507" spans="1:39" ht="16.5" x14ac:dyDescent="0.25">
      <c r="A507" s="1">
        <v>44973</v>
      </c>
      <c r="B507" s="5">
        <v>19.46</v>
      </c>
      <c r="C507" s="4">
        <v>19.32</v>
      </c>
      <c r="D507" s="4">
        <v>19.53</v>
      </c>
      <c r="E507" s="4">
        <v>19.09</v>
      </c>
      <c r="F507" s="4" t="s">
        <v>1424</v>
      </c>
      <c r="G507" s="2" t="s">
        <v>558</v>
      </c>
      <c r="I507">
        <f t="shared" si="94"/>
        <v>18.948947368421049</v>
      </c>
      <c r="J507">
        <f t="shared" si="95"/>
        <v>18.975199999999997</v>
      </c>
      <c r="L507">
        <f t="shared" si="96"/>
        <v>1</v>
      </c>
      <c r="M507">
        <f t="shared" si="97"/>
        <v>0</v>
      </c>
      <c r="O507">
        <f t="shared" si="98"/>
        <v>0.14000000000000057</v>
      </c>
      <c r="P507">
        <f t="shared" si="99"/>
        <v>0</v>
      </c>
      <c r="R507">
        <f t="shared" si="100"/>
        <v>0.15999999999999975</v>
      </c>
      <c r="S507">
        <f t="shared" si="101"/>
        <v>0.28599999999999992</v>
      </c>
      <c r="AH507">
        <f t="shared" si="102"/>
        <v>8.7324341167650643E-2</v>
      </c>
      <c r="AI507">
        <f t="shared" si="103"/>
        <v>7.4923374527620581</v>
      </c>
      <c r="AJ507">
        <f t="shared" si="104"/>
        <v>30.405557284080039</v>
      </c>
      <c r="AL507">
        <f t="shared" si="105"/>
        <v>19.123596050756351</v>
      </c>
      <c r="AM507">
        <f t="shared" si="106"/>
        <v>18.774298686085746</v>
      </c>
    </row>
    <row r="508" spans="1:39" ht="16.5" x14ac:dyDescent="0.25">
      <c r="A508" s="1">
        <v>44972</v>
      </c>
      <c r="B508" s="5">
        <v>19.170000000000002</v>
      </c>
      <c r="C508" s="4">
        <v>19.14</v>
      </c>
      <c r="D508" s="4">
        <v>19.27</v>
      </c>
      <c r="E508" s="4">
        <v>19.010000000000002</v>
      </c>
      <c r="F508" s="4" t="s">
        <v>1464</v>
      </c>
      <c r="G508" s="2" t="s">
        <v>1004</v>
      </c>
      <c r="I508">
        <f t="shared" si="94"/>
        <v>18.918421052631579</v>
      </c>
      <c r="J508">
        <f t="shared" si="95"/>
        <v>18.955000000000002</v>
      </c>
      <c r="L508">
        <f t="shared" si="96"/>
        <v>1</v>
      </c>
      <c r="M508">
        <f t="shared" si="97"/>
        <v>0</v>
      </c>
      <c r="O508">
        <f t="shared" si="98"/>
        <v>3.0000000000001137E-2</v>
      </c>
      <c r="P508">
        <f t="shared" si="99"/>
        <v>0</v>
      </c>
      <c r="R508">
        <f t="shared" si="100"/>
        <v>0.16888888888888845</v>
      </c>
      <c r="S508">
        <f t="shared" si="101"/>
        <v>0.28599999999999992</v>
      </c>
      <c r="AH508">
        <f t="shared" si="102"/>
        <v>8.8527047356363645E-2</v>
      </c>
      <c r="AI508">
        <f t="shared" si="103"/>
        <v>7.4618111369725888</v>
      </c>
      <c r="AJ508">
        <f t="shared" si="104"/>
        <v>30.37503096829057</v>
      </c>
      <c r="AL508">
        <f t="shared" si="105"/>
        <v>19.095475147344306</v>
      </c>
      <c r="AM508">
        <f t="shared" si="106"/>
        <v>18.741366957918853</v>
      </c>
    </row>
    <row r="509" spans="1:39" ht="16.5" x14ac:dyDescent="0.25">
      <c r="A509" s="1">
        <v>44971</v>
      </c>
      <c r="B509" s="5">
        <v>19</v>
      </c>
      <c r="C509" s="4">
        <v>19.18</v>
      </c>
      <c r="D509" s="4">
        <v>19.260000000000002</v>
      </c>
      <c r="E509" s="4">
        <v>18.95</v>
      </c>
      <c r="F509" s="4" t="s">
        <v>1484</v>
      </c>
      <c r="G509" s="2" t="s">
        <v>1565</v>
      </c>
      <c r="I509">
        <f t="shared" si="94"/>
        <v>18.895789473684207</v>
      </c>
      <c r="J509">
        <f t="shared" si="95"/>
        <v>18.945652173913039</v>
      </c>
      <c r="L509">
        <f t="shared" si="96"/>
        <v>0</v>
      </c>
      <c r="M509">
        <f t="shared" si="97"/>
        <v>1</v>
      </c>
      <c r="O509">
        <f t="shared" si="98"/>
        <v>0</v>
      </c>
      <c r="P509">
        <f t="shared" si="99"/>
        <v>0.17999999999999972</v>
      </c>
      <c r="R509">
        <f t="shared" si="100"/>
        <v>0.16777777777777717</v>
      </c>
      <c r="S509">
        <f t="shared" si="101"/>
        <v>0.28599999999999992</v>
      </c>
      <c r="AH509">
        <f t="shared" si="102"/>
        <v>8.8641700103204157E-2</v>
      </c>
      <c r="AI509">
        <f t="shared" si="103"/>
        <v>7.4391795580252165</v>
      </c>
      <c r="AJ509">
        <f t="shared" si="104"/>
        <v>30.352399389343198</v>
      </c>
      <c r="AL509">
        <f t="shared" si="105"/>
        <v>19.073072873890617</v>
      </c>
      <c r="AM509">
        <f t="shared" si="106"/>
        <v>18.718506073477798</v>
      </c>
    </row>
    <row r="510" spans="1:39" ht="16.5" x14ac:dyDescent="0.25">
      <c r="A510" s="1">
        <v>44970</v>
      </c>
      <c r="B510" s="5">
        <v>19.11</v>
      </c>
      <c r="C510" s="4">
        <v>18.91</v>
      </c>
      <c r="D510" s="4">
        <v>19.22</v>
      </c>
      <c r="E510" s="4">
        <v>18.91</v>
      </c>
      <c r="F510" s="4" t="s">
        <v>50</v>
      </c>
      <c r="G510" s="2" t="s">
        <v>642</v>
      </c>
      <c r="I510">
        <f t="shared" si="94"/>
        <v>18.904736842105262</v>
      </c>
      <c r="J510">
        <f t="shared" si="95"/>
        <v>18.943181818181817</v>
      </c>
      <c r="L510">
        <f t="shared" si="96"/>
        <v>1</v>
      </c>
      <c r="M510">
        <f t="shared" si="97"/>
        <v>0</v>
      </c>
      <c r="O510">
        <f t="shared" si="98"/>
        <v>0.19999999999999929</v>
      </c>
      <c r="P510">
        <f t="shared" si="99"/>
        <v>0</v>
      </c>
      <c r="R510">
        <f t="shared" si="100"/>
        <v>0.16777777777777717</v>
      </c>
      <c r="S510">
        <f t="shared" si="101"/>
        <v>0.29399999999999976</v>
      </c>
      <c r="AH510">
        <f t="shared" si="102"/>
        <v>8.7316831800206857E-2</v>
      </c>
      <c r="AI510">
        <f t="shared" si="103"/>
        <v>7.4481269264462711</v>
      </c>
      <c r="AJ510">
        <f t="shared" si="104"/>
        <v>30.361346757764252</v>
      </c>
      <c r="AL510">
        <f t="shared" si="105"/>
        <v>19.079370505705675</v>
      </c>
      <c r="AM510">
        <f t="shared" si="106"/>
        <v>18.730103178504848</v>
      </c>
    </row>
    <row r="511" spans="1:39" ht="16.5" x14ac:dyDescent="0.25">
      <c r="A511" s="1">
        <v>44967</v>
      </c>
      <c r="B511" s="5">
        <v>18.91</v>
      </c>
      <c r="C511" s="4">
        <v>18.82</v>
      </c>
      <c r="D511" s="4">
        <v>19.059999999999999</v>
      </c>
      <c r="E511" s="4">
        <v>18.61</v>
      </c>
      <c r="F511" s="4" t="s">
        <v>1414</v>
      </c>
      <c r="G511" s="2" t="s">
        <v>69</v>
      </c>
      <c r="I511">
        <f t="shared" si="94"/>
        <v>18.921578947368424</v>
      </c>
      <c r="J511">
        <f t="shared" si="95"/>
        <v>18.935238095238098</v>
      </c>
      <c r="L511">
        <f t="shared" si="96"/>
        <v>1</v>
      </c>
      <c r="M511">
        <f t="shared" si="97"/>
        <v>0</v>
      </c>
      <c r="O511">
        <f t="shared" si="98"/>
        <v>8.9999999999999858E-2</v>
      </c>
      <c r="P511">
        <f t="shared" si="99"/>
        <v>0</v>
      </c>
      <c r="R511">
        <f t="shared" si="100"/>
        <v>0.1637499999999994</v>
      </c>
      <c r="S511">
        <f t="shared" si="101"/>
        <v>0.29666666666666625</v>
      </c>
      <c r="AH511">
        <f t="shared" si="102"/>
        <v>8.6087778379649121E-2</v>
      </c>
      <c r="AI511">
        <f t="shared" si="103"/>
        <v>7.4649690317094333</v>
      </c>
      <c r="AJ511">
        <f t="shared" si="104"/>
        <v>30.378188863027415</v>
      </c>
      <c r="AL511">
        <f t="shared" si="105"/>
        <v>19.093754504127723</v>
      </c>
      <c r="AM511">
        <f t="shared" si="106"/>
        <v>18.749403390609125</v>
      </c>
    </row>
    <row r="512" spans="1:39" ht="16.5" x14ac:dyDescent="0.25">
      <c r="A512" s="1">
        <v>44966</v>
      </c>
      <c r="B512" s="5">
        <v>18.95</v>
      </c>
      <c r="C512" s="4">
        <v>18.89</v>
      </c>
      <c r="D512" s="4">
        <v>19.16</v>
      </c>
      <c r="E512" s="4">
        <v>18.79</v>
      </c>
      <c r="F512" s="4" t="s">
        <v>1600</v>
      </c>
      <c r="G512" s="2" t="s">
        <v>758</v>
      </c>
      <c r="I512">
        <f t="shared" si="94"/>
        <v>18.944210526315789</v>
      </c>
      <c r="J512">
        <f t="shared" si="95"/>
        <v>18.936500000000002</v>
      </c>
      <c r="L512">
        <f t="shared" si="96"/>
        <v>1</v>
      </c>
      <c r="M512">
        <f t="shared" si="97"/>
        <v>0</v>
      </c>
      <c r="O512">
        <f t="shared" si="98"/>
        <v>5.9999999999998721E-2</v>
      </c>
      <c r="P512">
        <f t="shared" si="99"/>
        <v>0</v>
      </c>
      <c r="R512">
        <f t="shared" si="100"/>
        <v>0.15624999999999956</v>
      </c>
      <c r="S512">
        <f t="shared" si="101"/>
        <v>0.29666666666666625</v>
      </c>
      <c r="AH512">
        <f t="shared" si="102"/>
        <v>8.5469517186798349E-2</v>
      </c>
      <c r="AI512">
        <f t="shared" si="103"/>
        <v>7.4876006106567985</v>
      </c>
      <c r="AJ512">
        <f t="shared" si="104"/>
        <v>30.40082044197478</v>
      </c>
      <c r="AL512">
        <f t="shared" si="105"/>
        <v>19.115149560689385</v>
      </c>
      <c r="AM512">
        <f t="shared" si="106"/>
        <v>18.773271491942193</v>
      </c>
    </row>
    <row r="513" spans="1:39" ht="16.5" x14ac:dyDescent="0.25">
      <c r="A513" s="1">
        <v>44965</v>
      </c>
      <c r="B513" s="5">
        <v>18.46</v>
      </c>
      <c r="C513" s="4">
        <v>18.36</v>
      </c>
      <c r="D513" s="4">
        <v>19.07</v>
      </c>
      <c r="E513" s="4">
        <v>18.23</v>
      </c>
      <c r="F513" s="4" t="s">
        <v>1407</v>
      </c>
      <c r="G513" s="2" t="s">
        <v>1154</v>
      </c>
      <c r="I513">
        <f t="shared" si="94"/>
        <v>18.935789473684213</v>
      </c>
      <c r="J513">
        <f t="shared" si="95"/>
        <v>18.935789473684213</v>
      </c>
      <c r="L513">
        <f t="shared" si="96"/>
        <v>1</v>
      </c>
      <c r="M513">
        <f t="shared" si="97"/>
        <v>0</v>
      </c>
      <c r="O513">
        <f t="shared" si="98"/>
        <v>0.10000000000000142</v>
      </c>
      <c r="P513">
        <f t="shared" si="99"/>
        <v>0</v>
      </c>
      <c r="R513">
        <f t="shared" si="100"/>
        <v>0.22749999999999959</v>
      </c>
      <c r="S513">
        <f t="shared" si="101"/>
        <v>0.29666666666666625</v>
      </c>
      <c r="AH513">
        <f t="shared" si="102"/>
        <v>8.5822186945689577E-2</v>
      </c>
      <c r="AI513">
        <f t="shared" si="103"/>
        <v>7.4791795580252227</v>
      </c>
      <c r="AJ513">
        <f t="shared" si="104"/>
        <v>30.392399389343204</v>
      </c>
      <c r="AL513">
        <f t="shared" si="105"/>
        <v>19.107433847575592</v>
      </c>
      <c r="AM513">
        <f t="shared" si="106"/>
        <v>18.764145099792835</v>
      </c>
    </row>
    <row r="514" spans="1:39" ht="16.5" x14ac:dyDescent="0.25">
      <c r="A514" s="1">
        <v>44964</v>
      </c>
      <c r="B514" s="5">
        <v>18.2</v>
      </c>
      <c r="C514" s="4">
        <v>18.399999999999999</v>
      </c>
      <c r="D514" s="4">
        <v>18.77</v>
      </c>
      <c r="E514" s="4">
        <v>17.7</v>
      </c>
      <c r="F514" s="4" t="s">
        <v>1962</v>
      </c>
      <c r="G514" s="2" t="s">
        <v>1963</v>
      </c>
      <c r="I514">
        <f t="shared" ref="I514:I531" si="107">AVERAGE(B514:B532)</f>
        <v>18.962222222222223</v>
      </c>
      <c r="J514">
        <f t="shared" ref="J514:J531" si="108">AVERAGE(B514:B553)</f>
        <v>18.962222222222223</v>
      </c>
      <c r="L514">
        <f t="shared" si="96"/>
        <v>0</v>
      </c>
      <c r="M514">
        <f t="shared" si="97"/>
        <v>1</v>
      </c>
      <c r="O514">
        <f t="shared" si="98"/>
        <v>0</v>
      </c>
      <c r="P514">
        <f t="shared" si="99"/>
        <v>0.19999999999999929</v>
      </c>
      <c r="R514">
        <f t="shared" si="100"/>
        <v>0.24571428571428505</v>
      </c>
      <c r="S514">
        <f t="shared" si="101"/>
        <v>0.29714285714285688</v>
      </c>
      <c r="AH514">
        <f t="shared" si="102"/>
        <v>8.5459467908371139E-2</v>
      </c>
      <c r="AI514">
        <f t="shared" si="103"/>
        <v>7.5056123065632327</v>
      </c>
      <c r="AJ514">
        <f t="shared" si="104"/>
        <v>30.418832137881214</v>
      </c>
      <c r="AL514">
        <f t="shared" si="105"/>
        <v>19.133141158038967</v>
      </c>
      <c r="AM514">
        <f t="shared" si="106"/>
        <v>18.79130328640548</v>
      </c>
    </row>
    <row r="515" spans="1:39" ht="16.5" x14ac:dyDescent="0.25">
      <c r="A515" s="1">
        <v>44963</v>
      </c>
      <c r="B515" s="5">
        <v>18.62</v>
      </c>
      <c r="C515" s="4">
        <v>18.91</v>
      </c>
      <c r="D515" s="4">
        <v>18.98</v>
      </c>
      <c r="E515" s="4">
        <v>18.52</v>
      </c>
      <c r="F515" s="4" t="s">
        <v>1400</v>
      </c>
      <c r="G515" s="2" t="s">
        <v>1886</v>
      </c>
      <c r="I515">
        <f t="shared" si="107"/>
        <v>19.007058823529412</v>
      </c>
      <c r="J515">
        <f t="shared" si="108"/>
        <v>19.007058823529412</v>
      </c>
      <c r="L515">
        <f t="shared" ref="L515:L531" si="109">IF($C515&lt;$B515,1,0)</f>
        <v>0</v>
      </c>
      <c r="M515">
        <f t="shared" ref="M515:M531" si="110">IF($C515&lt;$B515,0,1)</f>
        <v>1</v>
      </c>
      <c r="O515">
        <f t="shared" ref="O515:O531" si="111">IF($C515&lt;$B515,B515-C515,0)</f>
        <v>0</v>
      </c>
      <c r="P515">
        <f t="shared" ref="P515:P531" si="112">IF($B515&lt;$C515,C515-B515,0)</f>
        <v>0.28999999999999915</v>
      </c>
      <c r="R515">
        <f t="shared" ref="R515:R531" si="113">SUM(O515:O528)/SUM(L515:L528)</f>
        <v>0.24571428571428505</v>
      </c>
      <c r="S515">
        <f t="shared" ref="S515:S531" si="114">SUM(P515:P528)/SUM(M515:M528)</f>
        <v>0.30285714285714249</v>
      </c>
      <c r="AH515">
        <f t="shared" ref="AH515:AH531" si="115">_xlfn.STDEV.S(I515:I1045)</f>
        <v>8.63430096394327E-2</v>
      </c>
      <c r="AI515">
        <f t="shared" ref="AI515:AI531" si="116">I515-$AH$2</f>
        <v>7.5504489078704218</v>
      </c>
      <c r="AJ515">
        <f t="shared" ref="AJ515:AJ531" si="117">I515+$AH$2</f>
        <v>30.463668739188403</v>
      </c>
      <c r="AL515">
        <f t="shared" ref="AL515:AL531" si="118">I515+(AH515*2)</f>
        <v>19.17974484280828</v>
      </c>
      <c r="AM515">
        <f t="shared" ref="AM515:AM531" si="119">I515-(AH515*2)</f>
        <v>18.834372804250545</v>
      </c>
    </row>
    <row r="516" spans="1:39" ht="16.5" x14ac:dyDescent="0.25">
      <c r="A516" s="1">
        <v>44960</v>
      </c>
      <c r="B516" s="5">
        <v>19.09</v>
      </c>
      <c r="C516" s="4">
        <v>19.48</v>
      </c>
      <c r="D516" s="4">
        <v>19.48</v>
      </c>
      <c r="E516" s="4">
        <v>18.93</v>
      </c>
      <c r="F516" s="4" t="s">
        <v>1412</v>
      </c>
      <c r="G516" s="2" t="s">
        <v>1218</v>
      </c>
      <c r="I516">
        <f t="shared" si="107"/>
        <v>19.03125</v>
      </c>
      <c r="J516">
        <f t="shared" si="108"/>
        <v>19.03125</v>
      </c>
      <c r="L516">
        <f t="shared" si="109"/>
        <v>0</v>
      </c>
      <c r="M516">
        <f t="shared" si="110"/>
        <v>1</v>
      </c>
      <c r="O516">
        <f t="shared" si="111"/>
        <v>0</v>
      </c>
      <c r="P516">
        <f t="shared" si="112"/>
        <v>0.39000000000000057</v>
      </c>
      <c r="R516">
        <f t="shared" si="113"/>
        <v>0.23749999999999938</v>
      </c>
      <c r="S516">
        <f t="shared" si="114"/>
        <v>0.30499999999999972</v>
      </c>
      <c r="AH516">
        <f t="shared" si="115"/>
        <v>8.8884547927611926E-2</v>
      </c>
      <c r="AI516">
        <f t="shared" si="116"/>
        <v>7.5746400843410093</v>
      </c>
      <c r="AJ516">
        <f t="shared" si="117"/>
        <v>30.487859915658991</v>
      </c>
      <c r="AL516">
        <f t="shared" si="118"/>
        <v>19.209019095855226</v>
      </c>
      <c r="AM516">
        <f t="shared" si="119"/>
        <v>18.853480904144774</v>
      </c>
    </row>
    <row r="517" spans="1:39" ht="16.5" x14ac:dyDescent="0.25">
      <c r="A517" s="1">
        <v>44959</v>
      </c>
      <c r="B517" s="5">
        <v>19.54</v>
      </c>
      <c r="C517" s="4">
        <v>19.010000000000002</v>
      </c>
      <c r="D517" s="4">
        <v>19.68</v>
      </c>
      <c r="E517" s="4">
        <v>19.010000000000002</v>
      </c>
      <c r="F517" s="4" t="s">
        <v>1570</v>
      </c>
      <c r="G517" s="2" t="s">
        <v>1964</v>
      </c>
      <c r="I517">
        <f t="shared" si="107"/>
        <v>19.027333333333335</v>
      </c>
      <c r="J517">
        <f t="shared" si="108"/>
        <v>19.027333333333335</v>
      </c>
      <c r="L517">
        <f t="shared" si="109"/>
        <v>1</v>
      </c>
      <c r="M517">
        <f t="shared" si="110"/>
        <v>0</v>
      </c>
      <c r="O517">
        <f t="shared" si="111"/>
        <v>0.52999999999999758</v>
      </c>
      <c r="P517">
        <f t="shared" si="112"/>
        <v>0</v>
      </c>
      <c r="R517">
        <f t="shared" si="113"/>
        <v>0.25333333333333269</v>
      </c>
      <c r="S517">
        <f t="shared" si="114"/>
        <v>0.28799999999999953</v>
      </c>
      <c r="AH517">
        <f t="shared" si="115"/>
        <v>9.199585309840129E-2</v>
      </c>
      <c r="AI517">
        <f t="shared" si="116"/>
        <v>7.5707234176743441</v>
      </c>
      <c r="AJ517">
        <f t="shared" si="117"/>
        <v>30.483943248992325</v>
      </c>
      <c r="AL517">
        <f t="shared" si="118"/>
        <v>19.211325039530138</v>
      </c>
      <c r="AM517">
        <f t="shared" si="119"/>
        <v>18.843341627136532</v>
      </c>
    </row>
    <row r="518" spans="1:39" ht="16.5" x14ac:dyDescent="0.25">
      <c r="A518" s="1">
        <v>44958</v>
      </c>
      <c r="B518" s="5">
        <v>18.809999999999999</v>
      </c>
      <c r="C518" s="4">
        <v>19.18</v>
      </c>
      <c r="D518" s="4">
        <v>19.420000000000002</v>
      </c>
      <c r="E518" s="4">
        <v>18.75</v>
      </c>
      <c r="F518" s="4" t="s">
        <v>1561</v>
      </c>
      <c r="G518" s="2" t="s">
        <v>73</v>
      </c>
      <c r="I518">
        <f t="shared" si="107"/>
        <v>18.990714285714287</v>
      </c>
      <c r="J518">
        <f t="shared" si="108"/>
        <v>18.990714285714287</v>
      </c>
      <c r="L518">
        <f t="shared" si="109"/>
        <v>0</v>
      </c>
      <c r="M518">
        <f t="shared" si="110"/>
        <v>1</v>
      </c>
      <c r="O518">
        <f t="shared" si="111"/>
        <v>0</v>
      </c>
      <c r="P518">
        <f t="shared" si="112"/>
        <v>0.37000000000000099</v>
      </c>
      <c r="R518">
        <f t="shared" si="113"/>
        <v>0.21874999999999956</v>
      </c>
      <c r="S518">
        <f t="shared" si="114"/>
        <v>0.24166666666666656</v>
      </c>
      <c r="AH518">
        <f t="shared" si="115"/>
        <v>9.5435785230385692E-2</v>
      </c>
      <c r="AI518">
        <f t="shared" si="116"/>
        <v>7.5341043700552959</v>
      </c>
      <c r="AJ518">
        <f t="shared" si="117"/>
        <v>30.447324201373277</v>
      </c>
      <c r="AL518">
        <f t="shared" si="118"/>
        <v>19.181585856175058</v>
      </c>
      <c r="AM518">
        <f t="shared" si="119"/>
        <v>18.799842715253515</v>
      </c>
    </row>
    <row r="519" spans="1:39" ht="16.5" x14ac:dyDescent="0.25">
      <c r="A519" s="1">
        <v>44957</v>
      </c>
      <c r="B519" s="5">
        <v>19.12</v>
      </c>
      <c r="C519" s="4">
        <v>18.98</v>
      </c>
      <c r="D519" s="4">
        <v>19.12</v>
      </c>
      <c r="E519" s="4">
        <v>18.850000000000001</v>
      </c>
      <c r="F519" s="4" t="s">
        <v>1600</v>
      </c>
      <c r="G519" s="2" t="s">
        <v>45</v>
      </c>
      <c r="I519">
        <f t="shared" si="107"/>
        <v>19.004615384615384</v>
      </c>
      <c r="J519">
        <f t="shared" si="108"/>
        <v>19.004615384615384</v>
      </c>
      <c r="L519">
        <f t="shared" si="109"/>
        <v>1</v>
      </c>
      <c r="M519">
        <f t="shared" si="110"/>
        <v>0</v>
      </c>
      <c r="O519">
        <f t="shared" si="111"/>
        <v>0.14000000000000057</v>
      </c>
      <c r="P519">
        <f t="shared" si="112"/>
        <v>0</v>
      </c>
      <c r="R519">
        <f t="shared" si="113"/>
        <v>0.21874999999999956</v>
      </c>
      <c r="S519">
        <f t="shared" si="114"/>
        <v>0.21599999999999966</v>
      </c>
      <c r="AH519">
        <f t="shared" si="115"/>
        <v>9.8373827795005434E-2</v>
      </c>
      <c r="AI519">
        <f t="shared" si="116"/>
        <v>7.5480054689563936</v>
      </c>
      <c r="AJ519">
        <f t="shared" si="117"/>
        <v>30.461225300274375</v>
      </c>
      <c r="AL519">
        <f t="shared" si="118"/>
        <v>19.201363040205393</v>
      </c>
      <c r="AM519">
        <f t="shared" si="119"/>
        <v>18.807867729025375</v>
      </c>
    </row>
    <row r="520" spans="1:39" ht="16.5" x14ac:dyDescent="0.25">
      <c r="A520" s="1">
        <v>44956</v>
      </c>
      <c r="B520" s="5">
        <v>19</v>
      </c>
      <c r="C520" s="4">
        <v>18.850000000000001</v>
      </c>
      <c r="D520" s="4">
        <v>19</v>
      </c>
      <c r="E520" s="4">
        <v>18.37</v>
      </c>
      <c r="F520" s="4" t="s">
        <v>1579</v>
      </c>
      <c r="G520" s="2" t="s">
        <v>697</v>
      </c>
      <c r="I520">
        <f t="shared" si="107"/>
        <v>18.995000000000001</v>
      </c>
      <c r="J520">
        <f t="shared" si="108"/>
        <v>18.995000000000001</v>
      </c>
      <c r="L520">
        <f t="shared" si="109"/>
        <v>1</v>
      </c>
      <c r="M520">
        <f t="shared" si="110"/>
        <v>0</v>
      </c>
      <c r="O520">
        <f t="shared" si="111"/>
        <v>0.14999999999999858</v>
      </c>
      <c r="P520">
        <f t="shared" si="112"/>
        <v>0</v>
      </c>
      <c r="R520">
        <f t="shared" si="113"/>
        <v>0.2299999999999994</v>
      </c>
      <c r="S520">
        <f t="shared" si="114"/>
        <v>0.21599999999999966</v>
      </c>
      <c r="AH520">
        <f t="shared" si="115"/>
        <v>0.1021390664421377</v>
      </c>
      <c r="AI520">
        <f t="shared" si="116"/>
        <v>7.5383900843410103</v>
      </c>
      <c r="AJ520">
        <f t="shared" si="117"/>
        <v>30.451609915658992</v>
      </c>
      <c r="AL520">
        <f t="shared" si="118"/>
        <v>19.199278132884277</v>
      </c>
      <c r="AM520">
        <f t="shared" si="119"/>
        <v>18.790721867115725</v>
      </c>
    </row>
    <row r="521" spans="1:39" ht="16.5" x14ac:dyDescent="0.25">
      <c r="A521" s="1">
        <v>44953</v>
      </c>
      <c r="B521" s="5">
        <v>18.89</v>
      </c>
      <c r="C521" s="4">
        <v>18.670000000000002</v>
      </c>
      <c r="D521" s="4">
        <v>19.29</v>
      </c>
      <c r="E521" s="4">
        <v>18.57</v>
      </c>
      <c r="F521" s="4" t="s">
        <v>1435</v>
      </c>
      <c r="G521" s="2" t="s">
        <v>459</v>
      </c>
      <c r="I521">
        <f t="shared" si="107"/>
        <v>18.994545454545456</v>
      </c>
      <c r="J521">
        <f t="shared" si="108"/>
        <v>18.994545454545456</v>
      </c>
      <c r="L521">
        <f t="shared" si="109"/>
        <v>1</v>
      </c>
      <c r="M521">
        <f t="shared" si="110"/>
        <v>0</v>
      </c>
      <c r="O521">
        <f t="shared" si="111"/>
        <v>0.21999999999999886</v>
      </c>
      <c r="P521">
        <f t="shared" si="112"/>
        <v>0</v>
      </c>
      <c r="R521">
        <f t="shared" si="113"/>
        <v>0.24333333333333287</v>
      </c>
      <c r="S521">
        <f t="shared" si="114"/>
        <v>0.21599999999999966</v>
      </c>
      <c r="AH521">
        <f t="shared" si="115"/>
        <v>0.10593592895764277</v>
      </c>
      <c r="AI521">
        <f t="shared" si="116"/>
        <v>7.5379355388864653</v>
      </c>
      <c r="AJ521">
        <f t="shared" si="117"/>
        <v>30.451155370204447</v>
      </c>
      <c r="AL521">
        <f t="shared" si="118"/>
        <v>19.20641731246074</v>
      </c>
      <c r="AM521">
        <f t="shared" si="119"/>
        <v>18.782673596630172</v>
      </c>
    </row>
    <row r="522" spans="1:39" ht="16.5" x14ac:dyDescent="0.25">
      <c r="A522" s="1">
        <v>44952</v>
      </c>
      <c r="B522" s="5">
        <v>18.84</v>
      </c>
      <c r="C522" s="4">
        <v>18.82</v>
      </c>
      <c r="D522" s="4">
        <v>18.98</v>
      </c>
      <c r="E522" s="4">
        <v>18.52</v>
      </c>
      <c r="F522" s="4" t="s">
        <v>1732</v>
      </c>
      <c r="G522" s="2" t="s">
        <v>245</v>
      </c>
      <c r="I522">
        <f t="shared" si="107"/>
        <v>19.005000000000003</v>
      </c>
      <c r="J522">
        <f t="shared" si="108"/>
        <v>19.005000000000003</v>
      </c>
      <c r="L522">
        <f t="shared" si="109"/>
        <v>1</v>
      </c>
      <c r="M522">
        <f t="shared" si="110"/>
        <v>0</v>
      </c>
      <c r="O522">
        <f t="shared" si="111"/>
        <v>1.9999999999999574E-2</v>
      </c>
      <c r="P522">
        <f t="shared" si="112"/>
        <v>0</v>
      </c>
      <c r="R522">
        <f t="shared" si="113"/>
        <v>0.24799999999999969</v>
      </c>
      <c r="S522">
        <f t="shared" si="114"/>
        <v>0.21599999999999966</v>
      </c>
      <c r="AH522">
        <f t="shared" si="115"/>
        <v>0.1101175862122384</v>
      </c>
      <c r="AI522">
        <f t="shared" si="116"/>
        <v>7.5483900843410119</v>
      </c>
      <c r="AJ522">
        <f t="shared" si="117"/>
        <v>30.461609915658993</v>
      </c>
      <c r="AL522">
        <f t="shared" si="118"/>
        <v>19.22523517242448</v>
      </c>
      <c r="AM522">
        <f t="shared" si="119"/>
        <v>18.784764827575525</v>
      </c>
    </row>
    <row r="523" spans="1:39" ht="16.5" x14ac:dyDescent="0.25">
      <c r="A523" s="1">
        <v>44951</v>
      </c>
      <c r="B523" s="5">
        <v>18.78</v>
      </c>
      <c r="C523" s="4">
        <v>19</v>
      </c>
      <c r="D523" s="4">
        <v>19.09</v>
      </c>
      <c r="E523" s="4">
        <v>18.63</v>
      </c>
      <c r="F523" s="4" t="s">
        <v>1484</v>
      </c>
      <c r="G523" s="2" t="s">
        <v>1221</v>
      </c>
      <c r="I523">
        <f t="shared" si="107"/>
        <v>19.02333333333333</v>
      </c>
      <c r="J523">
        <f t="shared" si="108"/>
        <v>19.02333333333333</v>
      </c>
      <c r="L523">
        <f t="shared" si="109"/>
        <v>0</v>
      </c>
      <c r="M523">
        <f t="shared" si="110"/>
        <v>1</v>
      </c>
      <c r="O523">
        <f t="shared" si="111"/>
        <v>0</v>
      </c>
      <c r="P523">
        <f t="shared" si="112"/>
        <v>0.21999999999999886</v>
      </c>
      <c r="R523">
        <f t="shared" si="113"/>
        <v>0.30499999999999972</v>
      </c>
      <c r="S523">
        <f t="shared" si="114"/>
        <v>0.21599999999999966</v>
      </c>
      <c r="AH523">
        <f t="shared" si="115"/>
        <v>0.11542748478515452</v>
      </c>
      <c r="AI523">
        <f t="shared" si="116"/>
        <v>7.5667234176743392</v>
      </c>
      <c r="AJ523">
        <f t="shared" si="117"/>
        <v>30.479943248992321</v>
      </c>
      <c r="AL523">
        <f t="shared" si="118"/>
        <v>19.254188302903639</v>
      </c>
      <c r="AM523">
        <f t="shared" si="119"/>
        <v>18.792478363763021</v>
      </c>
    </row>
    <row r="524" spans="1:39" ht="16.5" x14ac:dyDescent="0.25">
      <c r="A524" s="1">
        <v>44950</v>
      </c>
      <c r="B524" s="5">
        <v>18.940000000000001</v>
      </c>
      <c r="C524" s="4">
        <v>19.25</v>
      </c>
      <c r="D524" s="4">
        <v>19.43</v>
      </c>
      <c r="E524" s="4">
        <v>18.940000000000001</v>
      </c>
      <c r="F524" s="4" t="s">
        <v>1460</v>
      </c>
      <c r="G524" s="2" t="s">
        <v>63</v>
      </c>
      <c r="I524">
        <f t="shared" si="107"/>
        <v>19.053749999999997</v>
      </c>
      <c r="J524">
        <f t="shared" si="108"/>
        <v>19.053749999999997</v>
      </c>
      <c r="L524">
        <f t="shared" si="109"/>
        <v>0</v>
      </c>
      <c r="M524">
        <f t="shared" si="110"/>
        <v>1</v>
      </c>
      <c r="O524">
        <f t="shared" si="111"/>
        <v>0</v>
      </c>
      <c r="P524">
        <f t="shared" si="112"/>
        <v>0.30999999999999872</v>
      </c>
      <c r="R524">
        <f t="shared" si="113"/>
        <v>0.30499999999999972</v>
      </c>
      <c r="S524">
        <f t="shared" si="114"/>
        <v>0.21499999999999986</v>
      </c>
      <c r="AH524">
        <f t="shared" si="115"/>
        <v>0.12260405313139497</v>
      </c>
      <c r="AI524">
        <f t="shared" si="116"/>
        <v>7.5971400843410066</v>
      </c>
      <c r="AJ524">
        <f t="shared" si="117"/>
        <v>30.510359915658988</v>
      </c>
      <c r="AL524">
        <f t="shared" si="118"/>
        <v>19.298958106262788</v>
      </c>
      <c r="AM524">
        <f t="shared" si="119"/>
        <v>18.808541893737207</v>
      </c>
    </row>
    <row r="525" spans="1:39" ht="16.5" x14ac:dyDescent="0.25">
      <c r="A525" s="1">
        <v>44949</v>
      </c>
      <c r="B525" s="5">
        <v>19.14</v>
      </c>
      <c r="C525" s="4">
        <v>19.11</v>
      </c>
      <c r="D525" s="4">
        <v>19.36</v>
      </c>
      <c r="E525" s="4">
        <v>18.68</v>
      </c>
      <c r="F525" s="4" t="s">
        <v>191</v>
      </c>
      <c r="G525" s="2" t="s">
        <v>1035</v>
      </c>
      <c r="I525">
        <f t="shared" si="107"/>
        <v>19.069999999999997</v>
      </c>
      <c r="J525">
        <f t="shared" si="108"/>
        <v>19.069999999999997</v>
      </c>
      <c r="L525">
        <f t="shared" si="109"/>
        <v>1</v>
      </c>
      <c r="M525">
        <f t="shared" si="110"/>
        <v>0</v>
      </c>
      <c r="O525">
        <f t="shared" si="111"/>
        <v>3.0000000000001137E-2</v>
      </c>
      <c r="P525">
        <f t="shared" si="112"/>
        <v>0</v>
      </c>
      <c r="R525">
        <f t="shared" si="113"/>
        <v>0.30499999999999972</v>
      </c>
      <c r="S525">
        <f t="shared" si="114"/>
        <v>0.18333333333333357</v>
      </c>
      <c r="AH525">
        <f t="shared" si="115"/>
        <v>0.13237204563505217</v>
      </c>
      <c r="AI525">
        <f t="shared" si="116"/>
        <v>7.6133900843410061</v>
      </c>
      <c r="AJ525">
        <f t="shared" si="117"/>
        <v>30.526609915658987</v>
      </c>
      <c r="AL525">
        <f t="shared" si="118"/>
        <v>19.3347440912701</v>
      </c>
      <c r="AM525">
        <f t="shared" si="119"/>
        <v>18.805255908729894</v>
      </c>
    </row>
    <row r="526" spans="1:39" ht="16.5" x14ac:dyDescent="0.25">
      <c r="A526" s="1">
        <v>44946</v>
      </c>
      <c r="B526" s="5">
        <v>18.88</v>
      </c>
      <c r="C526" s="4">
        <v>18.25</v>
      </c>
      <c r="D526" s="4">
        <v>18.93</v>
      </c>
      <c r="E526" s="4">
        <v>18.11</v>
      </c>
      <c r="F526" s="4" t="s">
        <v>1080</v>
      </c>
      <c r="G526" s="2" t="s">
        <v>386</v>
      </c>
      <c r="I526">
        <f t="shared" si="107"/>
        <v>19.058333333333334</v>
      </c>
      <c r="J526">
        <f t="shared" si="108"/>
        <v>19.058333333333334</v>
      </c>
      <c r="L526">
        <f t="shared" si="109"/>
        <v>1</v>
      </c>
      <c r="M526">
        <f t="shared" si="110"/>
        <v>0</v>
      </c>
      <c r="O526">
        <f t="shared" si="111"/>
        <v>0.62999999999999901</v>
      </c>
      <c r="P526">
        <f t="shared" si="112"/>
        <v>0</v>
      </c>
      <c r="R526">
        <f t="shared" si="113"/>
        <v>0.39666666666666589</v>
      </c>
      <c r="S526">
        <f t="shared" si="114"/>
        <v>0.18333333333333357</v>
      </c>
      <c r="AH526">
        <f t="shared" si="115"/>
        <v>0.1449752373491566</v>
      </c>
      <c r="AI526">
        <f t="shared" si="116"/>
        <v>7.6017234176743429</v>
      </c>
      <c r="AJ526">
        <f t="shared" si="117"/>
        <v>30.514943248992324</v>
      </c>
      <c r="AL526">
        <f t="shared" si="118"/>
        <v>19.348283808031645</v>
      </c>
      <c r="AM526">
        <f t="shared" si="119"/>
        <v>18.768382858635022</v>
      </c>
    </row>
    <row r="527" spans="1:39" ht="16.5" x14ac:dyDescent="0.25">
      <c r="A527" s="1">
        <v>44945</v>
      </c>
      <c r="B527" s="5">
        <v>18.739999999999998</v>
      </c>
      <c r="C527" s="4">
        <v>19.04</v>
      </c>
      <c r="D527" s="4">
        <v>19.14</v>
      </c>
      <c r="E527" s="4">
        <v>18.66</v>
      </c>
      <c r="F527" s="4" t="s">
        <v>1413</v>
      </c>
      <c r="G527" s="2" t="s">
        <v>1855</v>
      </c>
      <c r="I527">
        <f t="shared" si="107"/>
        <v>19.094000000000001</v>
      </c>
      <c r="J527">
        <f t="shared" si="108"/>
        <v>19.094000000000001</v>
      </c>
      <c r="L527">
        <f t="shared" si="109"/>
        <v>0</v>
      </c>
      <c r="M527">
        <f t="shared" si="110"/>
        <v>1</v>
      </c>
      <c r="O527">
        <f t="shared" si="111"/>
        <v>0</v>
      </c>
      <c r="P527">
        <f t="shared" si="112"/>
        <v>0.30000000000000071</v>
      </c>
      <c r="R527">
        <f t="shared" si="113"/>
        <v>0.27999999999999936</v>
      </c>
      <c r="S527">
        <f t="shared" si="114"/>
        <v>0.18333333333333357</v>
      </c>
      <c r="AH527">
        <f t="shared" si="115"/>
        <v>0.16206918961425712</v>
      </c>
      <c r="AI527">
        <f t="shared" si="116"/>
        <v>7.6373900843410105</v>
      </c>
      <c r="AJ527">
        <f t="shared" si="117"/>
        <v>30.550609915658992</v>
      </c>
      <c r="AL527">
        <f t="shared" si="118"/>
        <v>19.418138379228516</v>
      </c>
      <c r="AM527">
        <f t="shared" si="119"/>
        <v>18.769861620771486</v>
      </c>
    </row>
    <row r="528" spans="1:39" ht="16.5" x14ac:dyDescent="0.25">
      <c r="A528" s="1">
        <v>44944</v>
      </c>
      <c r="B528" s="5">
        <v>19.170000000000002</v>
      </c>
      <c r="C528" s="4">
        <v>19.41</v>
      </c>
      <c r="D528" s="4">
        <v>19.760000000000002</v>
      </c>
      <c r="E528" s="4">
        <v>19.11</v>
      </c>
      <c r="F528" s="4" t="s">
        <v>383</v>
      </c>
      <c r="G528" s="2" t="s">
        <v>1834</v>
      </c>
      <c r="I528">
        <f t="shared" si="107"/>
        <v>19.182499999999997</v>
      </c>
      <c r="J528">
        <f t="shared" si="108"/>
        <v>19.182499999999997</v>
      </c>
      <c r="L528">
        <f t="shared" si="109"/>
        <v>0</v>
      </c>
      <c r="M528">
        <f t="shared" si="110"/>
        <v>1</v>
      </c>
      <c r="O528">
        <f t="shared" si="111"/>
        <v>0</v>
      </c>
      <c r="P528">
        <f t="shared" si="112"/>
        <v>0.23999999999999844</v>
      </c>
      <c r="R528">
        <f t="shared" si="113"/>
        <v>0.27999999999999936</v>
      </c>
      <c r="S528">
        <f t="shared" si="114"/>
        <v>0.125</v>
      </c>
      <c r="AH528">
        <f t="shared" si="115"/>
        <v>0.18611199212063362</v>
      </c>
      <c r="AI528">
        <f t="shared" si="116"/>
        <v>7.7258900843410068</v>
      </c>
      <c r="AJ528">
        <f t="shared" si="117"/>
        <v>30.639109915658988</v>
      </c>
      <c r="AL528">
        <f t="shared" si="118"/>
        <v>19.554723984241264</v>
      </c>
      <c r="AM528">
        <f t="shared" si="119"/>
        <v>18.810276015758731</v>
      </c>
    </row>
    <row r="529" spans="1:39" ht="16.5" x14ac:dyDescent="0.25">
      <c r="A529" s="1">
        <v>44943</v>
      </c>
      <c r="B529" s="5">
        <v>19.43</v>
      </c>
      <c r="C529" s="4">
        <v>19.25</v>
      </c>
      <c r="D529" s="4">
        <v>19.43</v>
      </c>
      <c r="E529" s="4">
        <v>18.89</v>
      </c>
      <c r="F529" s="4" t="s">
        <v>1483</v>
      </c>
      <c r="G529" s="2" t="s">
        <v>1273</v>
      </c>
      <c r="I529">
        <f t="shared" si="107"/>
        <v>19.186666666666664</v>
      </c>
      <c r="J529">
        <f t="shared" si="108"/>
        <v>19.186666666666664</v>
      </c>
      <c r="L529">
        <f t="shared" si="109"/>
        <v>1</v>
      </c>
      <c r="M529">
        <f t="shared" si="110"/>
        <v>0</v>
      </c>
      <c r="O529">
        <f t="shared" si="111"/>
        <v>0.17999999999999972</v>
      </c>
      <c r="P529">
        <f t="shared" si="112"/>
        <v>0</v>
      </c>
      <c r="R529">
        <f t="shared" si="113"/>
        <v>0.27999999999999936</v>
      </c>
      <c r="S529">
        <f t="shared" si="114"/>
        <v>1.0000000000001563E-2</v>
      </c>
      <c r="AH529">
        <f t="shared" si="115"/>
        <v>0.20321262355072817</v>
      </c>
      <c r="AI529">
        <f t="shared" si="116"/>
        <v>7.7300567510076732</v>
      </c>
      <c r="AJ529">
        <f t="shared" si="117"/>
        <v>30.643276582325655</v>
      </c>
      <c r="AL529">
        <f t="shared" si="118"/>
        <v>19.59309191376812</v>
      </c>
      <c r="AM529">
        <f t="shared" si="119"/>
        <v>18.780241419565208</v>
      </c>
    </row>
    <row r="530" spans="1:39" ht="16.5" x14ac:dyDescent="0.25">
      <c r="A530" s="1">
        <v>44942</v>
      </c>
      <c r="B530" s="5">
        <v>19.34</v>
      </c>
      <c r="C530" s="4">
        <v>18.96</v>
      </c>
      <c r="D530" s="4">
        <v>19.38</v>
      </c>
      <c r="E530" s="4">
        <v>18.71</v>
      </c>
      <c r="F530" s="4" t="s">
        <v>1484</v>
      </c>
      <c r="G530" s="2" t="s">
        <v>1965</v>
      </c>
      <c r="I530">
        <f t="shared" si="107"/>
        <v>19.064999999999998</v>
      </c>
      <c r="J530">
        <f t="shared" si="108"/>
        <v>19.064999999999998</v>
      </c>
      <c r="L530">
        <f t="shared" si="109"/>
        <v>1</v>
      </c>
      <c r="M530">
        <f t="shared" si="110"/>
        <v>0</v>
      </c>
      <c r="O530">
        <f t="shared" si="111"/>
        <v>0.37999999999999901</v>
      </c>
      <c r="P530">
        <f t="shared" si="112"/>
        <v>0</v>
      </c>
      <c r="R530">
        <f t="shared" si="113"/>
        <v>0.37999999999999901</v>
      </c>
      <c r="S530">
        <f t="shared" si="114"/>
        <v>1.0000000000001563E-2</v>
      </c>
      <c r="AH530">
        <f t="shared" si="115"/>
        <v>0.19445436482629957</v>
      </c>
      <c r="AI530">
        <f t="shared" si="116"/>
        <v>7.6083900843410071</v>
      </c>
      <c r="AJ530">
        <f t="shared" si="117"/>
        <v>30.521609915658988</v>
      </c>
      <c r="AL530">
        <f t="shared" si="118"/>
        <v>19.453908729652596</v>
      </c>
      <c r="AM530">
        <f t="shared" si="119"/>
        <v>18.676091270347399</v>
      </c>
    </row>
    <row r="531" spans="1:39" ht="16.5" x14ac:dyDescent="0.25">
      <c r="A531" s="1">
        <v>44939</v>
      </c>
      <c r="B531" s="5">
        <v>18.79</v>
      </c>
      <c r="C531" s="4">
        <v>18.8</v>
      </c>
      <c r="D531" s="4">
        <v>19.07</v>
      </c>
      <c r="E531" s="4">
        <v>18.66</v>
      </c>
      <c r="F531" s="4" t="s">
        <v>191</v>
      </c>
      <c r="G531" s="2" t="s">
        <v>251</v>
      </c>
      <c r="I531">
        <f t="shared" si="107"/>
        <v>18.79</v>
      </c>
      <c r="J531">
        <f t="shared" si="108"/>
        <v>18.79</v>
      </c>
      <c r="L531">
        <f t="shared" si="109"/>
        <v>0</v>
      </c>
      <c r="M531">
        <f t="shared" si="110"/>
        <v>1</v>
      </c>
      <c r="O531">
        <f t="shared" si="111"/>
        <v>0</v>
      </c>
      <c r="P531">
        <f t="shared" si="112"/>
        <v>1.0000000000001563E-2</v>
      </c>
      <c r="R531" t="e">
        <f t="shared" si="113"/>
        <v>#DIV/0!</v>
      </c>
      <c r="S531">
        <f t="shared" si="114"/>
        <v>1.0000000000001563E-2</v>
      </c>
      <c r="AH531" t="e">
        <f t="shared" si="115"/>
        <v>#DIV/0!</v>
      </c>
      <c r="AI531">
        <f t="shared" si="116"/>
        <v>7.3333900843410085</v>
      </c>
      <c r="AJ531">
        <f t="shared" si="117"/>
        <v>30.24660991565899</v>
      </c>
      <c r="AL531" t="e">
        <f t="shared" si="118"/>
        <v>#DIV/0!</v>
      </c>
      <c r="AM531" t="e">
        <f t="shared" si="119"/>
        <v>#DIV/0!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217AC727006A40AA221C8AC182AF91" ma:contentTypeVersion="4" ma:contentTypeDescription="Crée un document." ma:contentTypeScope="" ma:versionID="c06ad88b7facd7423c9a737e9e74085f">
  <xsd:schema xmlns:xsd="http://www.w3.org/2001/XMLSchema" xmlns:xs="http://www.w3.org/2001/XMLSchema" xmlns:p="http://schemas.microsoft.com/office/2006/metadata/properties" xmlns:ns3="7dd6dda2-702b-453b-abeb-49a8de1ed9e8" targetNamespace="http://schemas.microsoft.com/office/2006/metadata/properties" ma:root="true" ma:fieldsID="31cb884313bccfe10aa528e2602f3cab" ns3:_="">
    <xsd:import namespace="7dd6dda2-702b-453b-abeb-49a8de1ed9e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d6dda2-702b-453b-abeb-49a8de1ed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4EEDE4-B419-44E5-8C7E-0B5332D278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808662-FAC6-4787-A69F-8DB19D42F6C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dd6dda2-702b-453b-abeb-49a8de1ed9e8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A1CC15-F453-4A06-AF3D-6CCAE26BF407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7dd6dda2-702b-453b-abeb-49a8de1ed9e8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BMW</vt:lpstr>
      <vt:lpstr>Deutch bank</vt:lpstr>
      <vt:lpstr>Mercedes</vt:lpstr>
      <vt:lpstr>Bayer</vt:lpstr>
      <vt:lpstr>Simens Energy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lachique</dc:creator>
  <cp:keywords/>
  <dc:description/>
  <cp:lastModifiedBy>tom lachique</cp:lastModifiedBy>
  <cp:revision/>
  <dcterms:created xsi:type="dcterms:W3CDTF">2025-02-12T09:41:59Z</dcterms:created>
  <dcterms:modified xsi:type="dcterms:W3CDTF">2025-11-15T11:22:22Z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0x010100A8217AC727006A40AA221C8AC182AF91</vt:lpwstr>
  </property>
</Properties>
</file>